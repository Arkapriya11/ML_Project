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<sst xmlns="http://schemas.openxmlformats.org/spreadsheetml/2006/main" count="4083" uniqueCount="808">
  <si>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</si>
  <si>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</si>
  <si>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</si>
  <si>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</si>
  <si>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</si>
  <si>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</si>
  <si>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</si>
  <si>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</si>
  <si>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</si>
  <si>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</si>
  <si>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</si>
  <si>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</si>
  <si>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</si>
  <si>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</si>
  <si>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</si>
  <si>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</si>
  <si>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</si>
  <si>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</si>
  <si>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</si>
  <si>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</si>
  <si>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</si>
  <si>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</si>
  <si>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</si>
  <si>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</si>
  <si>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</si>
  <si>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</si>
  <si>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</si>
  <si>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</si>
  <si>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</si>
  <si>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</si>
  <si>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</si>
  <si>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</si>
  <si>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</si>
  <si>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</si>
  <si>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</si>
  <si>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</si>
  <si>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</si>
  <si>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</si>
  <si>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</si>
  <si>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</si>
  <si>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</si>
  <si>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</si>
  <si>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</si>
  <si>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</si>
  <si>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</si>
  <si>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</si>
  <si>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</si>
  <si>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</si>
  <si>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</si>
  <si>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</si>
  <si>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</si>
  <si>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</si>
  <si>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</si>
  <si>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</si>
  <si>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</si>
  <si>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</si>
  <si>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</si>
  <si>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</si>
  <si>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</si>
  <si>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</si>
  <si>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</si>
  <si>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</si>
  <si>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01-07-2023 01:00</t>
  </si>
  <si>
    <t>01-07-2023 02:00</t>
  </si>
  <si>
    <t>01-07-2023 03:00</t>
  </si>
  <si>
    <t>01-07-2023 04:00</t>
  </si>
  <si>
    <t>01-07-2023 05:00</t>
  </si>
  <si>
    <t>01-07-2023 06:00</t>
  </si>
  <si>
    <t>01-07-2023 07:00</t>
  </si>
  <si>
    <t>01-07-2023 08:00</t>
  </si>
  <si>
    <t>01-07-2023 09:00</t>
  </si>
  <si>
    <t>01-07-2023 10:00</t>
  </si>
  <si>
    <t>01-07-2023 11:00</t>
  </si>
  <si>
    <t>01-07-2023 12:00</t>
  </si>
  <si>
    <t>01-07-2023 13:00</t>
  </si>
  <si>
    <t>01-07-2023 14:00</t>
  </si>
  <si>
    <t>01-07-2023 15:00</t>
  </si>
  <si>
    <t>01-07-2023 16:00</t>
  </si>
  <si>
    <t>01-07-2023 17:00</t>
  </si>
  <si>
    <t>01-07-2023 18:00</t>
  </si>
  <si>
    <t>01-07-2023 19:00</t>
  </si>
  <si>
    <t>01-07-2023 20:00</t>
  </si>
  <si>
    <t>01-07-2023 21:00</t>
  </si>
  <si>
    <t>01-07-2023 22:00</t>
  </si>
  <si>
    <t>01-07-2023 23:00</t>
  </si>
  <si>
    <t>01-07-2023 24:00</t>
  </si>
  <si>
    <t>02-07-2023 01:00</t>
  </si>
  <si>
    <t>02-07-2023 02:00</t>
  </si>
  <si>
    <t>02-07-2023 03:00</t>
  </si>
  <si>
    <t>02-07-2023 04:00</t>
  </si>
  <si>
    <t>02-07-2023 05:00</t>
  </si>
  <si>
    <t>02-07-2023 06:00</t>
  </si>
  <si>
    <t>02-07-2023 07:00</t>
  </si>
  <si>
    <t>02-07-2023 08:00</t>
  </si>
  <si>
    <t>02-07-2023 09:00</t>
  </si>
  <si>
    <t>02-07-2023 10:00</t>
  </si>
  <si>
    <t>02-07-2023 11:00</t>
  </si>
  <si>
    <t>02-07-2023 12:00</t>
  </si>
  <si>
    <t>02-07-2023 13:00</t>
  </si>
  <si>
    <t>02-07-2023 14:00</t>
  </si>
  <si>
    <t>02-07-2023 15:00</t>
  </si>
  <si>
    <t>02-07-2023 16:00</t>
  </si>
  <si>
    <t>02-07-2023 17:00</t>
  </si>
  <si>
    <t>02-07-2023 18:00</t>
  </si>
  <si>
    <t>02-07-2023 19:00</t>
  </si>
  <si>
    <t>02-07-2023 20:00</t>
  </si>
  <si>
    <t>02-07-2023 21:00</t>
  </si>
  <si>
    <t>02-07-2023 22:00</t>
  </si>
  <si>
    <t>02-07-2023 23:00</t>
  </si>
  <si>
    <t>02-07-2023 24:00</t>
  </si>
  <si>
    <t>03-07-2023 01:00</t>
  </si>
  <si>
    <t>03-07-2023 02:00</t>
  </si>
  <si>
    <t>03-07-2023 03:00</t>
  </si>
  <si>
    <t>03-07-2023 04:00</t>
  </si>
  <si>
    <t>03-07-2023 05:00</t>
  </si>
  <si>
    <t>03-07-2023 06:00</t>
  </si>
  <si>
    <t>03-07-2023 07:00</t>
  </si>
  <si>
    <t>03-07-2023 08:00</t>
  </si>
  <si>
    <t>03-07-2023 09:00</t>
  </si>
  <si>
    <t>03-07-2023 10:00</t>
  </si>
  <si>
    <t>03-07-2023 11:00</t>
  </si>
  <si>
    <t>03-07-2023 12:00</t>
  </si>
  <si>
    <t>03-07-2023 13:00</t>
  </si>
  <si>
    <t>03-07-2023 14:00</t>
  </si>
  <si>
    <t>03-07-2023 15:00</t>
  </si>
  <si>
    <t>03-07-2023 16:00</t>
  </si>
  <si>
    <t>03-07-2023 17:00</t>
  </si>
  <si>
    <t>03-07-2023 18:00</t>
  </si>
  <si>
    <t>03-07-2023 19:00</t>
  </si>
  <si>
    <t>03-07-2023 20:00</t>
  </si>
  <si>
    <t>03-07-2023 21:00</t>
  </si>
  <si>
    <t>03-07-2023 22:00</t>
  </si>
  <si>
    <t>03-07-2023 23:00</t>
  </si>
  <si>
    <t>03-07-2023 24:00</t>
  </si>
  <si>
    <t>04-07-2023 01:00</t>
  </si>
  <si>
    <t>04-07-2023 02:00</t>
  </si>
  <si>
    <t>04-07-2023 03:00</t>
  </si>
  <si>
    <t>04-07-2023 04:00</t>
  </si>
  <si>
    <t>04-07-2023 05:00</t>
  </si>
  <si>
    <t>04-07-2023 06:00</t>
  </si>
  <si>
    <t>04-07-2023 07:00</t>
  </si>
  <si>
    <t>04-07-2023 08:00</t>
  </si>
  <si>
    <t>04-07-2023 09:00</t>
  </si>
  <si>
    <t>04-07-2023 10:00</t>
  </si>
  <si>
    <t>04-07-2023 11:00</t>
  </si>
  <si>
    <t>04-07-2023 12:00</t>
  </si>
  <si>
    <t>04-07-2023 13:00</t>
  </si>
  <si>
    <t>04-07-2023 14:00</t>
  </si>
  <si>
    <t>04-07-2023 15:00</t>
  </si>
  <si>
    <t>04-07-2023 16:00</t>
  </si>
  <si>
    <t>04-07-2023 17:00</t>
  </si>
  <si>
    <t>04-07-2023 18:00</t>
  </si>
  <si>
    <t>04-07-2023 19:00</t>
  </si>
  <si>
    <t>04-07-2023 20:00</t>
  </si>
  <si>
    <t>04-07-2023 21:00</t>
  </si>
  <si>
    <t>04-07-2023 22:00</t>
  </si>
  <si>
    <t>04-07-2023 23:00</t>
  </si>
  <si>
    <t>04-07-2023 24:00</t>
  </si>
  <si>
    <t>05-07-2023 01:00</t>
  </si>
  <si>
    <t>05-07-2023 02:00</t>
  </si>
  <si>
    <t>05-07-2023 03:00</t>
  </si>
  <si>
    <t>05-07-2023 04:00</t>
  </si>
  <si>
    <t>05-07-2023 05:00</t>
  </si>
  <si>
    <t>05-07-2023 06:00</t>
  </si>
  <si>
    <t>05-07-2023 07:00</t>
  </si>
  <si>
    <t>05-07-2023 08:00</t>
  </si>
  <si>
    <t>05-07-2023 09:00</t>
  </si>
  <si>
    <t>05-07-2023 10:00</t>
  </si>
  <si>
    <t>05-07-2023 11:00</t>
  </si>
  <si>
    <t>05-07-2023 12:00</t>
  </si>
  <si>
    <t>05-07-2023 13:00</t>
  </si>
  <si>
    <t>05-07-2023 14:00</t>
  </si>
  <si>
    <t>05-07-2023 15:00</t>
  </si>
  <si>
    <t>05-07-2023 16:00</t>
  </si>
  <si>
    <t>05-07-2023 17:00</t>
  </si>
  <si>
    <t>05-07-2023 18:00</t>
  </si>
  <si>
    <t>05-07-2023 19:00</t>
  </si>
  <si>
    <t>05-07-2023 20:00</t>
  </si>
  <si>
    <t>05-07-2023 21:00</t>
  </si>
  <si>
    <t>05-07-2023 22:00</t>
  </si>
  <si>
    <t>05-07-2023 23:00</t>
  </si>
  <si>
    <t>05-07-2023 24:00</t>
  </si>
  <si>
    <t>06-07-2023 01:00</t>
  </si>
  <si>
    <t>06-07-2023 02:00</t>
  </si>
  <si>
    <t>06-07-2023 03:00</t>
  </si>
  <si>
    <t>06-07-2023 04:00</t>
  </si>
  <si>
    <t>06-07-2023 05:00</t>
  </si>
  <si>
    <t>06-07-2023 06:00</t>
  </si>
  <si>
    <t>06-07-2023 07:00</t>
  </si>
  <si>
    <t>06-07-2023 08:00</t>
  </si>
  <si>
    <t>06-07-2023 09:00</t>
  </si>
  <si>
    <t>06-07-2023 10:00</t>
  </si>
  <si>
    <t>06-07-2023 11:00</t>
  </si>
  <si>
    <t>06-07-2023 12:00</t>
  </si>
  <si>
    <t>06-07-2023 13:00</t>
  </si>
  <si>
    <t>06-07-2023 14:00</t>
  </si>
  <si>
    <t>06-07-2023 15:00</t>
  </si>
  <si>
    <t>06-07-2023 16:00</t>
  </si>
  <si>
    <t>06-07-2023 17:00</t>
  </si>
  <si>
    <t>06-07-2023 18:00</t>
  </si>
  <si>
    <t>06-07-2023 19:00</t>
  </si>
  <si>
    <t>06-07-2023 20:00</t>
  </si>
  <si>
    <t>06-07-2023 21:00</t>
  </si>
  <si>
    <t>06-07-2023 22:00</t>
  </si>
  <si>
    <t>06-07-2023 23:00</t>
  </si>
  <si>
    <t>06-07-2023 24:00</t>
  </si>
  <si>
    <t>07-07-2023 01:00</t>
  </si>
  <si>
    <t>07-07-2023 02:00</t>
  </si>
  <si>
    <t>07-07-2023 03:00</t>
  </si>
  <si>
    <t>07-07-2023 04:00</t>
  </si>
  <si>
    <t>07-07-2023 05:00</t>
  </si>
  <si>
    <t>07-07-2023 06:00</t>
  </si>
  <si>
    <t>07-07-2023 07:00</t>
  </si>
  <si>
    <t>07-07-2023 08:00</t>
  </si>
  <si>
    <t>07-07-2023 09:00</t>
  </si>
  <si>
    <t>07-07-2023 10:00</t>
  </si>
  <si>
    <t>07-07-2023 11:00</t>
  </si>
  <si>
    <t>07-07-2023 12:00</t>
  </si>
  <si>
    <t>07-07-2023 13:00</t>
  </si>
  <si>
    <t>07-07-2023 14:00</t>
  </si>
  <si>
    <t>07-07-2023 15:00</t>
  </si>
  <si>
    <t>07-07-2023 16:00</t>
  </si>
  <si>
    <t>07-07-2023 17:00</t>
  </si>
  <si>
    <t>07-07-2023 18:00</t>
  </si>
  <si>
    <t>07-07-2023 19:00</t>
  </si>
  <si>
    <t>07-07-2023 20:00</t>
  </si>
  <si>
    <t>07-07-2023 21:00</t>
  </si>
  <si>
    <t>07-07-2023 22:00</t>
  </si>
  <si>
    <t>07-07-2023 23:00</t>
  </si>
  <si>
    <t>07-07-2023 24:00</t>
  </si>
  <si>
    <t>08-07-2023 01:00</t>
  </si>
  <si>
    <t>08-07-2023 02:00</t>
  </si>
  <si>
    <t>08-07-2023 03:00</t>
  </si>
  <si>
    <t>08-07-2023 04:00</t>
  </si>
  <si>
    <t>08-07-2023 05:00</t>
  </si>
  <si>
    <t>08-07-2023 06:00</t>
  </si>
  <si>
    <t>08-07-2023 07:00</t>
  </si>
  <si>
    <t>08-07-2023 08:00</t>
  </si>
  <si>
    <t>08-07-2023 09:00</t>
  </si>
  <si>
    <t>08-07-2023 10:00</t>
  </si>
  <si>
    <t>08-07-2023 11:00</t>
  </si>
  <si>
    <t>08-07-2023 12:00</t>
  </si>
  <si>
    <t>08-07-2023 13:00</t>
  </si>
  <si>
    <t>08-07-2023 14:00</t>
  </si>
  <si>
    <t>08-07-2023 15:00</t>
  </si>
  <si>
    <t>08-07-2023 16:00</t>
  </si>
  <si>
    <t>08-07-2023 17:00</t>
  </si>
  <si>
    <t>08-07-2023 18:00</t>
  </si>
  <si>
    <t>08-07-2023 19:00</t>
  </si>
  <si>
    <t>08-07-2023 20:00</t>
  </si>
  <si>
    <t>08-07-2023 21:00</t>
  </si>
  <si>
    <t>08-07-2023 22:00</t>
  </si>
  <si>
    <t>08-07-2023 23:00</t>
  </si>
  <si>
    <t>08-07-2023 24:00</t>
  </si>
  <si>
    <t>09-07-2023 01:00</t>
  </si>
  <si>
    <t>09-07-2023 02:00</t>
  </si>
  <si>
    <t>09-07-2023 03:00</t>
  </si>
  <si>
    <t>09-07-2023 04:00</t>
  </si>
  <si>
    <t>09-07-2023 05:00</t>
  </si>
  <si>
    <t>09-07-2023 06:00</t>
  </si>
  <si>
    <t>09-07-2023 07:00</t>
  </si>
  <si>
    <t>09-07-2023 08:00</t>
  </si>
  <si>
    <t>09-07-2023 09:00</t>
  </si>
  <si>
    <t>09-07-2023 10:00</t>
  </si>
  <si>
    <t>09-07-2023 11:00</t>
  </si>
  <si>
    <t>09-07-2023 12:00</t>
  </si>
  <si>
    <t>09-07-2023 13:00</t>
  </si>
  <si>
    <t>09-07-2023 14:00</t>
  </si>
  <si>
    <t>09-07-2023 15:00</t>
  </si>
  <si>
    <t>09-07-2023 16:00</t>
  </si>
  <si>
    <t>09-07-2023 17:00</t>
  </si>
  <si>
    <t>09-07-2023 18:00</t>
  </si>
  <si>
    <t>09-07-2023 19:00</t>
  </si>
  <si>
    <t>09-07-2023 20:00</t>
  </si>
  <si>
    <t>09-07-2023 21:00</t>
  </si>
  <si>
    <t>09-07-2023 22:00</t>
  </si>
  <si>
    <t>09-07-2023 23:00</t>
  </si>
  <si>
    <t>09-07-2023 24:00</t>
  </si>
  <si>
    <t>10-07-2023 01:00</t>
  </si>
  <si>
    <t>10-07-2023 02:00</t>
  </si>
  <si>
    <t>10-07-2023 03:00</t>
  </si>
  <si>
    <t>10-07-2023 04:00</t>
  </si>
  <si>
    <t>10-07-2023 05:00</t>
  </si>
  <si>
    <t>10-07-2023 06:00</t>
  </si>
  <si>
    <t>10-07-2023 07:00</t>
  </si>
  <si>
    <t>10-07-2023 08:00</t>
  </si>
  <si>
    <t>10-07-2023 09:00</t>
  </si>
  <si>
    <t>10-07-2023 10:00</t>
  </si>
  <si>
    <t>10-07-2023 11:00</t>
  </si>
  <si>
    <t>10-07-2023 12:00</t>
  </si>
  <si>
    <t>10-07-2023 13:00</t>
  </si>
  <si>
    <t>10-07-2023 14:00</t>
  </si>
  <si>
    <t>10-07-2023 15:00</t>
  </si>
  <si>
    <t>10-07-2023 16:00</t>
  </si>
  <si>
    <t>10-07-2023 17:00</t>
  </si>
  <si>
    <t>10-07-2023 18:00</t>
  </si>
  <si>
    <t>10-07-2023 19:00</t>
  </si>
  <si>
    <t>10-07-2023 20:00</t>
  </si>
  <si>
    <t>10-07-2023 21:00</t>
  </si>
  <si>
    <t>10-07-2023 22:00</t>
  </si>
  <si>
    <t>10-07-2023 23:00</t>
  </si>
  <si>
    <t>10-07-2023 24:00</t>
  </si>
  <si>
    <t>11-07-2023 01:00</t>
  </si>
  <si>
    <t>11-07-2023 02:00</t>
  </si>
  <si>
    <t>11-07-2023 03:00</t>
  </si>
  <si>
    <t>11-07-2023 04:00</t>
  </si>
  <si>
    <t>11-07-2023 05:00</t>
  </si>
  <si>
    <t>11-07-2023 06:00</t>
  </si>
  <si>
    <t>11-07-2023 07:00</t>
  </si>
  <si>
    <t>11-07-2023 08:00</t>
  </si>
  <si>
    <t>11-07-2023 09:00</t>
  </si>
  <si>
    <t>11-07-2023 10:00</t>
  </si>
  <si>
    <t>11-07-2023 11:00</t>
  </si>
  <si>
    <t>11-07-2023 12:00</t>
  </si>
  <si>
    <t>11-07-2023 13:00</t>
  </si>
  <si>
    <t>11-07-2023 14:00</t>
  </si>
  <si>
    <t>11-07-2023 15:00</t>
  </si>
  <si>
    <t>11-07-2023 16:00</t>
  </si>
  <si>
    <t>11-07-2023 17:00</t>
  </si>
  <si>
    <t>11-07-2023 18:00</t>
  </si>
  <si>
    <t>11-07-2023 19:00</t>
  </si>
  <si>
    <t>11-07-2023 20:00</t>
  </si>
  <si>
    <t>11-07-2023 21:00</t>
  </si>
  <si>
    <t>11-07-2023 22:00</t>
  </si>
  <si>
    <t>11-07-2023 23:00</t>
  </si>
  <si>
    <t>11-07-2023 24:00</t>
  </si>
  <si>
    <t>12-07-2023 01:00</t>
  </si>
  <si>
    <t>12-07-2023 02:00</t>
  </si>
  <si>
    <t>12-07-2023 03:00</t>
  </si>
  <si>
    <t>12-07-2023 04:00</t>
  </si>
  <si>
    <t>12-07-2023 05:00</t>
  </si>
  <si>
    <t>12-07-2023 06:00</t>
  </si>
  <si>
    <t>12-07-2023 07:00</t>
  </si>
  <si>
    <t>12-07-2023 08:00</t>
  </si>
  <si>
    <t>12-07-2023 09:00</t>
  </si>
  <si>
    <t>12-07-2023 10:00</t>
  </si>
  <si>
    <t>12-07-2023 11:00</t>
  </si>
  <si>
    <t>12-07-2023 12:00</t>
  </si>
  <si>
    <t>12-07-2023 13:00</t>
  </si>
  <si>
    <t>12-07-2023 14:00</t>
  </si>
  <si>
    <t>12-07-2023 15:00</t>
  </si>
  <si>
    <t>12-07-2023 16:00</t>
  </si>
  <si>
    <t>12-07-2023 17:00</t>
  </si>
  <si>
    <t>12-07-2023 18:00</t>
  </si>
  <si>
    <t>12-07-2023 19:00</t>
  </si>
  <si>
    <t>12-07-2023 20:00</t>
  </si>
  <si>
    <t>12-07-2023 21:00</t>
  </si>
  <si>
    <t>12-07-2023 22:00</t>
  </si>
  <si>
    <t>12-07-2023 23:00</t>
  </si>
  <si>
    <t>12-07-2023 24:00</t>
  </si>
  <si>
    <t>voc set trap faulty</t>
  </si>
  <si>
    <t>13-07-2023 01:00</t>
  </si>
  <si>
    <t>13-07-2023 02:00</t>
  </si>
  <si>
    <t>13-07-2023 03:00</t>
  </si>
  <si>
    <t>13-07-2023 04:00</t>
  </si>
  <si>
    <t>13-07-2023 05:00</t>
  </si>
  <si>
    <t>13-07-2023 06:00</t>
  </si>
  <si>
    <t>13-07-2023 07:00</t>
  </si>
  <si>
    <t>13-07-2023 08:00</t>
  </si>
  <si>
    <t>13-07-2023 09:00</t>
  </si>
  <si>
    <t>13-07-2023 10:00</t>
  </si>
  <si>
    <t>13-07-2023 11:00</t>
  </si>
  <si>
    <t>13-07-2023 12:00</t>
  </si>
  <si>
    <t>13-07-2023 13:00</t>
  </si>
  <si>
    <t>13-07-2023 14:00</t>
  </si>
  <si>
    <t>13-07-2023 15:00</t>
  </si>
  <si>
    <t>13-07-2023 16:00</t>
  </si>
  <si>
    <t>13-07-2023 17:00</t>
  </si>
  <si>
    <t>13-07-2023 18:00</t>
  </si>
  <si>
    <t>13-07-2023 19:00</t>
  </si>
  <si>
    <t>13-07-2023 20:00</t>
  </si>
  <si>
    <t>13-07-2023 21:00</t>
  </si>
  <si>
    <t>13-07-2023 22:00</t>
  </si>
  <si>
    <t>13-07-2023 23:00</t>
  </si>
  <si>
    <t>13-07-2023 24:00</t>
  </si>
  <si>
    <t>14-07-2023 01:00</t>
  </si>
  <si>
    <t>14-07-2023 02:00</t>
  </si>
  <si>
    <t>14-07-2023 03:00</t>
  </si>
  <si>
    <t>14-07-2023 04:00</t>
  </si>
  <si>
    <t>14-07-2023 05:00</t>
  </si>
  <si>
    <t>14-07-2023 06:00</t>
  </si>
  <si>
    <t>14-07-2023 07:00</t>
  </si>
  <si>
    <t>14-07-2023 08:00</t>
  </si>
  <si>
    <t>14-07-2023 09:00</t>
  </si>
  <si>
    <t>14-07-2023 10:00</t>
  </si>
  <si>
    <t>14-07-2023 11:00</t>
  </si>
  <si>
    <t>14-07-2023 12:00</t>
  </si>
  <si>
    <t>14-07-2023 13:00</t>
  </si>
  <si>
    <t>14-07-2023 14:00</t>
  </si>
  <si>
    <t>14-07-2023 15:00</t>
  </si>
  <si>
    <t>14-07-2023 16:00</t>
  </si>
  <si>
    <t>14-07-2023 17:00</t>
  </si>
  <si>
    <t>14-07-2023 18:00</t>
  </si>
  <si>
    <t>14-07-2023 19:00</t>
  </si>
  <si>
    <t>14-07-2023 20:00</t>
  </si>
  <si>
    <t>14-07-2023 21:00</t>
  </si>
  <si>
    <t>14-07-2023 22:00</t>
  </si>
  <si>
    <t>14-07-2023 23:00</t>
  </si>
  <si>
    <t>14-07-2023 24:00</t>
  </si>
  <si>
    <t>15-07-2023 01:00</t>
  </si>
  <si>
    <t>15-07-2023 02:00</t>
  </si>
  <si>
    <t>15-07-2023 03:00</t>
  </si>
  <si>
    <t>15-07-2023 04:00</t>
  </si>
  <si>
    <t>15-07-2023 05:00</t>
  </si>
  <si>
    <t>15-07-2023 06:00</t>
  </si>
  <si>
    <t>15-07-2023 07:00</t>
  </si>
  <si>
    <t>15-07-2023 08:00</t>
  </si>
  <si>
    <t>15-07-2023 09:00</t>
  </si>
  <si>
    <t>15-07-2023 10:00</t>
  </si>
  <si>
    <t>15-07-2023 11:00</t>
  </si>
  <si>
    <t>15-07-2023 12:00</t>
  </si>
  <si>
    <t>15-07-2023 13:00</t>
  </si>
  <si>
    <t>15-07-2023 14:00</t>
  </si>
  <si>
    <t>15-07-2023 15:00</t>
  </si>
  <si>
    <t>15-07-2023 16:00</t>
  </si>
  <si>
    <t>15-07-2023 17:00</t>
  </si>
  <si>
    <t>15-07-2023 18:00</t>
  </si>
  <si>
    <t>15-07-2023 19:00</t>
  </si>
  <si>
    <t>15-07-2023 20:00</t>
  </si>
  <si>
    <t>15-07-2023 21:00</t>
  </si>
  <si>
    <t>15-07-2023 22:00</t>
  </si>
  <si>
    <t>15-07-2023 23:00</t>
  </si>
  <si>
    <t>15-07-2023 24:00</t>
  </si>
  <si>
    <t>16-07-2023 01:00</t>
  </si>
  <si>
    <t>16-07-2023 02:00</t>
  </si>
  <si>
    <t>16-07-2023 03:00</t>
  </si>
  <si>
    <t>16-07-2023 04:00</t>
  </si>
  <si>
    <t>16-07-2023 05:00</t>
  </si>
  <si>
    <t>16-07-2023 06:00</t>
  </si>
  <si>
    <t>16-07-2023 07:00</t>
  </si>
  <si>
    <t>16-07-2023 08:00</t>
  </si>
  <si>
    <t>16-07-2023 09:00</t>
  </si>
  <si>
    <t>16-07-2023 10:00</t>
  </si>
  <si>
    <t>16-07-2023 11:00</t>
  </si>
  <si>
    <t>16-07-2023 12:00</t>
  </si>
  <si>
    <t>16-07-2023 13:00</t>
  </si>
  <si>
    <t>16-07-2023 14:00</t>
  </si>
  <si>
    <t>16-07-2023 15:00</t>
  </si>
  <si>
    <t>16-07-2023 16:00</t>
  </si>
  <si>
    <t>16-07-2023 17:00</t>
  </si>
  <si>
    <t>16-07-2023 18:00</t>
  </si>
  <si>
    <t>16-07-2023 19:00</t>
  </si>
  <si>
    <t>16-07-2023 20:00</t>
  </si>
  <si>
    <t>16-07-2023 21:00</t>
  </si>
  <si>
    <t>16-07-2023 22:00</t>
  </si>
  <si>
    <t>16-07-2023 23:00</t>
  </si>
  <si>
    <t>16-07-2023 24:00</t>
  </si>
  <si>
    <t>17-07-2023 01:00</t>
  </si>
  <si>
    <t>17-07-2023 02:00</t>
  </si>
  <si>
    <t>17-07-2023 03:00</t>
  </si>
  <si>
    <t>17-07-2023 04:00</t>
  </si>
  <si>
    <t>17-07-2023 05:00</t>
  </si>
  <si>
    <t>17-07-2023 06:00</t>
  </si>
  <si>
    <t>17-07-2023 07:00</t>
  </si>
  <si>
    <t>17-07-2023 08:00</t>
  </si>
  <si>
    <t>17-07-2023 09:00</t>
  </si>
  <si>
    <t>17-07-2023 10:00</t>
  </si>
  <si>
    <t>17-07-2023 11:00</t>
  </si>
  <si>
    <t>17-07-2023 12:00</t>
  </si>
  <si>
    <t>17-07-2023 13:00</t>
  </si>
  <si>
    <t>17-07-2023 14:00</t>
  </si>
  <si>
    <t>17-07-2023 15:00</t>
  </si>
  <si>
    <t>17-07-2023 16:00</t>
  </si>
  <si>
    <t>17-07-2023 17:00</t>
  </si>
  <si>
    <t>17-07-2023 18:00</t>
  </si>
  <si>
    <t>17-07-2023 19:00</t>
  </si>
  <si>
    <t>17-07-2023 20:00</t>
  </si>
  <si>
    <t>17-07-2023 21:00</t>
  </si>
  <si>
    <t>17-07-2023 22:00</t>
  </si>
  <si>
    <t>17-07-2023 23:00</t>
  </si>
  <si>
    <t>17-07-2023 24:00</t>
  </si>
  <si>
    <t>18-07-2023 01:00</t>
  </si>
  <si>
    <t>18-07-2023 02:00</t>
  </si>
  <si>
    <t>18-07-2023 03:00</t>
  </si>
  <si>
    <t>18-07-2023 04:00</t>
  </si>
  <si>
    <t>18-07-2023 05:00</t>
  </si>
  <si>
    <t>18-07-2023 06:00</t>
  </si>
  <si>
    <t>18-07-2023 07:00</t>
  </si>
  <si>
    <t>18-07-2023 08:00</t>
  </si>
  <si>
    <t>18-07-2023 09:00</t>
  </si>
  <si>
    <t>18-07-2023 10:00</t>
  </si>
  <si>
    <t>18-07-2023 11:00</t>
  </si>
  <si>
    <t>18-07-2023 12:00</t>
  </si>
  <si>
    <t>18-07-2023 13:00</t>
  </si>
  <si>
    <t>18-07-2023 14:00</t>
  </si>
  <si>
    <t>18-07-2023 15:00</t>
  </si>
  <si>
    <t>18-07-2023 16:00</t>
  </si>
  <si>
    <t>18-07-2023 17:00</t>
  </si>
  <si>
    <t>18-07-2023 18:00</t>
  </si>
  <si>
    <t>18-07-2023 19:00</t>
  </si>
  <si>
    <t>18-07-2023 20:00</t>
  </si>
  <si>
    <t>18-07-2023 21:00</t>
  </si>
  <si>
    <t>18-07-2023 22:00</t>
  </si>
  <si>
    <t>18-07-2023 23:00</t>
  </si>
  <si>
    <t>18-07-2023 24:00</t>
  </si>
  <si>
    <t>19-07-2023 01:00</t>
  </si>
  <si>
    <t>19-07-2023 02:00</t>
  </si>
  <si>
    <t>19-07-2023 03:00</t>
  </si>
  <si>
    <t>19-07-2023 04:00</t>
  </si>
  <si>
    <t>19-07-2023 05:00</t>
  </si>
  <si>
    <t>19-07-2023 06:00</t>
  </si>
  <si>
    <t>19-07-2023 07:00</t>
  </si>
  <si>
    <t>19-07-2023 08:00</t>
  </si>
  <si>
    <t>19-07-2023 09:00</t>
  </si>
  <si>
    <t>19-07-2023 10:00</t>
  </si>
  <si>
    <t>19-07-2023 11:00</t>
  </si>
  <si>
    <t>19-07-2023 12:00</t>
  </si>
  <si>
    <t>19-07-2023 13:00</t>
  </si>
  <si>
    <t>19-07-2023 14:00</t>
  </si>
  <si>
    <t>19-07-2023 15:00</t>
  </si>
  <si>
    <t>19-07-2023 16:00</t>
  </si>
  <si>
    <t>19-07-2023 17:00</t>
  </si>
  <si>
    <t>19-07-2023 18:00</t>
  </si>
  <si>
    <t>19-07-2023 19:00</t>
  </si>
  <si>
    <t>19-07-2023 20:00</t>
  </si>
  <si>
    <t>19-07-2023 21:00</t>
  </si>
  <si>
    <t>19-07-2023 22:00</t>
  </si>
  <si>
    <t>19-07-2023 23:00</t>
  </si>
  <si>
    <t>19-07-2023 24:00</t>
  </si>
  <si>
    <t>20-07-2023 01:00</t>
  </si>
  <si>
    <t>20-07-2023 02:00</t>
  </si>
  <si>
    <t>20-07-2023 03:00</t>
  </si>
  <si>
    <t>20-07-2023 04:00</t>
  </si>
  <si>
    <t>20-07-2023 05:00</t>
  </si>
  <si>
    <t>20-07-2023 06:00</t>
  </si>
  <si>
    <t>20-07-2023 07:00</t>
  </si>
  <si>
    <t>20-07-2023 08:00</t>
  </si>
  <si>
    <t>20-07-2023 09:00</t>
  </si>
  <si>
    <t>20-07-2023 10:00</t>
  </si>
  <si>
    <t>20-07-2023 11:00</t>
  </si>
  <si>
    <t>20-07-2023 12:00</t>
  </si>
  <si>
    <t>20-07-2023 13:00</t>
  </si>
  <si>
    <t>20-07-2023 14:00</t>
  </si>
  <si>
    <t>20-07-2023 15:00</t>
  </si>
  <si>
    <t>20-07-2023 16:00</t>
  </si>
  <si>
    <t>20-07-2023 17:00</t>
  </si>
  <si>
    <t>20-07-2023 18:00</t>
  </si>
  <si>
    <t>20-07-2023 19:00</t>
  </si>
  <si>
    <t>20-07-2023 20:00</t>
  </si>
  <si>
    <t>20-07-2023 21:00</t>
  </si>
  <si>
    <t>20-07-2023 22:00</t>
  </si>
  <si>
    <t>20-07-2023 23:00</t>
  </si>
  <si>
    <t>20-07-2023 24:00</t>
  </si>
  <si>
    <t>21-07-2023 01:00</t>
  </si>
  <si>
    <t>21-07-2023 02:00</t>
  </si>
  <si>
    <t>21-07-2023 03:00</t>
  </si>
  <si>
    <t>21-07-2023 04:00</t>
  </si>
  <si>
    <t>21-07-2023 05:00</t>
  </si>
  <si>
    <t>21-07-2023 06:00</t>
  </si>
  <si>
    <t>21-07-2023 07:00</t>
  </si>
  <si>
    <t>21-07-2023 08:00</t>
  </si>
  <si>
    <t>21-07-2023 09:00</t>
  </si>
  <si>
    <t>21-07-2023 10:00</t>
  </si>
  <si>
    <t>21-07-2023 11:00</t>
  </si>
  <si>
    <t>21-07-2023 12:00</t>
  </si>
  <si>
    <t>21-07-2023 13:00</t>
  </si>
  <si>
    <t>21-07-2023 14:00</t>
  </si>
  <si>
    <t>21-07-2023 15:00</t>
  </si>
  <si>
    <t>21-07-2023 16:00</t>
  </si>
  <si>
    <t>21-07-2023 17:00</t>
  </si>
  <si>
    <t>21-07-2023 18:00</t>
  </si>
  <si>
    <t>21-07-2023 19:00</t>
  </si>
  <si>
    <t>21-07-2023 20:00</t>
  </si>
  <si>
    <t>21-07-2023 21:00</t>
  </si>
  <si>
    <t>21-07-2023 22:00</t>
  </si>
  <si>
    <t>21-07-2023 23:00</t>
  </si>
  <si>
    <t>21-07-2023 24:00</t>
  </si>
  <si>
    <t>22-07-2023 01:00</t>
  </si>
  <si>
    <t>22-07-2023 02:00</t>
  </si>
  <si>
    <t>22-07-2023 03:00</t>
  </si>
  <si>
    <t>22-07-2023 04:00</t>
  </si>
  <si>
    <t>22-07-2023 05:00</t>
  </si>
  <si>
    <t>22-07-2023 06:00</t>
  </si>
  <si>
    <t>22-07-2023 07:00</t>
  </si>
  <si>
    <t>22-07-2023 08:00</t>
  </si>
  <si>
    <t>22-07-2023 09:00</t>
  </si>
  <si>
    <t>22-07-2023 10:00</t>
  </si>
  <si>
    <t>22-07-2023 11:00</t>
  </si>
  <si>
    <t>22-07-2023 12:00</t>
  </si>
  <si>
    <t>22-07-2023 13:00</t>
  </si>
  <si>
    <t>22-07-2023 14:00</t>
  </si>
  <si>
    <t>22-07-2023 15:00</t>
  </si>
  <si>
    <t>22-07-2023 16:00</t>
  </si>
  <si>
    <t>22-07-2023 17:00</t>
  </si>
  <si>
    <t>22-07-2023 18:00</t>
  </si>
  <si>
    <t>22-07-2023 19:00</t>
  </si>
  <si>
    <t>22-07-2023 20:00</t>
  </si>
  <si>
    <t>22-07-2023 21:00</t>
  </si>
  <si>
    <t>22-07-2023 22:00</t>
  </si>
  <si>
    <t>22-07-2023 23:00</t>
  </si>
  <si>
    <t>22-07-2023 24:00</t>
  </si>
  <si>
    <t>23-07-2023 01:00</t>
  </si>
  <si>
    <t>23-07-2023 02:00</t>
  </si>
  <si>
    <t>23-07-2023 03:00</t>
  </si>
  <si>
    <t>23-07-2023 04:00</t>
  </si>
  <si>
    <t>23-07-2023 05:00</t>
  </si>
  <si>
    <t>23-07-2023 06:00</t>
  </si>
  <si>
    <t>23-07-2023 07:00</t>
  </si>
  <si>
    <t>23-07-2023 08:00</t>
  </si>
  <si>
    <t>23-07-2023 09:00</t>
  </si>
  <si>
    <t>23-07-2023 10:00</t>
  </si>
  <si>
    <t>23-07-2023 11:00</t>
  </si>
  <si>
    <t>23-07-2023 12:00</t>
  </si>
  <si>
    <t>23-07-2023 13:00</t>
  </si>
  <si>
    <t>23-07-2023 14:00</t>
  </si>
  <si>
    <t>23-07-2023 15:00</t>
  </si>
  <si>
    <t>23-07-2023 16:00</t>
  </si>
  <si>
    <t>23-07-2023 17:00</t>
  </si>
  <si>
    <t>23-07-2023 18:00</t>
  </si>
  <si>
    <t>23-07-2023 19:00</t>
  </si>
  <si>
    <t>23-07-2023 20:00</t>
  </si>
  <si>
    <t>23-07-2023 21:00</t>
  </si>
  <si>
    <t>23-07-2023 22:00</t>
  </si>
  <si>
    <t>23-07-2023 23:00</t>
  </si>
  <si>
    <t>23-07-2023 24:00</t>
  </si>
  <si>
    <t>24-07-2023 01:00</t>
  </si>
  <si>
    <t>24-07-2023 02:00</t>
  </si>
  <si>
    <t>24-07-2023 03:00</t>
  </si>
  <si>
    <t>24-07-2023 04:00</t>
  </si>
  <si>
    <t>24-07-2023 05:00</t>
  </si>
  <si>
    <t>24-07-2023 06:00</t>
  </si>
  <si>
    <t>24-07-2023 07:00</t>
  </si>
  <si>
    <t>24-07-2023 08:00</t>
  </si>
  <si>
    <t>24-07-2023 09:00</t>
  </si>
  <si>
    <t>24-07-2023 10:00</t>
  </si>
  <si>
    <t>24-07-2023 11:00</t>
  </si>
  <si>
    <t>24-07-2023 12:00</t>
  </si>
  <si>
    <t>24-07-2023 13:00</t>
  </si>
  <si>
    <t>24-07-2023 14:00</t>
  </si>
  <si>
    <t>24-07-2023 15:00</t>
  </si>
  <si>
    <t>24-07-2023 16:00</t>
  </si>
  <si>
    <t>24-07-2023 17:00</t>
  </si>
  <si>
    <t>24-07-2023 18:00</t>
  </si>
  <si>
    <t>24-07-2023 19:00</t>
  </si>
  <si>
    <t>24-07-2023 20:00</t>
  </si>
  <si>
    <t>24-07-2023 21:00</t>
  </si>
  <si>
    <t>24-07-2023 22:00</t>
  </si>
  <si>
    <t>24-07-2023 23:00</t>
  </si>
  <si>
    <t>24-07-2023 24:00</t>
  </si>
  <si>
    <t>Akash</t>
  </si>
  <si>
    <t>25-07-2023 01:00</t>
  </si>
  <si>
    <t>25-07-2023 02:00</t>
  </si>
  <si>
    <t>25-07-2023 03:00</t>
  </si>
  <si>
    <t>25-07-2023 04:00</t>
  </si>
  <si>
    <t>25-07-2023 05:00</t>
  </si>
  <si>
    <t>25-07-2023 06:00</t>
  </si>
  <si>
    <t>25-07-2023 07:00</t>
  </si>
  <si>
    <t>25-07-2023 08:00</t>
  </si>
  <si>
    <t>25-07-2023 09:00</t>
  </si>
  <si>
    <t>25-07-2023 10:00</t>
  </si>
  <si>
    <t>25-07-2023 11:00</t>
  </si>
  <si>
    <t>25-07-2023 12:00</t>
  </si>
  <si>
    <t>25-07-2023 13:00</t>
  </si>
  <si>
    <t>25-07-2023 14:00</t>
  </si>
  <si>
    <t>25-07-2023 15:00</t>
  </si>
  <si>
    <t>25-07-2023 16:00</t>
  </si>
  <si>
    <t>25-07-2023 17:00</t>
  </si>
  <si>
    <t>25-07-2023 18:00</t>
  </si>
  <si>
    <t>25-07-2023 19:00</t>
  </si>
  <si>
    <t>25-07-2023 20:00</t>
  </si>
  <si>
    <t>25-07-2023 21:00</t>
  </si>
  <si>
    <t>25-07-2023 22:00</t>
  </si>
  <si>
    <t>25-07-2023 23:00</t>
  </si>
  <si>
    <t>25-07-2023 24:00</t>
  </si>
  <si>
    <t>26-07-2023 01:00</t>
  </si>
  <si>
    <t>26-07-2023 02:00</t>
  </si>
  <si>
    <t>26-07-2023 03:00</t>
  </si>
  <si>
    <t>26-07-2023 04:00</t>
  </si>
  <si>
    <t>26-07-2023 05:00</t>
  </si>
  <si>
    <t>26-07-2023 06:00</t>
  </si>
  <si>
    <t>26-07-2023 07:00</t>
  </si>
  <si>
    <t>26-07-2023 08:00</t>
  </si>
  <si>
    <t>26-07-2023 09:00</t>
  </si>
  <si>
    <t>26-07-2023 10:00</t>
  </si>
  <si>
    <t>26-07-2023 11:00</t>
  </si>
  <si>
    <t>26-07-2023 12:00</t>
  </si>
  <si>
    <t>26-07-2023 13:00</t>
  </si>
  <si>
    <t>26-07-2023 14:00</t>
  </si>
  <si>
    <t>26-07-2023 15:00</t>
  </si>
  <si>
    <t>26-07-2023 16:00</t>
  </si>
  <si>
    <t>26-07-2023 17:00</t>
  </si>
  <si>
    <t>26-07-2023 18:00</t>
  </si>
  <si>
    <t>26-07-2023 19:00</t>
  </si>
  <si>
    <t>26-07-2023 20:00</t>
  </si>
  <si>
    <t>26-07-2023 21:00</t>
  </si>
  <si>
    <t>26-07-2023 22:00</t>
  </si>
  <si>
    <t>26-07-2023 23:00</t>
  </si>
  <si>
    <t>26-07-2023 24:00</t>
  </si>
  <si>
    <t>27-07-2023 01:00</t>
  </si>
  <si>
    <t>27-07-2023 02:00</t>
  </si>
  <si>
    <t>27-07-2023 03:00</t>
  </si>
  <si>
    <t>27-07-2023 04:00</t>
  </si>
  <si>
    <t>27-07-2023 05:00</t>
  </si>
  <si>
    <t>27-07-2023 06:00</t>
  </si>
  <si>
    <t>27-07-2023 07:00</t>
  </si>
  <si>
    <t>27-07-2023 08:00</t>
  </si>
  <si>
    <t>27-07-2023 09:00</t>
  </si>
  <si>
    <t>27-07-2023 10:00</t>
  </si>
  <si>
    <t>27-07-2023 11:00</t>
  </si>
  <si>
    <t>27-07-2023 12:00</t>
  </si>
  <si>
    <t>27-07-2023 13:00</t>
  </si>
  <si>
    <t>27-07-2023 14:00</t>
  </si>
  <si>
    <t>27-07-2023 15:00</t>
  </si>
  <si>
    <t>27-07-2023 16:00</t>
  </si>
  <si>
    <t>27-07-2023 17:00</t>
  </si>
  <si>
    <t>27-07-2023 18:00</t>
  </si>
  <si>
    <t>27-07-2023 19:00</t>
  </si>
  <si>
    <t>27-07-2023 20:00</t>
  </si>
  <si>
    <t>27-07-2023 21:00</t>
  </si>
  <si>
    <t>27-07-2023 22:00</t>
  </si>
  <si>
    <t>27-07-2023 23:00</t>
  </si>
  <si>
    <t>27-07-2023 24:00</t>
  </si>
  <si>
    <t>28-07-2023 01:00</t>
  </si>
  <si>
    <t>28-07-2023 02:00</t>
  </si>
  <si>
    <t>28-07-2023 03:00</t>
  </si>
  <si>
    <t>28-07-2023 04:00</t>
  </si>
  <si>
    <t>28-07-2023 05:00</t>
  </si>
  <si>
    <t>28-07-2023 06:00</t>
  </si>
  <si>
    <t>28-07-2023 07:00</t>
  </si>
  <si>
    <t>28-07-2023 08:00</t>
  </si>
  <si>
    <t>28-07-2023 09:00</t>
  </si>
  <si>
    <t>28-07-2023 10:00</t>
  </si>
  <si>
    <t>28-07-2023 11:00</t>
  </si>
  <si>
    <t>28-07-2023 12:00</t>
  </si>
  <si>
    <t>28-07-2023 13:00</t>
  </si>
  <si>
    <t>28-07-2023 14:00</t>
  </si>
  <si>
    <t>28-07-2023 15:00</t>
  </si>
  <si>
    <t>28-07-2023 16:00</t>
  </si>
  <si>
    <t>28-07-2023 17:00</t>
  </si>
  <si>
    <t>28-07-2023 18:00</t>
  </si>
  <si>
    <t>28-07-2023 19:00</t>
  </si>
  <si>
    <t>28-07-2023 20:00</t>
  </si>
  <si>
    <t>28-07-2023 21:00</t>
  </si>
  <si>
    <t>28-07-2023 22:00</t>
  </si>
  <si>
    <t>28-07-2023 23:00</t>
  </si>
  <si>
    <t>28-07-2023 24:00</t>
  </si>
  <si>
    <t>29-07-2023 01:00</t>
  </si>
  <si>
    <t>29-07-2023 02:00</t>
  </si>
  <si>
    <t>29-07-2023 03:00</t>
  </si>
  <si>
    <t>29-07-2023 04:00</t>
  </si>
  <si>
    <t>29-07-2023 05:00</t>
  </si>
  <si>
    <t>29-07-2023 06:00</t>
  </si>
  <si>
    <t>29-07-2023 07:00</t>
  </si>
  <si>
    <t>29-07-2023 08:00</t>
  </si>
  <si>
    <t>29-07-2023 09:00</t>
  </si>
  <si>
    <t>29-07-2023 10:00</t>
  </si>
  <si>
    <t>29-07-2023 11:00</t>
  </si>
  <si>
    <t>29-07-2023 12:00</t>
  </si>
  <si>
    <t>29-07-2023 13:00</t>
  </si>
  <si>
    <t>29-07-2023 14:00</t>
  </si>
  <si>
    <t>29-07-2023 15:00</t>
  </si>
  <si>
    <t>29-07-2023 16:00</t>
  </si>
  <si>
    <t>29-07-2023 17:00</t>
  </si>
  <si>
    <t>29-07-2023 18:00</t>
  </si>
  <si>
    <t>29-07-2023 19:00</t>
  </si>
  <si>
    <t>29-07-2023 20:00</t>
  </si>
  <si>
    <t>29-07-2023 21:00</t>
  </si>
  <si>
    <t>29-07-2023 22:00</t>
  </si>
  <si>
    <t>29-07-2023 23:00</t>
  </si>
  <si>
    <t>29-07-2023 24:00</t>
  </si>
  <si>
    <t>30-07-2023 01:00</t>
  </si>
  <si>
    <t>30-07-2023 02:00</t>
  </si>
  <si>
    <t>30-07-2023 03:00</t>
  </si>
  <si>
    <t>30-07-2023 04:00</t>
  </si>
  <si>
    <t>30-07-2023 05:00</t>
  </si>
  <si>
    <t>30-07-2023 06:00</t>
  </si>
  <si>
    <t>30-07-2023 07:00</t>
  </si>
  <si>
    <t>30-07-2023 08:00</t>
  </si>
  <si>
    <t>30-07-2023 09:00</t>
  </si>
  <si>
    <t>30-07-2023 10:00</t>
  </si>
  <si>
    <t>30-07-2023 11:00</t>
  </si>
  <si>
    <t>30-07-2023 12:00</t>
  </si>
  <si>
    <t>30-07-2023 13:00</t>
  </si>
  <si>
    <t>30-07-2023 14:00</t>
  </si>
  <si>
    <t>30-07-2023 15:00</t>
  </si>
  <si>
    <t>30-07-2023 16:00</t>
  </si>
  <si>
    <t>30-07-2023 17:00</t>
  </si>
  <si>
    <t>30-07-2023 18:00</t>
  </si>
  <si>
    <t>30-07-2023 19:00</t>
  </si>
  <si>
    <t>30-07-2023 20:00</t>
  </si>
  <si>
    <t>30-07-2023 21:00</t>
  </si>
  <si>
    <t>30-07-2023 22:00</t>
  </si>
  <si>
    <t>30-07-2023 23:00</t>
  </si>
  <si>
    <t>30-07-2023 24:00</t>
  </si>
  <si>
    <t>31-07-2023 01:00</t>
  </si>
  <si>
    <t>31-07-2023 02:00</t>
  </si>
  <si>
    <t>31-07-2023 03:00</t>
  </si>
  <si>
    <t>31-07-2023 04:00</t>
  </si>
  <si>
    <t>31-07-2023 05:00</t>
  </si>
  <si>
    <t>31-07-2023 06:00</t>
  </si>
  <si>
    <t>31-07-2023 07:00</t>
  </si>
  <si>
    <t>31-07-2023 08:00</t>
  </si>
  <si>
    <t>31-07-2023 09:00</t>
  </si>
  <si>
    <t>31-07-2023 10:00</t>
  </si>
  <si>
    <t>31-07-2023 11:00</t>
  </si>
  <si>
    <t>31-07-2023 12:00</t>
  </si>
  <si>
    <t>31-07-2023 13:00</t>
  </si>
  <si>
    <t>31-07-2023 14:00</t>
  </si>
  <si>
    <t>31-07-2023 15:00</t>
  </si>
  <si>
    <t>31-07-2023 16:00</t>
  </si>
  <si>
    <t>31-07-2023 17:00</t>
  </si>
  <si>
    <t>31-07-2023 18:00</t>
  </si>
  <si>
    <t>31-07-2023 19:00</t>
  </si>
  <si>
    <t>31-07-2023 20:00</t>
  </si>
  <si>
    <t>31-07-2023 21:00</t>
  </si>
  <si>
    <t>31-07-2023 22:00</t>
  </si>
  <si>
    <t>31-07-2023 23:00</t>
  </si>
  <si>
    <t>31-07-2023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</si>
</sst>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5" Type="http://schemas.openxmlformats.org/officeDocument/2006/relationships/worksheet" Target="worksheets/sheet13.xml" /><Relationship Id="rId21" Type="http://schemas.openxmlformats.org/officeDocument/2006/relationships/worksheet" Target="worksheets/sheet19.xml" /><Relationship Id="rId33" Type="http://schemas.openxmlformats.org/officeDocument/2006/relationships/worksheet" Target="worksheets/sheet31.xml" /><Relationship Id="rId6" Type="http://schemas.openxmlformats.org/officeDocument/2006/relationships/worksheet" Target="worksheets/sheet4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17" Type="http://schemas.openxmlformats.org/officeDocument/2006/relationships/worksheet" Target="worksheets/sheet15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6" Type="http://schemas.openxmlformats.org/officeDocument/2006/relationships/calcChain" Target="calcChain.xml" /><Relationship Id="rId31" Type="http://schemas.openxmlformats.org/officeDocument/2006/relationships/worksheet" Target="worksheets/sheet29.xml" /><Relationship Id="rId1" Type="http://schemas.openxmlformats.org/officeDocument/2006/relationships/theme" Target="theme/theme1.xml" /><Relationship Id="rId26" Type="http://schemas.openxmlformats.org/officeDocument/2006/relationships/worksheet" Target="worksheets/sheet24.xml" /><Relationship Id="rId13" Type="http://schemas.openxmlformats.org/officeDocument/2006/relationships/worksheet" Target="worksheets/sheet11.xml" /><Relationship Id="rId18" Type="http://schemas.openxmlformats.org/officeDocument/2006/relationships/worksheet" Target="worksheets/sheet16.xml" /><Relationship Id="rId14" Type="http://schemas.openxmlformats.org/officeDocument/2006/relationships/worksheet" Target="worksheets/sheet12.xml" /><Relationship Id="rId30" Type="http://schemas.openxmlformats.org/officeDocument/2006/relationships/worksheet" Target="worksheets/sheet28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24" Type="http://schemas.openxmlformats.org/officeDocument/2006/relationships/worksheet" Target="worksheets/sheet22.xml" /><Relationship Id="rId10" Type="http://schemas.openxmlformats.org/officeDocument/2006/relationships/worksheet" Target="worksheets/sheet8.xml" /><Relationship Id="rId34" Type="http://schemas.openxmlformats.org/officeDocument/2006/relationships/worksheet" Target="worksheets/sheet32.xml" /><Relationship Id="rId12" Type="http://schemas.openxmlformats.org/officeDocument/2006/relationships/worksheet" Target="worksheets/sheet10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35" Type="http://schemas.openxmlformats.org/officeDocument/2006/relationships/sharedStrings" Target="sharedStrings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71fe8a-ec94-42da-90e4-30045c72e414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62</v>
      </c>
      <c r="B9" s="55">
        <v>10.52</v>
      </c>
      <c r="C9" s="55">
        <v>17.28</v>
      </c>
      <c r="D9" s="55">
        <v>17.920000000000002</v>
      </c>
      <c r="E9" s="55">
        <v>2.4500000000000002</v>
      </c>
      <c r="F9" s="55">
        <v>13.86</v>
      </c>
      <c r="G9" s="56" t="s">
        <v>15</v>
      </c>
      <c r="H9" s="56" t="s">
        <v>15</v>
      </c>
      <c r="I9" s="55">
        <v>0.65</v>
      </c>
      <c r="J9" s="55">
        <v>0.24</v>
      </c>
      <c r="K9" s="55">
        <v>208.65</v>
      </c>
      <c r="L9" s="55">
        <v>25.17</v>
      </c>
      <c r="M9" s="55">
        <v>82.48</v>
      </c>
      <c r="N9" s="55">
        <v>34.90</v>
      </c>
      <c r="O9" s="55">
        <v>0</v>
      </c>
      <c r="P9" s="55">
        <v>0.84</v>
      </c>
      <c r="Q9" s="55">
        <v>22.54</v>
      </c>
      <c r="R9" s="43"/>
      <c r="S9" s="43"/>
      <c r="T9" s="43"/>
      <c r="U9" s="43"/>
    </row>
    <row r="10" spans="1:21" s="11" customFormat="1" ht="15">
      <c r="A10" s="54" t="s">
        <v>63</v>
      </c>
      <c r="B10" s="55">
        <v>11.5</v>
      </c>
      <c r="C10" s="55">
        <v>13.93</v>
      </c>
      <c r="D10" s="55">
        <v>16.86</v>
      </c>
      <c r="E10" s="55">
        <v>2.2799999999999998</v>
      </c>
      <c r="F10" s="55">
        <v>11.15</v>
      </c>
      <c r="G10" s="56" t="s">
        <v>15</v>
      </c>
      <c r="H10" s="56" t="s">
        <v>15</v>
      </c>
      <c r="I10" s="55">
        <v>0.64</v>
      </c>
      <c r="J10" s="55">
        <v>0.38</v>
      </c>
      <c r="K10" s="55">
        <v>215.64</v>
      </c>
      <c r="L10" s="55">
        <v>25.31</v>
      </c>
      <c r="M10" s="55">
        <v>78.63</v>
      </c>
      <c r="N10" s="55">
        <v>35.5</v>
      </c>
      <c r="O10" s="55">
        <v>0</v>
      </c>
      <c r="P10" s="55">
        <v>0.79</v>
      </c>
      <c r="Q10" s="55">
        <v>21.97</v>
      </c>
      <c r="R10" s="43"/>
      <c r="S10" s="43"/>
      <c r="T10" s="43"/>
      <c r="U10" s="43"/>
    </row>
    <row r="11" spans="1:21" s="11" customFormat="1" ht="15">
      <c r="A11" s="54" t="s">
        <v>64</v>
      </c>
      <c r="B11" s="55">
        <v>9.1999999999999993</v>
      </c>
      <c r="C11" s="55">
        <v>14.14</v>
      </c>
      <c r="D11" s="55">
        <v>15.22</v>
      </c>
      <c r="E11" s="55">
        <v>2.48</v>
      </c>
      <c r="F11" s="55">
        <v>8.6300000000000008</v>
      </c>
      <c r="G11" s="56" t="s">
        <v>15</v>
      </c>
      <c r="H11" s="56" t="s">
        <v>15</v>
      </c>
      <c r="I11" s="55">
        <v>0.60</v>
      </c>
      <c r="J11" s="55">
        <v>0.48</v>
      </c>
      <c r="K11" s="55">
        <v>260.72000000000003</v>
      </c>
      <c r="L11" s="55">
        <v>24.68</v>
      </c>
      <c r="M11" s="55">
        <v>82.91</v>
      </c>
      <c r="N11" s="55">
        <v>35.799999999999997</v>
      </c>
      <c r="O11" s="55">
        <v>0</v>
      </c>
      <c r="P11" s="55">
        <v>0.70</v>
      </c>
      <c r="Q11" s="55">
        <v>18.239999999999998</v>
      </c>
      <c r="R11" s="43"/>
      <c r="S11" s="43"/>
      <c r="T11" s="43"/>
      <c r="U11" s="43"/>
    </row>
    <row r="12" spans="1:21" s="11" customFormat="1" ht="15">
      <c r="A12" s="54" t="s">
        <v>65</v>
      </c>
      <c r="B12" s="55">
        <v>8.75</v>
      </c>
      <c r="C12" s="55">
        <v>12.60</v>
      </c>
      <c r="D12" s="55">
        <v>13.79</v>
      </c>
      <c r="E12" s="55">
        <v>2.5499999999999998</v>
      </c>
      <c r="F12" s="55">
        <v>13.31</v>
      </c>
      <c r="G12" s="56" t="s">
        <v>15</v>
      </c>
      <c r="H12" s="56" t="s">
        <v>15</v>
      </c>
      <c r="I12" s="55">
        <v>0.56999999999999995</v>
      </c>
      <c r="J12" s="55">
        <v>0.35</v>
      </c>
      <c r="K12" s="55">
        <v>208.98</v>
      </c>
      <c r="L12" s="55">
        <v>24.26</v>
      </c>
      <c r="M12" s="55">
        <v>85.67</v>
      </c>
      <c r="N12" s="55">
        <v>35.799999999999997</v>
      </c>
      <c r="O12" s="55">
        <v>0</v>
      </c>
      <c r="P12" s="55">
        <v>0.65</v>
      </c>
      <c r="Q12" s="55">
        <v>20.65</v>
      </c>
      <c r="R12" s="43"/>
      <c r="S12" s="43"/>
      <c r="T12" s="43"/>
      <c r="U12" s="43"/>
    </row>
    <row r="13" spans="1:21" s="11" customFormat="1" ht="15">
      <c r="A13" s="54" t="s">
        <v>66</v>
      </c>
      <c r="B13" s="55">
        <v>9.68</v>
      </c>
      <c r="C13" s="55">
        <v>14.30</v>
      </c>
      <c r="D13" s="55">
        <v>16.13</v>
      </c>
      <c r="E13" s="55">
        <v>2.56</v>
      </c>
      <c r="F13" s="55">
        <v>6</v>
      </c>
      <c r="G13" s="56" t="s">
        <v>15</v>
      </c>
      <c r="H13" s="56" t="s">
        <v>15</v>
      </c>
      <c r="I13" s="55">
        <v>0.56000000000000005</v>
      </c>
      <c r="J13" s="55">
        <v>0.08</v>
      </c>
      <c r="K13" s="55">
        <v>250.67</v>
      </c>
      <c r="L13" s="55">
        <v>23.85</v>
      </c>
      <c r="M13" s="55">
        <v>87.46</v>
      </c>
      <c r="N13" s="55">
        <v>35.700000000000003</v>
      </c>
      <c r="O13" s="55">
        <v>0</v>
      </c>
      <c r="P13" s="55">
        <v>0.61</v>
      </c>
      <c r="Q13" s="55">
        <v>22.12</v>
      </c>
      <c r="R13" s="43"/>
      <c r="S13" s="43"/>
      <c r="T13" s="43"/>
      <c r="U13" s="43"/>
    </row>
    <row r="14" spans="1:21" s="11" customFormat="1" ht="15">
      <c r="A14" s="54" t="s">
        <v>67</v>
      </c>
      <c r="B14" s="55">
        <v>9.6999999999999993</v>
      </c>
      <c r="C14" s="55">
        <v>15.81</v>
      </c>
      <c r="D14" s="55">
        <v>17.149999999999999</v>
      </c>
      <c r="E14" s="55">
        <v>2.75</v>
      </c>
      <c r="F14" s="55">
        <v>7.83</v>
      </c>
      <c r="G14" s="56" t="s">
        <v>15</v>
      </c>
      <c r="H14" s="56" t="s">
        <v>15</v>
      </c>
      <c r="I14" s="55">
        <v>0.60</v>
      </c>
      <c r="J14" s="55">
        <v>0.13</v>
      </c>
      <c r="K14" s="55">
        <v>346.66</v>
      </c>
      <c r="L14" s="55">
        <v>23.45</v>
      </c>
      <c r="M14" s="55">
        <v>88.63</v>
      </c>
      <c r="N14" s="55">
        <v>79</v>
      </c>
      <c r="O14" s="55">
        <v>0</v>
      </c>
      <c r="P14" s="55">
        <v>0.59</v>
      </c>
      <c r="Q14" s="55">
        <v>17.95</v>
      </c>
      <c r="R14" s="43"/>
      <c r="S14" s="43"/>
      <c r="T14" s="43"/>
      <c r="U14" s="43"/>
    </row>
    <row r="15" spans="1:21" s="11" customFormat="1" ht="15">
      <c r="A15" s="54" t="s">
        <v>68</v>
      </c>
      <c r="B15" s="55">
        <v>12.81</v>
      </c>
      <c r="C15" s="55">
        <v>18.82</v>
      </c>
      <c r="D15" s="55">
        <v>21.30</v>
      </c>
      <c r="E15" s="55">
        <v>2.31</v>
      </c>
      <c r="F15" s="55">
        <v>8.1300000000000008</v>
      </c>
      <c r="G15" s="56" t="s">
        <v>15</v>
      </c>
      <c r="H15" s="56" t="s">
        <v>15</v>
      </c>
      <c r="I15" s="55">
        <v>0.54</v>
      </c>
      <c r="J15" s="55">
        <v>0.17</v>
      </c>
      <c r="K15" s="55">
        <v>207.45</v>
      </c>
      <c r="L15" s="55">
        <v>26.07</v>
      </c>
      <c r="M15" s="55">
        <v>84.45</v>
      </c>
      <c r="N15" s="55">
        <v>327.90</v>
      </c>
      <c r="O15" s="55">
        <v>0</v>
      </c>
      <c r="P15" s="55">
        <v>0.57999999999999996</v>
      </c>
      <c r="Q15" s="55">
        <v>21.54</v>
      </c>
      <c r="R15" s="43"/>
      <c r="S15" s="43"/>
      <c r="T15" s="43"/>
      <c r="U15" s="43"/>
    </row>
    <row r="16" spans="1:21" s="11" customFormat="1" ht="15">
      <c r="A16" s="54" t="s">
        <v>69</v>
      </c>
      <c r="B16" s="55">
        <v>11.64</v>
      </c>
      <c r="C16" s="55">
        <v>15.10</v>
      </c>
      <c r="D16" s="55">
        <v>17.77</v>
      </c>
      <c r="E16" s="55">
        <v>2.44</v>
      </c>
      <c r="F16" s="55">
        <v>6.90</v>
      </c>
      <c r="G16" s="56" t="s">
        <v>15</v>
      </c>
      <c r="H16" s="56" t="s">
        <v>15</v>
      </c>
      <c r="I16" s="55">
        <v>0.57999999999999996</v>
      </c>
      <c r="J16" s="55">
        <v>0.35</v>
      </c>
      <c r="K16" s="55">
        <v>40.520000000000003</v>
      </c>
      <c r="L16" s="55">
        <v>28.16</v>
      </c>
      <c r="M16" s="55">
        <v>71.959999999999994</v>
      </c>
      <c r="N16" s="55">
        <v>532.60</v>
      </c>
      <c r="O16" s="55">
        <v>0</v>
      </c>
      <c r="P16" s="55">
        <v>0.62</v>
      </c>
      <c r="Q16" s="55">
        <v>21.19</v>
      </c>
      <c r="R16" s="43"/>
      <c r="S16" s="43"/>
      <c r="T16" s="43"/>
      <c r="U16" s="43"/>
    </row>
    <row r="17" spans="1:21" s="11" customFormat="1" ht="15">
      <c r="A17" s="54" t="s">
        <v>70</v>
      </c>
      <c r="B17" s="55">
        <v>8.2200000000000006</v>
      </c>
      <c r="C17" s="55">
        <v>18.48</v>
      </c>
      <c r="D17" s="55">
        <v>16.73</v>
      </c>
      <c r="E17" s="55">
        <v>2.12</v>
      </c>
      <c r="F17" s="55">
        <v>6.25</v>
      </c>
      <c r="G17" s="56" t="s">
        <v>15</v>
      </c>
      <c r="H17" s="56" t="s">
        <v>15</v>
      </c>
      <c r="I17" s="55">
        <v>0.56999999999999995</v>
      </c>
      <c r="J17" s="55">
        <v>0.33</v>
      </c>
      <c r="K17" s="55">
        <v>34.42</v>
      </c>
      <c r="L17" s="55">
        <v>28.34</v>
      </c>
      <c r="M17" s="55">
        <v>64.97</v>
      </c>
      <c r="N17" s="55">
        <v>685.30</v>
      </c>
      <c r="O17" s="55">
        <v>0</v>
      </c>
      <c r="P17" s="55">
        <v>0.64</v>
      </c>
      <c r="Q17" s="55">
        <v>15.42</v>
      </c>
      <c r="R17" s="43"/>
      <c r="S17" s="43"/>
      <c r="T17" s="43"/>
      <c r="U17" s="43"/>
    </row>
    <row r="18" spans="1:21" s="11" customFormat="1" ht="15">
      <c r="A18" s="54" t="s">
        <v>71</v>
      </c>
      <c r="B18" s="55">
        <v>6.31</v>
      </c>
      <c r="C18" s="55">
        <v>16.86</v>
      </c>
      <c r="D18" s="55">
        <v>14.68</v>
      </c>
      <c r="E18" s="55">
        <v>2.2999999999999998</v>
      </c>
      <c r="F18" s="55">
        <v>6.83</v>
      </c>
      <c r="G18" s="56" t="s">
        <v>15</v>
      </c>
      <c r="H18" s="56" t="s">
        <v>15</v>
      </c>
      <c r="I18" s="55">
        <v>0.54</v>
      </c>
      <c r="J18" s="55">
        <v>0.32</v>
      </c>
      <c r="K18" s="55">
        <v>26.03</v>
      </c>
      <c r="L18" s="55">
        <v>29.52</v>
      </c>
      <c r="M18" s="55">
        <v>63.82</v>
      </c>
      <c r="N18" s="55">
        <v>857.5</v>
      </c>
      <c r="O18" s="55">
        <v>0</v>
      </c>
      <c r="P18" s="55">
        <v>0.67</v>
      </c>
      <c r="Q18" s="55">
        <v>10.27</v>
      </c>
      <c r="R18" s="43"/>
      <c r="S18" s="43"/>
      <c r="T18" s="43"/>
      <c r="U18" s="43"/>
    </row>
    <row r="19" spans="1:21" s="11" customFormat="1" ht="15">
      <c r="A19" s="54" t="s">
        <v>72</v>
      </c>
      <c r="B19" s="55">
        <v>5.53</v>
      </c>
      <c r="C19" s="55">
        <v>21.31</v>
      </c>
      <c r="D19" s="55">
        <v>16.53</v>
      </c>
      <c r="E19" s="55">
        <v>1.99</v>
      </c>
      <c r="F19" s="55">
        <v>12.80</v>
      </c>
      <c r="G19" s="56" t="s">
        <v>15</v>
      </c>
      <c r="H19" s="56" t="s">
        <v>15</v>
      </c>
      <c r="I19" s="55">
        <v>0.53</v>
      </c>
      <c r="J19" s="55">
        <v>0.35</v>
      </c>
      <c r="K19" s="55">
        <v>46.61</v>
      </c>
      <c r="L19" s="55">
        <v>29.60</v>
      </c>
      <c r="M19" s="55">
        <v>58.24</v>
      </c>
      <c r="N19" s="55">
        <v>900.5</v>
      </c>
      <c r="O19" s="55">
        <v>0</v>
      </c>
      <c r="P19" s="55">
        <v>0.78</v>
      </c>
      <c r="Q19" s="55">
        <v>9.25</v>
      </c>
      <c r="R19" s="43"/>
      <c r="S19" s="43"/>
      <c r="T19" s="43"/>
      <c r="U19" s="43"/>
    </row>
    <row r="20" spans="1:21" s="11" customFormat="1" ht="15">
      <c r="A20" s="54" t="s">
        <v>73</v>
      </c>
      <c r="B20" s="55">
        <v>5.72</v>
      </c>
      <c r="C20" s="55">
        <v>18.739999999999998</v>
      </c>
      <c r="D20" s="55">
        <v>15.13</v>
      </c>
      <c r="E20" s="55">
        <v>1.86</v>
      </c>
      <c r="F20" s="55">
        <v>9.6999999999999993</v>
      </c>
      <c r="G20" s="56" t="s">
        <v>15</v>
      </c>
      <c r="H20" s="56" t="s">
        <v>15</v>
      </c>
      <c r="I20" s="55">
        <v>0.55000000000000004</v>
      </c>
      <c r="J20" s="55">
        <v>0.27</v>
      </c>
      <c r="K20" s="55">
        <v>354.31</v>
      </c>
      <c r="L20" s="55">
        <v>29.88</v>
      </c>
      <c r="M20" s="55">
        <v>58.56</v>
      </c>
      <c r="N20" s="55">
        <v>996.80</v>
      </c>
      <c r="O20" s="55">
        <v>0</v>
      </c>
      <c r="P20" s="55">
        <v>0.71</v>
      </c>
      <c r="Q20" s="55">
        <v>6.03</v>
      </c>
      <c r="R20" s="43"/>
      <c r="S20" s="43"/>
      <c r="T20" s="43"/>
      <c r="U20" s="43"/>
    </row>
    <row r="21" spans="1:21" s="11" customFormat="1" ht="15">
      <c r="A21" s="54" t="s">
        <v>74</v>
      </c>
      <c r="B21" s="55">
        <v>5.5</v>
      </c>
      <c r="C21" s="55">
        <v>15.74</v>
      </c>
      <c r="D21" s="55">
        <v>13.67</v>
      </c>
      <c r="E21" s="55">
        <v>1.78</v>
      </c>
      <c r="F21" s="55">
        <v>10.91</v>
      </c>
      <c r="G21" s="56" t="s">
        <v>15</v>
      </c>
      <c r="H21" s="56" t="s">
        <v>15</v>
      </c>
      <c r="I21" s="55">
        <v>0.56000000000000005</v>
      </c>
      <c r="J21" s="55">
        <v>0.14000000000000001</v>
      </c>
      <c r="K21" s="55">
        <v>344.25</v>
      </c>
      <c r="L21" s="55">
        <v>30.02</v>
      </c>
      <c r="M21" s="55">
        <v>57.11</v>
      </c>
      <c r="N21" s="55">
        <v>947.30</v>
      </c>
      <c r="O21" s="55">
        <v>0</v>
      </c>
      <c r="P21" s="55">
        <v>0.66</v>
      </c>
      <c r="Q21" s="55">
        <v>6.79</v>
      </c>
      <c r="R21" s="43"/>
      <c r="S21" s="43"/>
      <c r="T21" s="43"/>
      <c r="U21" s="43"/>
    </row>
    <row r="22" spans="1:21" s="11" customFormat="1" ht="15">
      <c r="A22" s="54" t="s">
        <v>75</v>
      </c>
      <c r="B22" s="55">
        <v>5.65</v>
      </c>
      <c r="C22" s="55">
        <v>14.66</v>
      </c>
      <c r="D22" s="55">
        <v>13.27</v>
      </c>
      <c r="E22" s="55">
        <v>1.27</v>
      </c>
      <c r="F22" s="55">
        <v>9.17</v>
      </c>
      <c r="G22" s="56" t="s">
        <v>15</v>
      </c>
      <c r="H22" s="56" t="s">
        <v>15</v>
      </c>
      <c r="I22" s="55">
        <v>0.56999999999999995</v>
      </c>
      <c r="J22" s="55">
        <v>0.31</v>
      </c>
      <c r="K22" s="55">
        <v>38.06</v>
      </c>
      <c r="L22" s="55">
        <v>30.51</v>
      </c>
      <c r="M22" s="55">
        <v>57.29</v>
      </c>
      <c r="N22" s="55">
        <v>650</v>
      </c>
      <c r="O22" s="55">
        <v>0</v>
      </c>
      <c r="P22" s="55">
        <v>0.67</v>
      </c>
      <c r="Q22" s="55">
        <v>4.93</v>
      </c>
      <c r="R22" s="43"/>
      <c r="S22" s="43"/>
      <c r="T22" s="43"/>
      <c r="U22" s="43"/>
    </row>
    <row r="23" spans="1:21" s="11" customFormat="1" ht="15">
      <c r="A23" s="54" t="s">
        <v>76</v>
      </c>
      <c r="B23" s="55">
        <v>6.18</v>
      </c>
      <c r="C23" s="55">
        <v>19.80</v>
      </c>
      <c r="D23" s="55">
        <v>16.190000000000001</v>
      </c>
      <c r="E23" s="55">
        <v>1.66</v>
      </c>
      <c r="F23" s="55">
        <v>7.70</v>
      </c>
      <c r="G23" s="56" t="s">
        <v>15</v>
      </c>
      <c r="H23" s="56" t="s">
        <v>15</v>
      </c>
      <c r="I23" s="55">
        <v>0.55000000000000004</v>
      </c>
      <c r="J23" s="55">
        <v>0.31</v>
      </c>
      <c r="K23" s="55">
        <v>334.83</v>
      </c>
      <c r="L23" s="55">
        <v>30.47</v>
      </c>
      <c r="M23" s="55">
        <v>54.06</v>
      </c>
      <c r="N23" s="55">
        <v>537.10</v>
      </c>
      <c r="O23" s="55">
        <v>0</v>
      </c>
      <c r="P23" s="55">
        <v>0.63</v>
      </c>
      <c r="Q23" s="55">
        <v>6.98</v>
      </c>
      <c r="R23" s="43"/>
      <c r="S23" s="43"/>
      <c r="T23" s="43"/>
      <c r="U23" s="43"/>
    </row>
    <row r="24" spans="1:21" s="11" customFormat="1" ht="15">
      <c r="A24" s="54" t="s">
        <v>77</v>
      </c>
      <c r="B24" s="55">
        <v>5.71</v>
      </c>
      <c r="C24" s="55">
        <v>17.14</v>
      </c>
      <c r="D24" s="55">
        <v>14.57</v>
      </c>
      <c r="E24" s="55">
        <v>2.2400000000000002</v>
      </c>
      <c r="F24" s="55">
        <v>10.89</v>
      </c>
      <c r="G24" s="56" t="s">
        <v>15</v>
      </c>
      <c r="H24" s="56" t="s">
        <v>15</v>
      </c>
      <c r="I24" s="55">
        <v>0.56000000000000005</v>
      </c>
      <c r="J24" s="55">
        <v>0.33</v>
      </c>
      <c r="K24" s="55">
        <v>357.04</v>
      </c>
      <c r="L24" s="55">
        <v>29.86</v>
      </c>
      <c r="M24" s="55">
        <v>55.89</v>
      </c>
      <c r="N24" s="55">
        <v>242.5</v>
      </c>
      <c r="O24" s="55">
        <v>0</v>
      </c>
      <c r="P24" s="55">
        <v>0.60</v>
      </c>
      <c r="Q24" s="55">
        <v>6.74</v>
      </c>
      <c r="R24" s="43"/>
      <c r="S24" s="43"/>
      <c r="T24" s="43"/>
      <c r="U24" s="43"/>
    </row>
    <row r="25" spans="1:21" s="11" customFormat="1" ht="15">
      <c r="A25" s="54" t="s">
        <v>78</v>
      </c>
      <c r="B25" s="55">
        <v>5.60</v>
      </c>
      <c r="C25" s="55">
        <v>17.170000000000002</v>
      </c>
      <c r="D25" s="55">
        <v>14.48</v>
      </c>
      <c r="E25" s="55">
        <v>2.44</v>
      </c>
      <c r="F25" s="55">
        <v>8.8800000000000008</v>
      </c>
      <c r="G25" s="56" t="s">
        <v>15</v>
      </c>
      <c r="H25" s="56" t="s">
        <v>15</v>
      </c>
      <c r="I25" s="55">
        <v>0.55000000000000004</v>
      </c>
      <c r="J25" s="55">
        <v>0.30</v>
      </c>
      <c r="K25" s="55">
        <v>44.73</v>
      </c>
      <c r="L25" s="55">
        <v>29.37</v>
      </c>
      <c r="M25" s="55">
        <v>58.46</v>
      </c>
      <c r="N25" s="55">
        <v>199.40</v>
      </c>
      <c r="O25" s="55">
        <v>0</v>
      </c>
      <c r="P25" s="55">
        <v>0.63</v>
      </c>
      <c r="Q25" s="55">
        <v>6.95</v>
      </c>
      <c r="R25" s="43"/>
      <c r="S25" s="43"/>
      <c r="T25" s="43"/>
      <c r="U25" s="43"/>
    </row>
    <row r="26" spans="1:21" s="11" customFormat="1" ht="15">
      <c r="A26" s="54" t="s">
        <v>79</v>
      </c>
      <c r="B26" s="55">
        <v>7.28</v>
      </c>
      <c r="C26" s="55">
        <v>25.48</v>
      </c>
      <c r="D26" s="55">
        <v>20.55</v>
      </c>
      <c r="E26" s="55">
        <v>2.61</v>
      </c>
      <c r="F26" s="55">
        <v>13.98</v>
      </c>
      <c r="G26" s="56" t="s">
        <v>15</v>
      </c>
      <c r="H26" s="56" t="s">
        <v>15</v>
      </c>
      <c r="I26" s="55">
        <v>0.54</v>
      </c>
      <c r="J26" s="55">
        <v>0.32</v>
      </c>
      <c r="K26" s="55">
        <v>250.24</v>
      </c>
      <c r="L26" s="55">
        <v>28.71</v>
      </c>
      <c r="M26" s="55">
        <v>59.91</v>
      </c>
      <c r="N26" s="55">
        <v>90.30</v>
      </c>
      <c r="O26" s="55">
        <v>0</v>
      </c>
      <c r="P26" s="55">
        <v>0.68</v>
      </c>
      <c r="Q26" s="55">
        <v>7.11</v>
      </c>
      <c r="R26" s="43"/>
      <c r="S26" s="43"/>
      <c r="T26" s="43"/>
      <c r="U26" s="43"/>
    </row>
    <row r="27" spans="1:21" s="11" customFormat="1" ht="15">
      <c r="A27" s="54" t="s">
        <v>80</v>
      </c>
      <c r="B27" s="55">
        <v>5.80</v>
      </c>
      <c r="C27" s="55">
        <v>23.38</v>
      </c>
      <c r="D27" s="55">
        <v>18.04</v>
      </c>
      <c r="E27" s="55">
        <v>2.69</v>
      </c>
      <c r="F27" s="55">
        <v>8.7200000000000006</v>
      </c>
      <c r="G27" s="56" t="s">
        <v>15</v>
      </c>
      <c r="H27" s="56" t="s">
        <v>15</v>
      </c>
      <c r="I27" s="55">
        <v>0.56000000000000005</v>
      </c>
      <c r="J27" s="55">
        <v>0.31</v>
      </c>
      <c r="K27" s="55">
        <v>49.05</v>
      </c>
      <c r="L27" s="55">
        <v>27.83</v>
      </c>
      <c r="M27" s="55">
        <v>63.32</v>
      </c>
      <c r="N27" s="55">
        <v>49.70</v>
      </c>
      <c r="O27" s="55">
        <v>0</v>
      </c>
      <c r="P27" s="55">
        <v>0.75</v>
      </c>
      <c r="Q27" s="55">
        <v>8.10</v>
      </c>
      <c r="R27" s="43"/>
      <c r="S27" s="43"/>
      <c r="T27" s="43"/>
      <c r="U27" s="43"/>
    </row>
    <row r="28" spans="1:21" s="11" customFormat="1" ht="15">
      <c r="A28" s="54" t="s">
        <v>81</v>
      </c>
      <c r="B28" s="55">
        <v>7.27</v>
      </c>
      <c r="C28" s="55">
        <v>21.38</v>
      </c>
      <c r="D28" s="55">
        <v>17.77</v>
      </c>
      <c r="E28" s="55">
        <v>2.63</v>
      </c>
      <c r="F28" s="55">
        <v>6.98</v>
      </c>
      <c r="G28" s="56" t="s">
        <v>15</v>
      </c>
      <c r="H28" s="56" t="s">
        <v>15</v>
      </c>
      <c r="I28" s="55">
        <v>0.54</v>
      </c>
      <c r="J28" s="55">
        <v>0.20</v>
      </c>
      <c r="K28" s="55">
        <v>42.26</v>
      </c>
      <c r="L28" s="55">
        <v>26.94</v>
      </c>
      <c r="M28" s="55">
        <v>67.680000000000007</v>
      </c>
      <c r="N28" s="55">
        <v>13.60</v>
      </c>
      <c r="O28" s="55">
        <v>0</v>
      </c>
      <c r="P28" s="55">
        <v>0.87</v>
      </c>
      <c r="Q28" s="55">
        <v>7.66</v>
      </c>
      <c r="R28" s="43"/>
      <c r="S28" s="43"/>
      <c r="T28" s="43"/>
      <c r="U28" s="43"/>
    </row>
    <row r="29" spans="1:21" s="11" customFormat="1" ht="15">
      <c r="A29" s="54" t="s">
        <v>82</v>
      </c>
      <c r="B29" s="55">
        <v>17.399999999999999</v>
      </c>
      <c r="C29" s="55">
        <v>25.78</v>
      </c>
      <c r="D29" s="55">
        <v>28.83</v>
      </c>
      <c r="E29" s="55">
        <v>2.41</v>
      </c>
      <c r="F29" s="55">
        <v>11.56</v>
      </c>
      <c r="G29" s="56" t="s">
        <v>15</v>
      </c>
      <c r="H29" s="56" t="s">
        <v>15</v>
      </c>
      <c r="I29" s="55">
        <v>0.60</v>
      </c>
      <c r="J29" s="55">
        <v>0.14000000000000001</v>
      </c>
      <c r="K29" s="55">
        <v>338.45</v>
      </c>
      <c r="L29" s="55">
        <v>26.48</v>
      </c>
      <c r="M29" s="55">
        <v>71.739999999999995</v>
      </c>
      <c r="N29" s="55">
        <v>13.30</v>
      </c>
      <c r="O29" s="55">
        <v>0</v>
      </c>
      <c r="P29" s="55">
        <v>0.99</v>
      </c>
      <c r="Q29" s="55">
        <v>8.31</v>
      </c>
      <c r="R29" s="43"/>
      <c r="S29" s="43"/>
      <c r="T29" s="43"/>
      <c r="U29" s="43"/>
    </row>
    <row r="30" spans="1:21" s="11" customFormat="1" ht="15">
      <c r="A30" s="54" t="s">
        <v>83</v>
      </c>
      <c r="B30" s="55">
        <v>10.93</v>
      </c>
      <c r="C30" s="55">
        <v>27.68</v>
      </c>
      <c r="D30" s="55">
        <v>24.35</v>
      </c>
      <c r="E30" s="55">
        <v>2.58</v>
      </c>
      <c r="F30" s="55">
        <v>13.24</v>
      </c>
      <c r="G30" s="56" t="s">
        <v>15</v>
      </c>
      <c r="H30" s="56" t="s">
        <v>15</v>
      </c>
      <c r="I30" s="55">
        <v>0.57999999999999996</v>
      </c>
      <c r="J30" s="55">
        <v>0.08</v>
      </c>
      <c r="K30" s="55">
        <v>351.37</v>
      </c>
      <c r="L30" s="55">
        <v>25.89</v>
      </c>
      <c r="M30" s="55">
        <v>74.900000000000006</v>
      </c>
      <c r="N30" s="55">
        <v>13.20</v>
      </c>
      <c r="O30" s="55">
        <v>0</v>
      </c>
      <c r="P30" s="55">
        <v>1</v>
      </c>
      <c r="Q30" s="55">
        <v>13.67</v>
      </c>
      <c r="R30" s="43"/>
      <c r="S30" s="43"/>
      <c r="T30" s="43"/>
      <c r="U30" s="43"/>
    </row>
    <row r="31" spans="1:21" s="11" customFormat="1" ht="15">
      <c r="A31" s="54" t="s">
        <v>84</v>
      </c>
      <c r="B31" s="55">
        <v>9.9499999999999993</v>
      </c>
      <c r="C31" s="55">
        <v>18.329999999999998</v>
      </c>
      <c r="D31" s="55">
        <v>18.670000000000002</v>
      </c>
      <c r="E31" s="55">
        <v>2.88</v>
      </c>
      <c r="F31" s="55">
        <v>9.35</v>
      </c>
      <c r="G31" s="56" t="s">
        <v>15</v>
      </c>
      <c r="H31" s="56" t="s">
        <v>15</v>
      </c>
      <c r="I31" s="55">
        <v>0.61</v>
      </c>
      <c r="J31" s="55">
        <v>0.24</v>
      </c>
      <c r="K31" s="55">
        <v>219.95</v>
      </c>
      <c r="L31" s="55">
        <v>25.52</v>
      </c>
      <c r="M31" s="55">
        <v>76.80</v>
      </c>
      <c r="N31" s="55">
        <v>13.5</v>
      </c>
      <c r="O31" s="55">
        <v>0</v>
      </c>
      <c r="P31" s="55">
        <v>0.95</v>
      </c>
      <c r="Q31" s="55">
        <v>14.04</v>
      </c>
      <c r="R31" s="43"/>
      <c r="S31" s="43"/>
      <c r="T31" s="43"/>
      <c r="U31" s="43"/>
    </row>
    <row r="32" spans="1:21" s="11" customFormat="1" ht="15">
      <c r="A32" s="54" t="s">
        <v>85</v>
      </c>
      <c r="B32" s="55">
        <v>9.14</v>
      </c>
      <c r="C32" s="55">
        <v>17.510000000000002</v>
      </c>
      <c r="D32" s="55">
        <v>17.64</v>
      </c>
      <c r="E32" s="55">
        <v>2.72</v>
      </c>
      <c r="F32" s="55">
        <v>17.32</v>
      </c>
      <c r="G32" s="56" t="s">
        <v>15</v>
      </c>
      <c r="H32" s="56" t="s">
        <v>15</v>
      </c>
      <c r="I32" s="55">
        <v>0.60</v>
      </c>
      <c r="J32" s="55">
        <v>0.15</v>
      </c>
      <c r="K32" s="55">
        <v>236.81</v>
      </c>
      <c r="L32" s="55">
        <v>25.06</v>
      </c>
      <c r="M32" s="55">
        <v>79.61</v>
      </c>
      <c r="N32" s="55">
        <v>13.5</v>
      </c>
      <c r="O32" s="55">
        <v>0</v>
      </c>
      <c r="P32" s="55">
        <v>0.87</v>
      </c>
      <c r="Q32" s="55">
        <v>13.41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5.5</v>
      </c>
      <c r="C34" s="28">
        <f t="shared" si="0"/>
        <v>12.6</v>
      </c>
      <c r="D34" s="28">
        <f t="shared" si="0"/>
        <v>13.27</v>
      </c>
      <c r="E34" s="28">
        <f t="shared" si="0"/>
        <v>1.27</v>
      </c>
      <c r="F34" s="28">
        <f t="shared" si="0"/>
        <v>6</v>
      </c>
      <c r="G34" s="28">
        <f t="shared" si="0"/>
        <v>0</v>
      </c>
      <c r="H34" s="28">
        <f t="shared" si="0"/>
        <v>0</v>
      </c>
      <c r="I34" s="28">
        <f t="shared" si="0"/>
        <v>0.53000000000000003</v>
      </c>
      <c r="J34" s="28">
        <f t="shared" si="0"/>
        <v>0.080000000000000002</v>
      </c>
      <c r="K34" s="28">
        <f t="shared" si="0"/>
        <v>26.030000000000001</v>
      </c>
      <c r="L34" s="28">
        <f t="shared" si="0"/>
        <v>23.449999999999999</v>
      </c>
      <c r="M34" s="28">
        <f t="shared" si="0"/>
        <v>54.060000000000002</v>
      </c>
      <c r="N34" s="28">
        <f t="shared" si="0"/>
        <v>13.199999999999999</v>
      </c>
      <c r="O34" s="28">
        <f t="shared" si="0"/>
        <v>0</v>
      </c>
      <c r="P34" s="28">
        <f t="shared" si="0"/>
        <v>0.57999999999999996</v>
      </c>
      <c r="Q34" s="28">
        <f t="shared" si="0"/>
        <v>4.9299999999999997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17.399999999999999</v>
      </c>
      <c r="C35" s="29">
        <f t="shared" si="1"/>
        <v>27.68</v>
      </c>
      <c r="D35" s="29">
        <f t="shared" si="1"/>
        <v>28.829999999999998</v>
      </c>
      <c r="E35" s="29">
        <f t="shared" si="1"/>
        <v>2.8799999999999999</v>
      </c>
      <c r="F35" s="29">
        <f t="shared" si="1"/>
        <v>17.32</v>
      </c>
      <c r="G35" s="29">
        <f t="shared" si="1"/>
        <v>0</v>
      </c>
      <c r="H35" s="29">
        <f t="shared" si="1"/>
        <v>0</v>
      </c>
      <c r="I35" s="29">
        <f t="shared" si="1"/>
        <v>0.65000000000000002</v>
      </c>
      <c r="J35" s="29">
        <f t="shared" si="1"/>
        <v>0.47999999999999998</v>
      </c>
      <c r="K35" s="29">
        <f t="shared" si="1"/>
        <v>357.04000000000002</v>
      </c>
      <c r="L35" s="29">
        <f t="shared" si="1"/>
        <v>30.510000000000002</v>
      </c>
      <c r="M35" s="29">
        <f t="shared" si="1"/>
        <v>88.629999999999995</v>
      </c>
      <c r="N35" s="29">
        <f t="shared" si="1"/>
        <v>996.79999999999995</v>
      </c>
      <c r="O35" s="29">
        <f t="shared" si="1"/>
        <v>0</v>
      </c>
      <c r="P35" s="29">
        <f t="shared" si="1"/>
        <v>1</v>
      </c>
      <c r="Q35" s="29">
        <f t="shared" si="1"/>
        <v>22.539999999999999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8.5829166666666676</v>
      </c>
      <c r="C36" s="28">
        <f t="shared" si="2"/>
        <v>18.392500000000002</v>
      </c>
      <c r="D36" s="28">
        <f t="shared" si="2"/>
        <v>17.385000000000002</v>
      </c>
      <c r="E36" s="28">
        <f t="shared" si="2"/>
        <v>2.3333333333333335</v>
      </c>
      <c r="F36" s="28">
        <f t="shared" si="2"/>
        <v>10.003749999999998</v>
      </c>
      <c r="G36" s="28" t="e">
        <f t="shared" si="2"/>
        <v>#DIV/0!</v>
      </c>
      <c r="H36" s="28" t="e">
        <f t="shared" si="2"/>
        <v>#DIV/0!</v>
      </c>
      <c r="I36" s="28">
        <f t="shared" si="2"/>
        <v>0.57291666666666674</v>
      </c>
      <c r="J36" s="28">
        <f t="shared" si="2"/>
        <v>0.26166666666666666</v>
      </c>
      <c r="K36" s="28">
        <f t="shared" si="2"/>
        <v>200.32083333333335</v>
      </c>
      <c r="L36" s="28">
        <f t="shared" si="2"/>
        <v>27.289583333333329</v>
      </c>
      <c r="M36" s="28">
        <f t="shared" si="2"/>
        <v>70.189583333333346</v>
      </c>
      <c r="N36" s="28">
        <f t="shared" si="2"/>
        <v>305.86250000000001</v>
      </c>
      <c r="O36" s="28">
        <f t="shared" si="2"/>
        <v>0</v>
      </c>
      <c r="P36" s="28">
        <f t="shared" si="2"/>
        <v>0.72833333333333339</v>
      </c>
      <c r="Q36" s="28">
        <f t="shared" si="2"/>
        <v>12.99416666666667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2.9692415649479384</v>
      </c>
      <c r="C37" s="28">
        <f t="shared" si="3" ref="C37:Q37">STDEV(C9:C32)</f>
        <v>4.0101959726589822</v>
      </c>
      <c r="D37" s="28">
        <f t="shared" si="3"/>
        <v>3.5458279219632001</v>
      </c>
      <c r="E37" s="28">
        <f t="shared" si="3"/>
        <v>0.38603521653573764</v>
      </c>
      <c r="F37" s="28">
        <f t="shared" si="3"/>
        <v>2.9288724830110189</v>
      </c>
      <c r="G37" s="28" t="e">
        <f t="shared" si="3"/>
        <v>#DIV/0!</v>
      </c>
      <c r="H37" s="28" t="e">
        <f t="shared" si="3"/>
        <v>#DIV/0!</v>
      </c>
      <c r="I37" s="28">
        <f t="shared" si="3"/>
        <v>0.031825497935469578</v>
      </c>
      <c r="J37" s="28">
        <f t="shared" si="3"/>
        <v>0.10390910185963201</v>
      </c>
      <c r="K37" s="28">
        <f t="shared" si="3"/>
        <v>126.26422925983314</v>
      </c>
      <c r="L37" s="28">
        <f t="shared" si="3"/>
        <v>2.3160057054196197</v>
      </c>
      <c r="M37" s="28">
        <f t="shared" si="3"/>
        <v>11.553852916241491</v>
      </c>
      <c r="N37" s="28">
        <f t="shared" si="3"/>
        <v>354.25311856195356</v>
      </c>
      <c r="O37" s="28">
        <f t="shared" si="3"/>
        <v>0</v>
      </c>
      <c r="P37" s="28">
        <f t="shared" si="3"/>
        <v>0.12896466205116422</v>
      </c>
      <c r="Q37" s="28">
        <f t="shared" si="3"/>
        <v>6.2822073915260743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d4ea6b-cbba-4a47-af68-c9ac50c96b8a}">
  <sheetPr codeName=""/>
  <dimension ref="A1:U119"/>
  <sheetViews>
    <sheetView workbookViewId="0" topLeftCell="A1">
      <pane xSplit="2" ySplit="8" topLeftCell="C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86</v>
      </c>
      <c r="B9" s="55">
        <v>11.13</v>
      </c>
      <c r="C9" s="55">
        <v>15.47</v>
      </c>
      <c r="D9" s="55">
        <v>17.55</v>
      </c>
      <c r="E9" s="55">
        <v>2.4300000000000002</v>
      </c>
      <c r="F9" s="55">
        <v>17.34</v>
      </c>
      <c r="G9" s="56" t="s">
        <v>15</v>
      </c>
      <c r="H9" s="56" t="s">
        <v>15</v>
      </c>
      <c r="I9" s="55">
        <v>0.56999999999999995</v>
      </c>
      <c r="J9" s="55">
        <v>0.10</v>
      </c>
      <c r="K9" s="55">
        <v>338.85</v>
      </c>
      <c r="L9" s="55">
        <v>24.72</v>
      </c>
      <c r="M9" s="55">
        <v>82.44</v>
      </c>
      <c r="N9" s="55">
        <v>13.20</v>
      </c>
      <c r="O9" s="55">
        <v>0</v>
      </c>
      <c r="P9" s="55">
        <v>0.83</v>
      </c>
      <c r="Q9" s="55">
        <v>19.440000000000001</v>
      </c>
      <c r="R9" s="43"/>
      <c r="S9" s="43"/>
      <c r="T9" s="43"/>
      <c r="U9" s="43"/>
    </row>
    <row r="10" spans="1:21" s="11" customFormat="1" ht="15">
      <c r="A10" s="54" t="s">
        <v>87</v>
      </c>
      <c r="B10" s="55">
        <v>11.41</v>
      </c>
      <c r="C10" s="55">
        <v>14.22</v>
      </c>
      <c r="D10" s="55">
        <v>17.489999999999998</v>
      </c>
      <c r="E10" s="55">
        <v>2</v>
      </c>
      <c r="F10" s="55">
        <v>9.99</v>
      </c>
      <c r="G10" s="56" t="s">
        <v>15</v>
      </c>
      <c r="H10" s="56" t="s">
        <v>15</v>
      </c>
      <c r="I10" s="55">
        <v>0.62</v>
      </c>
      <c r="J10" s="55">
        <v>0.13</v>
      </c>
      <c r="K10" s="55">
        <v>352.85</v>
      </c>
      <c r="L10" s="55">
        <v>24.49</v>
      </c>
      <c r="M10" s="55">
        <v>81.86</v>
      </c>
      <c r="N10" s="55">
        <v>13.20</v>
      </c>
      <c r="O10" s="55">
        <v>0</v>
      </c>
      <c r="P10" s="55">
        <v>0.78</v>
      </c>
      <c r="Q10" s="55">
        <v>18.41</v>
      </c>
      <c r="R10" s="43"/>
      <c r="S10" s="43"/>
      <c r="T10" s="43"/>
      <c r="U10" s="43"/>
    </row>
    <row r="11" spans="1:21" s="11" customFormat="1" ht="15">
      <c r="A11" s="54" t="s">
        <v>88</v>
      </c>
      <c r="B11" s="55">
        <v>9.91</v>
      </c>
      <c r="C11" s="55">
        <v>13.84</v>
      </c>
      <c r="D11" s="55">
        <v>15.77</v>
      </c>
      <c r="E11" s="55">
        <v>2.10</v>
      </c>
      <c r="F11" s="55">
        <v>16.350000000000001</v>
      </c>
      <c r="G11" s="56" t="s">
        <v>15</v>
      </c>
      <c r="H11" s="56" t="s">
        <v>15</v>
      </c>
      <c r="I11" s="55">
        <v>0.61</v>
      </c>
      <c r="J11" s="55">
        <v>0.20</v>
      </c>
      <c r="K11" s="55">
        <v>254.87</v>
      </c>
      <c r="L11" s="55">
        <v>24.42</v>
      </c>
      <c r="M11" s="55">
        <v>81.599999999999994</v>
      </c>
      <c r="N11" s="55">
        <v>13.20</v>
      </c>
      <c r="O11" s="55">
        <v>0</v>
      </c>
      <c r="P11" s="55">
        <v>0.72</v>
      </c>
      <c r="Q11" s="55">
        <v>16.399999999999999</v>
      </c>
      <c r="R11" s="43"/>
      <c r="S11" s="43"/>
      <c r="T11" s="43"/>
      <c r="U11" s="43"/>
    </row>
    <row r="12" spans="1:21" s="11" customFormat="1" ht="15">
      <c r="A12" s="54" t="s">
        <v>89</v>
      </c>
      <c r="B12" s="55">
        <v>10.25</v>
      </c>
      <c r="C12" s="55">
        <v>14.42</v>
      </c>
      <c r="D12" s="55">
        <v>16.64</v>
      </c>
      <c r="E12" s="55">
        <v>2.42</v>
      </c>
      <c r="F12" s="55">
        <v>17.5</v>
      </c>
      <c r="G12" s="56" t="s">
        <v>15</v>
      </c>
      <c r="H12" s="56" t="s">
        <v>15</v>
      </c>
      <c r="I12" s="55">
        <v>0.55000000000000004</v>
      </c>
      <c r="J12" s="55">
        <v>0.070000000000000007</v>
      </c>
      <c r="K12" s="55">
        <v>304.44</v>
      </c>
      <c r="L12" s="55">
        <v>24.08</v>
      </c>
      <c r="M12" s="55">
        <v>82.13</v>
      </c>
      <c r="N12" s="55">
        <v>13.20</v>
      </c>
      <c r="O12" s="55">
        <v>0</v>
      </c>
      <c r="P12" s="55">
        <v>0.67</v>
      </c>
      <c r="Q12" s="55">
        <v>19.53</v>
      </c>
      <c r="R12" s="43"/>
      <c r="S12" s="43"/>
      <c r="T12" s="43"/>
      <c r="U12" s="43"/>
    </row>
    <row r="13" spans="1:21" s="11" customFormat="1" ht="15">
      <c r="A13" s="54" t="s">
        <v>90</v>
      </c>
      <c r="B13" s="55">
        <v>9.6999999999999993</v>
      </c>
      <c r="C13" s="55">
        <v>14.65</v>
      </c>
      <c r="D13" s="55">
        <v>16.170000000000002</v>
      </c>
      <c r="E13" s="55">
        <v>1.42</v>
      </c>
      <c r="F13" s="55">
        <v>6.72</v>
      </c>
      <c r="G13" s="56" t="s">
        <v>15</v>
      </c>
      <c r="H13" s="56" t="s">
        <v>15</v>
      </c>
      <c r="I13" s="55">
        <v>0.61</v>
      </c>
      <c r="J13" s="55">
        <v>0.11</v>
      </c>
      <c r="K13" s="55">
        <v>34.14</v>
      </c>
      <c r="L13" s="55">
        <v>23.88</v>
      </c>
      <c r="M13" s="55">
        <v>85.19</v>
      </c>
      <c r="N13" s="55">
        <v>13.30</v>
      </c>
      <c r="O13" s="55">
        <v>0</v>
      </c>
      <c r="P13" s="55">
        <v>0.65</v>
      </c>
      <c r="Q13" s="55">
        <v>18.399999999999999</v>
      </c>
      <c r="R13" s="43"/>
      <c r="S13" s="43"/>
      <c r="T13" s="43"/>
      <c r="U13" s="43"/>
    </row>
    <row r="14" spans="1:21" s="11" customFormat="1" ht="15">
      <c r="A14" s="54" t="s">
        <v>91</v>
      </c>
      <c r="B14" s="55">
        <v>10.24</v>
      </c>
      <c r="C14" s="55">
        <v>18.11</v>
      </c>
      <c r="D14" s="55">
        <v>17.989999999999998</v>
      </c>
      <c r="E14" s="55">
        <v>1.48</v>
      </c>
      <c r="F14" s="55">
        <v>9.17</v>
      </c>
      <c r="G14" s="56" t="s">
        <v>15</v>
      </c>
      <c r="H14" s="56" t="s">
        <v>15</v>
      </c>
      <c r="I14" s="55">
        <v>0.56999999999999995</v>
      </c>
      <c r="J14" s="55">
        <v>0.070000000000000007</v>
      </c>
      <c r="K14" s="55">
        <v>354.83</v>
      </c>
      <c r="L14" s="55">
        <v>23.91</v>
      </c>
      <c r="M14" s="55">
        <v>85.60</v>
      </c>
      <c r="N14" s="55">
        <v>62.70</v>
      </c>
      <c r="O14" s="55">
        <v>0</v>
      </c>
      <c r="P14" s="55">
        <v>0.61</v>
      </c>
      <c r="Q14" s="55">
        <v>17.86</v>
      </c>
      <c r="R14" s="43"/>
      <c r="S14" s="43"/>
      <c r="T14" s="43"/>
      <c r="U14" s="43"/>
    </row>
    <row r="15" spans="1:21" s="11" customFormat="1" ht="15">
      <c r="A15" s="54" t="s">
        <v>92</v>
      </c>
      <c r="B15" s="55">
        <v>13.20</v>
      </c>
      <c r="C15" s="55">
        <v>15.56</v>
      </c>
      <c r="D15" s="55">
        <v>19</v>
      </c>
      <c r="E15" s="55">
        <v>1.62</v>
      </c>
      <c r="F15" s="55">
        <v>8.83</v>
      </c>
      <c r="G15" s="56" t="s">
        <v>15</v>
      </c>
      <c r="H15" s="56" t="s">
        <v>15</v>
      </c>
      <c r="I15" s="55">
        <v>0.56999999999999995</v>
      </c>
      <c r="J15" s="55">
        <v>0.24</v>
      </c>
      <c r="K15" s="55">
        <v>347.56</v>
      </c>
      <c r="L15" s="55">
        <v>25.72</v>
      </c>
      <c r="M15" s="55">
        <v>81.86</v>
      </c>
      <c r="N15" s="55">
        <v>243</v>
      </c>
      <c r="O15" s="55">
        <v>0</v>
      </c>
      <c r="P15" s="55">
        <v>0.63</v>
      </c>
      <c r="Q15" s="55">
        <v>18.72</v>
      </c>
      <c r="R15" s="43"/>
      <c r="S15" s="43"/>
      <c r="T15" s="43"/>
      <c r="U15" s="43"/>
    </row>
    <row r="16" spans="1:21" s="11" customFormat="1" ht="15">
      <c r="A16" s="54" t="s">
        <v>93</v>
      </c>
      <c r="B16" s="55">
        <v>10.68</v>
      </c>
      <c r="C16" s="55">
        <v>17.27</v>
      </c>
      <c r="D16" s="55">
        <v>18.70</v>
      </c>
      <c r="E16" s="55">
        <v>1.55</v>
      </c>
      <c r="F16" s="55">
        <v>4.1500000000000004</v>
      </c>
      <c r="G16" s="56" t="s">
        <v>15</v>
      </c>
      <c r="H16" s="56" t="s">
        <v>15</v>
      </c>
      <c r="I16" s="55">
        <v>0.57999999999999996</v>
      </c>
      <c r="J16" s="55">
        <v>0.24</v>
      </c>
      <c r="K16" s="55">
        <v>34.5</v>
      </c>
      <c r="L16" s="55">
        <v>28.22</v>
      </c>
      <c r="M16" s="55">
        <v>71.53</v>
      </c>
      <c r="N16" s="55">
        <v>433.5</v>
      </c>
      <c r="O16" s="55">
        <v>0</v>
      </c>
      <c r="P16" s="55">
        <v>0.74</v>
      </c>
      <c r="Q16" s="55">
        <v>17.05</v>
      </c>
      <c r="R16" s="43"/>
      <c r="S16" s="43"/>
      <c r="T16" s="43"/>
      <c r="U16" s="43"/>
    </row>
    <row r="17" spans="1:21" s="11" customFormat="1" ht="15">
      <c r="A17" s="54" t="s">
        <v>94</v>
      </c>
      <c r="B17" s="55">
        <v>11.36</v>
      </c>
      <c r="C17" s="55">
        <v>16.399999999999999</v>
      </c>
      <c r="D17" s="55">
        <v>18.55</v>
      </c>
      <c r="E17" s="55">
        <v>1.79</v>
      </c>
      <c r="F17" s="55">
        <v>6.32</v>
      </c>
      <c r="G17" s="56" t="s">
        <v>15</v>
      </c>
      <c r="H17" s="56" t="s">
        <v>15</v>
      </c>
      <c r="I17" s="55">
        <v>0.56999999999999995</v>
      </c>
      <c r="J17" s="55">
        <v>0.59</v>
      </c>
      <c r="K17" s="55">
        <v>357.05</v>
      </c>
      <c r="L17" s="55">
        <v>30.42</v>
      </c>
      <c r="M17" s="55">
        <v>63.02</v>
      </c>
      <c r="N17" s="55">
        <v>604.79999999999995</v>
      </c>
      <c r="O17" s="55">
        <v>0</v>
      </c>
      <c r="P17" s="55">
        <v>0.87</v>
      </c>
      <c r="Q17" s="55">
        <v>13.40</v>
      </c>
      <c r="R17" s="43"/>
      <c r="S17" s="43"/>
      <c r="T17" s="43"/>
      <c r="U17" s="43"/>
    </row>
    <row r="18" spans="1:21" s="11" customFormat="1" ht="15">
      <c r="A18" s="54" t="s">
        <v>95</v>
      </c>
      <c r="B18" s="55">
        <v>10.09</v>
      </c>
      <c r="C18" s="55">
        <v>19.64</v>
      </c>
      <c r="D18" s="55">
        <v>18.14</v>
      </c>
      <c r="E18" s="55">
        <v>1.69</v>
      </c>
      <c r="F18" s="55">
        <v>5.24</v>
      </c>
      <c r="G18" s="56" t="s">
        <v>15</v>
      </c>
      <c r="H18" s="56" t="s">
        <v>15</v>
      </c>
      <c r="I18" s="55">
        <v>0.55000000000000004</v>
      </c>
      <c r="J18" s="55">
        <v>0.45</v>
      </c>
      <c r="K18" s="55">
        <v>352.24</v>
      </c>
      <c r="L18" s="55">
        <v>30.70</v>
      </c>
      <c r="M18" s="55">
        <v>55.87</v>
      </c>
      <c r="N18" s="55">
        <v>726.10</v>
      </c>
      <c r="O18" s="55">
        <v>0</v>
      </c>
      <c r="P18" s="55">
        <v>0.86</v>
      </c>
      <c r="Q18" s="55">
        <v>11.05</v>
      </c>
      <c r="R18" s="43"/>
      <c r="S18" s="43"/>
      <c r="T18" s="43"/>
      <c r="U18" s="43"/>
    </row>
    <row r="19" spans="1:21" s="11" customFormat="1" ht="15">
      <c r="A19" s="54" t="s">
        <v>96</v>
      </c>
      <c r="B19" s="55">
        <v>6.78</v>
      </c>
      <c r="C19" s="55">
        <v>19.5</v>
      </c>
      <c r="D19" s="55">
        <v>16.420000000000002</v>
      </c>
      <c r="E19" s="55">
        <v>1.49</v>
      </c>
      <c r="F19" s="55">
        <v>5.28</v>
      </c>
      <c r="G19" s="56" t="s">
        <v>15</v>
      </c>
      <c r="H19" s="56" t="s">
        <v>15</v>
      </c>
      <c r="I19" s="55">
        <v>0.53</v>
      </c>
      <c r="J19" s="55">
        <v>0.40</v>
      </c>
      <c r="K19" s="55">
        <v>347.71</v>
      </c>
      <c r="L19" s="55">
        <v>30.17</v>
      </c>
      <c r="M19" s="55">
        <v>57.89</v>
      </c>
      <c r="N19" s="55">
        <v>555.20000000000005</v>
      </c>
      <c r="O19" s="55">
        <v>0</v>
      </c>
      <c r="P19" s="55">
        <v>0.87</v>
      </c>
      <c r="Q19" s="55">
        <v>8.89</v>
      </c>
      <c r="R19" s="43"/>
      <c r="S19" s="43"/>
      <c r="T19" s="43"/>
      <c r="U19" s="43"/>
    </row>
    <row r="20" spans="1:21" s="11" customFormat="1" ht="15">
      <c r="A20" s="54" t="s">
        <v>97</v>
      </c>
      <c r="B20" s="55">
        <v>7.07</v>
      </c>
      <c r="C20" s="55">
        <v>22.87</v>
      </c>
      <c r="D20" s="55">
        <v>18.940000000000001</v>
      </c>
      <c r="E20" s="55">
        <v>2.41</v>
      </c>
      <c r="F20" s="55">
        <v>12.40</v>
      </c>
      <c r="G20" s="56" t="s">
        <v>15</v>
      </c>
      <c r="H20" s="56" t="s">
        <v>15</v>
      </c>
      <c r="I20" s="55">
        <v>0.53</v>
      </c>
      <c r="J20" s="55">
        <v>0.25</v>
      </c>
      <c r="K20" s="55">
        <v>350.60</v>
      </c>
      <c r="L20" s="55">
        <v>31.02</v>
      </c>
      <c r="M20" s="55">
        <v>59.13</v>
      </c>
      <c r="N20" s="55">
        <v>729.5</v>
      </c>
      <c r="O20" s="55">
        <v>0</v>
      </c>
      <c r="P20" s="55">
        <v>0.93</v>
      </c>
      <c r="Q20" s="55">
        <v>8.67</v>
      </c>
      <c r="R20" s="43"/>
      <c r="S20" s="43"/>
      <c r="T20" s="43"/>
      <c r="U20" s="43"/>
    </row>
    <row r="21" spans="1:21" s="11" customFormat="1" ht="15">
      <c r="A21" s="54" t="s">
        <v>98</v>
      </c>
      <c r="B21" s="55">
        <v>6.5</v>
      </c>
      <c r="C21" s="55">
        <v>20.61</v>
      </c>
      <c r="D21" s="55">
        <v>16.920000000000002</v>
      </c>
      <c r="E21" s="55">
        <v>2.92</v>
      </c>
      <c r="F21" s="55">
        <v>6.64</v>
      </c>
      <c r="G21" s="56" t="s">
        <v>15</v>
      </c>
      <c r="H21" s="56" t="s">
        <v>15</v>
      </c>
      <c r="I21" s="55">
        <v>0.60</v>
      </c>
      <c r="J21" s="55">
        <v>0.28999999999999998</v>
      </c>
      <c r="K21" s="55">
        <v>31.81</v>
      </c>
      <c r="L21" s="55">
        <v>29.97</v>
      </c>
      <c r="M21" s="55">
        <v>58.14</v>
      </c>
      <c r="N21" s="55">
        <v>621.60</v>
      </c>
      <c r="O21" s="55">
        <v>0</v>
      </c>
      <c r="P21" s="55">
        <v>1.0900000000000001</v>
      </c>
      <c r="Q21" s="55">
        <v>7.88</v>
      </c>
      <c r="R21" s="43"/>
      <c r="S21" s="43"/>
      <c r="T21" s="43"/>
      <c r="U21" s="43"/>
    </row>
    <row r="22" spans="1:21" s="11" customFormat="1" ht="15">
      <c r="A22" s="54" t="s">
        <v>99</v>
      </c>
      <c r="B22" s="55">
        <v>5.67</v>
      </c>
      <c r="C22" s="55">
        <v>25.98</v>
      </c>
      <c r="D22" s="55">
        <v>18.48</v>
      </c>
      <c r="E22" s="55">
        <v>2.86</v>
      </c>
      <c r="F22" s="55">
        <v>33.11</v>
      </c>
      <c r="G22" s="56" t="s">
        <v>15</v>
      </c>
      <c r="H22" s="56" t="s">
        <v>15</v>
      </c>
      <c r="I22" s="55">
        <v>0.55000000000000004</v>
      </c>
      <c r="J22" s="55">
        <v>0.27</v>
      </c>
      <c r="K22" s="55">
        <v>353.62</v>
      </c>
      <c r="L22" s="55">
        <v>29.49</v>
      </c>
      <c r="M22" s="55">
        <v>61.99</v>
      </c>
      <c r="N22" s="55">
        <v>334.90</v>
      </c>
      <c r="O22" s="55">
        <v>0</v>
      </c>
      <c r="P22" s="55">
        <v>0.86</v>
      </c>
      <c r="Q22" s="55">
        <v>7.37</v>
      </c>
      <c r="R22" s="43"/>
      <c r="S22" s="43"/>
      <c r="T22" s="43"/>
      <c r="U22" s="43"/>
    </row>
    <row r="23" spans="1:21" s="11" customFormat="1" ht="15">
      <c r="A23" s="54" t="s">
        <v>100</v>
      </c>
      <c r="B23" s="55">
        <v>5.85</v>
      </c>
      <c r="C23" s="55">
        <v>23.05</v>
      </c>
      <c r="D23" s="55">
        <v>17.37</v>
      </c>
      <c r="E23" s="55">
        <v>2.61</v>
      </c>
      <c r="F23" s="55">
        <v>13.18</v>
      </c>
      <c r="G23" s="56" t="s">
        <v>15</v>
      </c>
      <c r="H23" s="56" t="s">
        <v>15</v>
      </c>
      <c r="I23" s="57" t="s">
        <v>8</v>
      </c>
      <c r="J23" s="55">
        <v>0.21</v>
      </c>
      <c r="K23" s="55">
        <v>40.81</v>
      </c>
      <c r="L23" s="55">
        <v>29.20</v>
      </c>
      <c r="M23" s="55">
        <v>63.15</v>
      </c>
      <c r="N23" s="55">
        <v>380.30</v>
      </c>
      <c r="O23" s="55">
        <v>0</v>
      </c>
      <c r="P23" s="55">
        <v>0.74</v>
      </c>
      <c r="Q23" s="55">
        <v>6.46</v>
      </c>
      <c r="R23" s="43"/>
      <c r="S23" s="43"/>
      <c r="T23" s="43"/>
      <c r="U23" s="43"/>
    </row>
    <row r="24" spans="1:21" s="11" customFormat="1" ht="15">
      <c r="A24" s="54" t="s">
        <v>101</v>
      </c>
      <c r="B24" s="55">
        <v>5.25</v>
      </c>
      <c r="C24" s="55">
        <v>16.46</v>
      </c>
      <c r="D24" s="55">
        <v>13.94</v>
      </c>
      <c r="E24" s="55">
        <v>2.85</v>
      </c>
      <c r="F24" s="55">
        <v>8.18</v>
      </c>
      <c r="G24" s="56" t="s">
        <v>15</v>
      </c>
      <c r="H24" s="56" t="s">
        <v>15</v>
      </c>
      <c r="I24" s="57" t="s">
        <v>8</v>
      </c>
      <c r="J24" s="55">
        <v>0.24</v>
      </c>
      <c r="K24" s="55">
        <v>34.92</v>
      </c>
      <c r="L24" s="55">
        <v>29.16</v>
      </c>
      <c r="M24" s="55">
        <v>60.63</v>
      </c>
      <c r="N24" s="55">
        <v>276.10000000000002</v>
      </c>
      <c r="O24" s="55">
        <v>0</v>
      </c>
      <c r="P24" s="55">
        <v>0.70</v>
      </c>
      <c r="Q24" s="55">
        <v>6.06</v>
      </c>
      <c r="R24" s="43"/>
      <c r="S24" s="43"/>
      <c r="T24" s="43"/>
      <c r="U24" s="43"/>
    </row>
    <row r="25" spans="1:21" s="11" customFormat="1" ht="15">
      <c r="A25" s="54" t="s">
        <v>102</v>
      </c>
      <c r="B25" s="55">
        <v>4.5599999999999996</v>
      </c>
      <c r="C25" s="55">
        <v>15.73</v>
      </c>
      <c r="D25" s="55">
        <v>12.95</v>
      </c>
      <c r="E25" s="55">
        <v>1.97</v>
      </c>
      <c r="F25" s="55">
        <v>8.14</v>
      </c>
      <c r="G25" s="56" t="s">
        <v>15</v>
      </c>
      <c r="H25" s="56" t="s">
        <v>15</v>
      </c>
      <c r="I25" s="57" t="s">
        <v>8</v>
      </c>
      <c r="J25" s="55">
        <v>0.32</v>
      </c>
      <c r="K25" s="55">
        <v>40.909999999999997</v>
      </c>
      <c r="L25" s="55">
        <v>29.14</v>
      </c>
      <c r="M25" s="55">
        <v>62.86</v>
      </c>
      <c r="N25" s="55">
        <v>172.5</v>
      </c>
      <c r="O25" s="55">
        <v>0</v>
      </c>
      <c r="P25" s="55">
        <v>0.65</v>
      </c>
      <c r="Q25" s="55">
        <v>5.35</v>
      </c>
      <c r="R25" s="43"/>
      <c r="S25" s="43"/>
      <c r="T25" s="43"/>
      <c r="U25" s="43"/>
    </row>
    <row r="26" spans="1:21" s="11" customFormat="1" ht="15">
      <c r="A26" s="54" t="s">
        <v>103</v>
      </c>
      <c r="B26" s="55">
        <v>7.04</v>
      </c>
      <c r="C26" s="55">
        <v>17.73</v>
      </c>
      <c r="D26" s="55">
        <v>16.07</v>
      </c>
      <c r="E26" s="55">
        <v>2.0299999999999998</v>
      </c>
      <c r="F26" s="55">
        <v>15.12</v>
      </c>
      <c r="G26" s="56" t="s">
        <v>15</v>
      </c>
      <c r="H26" s="56" t="s">
        <v>15</v>
      </c>
      <c r="I26" s="57" t="s">
        <v>8</v>
      </c>
      <c r="J26" s="55">
        <v>0.22</v>
      </c>
      <c r="K26" s="55">
        <v>40.40</v>
      </c>
      <c r="L26" s="55">
        <v>28.19</v>
      </c>
      <c r="M26" s="55">
        <v>63.91</v>
      </c>
      <c r="N26" s="55">
        <v>129.69999999999999</v>
      </c>
      <c r="O26" s="55">
        <v>0</v>
      </c>
      <c r="P26" s="55">
        <v>0.65</v>
      </c>
      <c r="Q26" s="55">
        <v>5.75</v>
      </c>
      <c r="R26" s="43"/>
      <c r="S26" s="43"/>
      <c r="T26" s="43"/>
      <c r="U26" s="43"/>
    </row>
    <row r="27" spans="1:21" s="11" customFormat="1" ht="15">
      <c r="A27" s="54" t="s">
        <v>104</v>
      </c>
      <c r="B27" s="55">
        <v>6.91</v>
      </c>
      <c r="C27" s="55">
        <v>17.68</v>
      </c>
      <c r="D27" s="55">
        <v>15.95</v>
      </c>
      <c r="E27" s="55">
        <v>2.25</v>
      </c>
      <c r="F27" s="55">
        <v>13.26</v>
      </c>
      <c r="G27" s="56" t="s">
        <v>15</v>
      </c>
      <c r="H27" s="56" t="s">
        <v>15</v>
      </c>
      <c r="I27" s="57" t="s">
        <v>8</v>
      </c>
      <c r="J27" s="55">
        <v>0.09</v>
      </c>
      <c r="K27" s="55">
        <v>346.87</v>
      </c>
      <c r="L27" s="55">
        <v>27.67</v>
      </c>
      <c r="M27" s="55">
        <v>68.66</v>
      </c>
      <c r="N27" s="55">
        <v>59.80</v>
      </c>
      <c r="O27" s="55">
        <v>0</v>
      </c>
      <c r="P27" s="55">
        <v>0.68</v>
      </c>
      <c r="Q27" s="55">
        <v>8.0399999999999991</v>
      </c>
      <c r="R27" s="43"/>
      <c r="S27" s="43"/>
      <c r="T27" s="43"/>
      <c r="U27" s="43"/>
    </row>
    <row r="28" spans="1:21" s="11" customFormat="1" ht="15">
      <c r="A28" s="54" t="s">
        <v>105</v>
      </c>
      <c r="B28" s="55">
        <v>6.09</v>
      </c>
      <c r="C28" s="55">
        <v>21.62</v>
      </c>
      <c r="D28" s="55">
        <v>17.47</v>
      </c>
      <c r="E28" s="55">
        <v>2.2200000000000002</v>
      </c>
      <c r="F28" s="55">
        <v>15.27</v>
      </c>
      <c r="G28" s="56" t="s">
        <v>15</v>
      </c>
      <c r="H28" s="56" t="s">
        <v>15</v>
      </c>
      <c r="I28" s="57" t="s">
        <v>8</v>
      </c>
      <c r="J28" s="55">
        <v>0.31</v>
      </c>
      <c r="K28" s="55">
        <v>225.87</v>
      </c>
      <c r="L28" s="55">
        <v>27.01</v>
      </c>
      <c r="M28" s="55">
        <v>72.819999999999993</v>
      </c>
      <c r="N28" s="55">
        <v>34.60</v>
      </c>
      <c r="O28" s="55">
        <v>0</v>
      </c>
      <c r="P28" s="55">
        <v>0.80</v>
      </c>
      <c r="Q28" s="55">
        <v>7.29</v>
      </c>
      <c r="R28" s="43"/>
      <c r="S28" s="43"/>
      <c r="T28" s="43"/>
      <c r="U28" s="43"/>
    </row>
    <row r="29" spans="1:21" s="11" customFormat="1" ht="15">
      <c r="A29" s="54" t="s">
        <v>106</v>
      </c>
      <c r="B29" s="55">
        <v>6.88</v>
      </c>
      <c r="C29" s="55">
        <v>29.75</v>
      </c>
      <c r="D29" s="55">
        <v>22.58</v>
      </c>
      <c r="E29" s="55">
        <v>2.58</v>
      </c>
      <c r="F29" s="55">
        <v>20.29</v>
      </c>
      <c r="G29" s="56" t="s">
        <v>15</v>
      </c>
      <c r="H29" s="56" t="s">
        <v>15</v>
      </c>
      <c r="I29" s="57" t="s">
        <v>8</v>
      </c>
      <c r="J29" s="55">
        <v>0.17</v>
      </c>
      <c r="K29" s="55">
        <v>276.14</v>
      </c>
      <c r="L29" s="55">
        <v>26.36</v>
      </c>
      <c r="M29" s="55">
        <v>75.27</v>
      </c>
      <c r="N29" s="55">
        <v>33.40</v>
      </c>
      <c r="O29" s="55">
        <v>0</v>
      </c>
      <c r="P29" s="55">
        <v>0.81</v>
      </c>
      <c r="Q29" s="55">
        <v>12.77</v>
      </c>
      <c r="R29" s="43"/>
      <c r="S29" s="43"/>
      <c r="T29" s="43"/>
      <c r="U29" s="43"/>
    </row>
    <row r="30" spans="1:21" s="11" customFormat="1" ht="15">
      <c r="A30" s="54" t="s">
        <v>107</v>
      </c>
      <c r="B30" s="55">
        <v>7.5</v>
      </c>
      <c r="C30" s="55">
        <v>18.37</v>
      </c>
      <c r="D30" s="55">
        <v>16.80</v>
      </c>
      <c r="E30" s="55">
        <v>2.60</v>
      </c>
      <c r="F30" s="55">
        <v>11.88</v>
      </c>
      <c r="G30" s="56" t="s">
        <v>15</v>
      </c>
      <c r="H30" s="56" t="s">
        <v>15</v>
      </c>
      <c r="I30" s="57" t="s">
        <v>8</v>
      </c>
      <c r="J30" s="55">
        <v>0.12</v>
      </c>
      <c r="K30" s="55">
        <v>267.87</v>
      </c>
      <c r="L30" s="55">
        <v>26.01</v>
      </c>
      <c r="M30" s="55">
        <v>78.86</v>
      </c>
      <c r="N30" s="55">
        <v>33.90</v>
      </c>
      <c r="O30" s="55">
        <v>0</v>
      </c>
      <c r="P30" s="55">
        <v>0.82</v>
      </c>
      <c r="Q30" s="55">
        <v>15.07</v>
      </c>
      <c r="R30" s="43"/>
      <c r="S30" s="43"/>
      <c r="T30" s="43"/>
      <c r="U30" s="43"/>
    </row>
    <row r="31" spans="1:21" s="11" customFormat="1" ht="15">
      <c r="A31" s="54" t="s">
        <v>108</v>
      </c>
      <c r="B31" s="55">
        <v>8.94</v>
      </c>
      <c r="C31" s="55">
        <v>22.80</v>
      </c>
      <c r="D31" s="55">
        <v>20.399999999999999</v>
      </c>
      <c r="E31" s="55">
        <v>2.79</v>
      </c>
      <c r="F31" s="55">
        <v>12.10</v>
      </c>
      <c r="G31" s="56" t="s">
        <v>15</v>
      </c>
      <c r="H31" s="56" t="s">
        <v>15</v>
      </c>
      <c r="I31" s="57" t="s">
        <v>8</v>
      </c>
      <c r="J31" s="55">
        <v>0.10</v>
      </c>
      <c r="K31" s="55">
        <v>346.99</v>
      </c>
      <c r="L31" s="55">
        <v>25.59</v>
      </c>
      <c r="M31" s="55">
        <v>79.650000000000006</v>
      </c>
      <c r="N31" s="55">
        <v>33.799999999999997</v>
      </c>
      <c r="O31" s="55">
        <v>0</v>
      </c>
      <c r="P31" s="55">
        <v>0.81</v>
      </c>
      <c r="Q31" s="55">
        <v>14.07</v>
      </c>
      <c r="R31" s="43"/>
      <c r="S31" s="43"/>
      <c r="T31" s="43"/>
      <c r="U31" s="43"/>
    </row>
    <row r="32" spans="1:21" s="11" customFormat="1" ht="15">
      <c r="A32" s="54" t="s">
        <v>109</v>
      </c>
      <c r="B32" s="55">
        <v>27.54</v>
      </c>
      <c r="C32" s="55">
        <v>28.01</v>
      </c>
      <c r="D32" s="55">
        <v>38.19</v>
      </c>
      <c r="E32" s="55">
        <v>2.60</v>
      </c>
      <c r="F32" s="55">
        <v>15.02</v>
      </c>
      <c r="G32" s="56" t="s">
        <v>15</v>
      </c>
      <c r="H32" s="56" t="s">
        <v>15</v>
      </c>
      <c r="I32" s="57" t="s">
        <v>8</v>
      </c>
      <c r="J32" s="55">
        <v>0.10</v>
      </c>
      <c r="K32" s="55">
        <v>55.95</v>
      </c>
      <c r="L32" s="55">
        <v>25.38</v>
      </c>
      <c r="M32" s="55">
        <v>81.39</v>
      </c>
      <c r="N32" s="55">
        <v>33.799999999999997</v>
      </c>
      <c r="O32" s="55">
        <v>0</v>
      </c>
      <c r="P32" s="55">
        <v>0.81</v>
      </c>
      <c r="Q32" s="55">
        <v>17.350000000000001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4.5599999999999996</v>
      </c>
      <c r="C34" s="28">
        <f t="shared" si="0"/>
        <v>13.84</v>
      </c>
      <c r="D34" s="28">
        <f t="shared" si="0"/>
        <v>12.949999999999999</v>
      </c>
      <c r="E34" s="28">
        <f t="shared" si="0"/>
        <v>1.4199999999999999</v>
      </c>
      <c r="F34" s="28">
        <f t="shared" si="0"/>
        <v>4.1500000000000004</v>
      </c>
      <c r="G34" s="28">
        <f t="shared" si="0"/>
        <v>0</v>
      </c>
      <c r="H34" s="28">
        <f t="shared" si="0"/>
        <v>0</v>
      </c>
      <c r="I34" s="28">
        <f t="shared" si="0"/>
        <v>0.53000000000000003</v>
      </c>
      <c r="J34" s="28">
        <f t="shared" si="0"/>
        <v>0.070000000000000007</v>
      </c>
      <c r="K34" s="28">
        <f t="shared" si="0"/>
        <v>31.809999999999999</v>
      </c>
      <c r="L34" s="28">
        <f t="shared" si="0"/>
        <v>23.879999999999999</v>
      </c>
      <c r="M34" s="28">
        <f t="shared" si="0"/>
        <v>55.869999999999997</v>
      </c>
      <c r="N34" s="28">
        <f t="shared" si="0"/>
        <v>13.199999999999999</v>
      </c>
      <c r="O34" s="28">
        <f t="shared" si="0"/>
        <v>0</v>
      </c>
      <c r="P34" s="28">
        <f t="shared" si="0"/>
        <v>0.60999999999999999</v>
      </c>
      <c r="Q34" s="28">
        <f t="shared" si="0"/>
        <v>5.3499999999999996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27.539999999999999</v>
      </c>
      <c r="C35" s="29">
        <f t="shared" si="1"/>
        <v>29.75</v>
      </c>
      <c r="D35" s="29">
        <f t="shared" si="1"/>
        <v>38.189999999999998</v>
      </c>
      <c r="E35" s="29">
        <f t="shared" si="1"/>
        <v>2.9199999999999999</v>
      </c>
      <c r="F35" s="29">
        <f t="shared" si="1"/>
        <v>33.109999999999999</v>
      </c>
      <c r="G35" s="29">
        <f t="shared" si="1"/>
        <v>0</v>
      </c>
      <c r="H35" s="29">
        <f t="shared" si="1"/>
        <v>0</v>
      </c>
      <c r="I35" s="29">
        <f t="shared" si="1"/>
        <v>0.62</v>
      </c>
      <c r="J35" s="29">
        <f t="shared" si="1"/>
        <v>0.58999999999999997</v>
      </c>
      <c r="K35" s="29">
        <f t="shared" si="1"/>
        <v>357.05000000000001</v>
      </c>
      <c r="L35" s="29">
        <f t="shared" si="1"/>
        <v>31.02</v>
      </c>
      <c r="M35" s="29">
        <f t="shared" si="1"/>
        <v>85.599999999999994</v>
      </c>
      <c r="N35" s="29">
        <f t="shared" si="1"/>
        <v>729.5</v>
      </c>
      <c r="O35" s="29">
        <f t="shared" si="1"/>
        <v>0</v>
      </c>
      <c r="P35" s="29">
        <f t="shared" si="1"/>
        <v>1.0900000000000001</v>
      </c>
      <c r="Q35" s="29">
        <f t="shared" si="1"/>
        <v>19.530000000000001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9.1895833333333332</v>
      </c>
      <c r="C36" s="28">
        <f t="shared" si="2"/>
        <v>19.155833333333334</v>
      </c>
      <c r="D36" s="28">
        <f t="shared" si="2"/>
        <v>18.27</v>
      </c>
      <c r="E36" s="28">
        <f t="shared" si="2"/>
        <v>2.1949999999999998</v>
      </c>
      <c r="F36" s="28">
        <f t="shared" si="2"/>
        <v>12.145000000000001</v>
      </c>
      <c r="G36" s="28" t="e">
        <f t="shared" si="2"/>
        <v>#DIV/0!</v>
      </c>
      <c r="H36" s="28" t="e">
        <f t="shared" si="2"/>
        <v>#DIV/0!</v>
      </c>
      <c r="I36" s="28">
        <f t="shared" si="2"/>
        <v>0.57214285714285718</v>
      </c>
      <c r="J36" s="28">
        <f t="shared" si="2"/>
        <v>0.22041666666666662</v>
      </c>
      <c r="K36" s="28">
        <f t="shared" si="2"/>
        <v>228.82499999999996</v>
      </c>
      <c r="L36" s="28">
        <f t="shared" si="2"/>
        <v>27.288333333333338</v>
      </c>
      <c r="M36" s="28">
        <f t="shared" si="2"/>
        <v>71.47708333333334</v>
      </c>
      <c r="N36" s="28">
        <f t="shared" si="2"/>
        <v>231.88750000000002</v>
      </c>
      <c r="O36" s="28">
        <f t="shared" si="2"/>
        <v>0</v>
      </c>
      <c r="P36" s="28">
        <f t="shared" si="2"/>
        <v>0.77416666666666656</v>
      </c>
      <c r="Q36" s="28">
        <f t="shared" si="2"/>
        <v>12.553333333333335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4.5586463276481233</v>
      </c>
      <c r="C37" s="28">
        <f t="shared" si="3" ref="C37:Q37">STDEV(C9:C32)</f>
        <v>4.4031845359888155</v>
      </c>
      <c r="D37" s="28">
        <f t="shared" si="3"/>
        <v>4.6712683316297507</v>
      </c>
      <c r="E37" s="28">
        <f t="shared" si="3"/>
        <v>0.48698718847535383</v>
      </c>
      <c r="F37" s="28">
        <f t="shared" si="3"/>
        <v>6.3148913034123559</v>
      </c>
      <c r="G37" s="28" t="e">
        <f t="shared" si="3"/>
        <v>#DIV/0!</v>
      </c>
      <c r="H37" s="28" t="e">
        <f t="shared" si="3"/>
        <v>#DIV/0!</v>
      </c>
      <c r="I37" s="28">
        <f t="shared" si="3"/>
        <v>0.029135907380774977</v>
      </c>
      <c r="J37" s="28">
        <f t="shared" si="3"/>
        <v>0.12989892949542733</v>
      </c>
      <c r="K37" s="28">
        <f t="shared" si="3"/>
        <v>141.40105171492536</v>
      </c>
      <c r="L37" s="28">
        <f t="shared" si="3"/>
        <v>2.4286741179117661</v>
      </c>
      <c r="M37" s="28">
        <f t="shared" si="3"/>
        <v>10.260757442659923</v>
      </c>
      <c r="N37" s="28">
        <f t="shared" si="3"/>
        <v>252.8085274987514</v>
      </c>
      <c r="O37" s="28">
        <f t="shared" si="3"/>
        <v>0</v>
      </c>
      <c r="P37" s="28">
        <f t="shared" si="3"/>
        <v>0.11255594422201864</v>
      </c>
      <c r="Q37" s="28">
        <f t="shared" si="3"/>
        <v>5.1211442901542679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>COUNT(I9:I32)+10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c583b5-0699-4e77-9b0f-ece55f9f469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110</v>
      </c>
      <c r="B9" s="55">
        <v>11.09</v>
      </c>
      <c r="C9" s="55">
        <v>16.760000000000002</v>
      </c>
      <c r="D9" s="55">
        <v>18.5</v>
      </c>
      <c r="E9" s="55">
        <v>2.64</v>
      </c>
      <c r="F9" s="55">
        <v>9.49</v>
      </c>
      <c r="G9" s="56" t="s">
        <v>15</v>
      </c>
      <c r="H9" s="56" t="s">
        <v>15</v>
      </c>
      <c r="I9" s="57" t="s">
        <v>8</v>
      </c>
      <c r="J9" s="55">
        <v>0.12</v>
      </c>
      <c r="K9" s="55">
        <v>354.88</v>
      </c>
      <c r="L9" s="55">
        <v>25.15</v>
      </c>
      <c r="M9" s="55">
        <v>86.33</v>
      </c>
      <c r="N9" s="55">
        <v>33.700000000000003</v>
      </c>
      <c r="O9" s="55">
        <v>0</v>
      </c>
      <c r="P9" s="55">
        <v>0.81</v>
      </c>
      <c r="Q9" s="55">
        <v>18.350000000000001</v>
      </c>
      <c r="R9" s="43"/>
      <c r="S9" s="43"/>
      <c r="T9" s="43"/>
      <c r="U9" s="43"/>
    </row>
    <row r="10" spans="1:21" s="11" customFormat="1" ht="15">
      <c r="A10" s="54" t="s">
        <v>111</v>
      </c>
      <c r="B10" s="55">
        <v>9.4600000000000009</v>
      </c>
      <c r="C10" s="55">
        <v>16.18</v>
      </c>
      <c r="D10" s="55">
        <v>16.62</v>
      </c>
      <c r="E10" s="55">
        <v>2.37</v>
      </c>
      <c r="F10" s="55">
        <v>16.45</v>
      </c>
      <c r="G10" s="56" t="s">
        <v>15</v>
      </c>
      <c r="H10" s="56" t="s">
        <v>15</v>
      </c>
      <c r="I10" s="57" t="s">
        <v>8</v>
      </c>
      <c r="J10" s="55">
        <v>0.22</v>
      </c>
      <c r="K10" s="55">
        <v>252.95</v>
      </c>
      <c r="L10" s="55">
        <v>24.45</v>
      </c>
      <c r="M10" s="55">
        <v>87.14</v>
      </c>
      <c r="N10" s="55">
        <v>33.60</v>
      </c>
      <c r="O10" s="55">
        <v>0</v>
      </c>
      <c r="P10" s="55">
        <v>0.73</v>
      </c>
      <c r="Q10" s="55">
        <v>17.23</v>
      </c>
      <c r="R10" s="43"/>
      <c r="S10" s="43"/>
      <c r="T10" s="43"/>
      <c r="U10" s="43"/>
    </row>
    <row r="11" spans="1:21" s="11" customFormat="1" ht="15">
      <c r="A11" s="54" t="s">
        <v>112</v>
      </c>
      <c r="B11" s="55">
        <v>9.51</v>
      </c>
      <c r="C11" s="55">
        <v>13.85</v>
      </c>
      <c r="D11" s="55">
        <v>15.25</v>
      </c>
      <c r="E11" s="55">
        <v>2.98</v>
      </c>
      <c r="F11" s="55">
        <v>16.28</v>
      </c>
      <c r="G11" s="56" t="s">
        <v>15</v>
      </c>
      <c r="H11" s="56" t="s">
        <v>15</v>
      </c>
      <c r="I11" s="57" t="s">
        <v>8</v>
      </c>
      <c r="J11" s="55">
        <v>0.20</v>
      </c>
      <c r="K11" s="55">
        <v>351.55</v>
      </c>
      <c r="L11" s="55">
        <v>24.59</v>
      </c>
      <c r="M11" s="55">
        <v>87.01</v>
      </c>
      <c r="N11" s="55">
        <v>33.799999999999997</v>
      </c>
      <c r="O11" s="55">
        <v>0</v>
      </c>
      <c r="P11" s="55">
        <v>0.70</v>
      </c>
      <c r="Q11" s="55">
        <v>20.81</v>
      </c>
      <c r="R11" s="43"/>
      <c r="S11" s="43"/>
      <c r="T11" s="43"/>
      <c r="U11" s="43"/>
    </row>
    <row r="12" spans="1:21" s="11" customFormat="1" ht="15">
      <c r="A12" s="54" t="s">
        <v>113</v>
      </c>
      <c r="B12" s="55">
        <v>10.85</v>
      </c>
      <c r="C12" s="55">
        <v>13.80</v>
      </c>
      <c r="D12" s="55">
        <v>16.97</v>
      </c>
      <c r="E12" s="55">
        <v>2.78</v>
      </c>
      <c r="F12" s="55">
        <v>9.73</v>
      </c>
      <c r="G12" s="56" t="s">
        <v>15</v>
      </c>
      <c r="H12" s="56" t="s">
        <v>15</v>
      </c>
      <c r="I12" s="57" t="s">
        <v>8</v>
      </c>
      <c r="J12" s="55">
        <v>0.28000000000000003</v>
      </c>
      <c r="K12" s="55">
        <v>205.58</v>
      </c>
      <c r="L12" s="55">
        <v>24.11</v>
      </c>
      <c r="M12" s="55">
        <v>88.93</v>
      </c>
      <c r="N12" s="55">
        <v>33.799999999999997</v>
      </c>
      <c r="O12" s="55">
        <v>0</v>
      </c>
      <c r="P12" s="55">
        <v>0.66</v>
      </c>
      <c r="Q12" s="55">
        <v>21</v>
      </c>
      <c r="R12" s="43"/>
      <c r="S12" s="43"/>
      <c r="T12" s="43"/>
      <c r="U12" s="43"/>
    </row>
    <row r="13" spans="1:21" s="11" customFormat="1" ht="15">
      <c r="A13" s="54" t="s">
        <v>114</v>
      </c>
      <c r="B13" s="55">
        <v>11.22</v>
      </c>
      <c r="C13" s="55">
        <v>16.93</v>
      </c>
      <c r="D13" s="55">
        <v>17.5</v>
      </c>
      <c r="E13" s="55">
        <v>1.88</v>
      </c>
      <c r="F13" s="55">
        <v>12.38</v>
      </c>
      <c r="G13" s="56" t="s">
        <v>15</v>
      </c>
      <c r="H13" s="56" t="s">
        <v>15</v>
      </c>
      <c r="I13" s="57" t="s">
        <v>8</v>
      </c>
      <c r="J13" s="55">
        <v>0.12</v>
      </c>
      <c r="K13" s="55">
        <v>319.32</v>
      </c>
      <c r="L13" s="55">
        <v>24.04</v>
      </c>
      <c r="M13" s="55">
        <v>88.84</v>
      </c>
      <c r="N13" s="55">
        <v>33.10</v>
      </c>
      <c r="O13" s="55">
        <v>0</v>
      </c>
      <c r="P13" s="55">
        <v>0.59</v>
      </c>
      <c r="Q13" s="55">
        <v>19.510000000000002</v>
      </c>
      <c r="R13" s="43"/>
      <c r="S13" s="43"/>
      <c r="T13" s="43"/>
      <c r="U13" s="43"/>
    </row>
    <row r="14" spans="1:21" s="11" customFormat="1" ht="15">
      <c r="A14" s="54" t="s">
        <v>115</v>
      </c>
      <c r="B14" s="55">
        <v>12.37</v>
      </c>
      <c r="C14" s="55">
        <v>18.05</v>
      </c>
      <c r="D14" s="55">
        <v>18.28</v>
      </c>
      <c r="E14" s="55">
        <v>2.5499999999999998</v>
      </c>
      <c r="F14" s="55">
        <v>11.16</v>
      </c>
      <c r="G14" s="56" t="s">
        <v>15</v>
      </c>
      <c r="H14" s="56" t="s">
        <v>15</v>
      </c>
      <c r="I14" s="57" t="s">
        <v>8</v>
      </c>
      <c r="J14" s="55">
        <v>0.31</v>
      </c>
      <c r="K14" s="55">
        <v>232.42</v>
      </c>
      <c r="L14" s="55">
        <v>23.92</v>
      </c>
      <c r="M14" s="55">
        <v>90.52</v>
      </c>
      <c r="N14" s="55">
        <v>56.5</v>
      </c>
      <c r="O14" s="55">
        <v>0</v>
      </c>
      <c r="P14" s="55">
        <v>0.56999999999999995</v>
      </c>
      <c r="Q14" s="55">
        <v>22.10</v>
      </c>
      <c r="R14" s="43"/>
      <c r="S14" s="43"/>
      <c r="T14" s="43"/>
      <c r="U14" s="43"/>
    </row>
    <row r="15" spans="1:21" s="11" customFormat="1" ht="15">
      <c r="A15" s="54" t="s">
        <v>116</v>
      </c>
      <c r="B15" s="55">
        <v>17.989999999999998</v>
      </c>
      <c r="C15" s="55">
        <v>17.43</v>
      </c>
      <c r="D15" s="55">
        <v>24.69</v>
      </c>
      <c r="E15" s="55">
        <v>2.2200000000000002</v>
      </c>
      <c r="F15" s="55">
        <v>5.99</v>
      </c>
      <c r="G15" s="56" t="s">
        <v>15</v>
      </c>
      <c r="H15" s="56" t="s">
        <v>15</v>
      </c>
      <c r="I15" s="57" t="s">
        <v>8</v>
      </c>
      <c r="J15" s="55">
        <v>0.34</v>
      </c>
      <c r="K15" s="55">
        <v>223.18</v>
      </c>
      <c r="L15" s="55">
        <v>24.88</v>
      </c>
      <c r="M15" s="55">
        <v>89.35</v>
      </c>
      <c r="N15" s="55">
        <v>94.70</v>
      </c>
      <c r="O15" s="55">
        <v>0</v>
      </c>
      <c r="P15" s="55">
        <v>0.57999999999999996</v>
      </c>
      <c r="Q15" s="55">
        <v>22.10</v>
      </c>
      <c r="R15" s="43"/>
      <c r="S15" s="43"/>
      <c r="T15" s="43"/>
      <c r="U15" s="43"/>
    </row>
    <row r="16" spans="1:21" s="11" customFormat="1" ht="15">
      <c r="A16" s="54" t="s">
        <v>117</v>
      </c>
      <c r="B16" s="55">
        <v>24.04</v>
      </c>
      <c r="C16" s="55">
        <v>24.89</v>
      </c>
      <c r="D16" s="55">
        <v>33.659999999999997</v>
      </c>
      <c r="E16" s="55">
        <v>2.35</v>
      </c>
      <c r="F16" s="55">
        <v>9.19</v>
      </c>
      <c r="G16" s="56" t="s">
        <v>15</v>
      </c>
      <c r="H16" s="56" t="s">
        <v>15</v>
      </c>
      <c r="I16" s="57" t="s">
        <v>8</v>
      </c>
      <c r="J16" s="55">
        <v>0.10</v>
      </c>
      <c r="K16" s="55">
        <v>357.29</v>
      </c>
      <c r="L16" s="55">
        <v>26.18</v>
      </c>
      <c r="M16" s="55">
        <v>82.51</v>
      </c>
      <c r="N16" s="55">
        <v>120.40</v>
      </c>
      <c r="O16" s="55">
        <v>0</v>
      </c>
      <c r="P16" s="55">
        <v>0.70</v>
      </c>
      <c r="Q16" s="55">
        <v>20.72</v>
      </c>
      <c r="R16" s="43"/>
      <c r="S16" s="43"/>
      <c r="T16" s="43"/>
      <c r="U16" s="43"/>
    </row>
    <row r="17" spans="1:21" s="11" customFormat="1" ht="15">
      <c r="A17" s="54" t="s">
        <v>118</v>
      </c>
      <c r="B17" s="55">
        <v>19.670000000000002</v>
      </c>
      <c r="C17" s="55">
        <v>26.05</v>
      </c>
      <c r="D17" s="55">
        <v>30.79</v>
      </c>
      <c r="E17" s="55">
        <v>3.40</v>
      </c>
      <c r="F17" s="55">
        <v>12.44</v>
      </c>
      <c r="G17" s="56" t="s">
        <v>15</v>
      </c>
      <c r="H17" s="56" t="s">
        <v>15</v>
      </c>
      <c r="I17" s="57" t="s">
        <v>8</v>
      </c>
      <c r="J17" s="55">
        <v>0.35</v>
      </c>
      <c r="K17" s="55">
        <v>254.42</v>
      </c>
      <c r="L17" s="55">
        <v>25.96</v>
      </c>
      <c r="M17" s="55">
        <v>79.900000000000006</v>
      </c>
      <c r="N17" s="55">
        <v>205.60</v>
      </c>
      <c r="O17" s="55">
        <v>0</v>
      </c>
      <c r="P17" s="55">
        <v>0.77</v>
      </c>
      <c r="Q17" s="55">
        <v>22.66</v>
      </c>
      <c r="R17" s="43"/>
      <c r="S17" s="43"/>
      <c r="T17" s="43"/>
      <c r="U17" s="43"/>
    </row>
    <row r="18" spans="1:21" s="11" customFormat="1" ht="15">
      <c r="A18" s="54" t="s">
        <v>119</v>
      </c>
      <c r="B18" s="55">
        <v>21.68</v>
      </c>
      <c r="C18" s="55">
        <v>22.85</v>
      </c>
      <c r="D18" s="55">
        <v>30.64</v>
      </c>
      <c r="E18" s="55">
        <v>3.45</v>
      </c>
      <c r="F18" s="55">
        <v>6.58</v>
      </c>
      <c r="G18" s="56" t="s">
        <v>15</v>
      </c>
      <c r="H18" s="56" t="s">
        <v>15</v>
      </c>
      <c r="I18" s="57" t="s">
        <v>8</v>
      </c>
      <c r="J18" s="55">
        <v>0.5</v>
      </c>
      <c r="K18" s="55">
        <v>350.20</v>
      </c>
      <c r="L18" s="55">
        <v>28.95</v>
      </c>
      <c r="M18" s="55">
        <v>75.28</v>
      </c>
      <c r="N18" s="55">
        <v>381.60</v>
      </c>
      <c r="O18" s="55">
        <v>0</v>
      </c>
      <c r="P18" s="55">
        <v>0.92</v>
      </c>
      <c r="Q18" s="55">
        <v>22.36</v>
      </c>
      <c r="R18" s="43"/>
      <c r="S18" s="43"/>
      <c r="T18" s="43"/>
      <c r="U18" s="43"/>
    </row>
    <row r="19" spans="1:21" s="11" customFormat="1" ht="15">
      <c r="A19" s="54" t="s">
        <v>120</v>
      </c>
      <c r="B19" s="55">
        <v>20.18</v>
      </c>
      <c r="C19" s="55">
        <v>24.11</v>
      </c>
      <c r="D19" s="55">
        <v>30.02</v>
      </c>
      <c r="E19" s="55">
        <v>3.10</v>
      </c>
      <c r="F19" s="55">
        <v>15.84</v>
      </c>
      <c r="G19" s="56" t="s">
        <v>15</v>
      </c>
      <c r="H19" s="56" t="s">
        <v>15</v>
      </c>
      <c r="I19" s="57" t="s">
        <v>8</v>
      </c>
      <c r="J19" s="55">
        <v>0.37</v>
      </c>
      <c r="K19" s="55">
        <v>359.47</v>
      </c>
      <c r="L19" s="55">
        <v>33.10</v>
      </c>
      <c r="M19" s="55">
        <v>64.73</v>
      </c>
      <c r="N19" s="55">
        <v>846.90</v>
      </c>
      <c r="O19" s="55">
        <v>0</v>
      </c>
      <c r="P19" s="55">
        <v>1.02</v>
      </c>
      <c r="Q19" s="55">
        <v>21.25</v>
      </c>
      <c r="R19" s="43"/>
      <c r="S19" s="43"/>
      <c r="T19" s="43"/>
      <c r="U19" s="43"/>
    </row>
    <row r="20" spans="1:21" s="11" customFormat="1" ht="15">
      <c r="A20" s="54" t="s">
        <v>121</v>
      </c>
      <c r="B20" s="55">
        <v>19.18</v>
      </c>
      <c r="C20" s="55">
        <v>23.01</v>
      </c>
      <c r="D20" s="55">
        <v>28.73</v>
      </c>
      <c r="E20" s="55">
        <v>3.17</v>
      </c>
      <c r="F20" s="55">
        <v>19.32</v>
      </c>
      <c r="G20" s="56" t="s">
        <v>15</v>
      </c>
      <c r="H20" s="56" t="s">
        <v>15</v>
      </c>
      <c r="I20" s="57" t="s">
        <v>8</v>
      </c>
      <c r="J20" s="55">
        <v>0.56000000000000005</v>
      </c>
      <c r="K20" s="55">
        <v>354.33</v>
      </c>
      <c r="L20" s="55">
        <v>34.56</v>
      </c>
      <c r="M20" s="55">
        <v>54.82</v>
      </c>
      <c r="N20" s="55">
        <v>908.30</v>
      </c>
      <c r="O20" s="55">
        <v>0</v>
      </c>
      <c r="P20" s="55">
        <v>1.04</v>
      </c>
      <c r="Q20" s="55">
        <v>21.41</v>
      </c>
      <c r="R20" s="43"/>
      <c r="S20" s="43"/>
      <c r="T20" s="43"/>
      <c r="U20" s="43"/>
    </row>
    <row r="21" spans="1:21" s="11" customFormat="1" ht="15">
      <c r="A21" s="54" t="s">
        <v>122</v>
      </c>
      <c r="B21" s="55">
        <v>13.72</v>
      </c>
      <c r="C21" s="55">
        <v>23.27</v>
      </c>
      <c r="D21" s="55">
        <v>23.21</v>
      </c>
      <c r="E21" s="55">
        <v>2.79</v>
      </c>
      <c r="F21" s="55">
        <v>23.82</v>
      </c>
      <c r="G21" s="56" t="s">
        <v>15</v>
      </c>
      <c r="H21" s="56" t="s">
        <v>15</v>
      </c>
      <c r="I21" s="57" t="s">
        <v>8</v>
      </c>
      <c r="J21" s="55">
        <v>0.48</v>
      </c>
      <c r="K21" s="55">
        <v>337.73</v>
      </c>
      <c r="L21" s="55">
        <v>32.54</v>
      </c>
      <c r="M21" s="55">
        <v>54.18</v>
      </c>
      <c r="N21" s="55">
        <v>814.60</v>
      </c>
      <c r="O21" s="55">
        <v>0</v>
      </c>
      <c r="P21" s="55">
        <v>0.97</v>
      </c>
      <c r="Q21" s="55">
        <v>19.55</v>
      </c>
      <c r="R21" s="43"/>
      <c r="S21" s="43"/>
      <c r="T21" s="43"/>
      <c r="U21" s="43"/>
    </row>
    <row r="22" spans="1:21" s="11" customFormat="1" ht="15">
      <c r="A22" s="54" t="s">
        <v>123</v>
      </c>
      <c r="B22" s="55">
        <v>6.79</v>
      </c>
      <c r="C22" s="55">
        <v>25.37</v>
      </c>
      <c r="D22" s="55">
        <v>19.80</v>
      </c>
      <c r="E22" s="55">
        <v>2.44</v>
      </c>
      <c r="F22" s="55">
        <v>33.19</v>
      </c>
      <c r="G22" s="56" t="s">
        <v>15</v>
      </c>
      <c r="H22" s="56" t="s">
        <v>15</v>
      </c>
      <c r="I22" s="57" t="s">
        <v>8</v>
      </c>
      <c r="J22" s="55">
        <v>0.26</v>
      </c>
      <c r="K22" s="55">
        <v>290.04000000000002</v>
      </c>
      <c r="L22" s="55">
        <v>32.61</v>
      </c>
      <c r="M22" s="55">
        <v>54.17</v>
      </c>
      <c r="N22" s="55">
        <v>630.90</v>
      </c>
      <c r="O22" s="55">
        <v>0</v>
      </c>
      <c r="P22" s="55">
        <v>0.78</v>
      </c>
      <c r="Q22" s="55">
        <v>14.62</v>
      </c>
      <c r="R22" s="43"/>
      <c r="S22" s="43"/>
      <c r="T22" s="43"/>
      <c r="U22" s="43"/>
    </row>
    <row r="23" spans="1:21" s="11" customFormat="1" ht="15">
      <c r="A23" s="54" t="s">
        <v>124</v>
      </c>
      <c r="B23" s="55">
        <v>4.95</v>
      </c>
      <c r="C23" s="55">
        <v>19.03</v>
      </c>
      <c r="D23" s="55">
        <v>15.12</v>
      </c>
      <c r="E23" s="55">
        <v>3.01</v>
      </c>
      <c r="F23" s="55">
        <v>22.05</v>
      </c>
      <c r="G23" s="56" t="s">
        <v>15</v>
      </c>
      <c r="H23" s="56" t="s">
        <v>15</v>
      </c>
      <c r="I23" s="57" t="s">
        <v>8</v>
      </c>
      <c r="J23" s="55">
        <v>1.08</v>
      </c>
      <c r="K23" s="55">
        <v>191.19</v>
      </c>
      <c r="L23" s="55">
        <v>30.94</v>
      </c>
      <c r="M23" s="55">
        <v>58.44</v>
      </c>
      <c r="N23" s="55">
        <v>478.5</v>
      </c>
      <c r="O23" s="55">
        <v>0</v>
      </c>
      <c r="P23" s="55">
        <v>0.70</v>
      </c>
      <c r="Q23" s="55">
        <v>15.68</v>
      </c>
      <c r="R23" s="43"/>
      <c r="S23" s="43"/>
      <c r="T23" s="43"/>
      <c r="U23" s="43"/>
    </row>
    <row r="24" spans="1:21" s="11" customFormat="1" ht="15">
      <c r="A24" s="54" t="s">
        <v>125</v>
      </c>
      <c r="B24" s="55">
        <v>4.29</v>
      </c>
      <c r="C24" s="55">
        <v>17.739999999999998</v>
      </c>
      <c r="D24" s="55">
        <v>13.88</v>
      </c>
      <c r="E24" s="55">
        <v>2.54</v>
      </c>
      <c r="F24" s="55">
        <v>15.97</v>
      </c>
      <c r="G24" s="56" t="s">
        <v>15</v>
      </c>
      <c r="H24" s="56" t="s">
        <v>15</v>
      </c>
      <c r="I24" s="57" t="s">
        <v>8</v>
      </c>
      <c r="J24" s="55">
        <v>1.25</v>
      </c>
      <c r="K24" s="55">
        <v>184.26</v>
      </c>
      <c r="L24" s="55">
        <v>30.79</v>
      </c>
      <c r="M24" s="55">
        <v>58.52</v>
      </c>
      <c r="N24" s="55">
        <v>292.5</v>
      </c>
      <c r="O24" s="55">
        <v>0</v>
      </c>
      <c r="P24" s="55">
        <v>0.65</v>
      </c>
      <c r="Q24" s="55">
        <v>13.62</v>
      </c>
      <c r="R24" s="43"/>
      <c r="S24" s="43"/>
      <c r="T24" s="43"/>
      <c r="U24" s="43"/>
    </row>
    <row r="25" spans="1:21" s="11" customFormat="1" ht="15">
      <c r="A25" s="54" t="s">
        <v>126</v>
      </c>
      <c r="B25" s="55">
        <v>5.19</v>
      </c>
      <c r="C25" s="55">
        <v>20.78</v>
      </c>
      <c r="D25" s="55">
        <v>16.27</v>
      </c>
      <c r="E25" s="55">
        <v>2.2799999999999998</v>
      </c>
      <c r="F25" s="55">
        <v>44.08</v>
      </c>
      <c r="G25" s="56" t="s">
        <v>15</v>
      </c>
      <c r="H25" s="56" t="s">
        <v>15</v>
      </c>
      <c r="I25" s="57" t="s">
        <v>8</v>
      </c>
      <c r="J25" s="55">
        <v>0.94</v>
      </c>
      <c r="K25" s="55">
        <v>176.78</v>
      </c>
      <c r="L25" s="55">
        <v>30.75</v>
      </c>
      <c r="M25" s="55">
        <v>57.23</v>
      </c>
      <c r="N25" s="55">
        <v>214.90</v>
      </c>
      <c r="O25" s="55">
        <v>0</v>
      </c>
      <c r="P25" s="55">
        <v>0.59</v>
      </c>
      <c r="Q25" s="55">
        <v>13.51</v>
      </c>
      <c r="R25" s="43"/>
      <c r="S25" s="43"/>
      <c r="T25" s="43"/>
      <c r="U25" s="43"/>
    </row>
    <row r="26" spans="1:21" s="11" customFormat="1" ht="15">
      <c r="A26" s="54" t="s">
        <v>127</v>
      </c>
      <c r="B26" s="55">
        <v>5.5</v>
      </c>
      <c r="C26" s="55">
        <v>23.47</v>
      </c>
      <c r="D26" s="55">
        <v>18</v>
      </c>
      <c r="E26" s="55">
        <v>2.73</v>
      </c>
      <c r="F26" s="55">
        <v>37.99</v>
      </c>
      <c r="G26" s="56" t="s">
        <v>15</v>
      </c>
      <c r="H26" s="56" t="s">
        <v>15</v>
      </c>
      <c r="I26" s="57" t="s">
        <v>8</v>
      </c>
      <c r="J26" s="55">
        <v>0.79</v>
      </c>
      <c r="K26" s="55">
        <v>179.65</v>
      </c>
      <c r="L26" s="55">
        <v>30.55</v>
      </c>
      <c r="M26" s="55">
        <v>57.66</v>
      </c>
      <c r="N26" s="55">
        <v>155.5</v>
      </c>
      <c r="O26" s="55">
        <v>0</v>
      </c>
      <c r="P26" s="55">
        <v>0.56999999999999995</v>
      </c>
      <c r="Q26" s="55">
        <v>15.97</v>
      </c>
      <c r="R26" s="43"/>
      <c r="S26" s="43"/>
      <c r="T26" s="43"/>
      <c r="U26" s="43"/>
    </row>
    <row r="27" spans="1:21" s="11" customFormat="1" ht="15">
      <c r="A27" s="54" t="s">
        <v>128</v>
      </c>
      <c r="B27" s="55">
        <v>4.68</v>
      </c>
      <c r="C27" s="55">
        <v>34.31</v>
      </c>
      <c r="D27" s="55">
        <v>22.85</v>
      </c>
      <c r="E27" s="55">
        <v>3.47</v>
      </c>
      <c r="F27" s="55">
        <v>43.72</v>
      </c>
      <c r="G27" s="56" t="s">
        <v>15</v>
      </c>
      <c r="H27" s="56" t="s">
        <v>15</v>
      </c>
      <c r="I27" s="57" t="s">
        <v>8</v>
      </c>
      <c r="J27" s="55">
        <v>0.70</v>
      </c>
      <c r="K27" s="55">
        <v>254.34</v>
      </c>
      <c r="L27" s="55">
        <v>30.14</v>
      </c>
      <c r="M27" s="55">
        <v>61.22</v>
      </c>
      <c r="N27" s="55">
        <v>83.80</v>
      </c>
      <c r="O27" s="55">
        <v>0</v>
      </c>
      <c r="P27" s="55">
        <v>0.64</v>
      </c>
      <c r="Q27" s="55">
        <v>13.72</v>
      </c>
      <c r="R27" s="43"/>
      <c r="S27" s="43"/>
      <c r="T27" s="43"/>
      <c r="U27" s="43"/>
    </row>
    <row r="28" spans="1:21" s="11" customFormat="1" ht="15">
      <c r="A28" s="54" t="s">
        <v>129</v>
      </c>
      <c r="B28" s="55">
        <v>8.59</v>
      </c>
      <c r="C28" s="55">
        <v>47.30</v>
      </c>
      <c r="D28" s="55">
        <v>33.64</v>
      </c>
      <c r="E28" s="55">
        <v>4.09</v>
      </c>
      <c r="F28" s="55">
        <v>40.53</v>
      </c>
      <c r="G28" s="56" t="s">
        <v>15</v>
      </c>
      <c r="H28" s="56" t="s">
        <v>15</v>
      </c>
      <c r="I28" s="55">
        <v>2.72</v>
      </c>
      <c r="J28" s="55">
        <v>0.64</v>
      </c>
      <c r="K28" s="55">
        <v>178.76</v>
      </c>
      <c r="L28" s="55">
        <v>29.47</v>
      </c>
      <c r="M28" s="55">
        <v>66.209999999999994</v>
      </c>
      <c r="N28" s="55">
        <v>60.30</v>
      </c>
      <c r="O28" s="55">
        <v>0</v>
      </c>
      <c r="P28" s="55">
        <v>0.76</v>
      </c>
      <c r="Q28" s="55">
        <v>18.53</v>
      </c>
      <c r="R28" s="43"/>
      <c r="S28" s="43"/>
      <c r="T28" s="43"/>
      <c r="U28" s="43"/>
    </row>
    <row r="29" spans="1:21" s="11" customFormat="1" ht="15">
      <c r="A29" s="54" t="s">
        <v>130</v>
      </c>
      <c r="B29" s="55">
        <v>6.92</v>
      </c>
      <c r="C29" s="55">
        <v>37.5</v>
      </c>
      <c r="D29" s="55">
        <v>26.75</v>
      </c>
      <c r="E29" s="55">
        <v>3.12</v>
      </c>
      <c r="F29" s="55">
        <v>27.40</v>
      </c>
      <c r="G29" s="56" t="s">
        <v>15</v>
      </c>
      <c r="H29" s="56" t="s">
        <v>15</v>
      </c>
      <c r="I29" s="55">
        <v>3.82</v>
      </c>
      <c r="J29" s="55">
        <v>0.47</v>
      </c>
      <c r="K29" s="55">
        <v>194.47</v>
      </c>
      <c r="L29" s="55">
        <v>28.91</v>
      </c>
      <c r="M29" s="55">
        <v>68.400000000000006</v>
      </c>
      <c r="N29" s="55">
        <v>57.60</v>
      </c>
      <c r="O29" s="55">
        <v>0</v>
      </c>
      <c r="P29" s="55">
        <v>0.78</v>
      </c>
      <c r="Q29" s="55">
        <v>11.99</v>
      </c>
      <c r="R29" s="43"/>
      <c r="S29" s="43"/>
      <c r="T29" s="43"/>
      <c r="U29" s="43"/>
    </row>
    <row r="30" spans="1:21" s="11" customFormat="1" ht="15">
      <c r="A30" s="54" t="s">
        <v>131</v>
      </c>
      <c r="B30" s="55">
        <v>14.82</v>
      </c>
      <c r="C30" s="55">
        <v>32.799999999999997</v>
      </c>
      <c r="D30" s="55">
        <v>30.60</v>
      </c>
      <c r="E30" s="55">
        <v>2.57</v>
      </c>
      <c r="F30" s="55">
        <v>19.41</v>
      </c>
      <c r="G30" s="56" t="s">
        <v>15</v>
      </c>
      <c r="H30" s="56" t="s">
        <v>15</v>
      </c>
      <c r="I30" s="55">
        <v>4.0599999999999996</v>
      </c>
      <c r="J30" s="55">
        <v>0.63</v>
      </c>
      <c r="K30" s="55">
        <v>179.06</v>
      </c>
      <c r="L30" s="55">
        <v>28.5</v>
      </c>
      <c r="M30" s="55">
        <v>69.47</v>
      </c>
      <c r="N30" s="55">
        <v>57.20</v>
      </c>
      <c r="O30" s="55">
        <v>0</v>
      </c>
      <c r="P30" s="55">
        <v>0.81</v>
      </c>
      <c r="Q30" s="55">
        <v>12.26</v>
      </c>
      <c r="R30" s="43"/>
      <c r="S30" s="43"/>
      <c r="T30" s="43"/>
      <c r="U30" s="43"/>
    </row>
    <row r="31" spans="1:21" s="11" customFormat="1" ht="15">
      <c r="A31" s="54" t="s">
        <v>132</v>
      </c>
      <c r="B31" s="55">
        <v>10.84</v>
      </c>
      <c r="C31" s="55">
        <v>37.75</v>
      </c>
      <c r="D31" s="55">
        <v>29.42</v>
      </c>
      <c r="E31" s="55">
        <v>3.02</v>
      </c>
      <c r="F31" s="55">
        <v>28.93</v>
      </c>
      <c r="G31" s="56" t="s">
        <v>15</v>
      </c>
      <c r="H31" s="56" t="s">
        <v>15</v>
      </c>
      <c r="I31" s="55">
        <v>3.86</v>
      </c>
      <c r="J31" s="55">
        <v>0.47</v>
      </c>
      <c r="K31" s="55">
        <v>341.71</v>
      </c>
      <c r="L31" s="55">
        <v>28.25</v>
      </c>
      <c r="M31" s="55">
        <v>74.86</v>
      </c>
      <c r="N31" s="55">
        <v>57.5</v>
      </c>
      <c r="O31" s="55">
        <v>0</v>
      </c>
      <c r="P31" s="55">
        <v>0.80</v>
      </c>
      <c r="Q31" s="55">
        <v>15.44</v>
      </c>
      <c r="R31" s="43"/>
      <c r="S31" s="43"/>
      <c r="T31" s="43"/>
      <c r="U31" s="43"/>
    </row>
    <row r="32" spans="1:21" s="11" customFormat="1" ht="15">
      <c r="A32" s="54" t="s">
        <v>133</v>
      </c>
      <c r="B32" s="55">
        <v>6.94</v>
      </c>
      <c r="C32" s="55">
        <v>32.96</v>
      </c>
      <c r="D32" s="55">
        <v>23.72</v>
      </c>
      <c r="E32" s="55">
        <v>2.83</v>
      </c>
      <c r="F32" s="55">
        <v>26.16</v>
      </c>
      <c r="G32" s="56" t="s">
        <v>15</v>
      </c>
      <c r="H32" s="56" t="s">
        <v>15</v>
      </c>
      <c r="I32" s="55">
        <v>4.1100000000000003</v>
      </c>
      <c r="J32" s="55">
        <v>0.25</v>
      </c>
      <c r="K32" s="55">
        <v>199.88</v>
      </c>
      <c r="L32" s="55">
        <v>27.56</v>
      </c>
      <c r="M32" s="55">
        <v>79.53</v>
      </c>
      <c r="N32" s="55">
        <v>57.30</v>
      </c>
      <c r="O32" s="55">
        <v>0</v>
      </c>
      <c r="P32" s="55">
        <v>0.78</v>
      </c>
      <c r="Q32" s="55">
        <v>16.46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4.29</v>
      </c>
      <c r="C34" s="28">
        <f t="shared" si="0"/>
        <v>13.800000000000001</v>
      </c>
      <c r="D34" s="28">
        <f t="shared" si="0"/>
        <v>13.880000000000001</v>
      </c>
      <c r="E34" s="28">
        <f t="shared" si="0"/>
        <v>1.8799999999999999</v>
      </c>
      <c r="F34" s="28">
        <f t="shared" si="0"/>
        <v>5.9900000000000002</v>
      </c>
      <c r="G34" s="28">
        <f t="shared" si="0"/>
        <v>0</v>
      </c>
      <c r="H34" s="28">
        <f t="shared" si="0"/>
        <v>0</v>
      </c>
      <c r="I34" s="28">
        <f t="shared" si="0"/>
        <v>2.7200000000000002</v>
      </c>
      <c r="J34" s="28">
        <f t="shared" si="0"/>
        <v>0.10000000000000001</v>
      </c>
      <c r="K34" s="28">
        <f t="shared" si="0"/>
        <v>176.78</v>
      </c>
      <c r="L34" s="28">
        <f t="shared" si="0"/>
        <v>23.920000000000002</v>
      </c>
      <c r="M34" s="28">
        <f t="shared" si="0"/>
        <v>54.170000000000002</v>
      </c>
      <c r="N34" s="28">
        <f t="shared" si="0"/>
        <v>33.100000000000001</v>
      </c>
      <c r="O34" s="28">
        <f t="shared" si="0"/>
        <v>0</v>
      </c>
      <c r="P34" s="28">
        <f t="shared" si="0"/>
        <v>0.56999999999999995</v>
      </c>
      <c r="Q34" s="28">
        <f t="shared" si="0"/>
        <v>11.99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24.039999999999999</v>
      </c>
      <c r="C35" s="29">
        <f t="shared" si="1"/>
        <v>47.299999999999997</v>
      </c>
      <c r="D35" s="29">
        <f t="shared" si="1"/>
        <v>33.659999999999997</v>
      </c>
      <c r="E35" s="29">
        <f t="shared" si="1"/>
        <v>4.0899999999999999</v>
      </c>
      <c r="F35" s="29">
        <f t="shared" si="1"/>
        <v>44.079999999999998</v>
      </c>
      <c r="G35" s="29">
        <f t="shared" si="1"/>
        <v>0</v>
      </c>
      <c r="H35" s="29">
        <f t="shared" si="1"/>
        <v>0</v>
      </c>
      <c r="I35" s="29">
        <f t="shared" si="1"/>
        <v>4.1100000000000003</v>
      </c>
      <c r="J35" s="29">
        <f t="shared" si="1"/>
        <v>1.25</v>
      </c>
      <c r="K35" s="29">
        <f t="shared" si="1"/>
        <v>359.47000000000003</v>
      </c>
      <c r="L35" s="29">
        <f t="shared" si="1"/>
        <v>34.560000000000002</v>
      </c>
      <c r="M35" s="29">
        <f t="shared" si="1"/>
        <v>90.519999999999996</v>
      </c>
      <c r="N35" s="29">
        <f t="shared" si="1"/>
        <v>908.29999999999995</v>
      </c>
      <c r="O35" s="29">
        <f t="shared" si="1"/>
        <v>0</v>
      </c>
      <c r="P35" s="29">
        <f t="shared" si="1"/>
        <v>1.04</v>
      </c>
      <c r="Q35" s="29">
        <f t="shared" si="1"/>
        <v>22.66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11.686249999999999</v>
      </c>
      <c r="C36" s="28">
        <f t="shared" si="2"/>
        <v>24.424583333333331</v>
      </c>
      <c r="D36" s="28">
        <f t="shared" si="2"/>
        <v>23.12125</v>
      </c>
      <c r="E36" s="28">
        <f t="shared" si="2"/>
        <v>2.8241666666666663</v>
      </c>
      <c r="F36" s="28">
        <f t="shared" si="2"/>
        <v>21.170833333333331</v>
      </c>
      <c r="G36" s="28" t="e">
        <f t="shared" si="2"/>
        <v>#DIV/0!</v>
      </c>
      <c r="H36" s="28" t="e">
        <f t="shared" si="2"/>
        <v>#DIV/0!</v>
      </c>
      <c r="I36" s="28">
        <f t="shared" si="2"/>
        <v>3.714</v>
      </c>
      <c r="J36" s="28">
        <f t="shared" si="2"/>
        <v>0.47625000000000006</v>
      </c>
      <c r="K36" s="28">
        <f t="shared" si="2"/>
        <v>263.47750000000002</v>
      </c>
      <c r="L36" s="28">
        <f t="shared" si="2"/>
        <v>28.370833333333334</v>
      </c>
      <c r="M36" s="28">
        <f t="shared" si="2"/>
        <v>72.302083333333343</v>
      </c>
      <c r="N36" s="28">
        <f t="shared" si="2"/>
        <v>239.27500000000001</v>
      </c>
      <c r="O36" s="28">
        <f t="shared" si="2"/>
        <v>0</v>
      </c>
      <c r="P36" s="28">
        <f t="shared" si="2"/>
        <v>0.7466666666666667</v>
      </c>
      <c r="Q36" s="28">
        <f t="shared" si="2"/>
        <v>17.952083333333334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5.9666339010111651</v>
      </c>
      <c r="C37" s="28">
        <f t="shared" si="3" ref="C37:Q37">STDEV(C9:C32)</f>
        <v>8.6157979161470717</v>
      </c>
      <c r="D37" s="28">
        <f t="shared" si="3"/>
        <v>6.5270249648139451</v>
      </c>
      <c r="E37" s="28">
        <f t="shared" si="3"/>
        <v>0.48993270759464297</v>
      </c>
      <c r="F37" s="28">
        <f t="shared" si="3"/>
        <v>11.764452690263555</v>
      </c>
      <c r="G37" s="28" t="e">
        <f t="shared" si="3"/>
        <v>#DIV/0!</v>
      </c>
      <c r="H37" s="28" t="e">
        <f t="shared" si="3"/>
        <v>#DIV/0!</v>
      </c>
      <c r="I37" s="28">
        <f t="shared" si="3"/>
        <v>0.5694558806439689</v>
      </c>
      <c r="J37" s="28">
        <f t="shared" si="3"/>
        <v>0.30447120946208417</v>
      </c>
      <c r="K37" s="28">
        <f t="shared" si="3"/>
        <v>72.451060078660817</v>
      </c>
      <c r="L37" s="28">
        <f t="shared" si="3"/>
        <v>3.2577558515649732</v>
      </c>
      <c r="M37" s="28">
        <f t="shared" si="3"/>
        <v>13.289982163486746</v>
      </c>
      <c r="N37" s="28">
        <f t="shared" si="3"/>
        <v>284.27679752082412</v>
      </c>
      <c r="O37" s="28">
        <f t="shared" si="3"/>
        <v>0</v>
      </c>
      <c r="P37" s="28">
        <f t="shared" si="3"/>
        <v>0.13672144536680492</v>
      </c>
      <c r="Q37" s="28">
        <f t="shared" si="3"/>
        <v>3.5079883733467812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>COUNT(I9:I32)+19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802b9b-99cb-49ab-9e74-2c092d144cf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134</v>
      </c>
      <c r="B9" s="55">
        <v>6.73</v>
      </c>
      <c r="C9" s="55">
        <v>17.23</v>
      </c>
      <c r="D9" s="55">
        <v>15.23</v>
      </c>
      <c r="E9" s="55">
        <v>1.66</v>
      </c>
      <c r="F9" s="55">
        <v>22.51</v>
      </c>
      <c r="G9" s="56" t="s">
        <v>15</v>
      </c>
      <c r="H9" s="56" t="s">
        <v>15</v>
      </c>
      <c r="I9" s="55">
        <v>4.12</v>
      </c>
      <c r="J9" s="55">
        <v>0.53</v>
      </c>
      <c r="K9" s="55">
        <v>186.20</v>
      </c>
      <c r="L9" s="55">
        <v>27.38</v>
      </c>
      <c r="M9" s="55">
        <v>80.28</v>
      </c>
      <c r="N9" s="55">
        <v>57.80</v>
      </c>
      <c r="O9" s="55">
        <v>0</v>
      </c>
      <c r="P9" s="55">
        <v>0.74</v>
      </c>
      <c r="Q9" s="55">
        <v>14.62</v>
      </c>
      <c r="R9" s="43"/>
      <c r="S9" s="43"/>
      <c r="T9" s="43"/>
      <c r="U9" s="43"/>
    </row>
    <row r="10" spans="1:21" s="11" customFormat="1" ht="15">
      <c r="A10" s="54" t="s">
        <v>135</v>
      </c>
      <c r="B10" s="55">
        <v>5.54</v>
      </c>
      <c r="C10" s="55">
        <v>14.81</v>
      </c>
      <c r="D10" s="55">
        <v>13</v>
      </c>
      <c r="E10" s="55">
        <v>1.60</v>
      </c>
      <c r="F10" s="55">
        <v>30.99</v>
      </c>
      <c r="G10" s="56" t="s">
        <v>15</v>
      </c>
      <c r="H10" s="56" t="s">
        <v>15</v>
      </c>
      <c r="I10" s="55">
        <v>3.85</v>
      </c>
      <c r="J10" s="55">
        <v>0.56000000000000005</v>
      </c>
      <c r="K10" s="55">
        <v>198.13</v>
      </c>
      <c r="L10" s="55">
        <v>27.23</v>
      </c>
      <c r="M10" s="55">
        <v>78.47</v>
      </c>
      <c r="N10" s="55">
        <v>57.60</v>
      </c>
      <c r="O10" s="55">
        <v>0</v>
      </c>
      <c r="P10" s="55">
        <v>0.65</v>
      </c>
      <c r="Q10" s="55">
        <v>17.600000000000001</v>
      </c>
      <c r="R10" s="43"/>
      <c r="S10" s="43"/>
      <c r="T10" s="43"/>
      <c r="U10" s="43"/>
    </row>
    <row r="11" spans="1:21" s="11" customFormat="1" ht="15">
      <c r="A11" s="54" t="s">
        <v>136</v>
      </c>
      <c r="B11" s="55">
        <v>5.52</v>
      </c>
      <c r="C11" s="55">
        <v>17.75</v>
      </c>
      <c r="D11" s="55">
        <v>14.80</v>
      </c>
      <c r="E11" s="55">
        <v>1.61</v>
      </c>
      <c r="F11" s="55">
        <v>27.60</v>
      </c>
      <c r="G11" s="56" t="s">
        <v>15</v>
      </c>
      <c r="H11" s="56" t="s">
        <v>15</v>
      </c>
      <c r="I11" s="55">
        <v>3.99</v>
      </c>
      <c r="J11" s="55">
        <v>0.37</v>
      </c>
      <c r="K11" s="55">
        <v>205.42</v>
      </c>
      <c r="L11" s="55">
        <v>26.90</v>
      </c>
      <c r="M11" s="55">
        <v>80.099999999999994</v>
      </c>
      <c r="N11" s="55">
        <v>57.80</v>
      </c>
      <c r="O11" s="55">
        <v>0</v>
      </c>
      <c r="P11" s="55">
        <v>0.61</v>
      </c>
      <c r="Q11" s="55">
        <v>18.32</v>
      </c>
      <c r="R11" s="43"/>
      <c r="S11" s="43"/>
      <c r="T11" s="43"/>
      <c r="U11" s="43"/>
    </row>
    <row r="12" spans="1:21" s="11" customFormat="1" ht="15">
      <c r="A12" s="54" t="s">
        <v>137</v>
      </c>
      <c r="B12" s="55">
        <v>11.93</v>
      </c>
      <c r="C12" s="55">
        <v>28.20</v>
      </c>
      <c r="D12" s="55">
        <v>25.78</v>
      </c>
      <c r="E12" s="55">
        <v>2.06</v>
      </c>
      <c r="F12" s="55">
        <v>20.190000000000001</v>
      </c>
      <c r="G12" s="56" t="s">
        <v>15</v>
      </c>
      <c r="H12" s="56" t="s">
        <v>15</v>
      </c>
      <c r="I12" s="55">
        <v>3.70</v>
      </c>
      <c r="J12" s="55">
        <v>0.14000000000000001</v>
      </c>
      <c r="K12" s="55">
        <v>355.18</v>
      </c>
      <c r="L12" s="55">
        <v>26.44</v>
      </c>
      <c r="M12" s="55">
        <v>88.83</v>
      </c>
      <c r="N12" s="55">
        <v>58</v>
      </c>
      <c r="O12" s="55">
        <v>0</v>
      </c>
      <c r="P12" s="55">
        <v>0.56999999999999995</v>
      </c>
      <c r="Q12" s="55">
        <v>16.489999999999998</v>
      </c>
      <c r="R12" s="43"/>
      <c r="S12" s="43"/>
      <c r="T12" s="43"/>
      <c r="U12" s="43"/>
    </row>
    <row r="13" spans="1:21" s="11" customFormat="1" ht="15">
      <c r="A13" s="54" t="s">
        <v>138</v>
      </c>
      <c r="B13" s="55">
        <v>27.15</v>
      </c>
      <c r="C13" s="55">
        <v>36.229999999999997</v>
      </c>
      <c r="D13" s="55">
        <v>40.39</v>
      </c>
      <c r="E13" s="55">
        <v>2.13</v>
      </c>
      <c r="F13" s="55">
        <v>11.82</v>
      </c>
      <c r="G13" s="56" t="s">
        <v>15</v>
      </c>
      <c r="H13" s="56" t="s">
        <v>15</v>
      </c>
      <c r="I13" s="55">
        <v>3.41</v>
      </c>
      <c r="J13" s="55">
        <v>0.17</v>
      </c>
      <c r="K13" s="55">
        <v>351.60</v>
      </c>
      <c r="L13" s="55">
        <v>25.48</v>
      </c>
      <c r="M13" s="55">
        <v>90.59</v>
      </c>
      <c r="N13" s="55">
        <v>57.90</v>
      </c>
      <c r="O13" s="55">
        <v>0</v>
      </c>
      <c r="P13" s="55">
        <v>0.55000000000000004</v>
      </c>
      <c r="Q13" s="55">
        <v>19.559999999999999</v>
      </c>
      <c r="R13" s="43"/>
      <c r="S13" s="43"/>
      <c r="T13" s="43"/>
      <c r="U13" s="43"/>
    </row>
    <row r="14" spans="1:21" s="11" customFormat="1" ht="15">
      <c r="A14" s="54" t="s">
        <v>139</v>
      </c>
      <c r="B14" s="55">
        <v>9.9499999999999993</v>
      </c>
      <c r="C14" s="55">
        <v>36.47</v>
      </c>
      <c r="D14" s="55">
        <v>28.75</v>
      </c>
      <c r="E14" s="55">
        <v>2</v>
      </c>
      <c r="F14" s="55">
        <v>15.95</v>
      </c>
      <c r="G14" s="56" t="s">
        <v>15</v>
      </c>
      <c r="H14" s="56" t="s">
        <v>15</v>
      </c>
      <c r="I14" s="55">
        <v>4.18</v>
      </c>
      <c r="J14" s="55">
        <v>0.27</v>
      </c>
      <c r="K14" s="55">
        <v>315.24</v>
      </c>
      <c r="L14" s="55">
        <v>26.20</v>
      </c>
      <c r="M14" s="55">
        <v>87.70</v>
      </c>
      <c r="N14" s="55">
        <v>110.40</v>
      </c>
      <c r="O14" s="55">
        <v>0</v>
      </c>
      <c r="P14" s="55">
        <v>0.55000000000000004</v>
      </c>
      <c r="Q14" s="55">
        <v>20.49</v>
      </c>
      <c r="R14" s="43"/>
      <c r="S14" s="43"/>
      <c r="T14" s="43"/>
      <c r="U14" s="43"/>
    </row>
    <row r="15" spans="1:21" s="11" customFormat="1" ht="15">
      <c r="A15" s="54" t="s">
        <v>140</v>
      </c>
      <c r="B15" s="55">
        <v>10.10</v>
      </c>
      <c r="C15" s="55">
        <v>20.56</v>
      </c>
      <c r="D15" s="55">
        <v>20.09</v>
      </c>
      <c r="E15" s="55">
        <v>2.3199999999999998</v>
      </c>
      <c r="F15" s="55">
        <v>15.36</v>
      </c>
      <c r="G15" s="56" t="s">
        <v>15</v>
      </c>
      <c r="H15" s="56" t="s">
        <v>15</v>
      </c>
      <c r="I15" s="55">
        <v>4.49</v>
      </c>
      <c r="J15" s="55">
        <v>0.24</v>
      </c>
      <c r="K15" s="55">
        <v>327.45</v>
      </c>
      <c r="L15" s="55">
        <v>28.11</v>
      </c>
      <c r="M15" s="55">
        <v>83.38</v>
      </c>
      <c r="N15" s="55">
        <v>307.10000000000002</v>
      </c>
      <c r="O15" s="55">
        <v>0</v>
      </c>
      <c r="P15" s="55">
        <v>0.55000000000000004</v>
      </c>
      <c r="Q15" s="55">
        <v>18.97</v>
      </c>
      <c r="R15" s="43"/>
      <c r="S15" s="43"/>
      <c r="T15" s="43"/>
      <c r="U15" s="43"/>
    </row>
    <row r="16" spans="1:21" s="11" customFormat="1" ht="15">
      <c r="A16" s="54" t="s">
        <v>141</v>
      </c>
      <c r="B16" s="55">
        <v>11.04</v>
      </c>
      <c r="C16" s="55">
        <v>20.81</v>
      </c>
      <c r="D16" s="55">
        <v>20.98</v>
      </c>
      <c r="E16" s="55">
        <v>2.4900000000000002</v>
      </c>
      <c r="F16" s="55">
        <v>27.65</v>
      </c>
      <c r="G16" s="56" t="s">
        <v>15</v>
      </c>
      <c r="H16" s="56" t="s">
        <v>15</v>
      </c>
      <c r="I16" s="55">
        <v>4.6100000000000003</v>
      </c>
      <c r="J16" s="55">
        <v>0.69</v>
      </c>
      <c r="K16" s="55">
        <v>217.34</v>
      </c>
      <c r="L16" s="55">
        <v>29.73</v>
      </c>
      <c r="M16" s="55">
        <v>73.099999999999994</v>
      </c>
      <c r="N16" s="55">
        <v>484.30</v>
      </c>
      <c r="O16" s="55">
        <v>0</v>
      </c>
      <c r="P16" s="55">
        <v>0.56999999999999995</v>
      </c>
      <c r="Q16" s="55">
        <v>17.27</v>
      </c>
      <c r="R16" s="43"/>
      <c r="S16" s="43"/>
      <c r="T16" s="43"/>
      <c r="U16" s="43"/>
    </row>
    <row r="17" spans="1:21" s="11" customFormat="1" ht="15">
      <c r="A17" s="54" t="s">
        <v>142</v>
      </c>
      <c r="B17" s="55">
        <v>11.26</v>
      </c>
      <c r="C17" s="55">
        <v>19.03</v>
      </c>
      <c r="D17" s="55">
        <v>20.18</v>
      </c>
      <c r="E17" s="55">
        <v>3.34</v>
      </c>
      <c r="F17" s="55">
        <v>22</v>
      </c>
      <c r="G17" s="56" t="s">
        <v>15</v>
      </c>
      <c r="H17" s="56" t="s">
        <v>15</v>
      </c>
      <c r="I17" s="55">
        <v>4.0999999999999996</v>
      </c>
      <c r="J17" s="55">
        <v>0.28000000000000003</v>
      </c>
      <c r="K17" s="55">
        <v>334.95</v>
      </c>
      <c r="L17" s="55">
        <v>31.55</v>
      </c>
      <c r="M17" s="55">
        <v>67</v>
      </c>
      <c r="N17" s="55">
        <v>673</v>
      </c>
      <c r="O17" s="55">
        <v>0</v>
      </c>
      <c r="P17" s="55">
        <v>0.60</v>
      </c>
      <c r="Q17" s="55">
        <v>16.89</v>
      </c>
      <c r="R17" s="43"/>
      <c r="S17" s="43"/>
      <c r="T17" s="43"/>
      <c r="U17" s="43"/>
    </row>
    <row r="18" spans="1:21" s="11" customFormat="1" ht="15">
      <c r="A18" s="54" t="s">
        <v>143</v>
      </c>
      <c r="B18" s="55">
        <v>11.73</v>
      </c>
      <c r="C18" s="55">
        <v>20.32</v>
      </c>
      <c r="D18" s="55">
        <v>21.13</v>
      </c>
      <c r="E18" s="55">
        <v>3.06</v>
      </c>
      <c r="F18" s="55">
        <v>24.5</v>
      </c>
      <c r="G18" s="56" t="s">
        <v>15</v>
      </c>
      <c r="H18" s="56" t="s">
        <v>15</v>
      </c>
      <c r="I18" s="58" t="s">
        <v>14</v>
      </c>
      <c r="J18" s="55">
        <v>0.39</v>
      </c>
      <c r="K18" s="55">
        <v>188</v>
      </c>
      <c r="L18" s="55">
        <v>34.11</v>
      </c>
      <c r="M18" s="55">
        <v>59</v>
      </c>
      <c r="N18" s="55">
        <v>845</v>
      </c>
      <c r="O18" s="55">
        <v>0</v>
      </c>
      <c r="P18" s="55">
        <v>0.61</v>
      </c>
      <c r="Q18" s="55">
        <v>15.13</v>
      </c>
      <c r="R18" s="43"/>
      <c r="S18" s="43"/>
      <c r="T18" s="43"/>
      <c r="U18" s="43"/>
    </row>
    <row r="19" spans="1:21" s="11" customFormat="1" ht="15">
      <c r="A19" s="54" t="s">
        <v>144</v>
      </c>
      <c r="B19" s="55">
        <v>7.07</v>
      </c>
      <c r="C19" s="55">
        <v>18.64</v>
      </c>
      <c r="D19" s="55">
        <v>16.600000000000001</v>
      </c>
      <c r="E19" s="55">
        <v>3.17</v>
      </c>
      <c r="F19" s="55">
        <v>37.03</v>
      </c>
      <c r="G19" s="56" t="s">
        <v>15</v>
      </c>
      <c r="H19" s="56" t="s">
        <v>15</v>
      </c>
      <c r="I19" s="58" t="s">
        <v>14</v>
      </c>
      <c r="J19" s="55">
        <v>0.73</v>
      </c>
      <c r="K19" s="55">
        <v>195.66</v>
      </c>
      <c r="L19" s="55">
        <v>33.049999999999997</v>
      </c>
      <c r="M19" s="55">
        <v>53.17</v>
      </c>
      <c r="N19" s="55">
        <v>883.10</v>
      </c>
      <c r="O19" s="55">
        <v>0</v>
      </c>
      <c r="P19" s="55">
        <v>0.61</v>
      </c>
      <c r="Q19" s="55">
        <v>14.85</v>
      </c>
      <c r="R19" s="43"/>
      <c r="S19" s="43"/>
      <c r="T19" s="43"/>
      <c r="U19" s="43"/>
    </row>
    <row r="20" spans="1:21" s="11" customFormat="1" ht="15">
      <c r="A20" s="54" t="s">
        <v>145</v>
      </c>
      <c r="B20" s="55">
        <v>6.37</v>
      </c>
      <c r="C20" s="55">
        <v>23.06</v>
      </c>
      <c r="D20" s="55">
        <v>18.48</v>
      </c>
      <c r="E20" s="55">
        <v>3.34</v>
      </c>
      <c r="F20" s="55">
        <v>48.76</v>
      </c>
      <c r="G20" s="56" t="s">
        <v>15</v>
      </c>
      <c r="H20" s="56" t="s">
        <v>15</v>
      </c>
      <c r="I20" s="58" t="s">
        <v>14</v>
      </c>
      <c r="J20" s="55">
        <v>0.36</v>
      </c>
      <c r="K20" s="55">
        <v>292.20999999999998</v>
      </c>
      <c r="L20" s="55">
        <v>34.21</v>
      </c>
      <c r="M20" s="55">
        <v>52.55</v>
      </c>
      <c r="N20" s="55">
        <v>841.20</v>
      </c>
      <c r="O20" s="55">
        <v>0</v>
      </c>
      <c r="P20" s="55">
        <v>0.82</v>
      </c>
      <c r="Q20" s="55">
        <v>14.35</v>
      </c>
      <c r="R20" s="43"/>
      <c r="S20" s="43"/>
      <c r="T20" s="43"/>
      <c r="U20" s="43"/>
    </row>
    <row r="21" spans="1:21" s="11" customFormat="1" ht="15">
      <c r="A21" s="54" t="s">
        <v>146</v>
      </c>
      <c r="B21" s="55">
        <v>11.95</v>
      </c>
      <c r="C21" s="55">
        <v>25.91</v>
      </c>
      <c r="D21" s="55">
        <v>23.86</v>
      </c>
      <c r="E21" s="55">
        <v>2.96</v>
      </c>
      <c r="F21" s="55">
        <v>45.41</v>
      </c>
      <c r="G21" s="56" t="s">
        <v>15</v>
      </c>
      <c r="H21" s="56" t="s">
        <v>15</v>
      </c>
      <c r="I21" s="55">
        <v>5.38</v>
      </c>
      <c r="J21" s="55">
        <v>0.83</v>
      </c>
      <c r="K21" s="55">
        <v>173.44</v>
      </c>
      <c r="L21" s="55">
        <v>34</v>
      </c>
      <c r="M21" s="55">
        <v>49.73</v>
      </c>
      <c r="N21" s="55">
        <v>750.90</v>
      </c>
      <c r="O21" s="55">
        <v>0</v>
      </c>
      <c r="P21" s="55">
        <v>1.01</v>
      </c>
      <c r="Q21" s="55">
        <v>12.65</v>
      </c>
      <c r="R21" s="43"/>
      <c r="S21" s="43"/>
      <c r="T21" s="43"/>
      <c r="U21" s="43"/>
    </row>
    <row r="22" spans="1:21" s="11" customFormat="1" ht="15">
      <c r="A22" s="54" t="s">
        <v>147</v>
      </c>
      <c r="B22" s="55">
        <v>6.71</v>
      </c>
      <c r="C22" s="55">
        <v>27.13</v>
      </c>
      <c r="D22" s="55">
        <v>21</v>
      </c>
      <c r="E22" s="55">
        <v>3.07</v>
      </c>
      <c r="F22" s="55">
        <v>72.02</v>
      </c>
      <c r="G22" s="56" t="s">
        <v>15</v>
      </c>
      <c r="H22" s="56" t="s">
        <v>15</v>
      </c>
      <c r="I22" s="55">
        <v>5.14</v>
      </c>
      <c r="J22" s="55">
        <v>0.80</v>
      </c>
      <c r="K22" s="55">
        <v>174.93</v>
      </c>
      <c r="L22" s="55">
        <v>33.75</v>
      </c>
      <c r="M22" s="55">
        <v>48.98</v>
      </c>
      <c r="N22" s="55">
        <v>716.70</v>
      </c>
      <c r="O22" s="55">
        <v>0</v>
      </c>
      <c r="P22" s="55">
        <v>0.99</v>
      </c>
      <c r="Q22" s="55">
        <v>14.78</v>
      </c>
      <c r="R22" s="43"/>
      <c r="S22" s="43"/>
      <c r="T22" s="43"/>
      <c r="U22" s="43"/>
    </row>
    <row r="23" spans="1:21" s="11" customFormat="1" ht="15">
      <c r="A23" s="54" t="s">
        <v>148</v>
      </c>
      <c r="B23" s="55">
        <v>3.88</v>
      </c>
      <c r="C23" s="55">
        <v>28.08</v>
      </c>
      <c r="D23" s="55">
        <v>19.25</v>
      </c>
      <c r="E23" s="55">
        <v>3.30</v>
      </c>
      <c r="F23" s="55">
        <v>78.42</v>
      </c>
      <c r="G23" s="56" t="s">
        <v>15</v>
      </c>
      <c r="H23" s="56" t="s">
        <v>15</v>
      </c>
      <c r="I23" s="55">
        <v>4.9000000000000004</v>
      </c>
      <c r="J23" s="55">
        <v>0.60</v>
      </c>
      <c r="K23" s="55">
        <v>175.90</v>
      </c>
      <c r="L23" s="55">
        <v>33.06</v>
      </c>
      <c r="M23" s="55">
        <v>52.06</v>
      </c>
      <c r="N23" s="55">
        <v>318.80</v>
      </c>
      <c r="O23" s="55">
        <v>0</v>
      </c>
      <c r="P23" s="55">
        <v>0.93</v>
      </c>
      <c r="Q23" s="55">
        <v>14.47</v>
      </c>
      <c r="R23" s="43"/>
      <c r="S23" s="43"/>
      <c r="T23" s="43"/>
      <c r="U23" s="43"/>
    </row>
    <row r="24" spans="1:21" s="11" customFormat="1" ht="15">
      <c r="A24" s="54" t="s">
        <v>149</v>
      </c>
      <c r="B24" s="55">
        <v>6.67</v>
      </c>
      <c r="C24" s="55">
        <v>22.75</v>
      </c>
      <c r="D24" s="55">
        <v>17.93</v>
      </c>
      <c r="E24" s="55">
        <v>3.28</v>
      </c>
      <c r="F24" s="55">
        <v>27.11</v>
      </c>
      <c r="G24" s="56" t="s">
        <v>15</v>
      </c>
      <c r="H24" s="56" t="s">
        <v>15</v>
      </c>
      <c r="I24" s="55">
        <v>5.66</v>
      </c>
      <c r="J24" s="55">
        <v>1.69</v>
      </c>
      <c r="K24" s="55">
        <v>358.09</v>
      </c>
      <c r="L24" s="55">
        <v>31</v>
      </c>
      <c r="M24" s="55">
        <v>60.08</v>
      </c>
      <c r="N24" s="55">
        <v>163.19999999999999</v>
      </c>
      <c r="O24" s="55">
        <v>0</v>
      </c>
      <c r="P24" s="55">
        <v>0.87</v>
      </c>
      <c r="Q24" s="55">
        <v>13.15</v>
      </c>
      <c r="R24" s="43"/>
      <c r="S24" s="43"/>
      <c r="T24" s="43"/>
      <c r="U24" s="43"/>
    </row>
    <row r="25" spans="1:21" s="11" customFormat="1" ht="15">
      <c r="A25" s="54" t="s">
        <v>150</v>
      </c>
      <c r="B25" s="55">
        <v>7.62</v>
      </c>
      <c r="C25" s="55">
        <v>27.88</v>
      </c>
      <c r="D25" s="55">
        <v>21.84</v>
      </c>
      <c r="E25" s="55">
        <v>3.33</v>
      </c>
      <c r="F25" s="55">
        <v>19.649999999999999</v>
      </c>
      <c r="G25" s="56" t="s">
        <v>15</v>
      </c>
      <c r="H25" s="56" t="s">
        <v>15</v>
      </c>
      <c r="I25" s="55">
        <v>5.16</v>
      </c>
      <c r="J25" s="55">
        <v>1.84</v>
      </c>
      <c r="K25" s="55">
        <v>112.97</v>
      </c>
      <c r="L25" s="55">
        <v>29.30</v>
      </c>
      <c r="M25" s="55">
        <v>92.06</v>
      </c>
      <c r="N25" s="55">
        <v>143.90</v>
      </c>
      <c r="O25" s="55">
        <v>5</v>
      </c>
      <c r="P25" s="55">
        <v>0.79</v>
      </c>
      <c r="Q25" s="55">
        <v>12.40</v>
      </c>
      <c r="R25" s="43"/>
      <c r="S25" s="43"/>
      <c r="T25" s="43"/>
      <c r="U25" s="43"/>
    </row>
    <row r="26" spans="1:21" s="11" customFormat="1" ht="15">
      <c r="A26" s="54" t="s">
        <v>151</v>
      </c>
      <c r="B26" s="55">
        <v>9.76</v>
      </c>
      <c r="C26" s="55">
        <v>25.92</v>
      </c>
      <c r="D26" s="55">
        <v>22.78</v>
      </c>
      <c r="E26" s="55">
        <v>2.85</v>
      </c>
      <c r="F26" s="55">
        <v>14.42</v>
      </c>
      <c r="G26" s="56" t="s">
        <v>15</v>
      </c>
      <c r="H26" s="56" t="s">
        <v>15</v>
      </c>
      <c r="I26" s="55">
        <v>5.27</v>
      </c>
      <c r="J26" s="55">
        <v>0.92</v>
      </c>
      <c r="K26" s="55">
        <v>195.67</v>
      </c>
      <c r="L26" s="55">
        <v>23.57</v>
      </c>
      <c r="M26" s="55">
        <v>97.20</v>
      </c>
      <c r="N26" s="55">
        <v>42.80</v>
      </c>
      <c r="O26" s="55">
        <v>2.80</v>
      </c>
      <c r="P26" s="55">
        <v>0.76</v>
      </c>
      <c r="Q26" s="55">
        <v>13.84</v>
      </c>
      <c r="R26" s="43"/>
      <c r="S26" s="43"/>
      <c r="T26" s="43"/>
      <c r="U26" s="43"/>
    </row>
    <row r="27" spans="1:21" s="11" customFormat="1" ht="15">
      <c r="A27" s="54" t="s">
        <v>152</v>
      </c>
      <c r="B27" s="55">
        <v>6.02</v>
      </c>
      <c r="C27" s="55">
        <v>19.170000000000002</v>
      </c>
      <c r="D27" s="55">
        <v>15.39</v>
      </c>
      <c r="E27" s="55">
        <v>3.04</v>
      </c>
      <c r="F27" s="55">
        <v>13.23</v>
      </c>
      <c r="G27" s="56" t="s">
        <v>15</v>
      </c>
      <c r="H27" s="56" t="s">
        <v>15</v>
      </c>
      <c r="I27" s="55">
        <v>5.48</v>
      </c>
      <c r="J27" s="55">
        <v>1.06</v>
      </c>
      <c r="K27" s="55">
        <v>141.16999999999999</v>
      </c>
      <c r="L27" s="55">
        <v>23.94</v>
      </c>
      <c r="M27" s="55">
        <v>93.65</v>
      </c>
      <c r="N27" s="55">
        <v>35.40</v>
      </c>
      <c r="O27" s="55">
        <v>0</v>
      </c>
      <c r="P27" s="55">
        <v>0.76</v>
      </c>
      <c r="Q27" s="55">
        <v>16.97</v>
      </c>
      <c r="R27" s="43"/>
      <c r="S27" s="43"/>
      <c r="T27" s="43"/>
      <c r="U27" s="43"/>
    </row>
    <row r="28" spans="1:21" s="11" customFormat="1" ht="15">
      <c r="A28" s="54" t="s">
        <v>153</v>
      </c>
      <c r="B28" s="55">
        <v>6.54</v>
      </c>
      <c r="C28" s="55">
        <v>24.29</v>
      </c>
      <c r="D28" s="55">
        <v>18.850000000000001</v>
      </c>
      <c r="E28" s="55">
        <v>2.88</v>
      </c>
      <c r="F28" s="55">
        <v>15.39</v>
      </c>
      <c r="G28" s="56" t="s">
        <v>15</v>
      </c>
      <c r="H28" s="56" t="s">
        <v>15</v>
      </c>
      <c r="I28" s="55">
        <v>5.35</v>
      </c>
      <c r="J28" s="55">
        <v>0.74</v>
      </c>
      <c r="K28" s="55">
        <v>181.18</v>
      </c>
      <c r="L28" s="55">
        <v>24.54</v>
      </c>
      <c r="M28" s="55">
        <v>88.21</v>
      </c>
      <c r="N28" s="55">
        <v>26.10</v>
      </c>
      <c r="O28" s="55">
        <v>0</v>
      </c>
      <c r="P28" s="55">
        <v>0.73</v>
      </c>
      <c r="Q28" s="55">
        <v>18.100000000000001</v>
      </c>
      <c r="R28" s="43"/>
      <c r="S28" s="43"/>
      <c r="T28" s="43"/>
      <c r="U28" s="43"/>
    </row>
    <row r="29" spans="1:21" s="11" customFormat="1" ht="15">
      <c r="A29" s="54" t="s">
        <v>154</v>
      </c>
      <c r="B29" s="55">
        <v>8.6300000000000008</v>
      </c>
      <c r="C29" s="55">
        <v>21.21</v>
      </c>
      <c r="D29" s="55">
        <v>19.28</v>
      </c>
      <c r="E29" s="55">
        <v>3.41</v>
      </c>
      <c r="F29" s="55">
        <v>11.94</v>
      </c>
      <c r="G29" s="56" t="s">
        <v>15</v>
      </c>
      <c r="H29" s="56" t="s">
        <v>15</v>
      </c>
      <c r="I29" s="55">
        <v>5.72</v>
      </c>
      <c r="J29" s="55">
        <v>0.70</v>
      </c>
      <c r="K29" s="55">
        <v>188.64</v>
      </c>
      <c r="L29" s="55">
        <v>24.66</v>
      </c>
      <c r="M29" s="55">
        <v>86.59</v>
      </c>
      <c r="N29" s="55">
        <v>26.10</v>
      </c>
      <c r="O29" s="55">
        <v>0</v>
      </c>
      <c r="P29" s="55">
        <v>0.72</v>
      </c>
      <c r="Q29" s="55">
        <v>16.62</v>
      </c>
      <c r="R29" s="43"/>
      <c r="S29" s="43"/>
      <c r="T29" s="43"/>
      <c r="U29" s="43"/>
    </row>
    <row r="30" spans="1:21" s="11" customFormat="1" ht="15">
      <c r="A30" s="54" t="s">
        <v>155</v>
      </c>
      <c r="B30" s="55">
        <v>10.75</v>
      </c>
      <c r="C30" s="55">
        <v>28.94</v>
      </c>
      <c r="D30" s="55">
        <v>25.24</v>
      </c>
      <c r="E30" s="55">
        <v>3.36</v>
      </c>
      <c r="F30" s="55">
        <v>10.97</v>
      </c>
      <c r="G30" s="56" t="s">
        <v>15</v>
      </c>
      <c r="H30" s="56" t="s">
        <v>15</v>
      </c>
      <c r="I30" s="55">
        <v>5.0999999999999996</v>
      </c>
      <c r="J30" s="55">
        <v>0.65</v>
      </c>
      <c r="K30" s="55">
        <v>248.76</v>
      </c>
      <c r="L30" s="55">
        <v>24.77</v>
      </c>
      <c r="M30" s="55">
        <v>87.48</v>
      </c>
      <c r="N30" s="55">
        <v>25.90</v>
      </c>
      <c r="O30" s="55">
        <v>0</v>
      </c>
      <c r="P30" s="55">
        <v>0.72</v>
      </c>
      <c r="Q30" s="55">
        <v>16.68</v>
      </c>
      <c r="R30" s="43"/>
      <c r="S30" s="43"/>
      <c r="T30" s="43"/>
      <c r="U30" s="43"/>
    </row>
    <row r="31" spans="1:21" s="11" customFormat="1" ht="15">
      <c r="A31" s="54" t="s">
        <v>156</v>
      </c>
      <c r="B31" s="55">
        <v>8.09</v>
      </c>
      <c r="C31" s="55">
        <v>17.20</v>
      </c>
      <c r="D31" s="55">
        <v>16.62</v>
      </c>
      <c r="E31" s="55">
        <v>3.32</v>
      </c>
      <c r="F31" s="55">
        <v>12.39</v>
      </c>
      <c r="G31" s="56" t="s">
        <v>15</v>
      </c>
      <c r="H31" s="56" t="s">
        <v>15</v>
      </c>
      <c r="I31" s="55">
        <v>5.58</v>
      </c>
      <c r="J31" s="55">
        <v>0.79</v>
      </c>
      <c r="K31" s="55">
        <v>178.49</v>
      </c>
      <c r="L31" s="55">
        <v>25</v>
      </c>
      <c r="M31" s="55">
        <v>87.39</v>
      </c>
      <c r="N31" s="55">
        <v>36.200000000000003</v>
      </c>
      <c r="O31" s="55">
        <v>0</v>
      </c>
      <c r="P31" s="55">
        <v>0.68</v>
      </c>
      <c r="Q31" s="55">
        <v>20.149999999999999</v>
      </c>
      <c r="R31" s="43"/>
      <c r="S31" s="43"/>
      <c r="T31" s="43"/>
      <c r="U31" s="43"/>
    </row>
    <row r="32" spans="1:21" s="11" customFormat="1" ht="15">
      <c r="A32" s="54" t="s">
        <v>157</v>
      </c>
      <c r="B32" s="55">
        <v>6.89</v>
      </c>
      <c r="C32" s="55">
        <v>13.46</v>
      </c>
      <c r="D32" s="55">
        <v>13.60</v>
      </c>
      <c r="E32" s="55">
        <v>3.35</v>
      </c>
      <c r="F32" s="55">
        <v>9.26</v>
      </c>
      <c r="G32" s="56" t="s">
        <v>15</v>
      </c>
      <c r="H32" s="56" t="s">
        <v>15</v>
      </c>
      <c r="I32" s="55">
        <v>6.06</v>
      </c>
      <c r="J32" s="55">
        <v>1.67</v>
      </c>
      <c r="K32" s="55">
        <v>181.01</v>
      </c>
      <c r="L32" s="55">
        <v>24.73</v>
      </c>
      <c r="M32" s="55">
        <v>90.16</v>
      </c>
      <c r="N32" s="55">
        <v>36.60</v>
      </c>
      <c r="O32" s="55">
        <v>0</v>
      </c>
      <c r="P32" s="55">
        <v>0.57999999999999996</v>
      </c>
      <c r="Q32" s="55">
        <v>17.59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3.8799999999999999</v>
      </c>
      <c r="C34" s="28">
        <f t="shared" si="0"/>
        <v>13.460000000000001</v>
      </c>
      <c r="D34" s="28">
        <f t="shared" si="0"/>
        <v>13</v>
      </c>
      <c r="E34" s="28">
        <f t="shared" si="0"/>
        <v>1.6000000000000001</v>
      </c>
      <c r="F34" s="28">
        <f t="shared" si="0"/>
        <v>9.2599999999999998</v>
      </c>
      <c r="G34" s="28">
        <f t="shared" si="0"/>
        <v>0</v>
      </c>
      <c r="H34" s="28">
        <f t="shared" si="0"/>
        <v>0</v>
      </c>
      <c r="I34" s="28">
        <f t="shared" si="0"/>
        <v>3.4100000000000001</v>
      </c>
      <c r="J34" s="28">
        <f t="shared" si="0"/>
        <v>0.14000000000000001</v>
      </c>
      <c r="K34" s="28">
        <f t="shared" si="0"/>
        <v>112.97</v>
      </c>
      <c r="L34" s="28">
        <f t="shared" si="0"/>
        <v>23.57</v>
      </c>
      <c r="M34" s="28">
        <f t="shared" si="0"/>
        <v>48.979999999999997</v>
      </c>
      <c r="N34" s="28">
        <f t="shared" si="0"/>
        <v>25.899999999999999</v>
      </c>
      <c r="O34" s="28">
        <f t="shared" si="0"/>
        <v>0</v>
      </c>
      <c r="P34" s="28">
        <f t="shared" si="0"/>
        <v>0.55000000000000004</v>
      </c>
      <c r="Q34" s="28">
        <f t="shared" si="0"/>
        <v>12.4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27.149999999999999</v>
      </c>
      <c r="C35" s="29">
        <f t="shared" si="1"/>
        <v>36.469999999999999</v>
      </c>
      <c r="D35" s="29">
        <f t="shared" si="1"/>
        <v>40.390000000000001</v>
      </c>
      <c r="E35" s="29">
        <f t="shared" si="1"/>
        <v>3.4100000000000001</v>
      </c>
      <c r="F35" s="29">
        <f t="shared" si="1"/>
        <v>78.420000000000002</v>
      </c>
      <c r="G35" s="29">
        <f t="shared" si="1"/>
        <v>0</v>
      </c>
      <c r="H35" s="29">
        <f t="shared" si="1"/>
        <v>0</v>
      </c>
      <c r="I35" s="29">
        <f t="shared" si="1"/>
        <v>6.0599999999999996</v>
      </c>
      <c r="J35" s="29">
        <f t="shared" si="1"/>
        <v>1.8400000000000001</v>
      </c>
      <c r="K35" s="29">
        <f t="shared" si="1"/>
        <v>358.08999999999997</v>
      </c>
      <c r="L35" s="29">
        <f t="shared" si="1"/>
        <v>34.210000000000001</v>
      </c>
      <c r="M35" s="29">
        <f t="shared" si="1"/>
        <v>97.200000000000003</v>
      </c>
      <c r="N35" s="29">
        <f t="shared" si="1"/>
        <v>883.10000000000002</v>
      </c>
      <c r="O35" s="29">
        <f t="shared" si="1"/>
        <v>5</v>
      </c>
      <c r="P35" s="29">
        <f t="shared" si="1"/>
        <v>1.01</v>
      </c>
      <c r="Q35" s="29">
        <f t="shared" si="1"/>
        <v>20.489999999999998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9.0791666666666639</v>
      </c>
      <c r="C36" s="28">
        <f t="shared" si="2"/>
        <v>23.127083333333342</v>
      </c>
      <c r="D36" s="28">
        <f t="shared" si="2"/>
        <v>20.460416666666664</v>
      </c>
      <c r="E36" s="28">
        <f t="shared" si="2"/>
        <v>2.7887499999999998</v>
      </c>
      <c r="F36" s="28">
        <f t="shared" si="2"/>
        <v>26.440416666666664</v>
      </c>
      <c r="G36" s="28" t="e">
        <f t="shared" si="2"/>
        <v>#DIV/0!</v>
      </c>
      <c r="H36" s="28" t="e">
        <f t="shared" si="2"/>
        <v>#DIV/0!</v>
      </c>
      <c r="I36" s="28">
        <f t="shared" si="2"/>
        <v>4.8214285714285712</v>
      </c>
      <c r="J36" s="28">
        <f t="shared" si="2"/>
        <v>0.70916666666666683</v>
      </c>
      <c r="K36" s="28">
        <f t="shared" si="2"/>
        <v>228.23458333333338</v>
      </c>
      <c r="L36" s="28">
        <f t="shared" si="2"/>
        <v>28.446249999999996</v>
      </c>
      <c r="M36" s="28">
        <f t="shared" si="2"/>
        <v>76.156666666666666</v>
      </c>
      <c r="N36" s="28">
        <f t="shared" si="2"/>
        <v>281.49166666666662</v>
      </c>
      <c r="O36" s="28">
        <f t="shared" si="2"/>
        <v>0.32500000000000001</v>
      </c>
      <c r="P36" s="28">
        <f t="shared" si="2"/>
        <v>0.70708333333333329</v>
      </c>
      <c r="Q36" s="28">
        <f t="shared" si="2"/>
        <v>16.330833333333331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4.5111060213912015</v>
      </c>
      <c r="C37" s="28">
        <f t="shared" si="3" ref="C37:Q37">STDEV(C9:C32)</f>
        <v>5.996270202432461</v>
      </c>
      <c r="D37" s="28">
        <f t="shared" si="3"/>
        <v>5.787439532347598</v>
      </c>
      <c r="E37" s="28">
        <f t="shared" si="3"/>
        <v>0.62860309244076074</v>
      </c>
      <c r="F37" s="28">
        <f t="shared" si="3"/>
        <v>18.329664357838489</v>
      </c>
      <c r="G37" s="28" t="e">
        <f t="shared" si="3"/>
        <v>#DIV/0!</v>
      </c>
      <c r="H37" s="28" t="e">
        <f t="shared" si="3"/>
        <v>#DIV/0!</v>
      </c>
      <c r="I37" s="28">
        <f t="shared" si="3"/>
        <v>0.76188769326119354</v>
      </c>
      <c r="J37" s="28">
        <f t="shared" si="3"/>
        <v>0.4654676626013195</v>
      </c>
      <c r="K37" s="28">
        <f t="shared" si="3"/>
        <v>74.162212924816174</v>
      </c>
      <c r="L37" s="28">
        <f t="shared" si="3"/>
        <v>3.73674912480611</v>
      </c>
      <c r="M37" s="28">
        <f t="shared" si="3"/>
        <v>16.215803796100396</v>
      </c>
      <c r="N37" s="28">
        <f t="shared" si="3"/>
        <v>319.28924996768609</v>
      </c>
      <c r="O37" s="28">
        <f t="shared" si="3"/>
        <v>1.1478713759181269</v>
      </c>
      <c r="P37" s="28">
        <f t="shared" si="3"/>
        <v>0.13936124989040044</v>
      </c>
      <c r="Q37" s="28">
        <f t="shared" si="3"/>
        <v>2.3131926303115304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>COUNT(I9:I32)+3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4bf515-f406-4215-9230-bfeb60267810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58" sqref="L5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158</v>
      </c>
      <c r="B9" s="55">
        <v>5.20</v>
      </c>
      <c r="C9" s="55">
        <v>12.59</v>
      </c>
      <c r="D9" s="55">
        <v>11.51</v>
      </c>
      <c r="E9" s="55">
        <v>2.82</v>
      </c>
      <c r="F9" s="55">
        <v>13.75</v>
      </c>
      <c r="G9" s="56" t="s">
        <v>15</v>
      </c>
      <c r="H9" s="56" t="s">
        <v>15</v>
      </c>
      <c r="I9" s="55">
        <v>5.55</v>
      </c>
      <c r="J9" s="55">
        <v>1.36</v>
      </c>
      <c r="K9" s="55">
        <v>173.42</v>
      </c>
      <c r="L9" s="55">
        <v>24.51</v>
      </c>
      <c r="M9" s="55">
        <v>86.74</v>
      </c>
      <c r="N9" s="55">
        <v>35.799999999999997</v>
      </c>
      <c r="O9" s="55">
        <v>0</v>
      </c>
      <c r="P9" s="55">
        <v>0.51</v>
      </c>
      <c r="Q9" s="55">
        <v>15.20</v>
      </c>
      <c r="R9" s="43"/>
      <c r="S9" s="43"/>
      <c r="T9" s="43"/>
      <c r="U9" s="43"/>
    </row>
    <row r="10" spans="1:21" s="11" customFormat="1" ht="15">
      <c r="A10" s="54" t="s">
        <v>159</v>
      </c>
      <c r="B10" s="55">
        <v>5.96</v>
      </c>
      <c r="C10" s="55">
        <v>14.08</v>
      </c>
      <c r="D10" s="55">
        <v>12.46</v>
      </c>
      <c r="E10" s="55">
        <v>2.81</v>
      </c>
      <c r="F10" s="55">
        <v>14.54</v>
      </c>
      <c r="G10" s="56" t="s">
        <v>15</v>
      </c>
      <c r="H10" s="56" t="s">
        <v>15</v>
      </c>
      <c r="I10" s="55">
        <v>4.59</v>
      </c>
      <c r="J10" s="55">
        <v>1.32</v>
      </c>
      <c r="K10" s="55">
        <v>338.57</v>
      </c>
      <c r="L10" s="55">
        <v>24.11</v>
      </c>
      <c r="M10" s="55">
        <v>97.20</v>
      </c>
      <c r="N10" s="55">
        <v>45.90</v>
      </c>
      <c r="O10" s="55">
        <v>19.399999999999999</v>
      </c>
      <c r="P10" s="55">
        <v>0.43</v>
      </c>
      <c r="Q10" s="55">
        <v>15.93</v>
      </c>
      <c r="R10" s="43"/>
      <c r="S10" s="43"/>
      <c r="T10" s="43"/>
      <c r="U10" s="43"/>
    </row>
    <row r="11" spans="1:21" s="11" customFormat="1" ht="15">
      <c r="A11" s="54" t="s">
        <v>160</v>
      </c>
      <c r="B11" s="55">
        <v>4.09</v>
      </c>
      <c r="C11" s="55">
        <v>15.54</v>
      </c>
      <c r="D11" s="55">
        <v>12</v>
      </c>
      <c r="E11" s="55">
        <v>2.68</v>
      </c>
      <c r="F11" s="55">
        <v>7.04</v>
      </c>
      <c r="G11" s="56" t="s">
        <v>15</v>
      </c>
      <c r="H11" s="56" t="s">
        <v>15</v>
      </c>
      <c r="I11" s="55">
        <v>4.88</v>
      </c>
      <c r="J11" s="55">
        <v>0.49</v>
      </c>
      <c r="K11" s="55">
        <v>346.94</v>
      </c>
      <c r="L11" s="55">
        <v>21.53</v>
      </c>
      <c r="M11" s="55">
        <v>97.20</v>
      </c>
      <c r="N11" s="55">
        <v>45.20</v>
      </c>
      <c r="O11" s="55">
        <v>20.399999999999999</v>
      </c>
      <c r="P11" s="55">
        <v>0.55000000000000004</v>
      </c>
      <c r="Q11" s="55">
        <v>10.5</v>
      </c>
      <c r="R11" s="43"/>
      <c r="S11" s="43"/>
      <c r="T11" s="43"/>
      <c r="U11" s="43"/>
    </row>
    <row r="12" spans="1:21" s="11" customFormat="1" ht="15">
      <c r="A12" s="54" t="s">
        <v>161</v>
      </c>
      <c r="B12" s="55">
        <v>3.78</v>
      </c>
      <c r="C12" s="55">
        <v>14.12</v>
      </c>
      <c r="D12" s="55">
        <v>11</v>
      </c>
      <c r="E12" s="55">
        <v>2.5099999999999998</v>
      </c>
      <c r="F12" s="55">
        <v>6.14</v>
      </c>
      <c r="G12" s="56" t="s">
        <v>15</v>
      </c>
      <c r="H12" s="56" t="s">
        <v>15</v>
      </c>
      <c r="I12" s="55">
        <v>3.86</v>
      </c>
      <c r="J12" s="55">
        <v>0.96</v>
      </c>
      <c r="K12" s="55">
        <v>349.25</v>
      </c>
      <c r="L12" s="55">
        <v>21.38</v>
      </c>
      <c r="M12" s="55">
        <v>97.20</v>
      </c>
      <c r="N12" s="55">
        <v>45.80</v>
      </c>
      <c r="O12" s="55">
        <v>0.20</v>
      </c>
      <c r="P12" s="55">
        <v>0.62</v>
      </c>
      <c r="Q12" s="55">
        <v>6.31</v>
      </c>
      <c r="R12" s="43"/>
      <c r="S12" s="43"/>
      <c r="T12" s="43"/>
      <c r="U12" s="43"/>
    </row>
    <row r="13" spans="1:21" s="11" customFormat="1" ht="15">
      <c r="A13" s="54" t="s">
        <v>162</v>
      </c>
      <c r="B13" s="55">
        <v>5.42</v>
      </c>
      <c r="C13" s="55">
        <v>15.60</v>
      </c>
      <c r="D13" s="55">
        <v>13.60</v>
      </c>
      <c r="E13" s="55">
        <v>2.36</v>
      </c>
      <c r="F13" s="55">
        <v>7.35</v>
      </c>
      <c r="G13" s="56" t="s">
        <v>15</v>
      </c>
      <c r="H13" s="56" t="s">
        <v>15</v>
      </c>
      <c r="I13" s="55">
        <v>3</v>
      </c>
      <c r="J13" s="55">
        <v>0.34</v>
      </c>
      <c r="K13" s="55">
        <v>351.70</v>
      </c>
      <c r="L13" s="55">
        <v>21</v>
      </c>
      <c r="M13" s="55">
        <v>97.20</v>
      </c>
      <c r="N13" s="55">
        <v>113.70</v>
      </c>
      <c r="O13" s="55">
        <v>0</v>
      </c>
      <c r="P13" s="55">
        <v>0.55000000000000004</v>
      </c>
      <c r="Q13" s="55">
        <v>7.16</v>
      </c>
      <c r="R13" s="43"/>
      <c r="S13" s="43"/>
      <c r="T13" s="43"/>
      <c r="U13" s="43"/>
    </row>
    <row r="14" spans="1:21" s="11" customFormat="1" ht="15">
      <c r="A14" s="54" t="s">
        <v>163</v>
      </c>
      <c r="B14" s="55">
        <v>9.5399999999999991</v>
      </c>
      <c r="C14" s="55">
        <v>16.329999999999998</v>
      </c>
      <c r="D14" s="55">
        <v>16.579999999999998</v>
      </c>
      <c r="E14" s="55">
        <v>2.40</v>
      </c>
      <c r="F14" s="55">
        <v>5.16</v>
      </c>
      <c r="G14" s="56" t="s">
        <v>15</v>
      </c>
      <c r="H14" s="56" t="s">
        <v>15</v>
      </c>
      <c r="I14" s="55">
        <v>2.92</v>
      </c>
      <c r="J14" s="55">
        <v>0.51</v>
      </c>
      <c r="K14" s="55">
        <v>329.91</v>
      </c>
      <c r="L14" s="55">
        <v>21.35</v>
      </c>
      <c r="M14" s="55">
        <v>97.19</v>
      </c>
      <c r="N14" s="55">
        <v>168.5</v>
      </c>
      <c r="O14" s="55">
        <v>0</v>
      </c>
      <c r="P14" s="55">
        <v>0.52</v>
      </c>
      <c r="Q14" s="55">
        <v>7.15</v>
      </c>
      <c r="R14" s="43"/>
      <c r="S14" s="43"/>
      <c r="T14" s="43"/>
      <c r="U14" s="43"/>
    </row>
    <row r="15" spans="1:21" s="11" customFormat="1" ht="15">
      <c r="A15" s="54" t="s">
        <v>164</v>
      </c>
      <c r="B15" s="55">
        <v>11.17</v>
      </c>
      <c r="C15" s="55">
        <v>20.41</v>
      </c>
      <c r="D15" s="55">
        <v>20.77</v>
      </c>
      <c r="E15" s="55">
        <v>2.3199999999999998</v>
      </c>
      <c r="F15" s="55">
        <v>11.52</v>
      </c>
      <c r="G15" s="56" t="s">
        <v>15</v>
      </c>
      <c r="H15" s="56" t="s">
        <v>15</v>
      </c>
      <c r="I15" s="55">
        <v>3.14</v>
      </c>
      <c r="J15" s="55">
        <v>0.63</v>
      </c>
      <c r="K15" s="55">
        <v>182.51</v>
      </c>
      <c r="L15" s="55">
        <v>23.78</v>
      </c>
      <c r="M15" s="55">
        <v>97.18</v>
      </c>
      <c r="N15" s="55">
        <v>344</v>
      </c>
      <c r="O15" s="55">
        <v>0</v>
      </c>
      <c r="P15" s="55">
        <v>0.55000000000000004</v>
      </c>
      <c r="Q15" s="55">
        <v>11.73</v>
      </c>
      <c r="R15" s="43"/>
      <c r="S15" s="43"/>
      <c r="T15" s="43"/>
      <c r="U15" s="43"/>
    </row>
    <row r="16" spans="1:21" s="11" customFormat="1" ht="15">
      <c r="A16" s="54" t="s">
        <v>165</v>
      </c>
      <c r="B16" s="55">
        <v>13.08</v>
      </c>
      <c r="C16" s="55">
        <v>19.55</v>
      </c>
      <c r="D16" s="55">
        <v>21.92</v>
      </c>
      <c r="E16" s="55">
        <v>2.2200000000000002</v>
      </c>
      <c r="F16" s="55">
        <v>16.52</v>
      </c>
      <c r="G16" s="56" t="s">
        <v>15</v>
      </c>
      <c r="H16" s="56" t="s">
        <v>15</v>
      </c>
      <c r="I16" s="55">
        <v>4.74</v>
      </c>
      <c r="J16" s="55">
        <v>0.57999999999999996</v>
      </c>
      <c r="K16" s="55">
        <v>165.92</v>
      </c>
      <c r="L16" s="55">
        <v>26.29</v>
      </c>
      <c r="M16" s="55">
        <v>87.97</v>
      </c>
      <c r="N16" s="55">
        <v>520.40</v>
      </c>
      <c r="O16" s="55">
        <v>0</v>
      </c>
      <c r="P16" s="55">
        <v>0.59</v>
      </c>
      <c r="Q16" s="55">
        <v>14.45</v>
      </c>
      <c r="R16" s="43"/>
      <c r="S16" s="43"/>
      <c r="T16" s="43"/>
      <c r="U16" s="43"/>
    </row>
    <row r="17" spans="1:21" s="11" customFormat="1" ht="15">
      <c r="A17" s="54" t="s">
        <v>166</v>
      </c>
      <c r="B17" s="55">
        <v>11.04</v>
      </c>
      <c r="C17" s="55">
        <v>14.40</v>
      </c>
      <c r="D17" s="55">
        <v>16.760000000000002</v>
      </c>
      <c r="E17" s="55">
        <v>2.77</v>
      </c>
      <c r="F17" s="55">
        <v>12.5</v>
      </c>
      <c r="G17" s="56" t="s">
        <v>15</v>
      </c>
      <c r="H17" s="56" t="s">
        <v>15</v>
      </c>
      <c r="I17" s="55">
        <v>5.0199999999999996</v>
      </c>
      <c r="J17" s="55">
        <v>0.63</v>
      </c>
      <c r="K17" s="55">
        <v>196.14</v>
      </c>
      <c r="L17" s="55">
        <v>26.46</v>
      </c>
      <c r="M17" s="55">
        <v>82.98</v>
      </c>
      <c r="N17" s="55">
        <v>453.10</v>
      </c>
      <c r="O17" s="55">
        <v>0</v>
      </c>
      <c r="P17" s="55">
        <v>0.57999999999999996</v>
      </c>
      <c r="Q17" s="55">
        <v>13.34</v>
      </c>
      <c r="R17" s="43"/>
      <c r="S17" s="43"/>
      <c r="T17" s="43"/>
      <c r="U17" s="43"/>
    </row>
    <row r="18" spans="1:21" s="11" customFormat="1" ht="15">
      <c r="A18" s="54" t="s">
        <v>167</v>
      </c>
      <c r="B18" s="55">
        <v>7.36</v>
      </c>
      <c r="C18" s="55">
        <v>14.59</v>
      </c>
      <c r="D18" s="55">
        <v>14.39</v>
      </c>
      <c r="E18" s="55">
        <v>2.84</v>
      </c>
      <c r="F18" s="55">
        <v>17.66</v>
      </c>
      <c r="G18" s="56" t="s">
        <v>15</v>
      </c>
      <c r="H18" s="56" t="s">
        <v>15</v>
      </c>
      <c r="I18" s="55">
        <v>4.4400000000000004</v>
      </c>
      <c r="J18" s="55">
        <v>0.18</v>
      </c>
      <c r="K18" s="55">
        <v>358.73</v>
      </c>
      <c r="L18" s="55">
        <v>28.15</v>
      </c>
      <c r="M18" s="55">
        <v>82.51</v>
      </c>
      <c r="N18" s="55">
        <v>730.80</v>
      </c>
      <c r="O18" s="55">
        <v>0</v>
      </c>
      <c r="P18" s="55">
        <v>0.54</v>
      </c>
      <c r="Q18" s="55">
        <v>13.64</v>
      </c>
      <c r="R18" s="43"/>
      <c r="S18" s="43"/>
      <c r="T18" s="43"/>
      <c r="U18" s="43"/>
    </row>
    <row r="19" spans="1:21" s="11" customFormat="1" ht="15">
      <c r="A19" s="54" t="s">
        <v>168</v>
      </c>
      <c r="B19" s="55">
        <v>8.09</v>
      </c>
      <c r="C19" s="55">
        <v>18.690000000000001</v>
      </c>
      <c r="D19" s="55">
        <v>15.15</v>
      </c>
      <c r="E19" s="55">
        <v>2.73</v>
      </c>
      <c r="F19" s="55">
        <v>26.78</v>
      </c>
      <c r="G19" s="56" t="s">
        <v>15</v>
      </c>
      <c r="H19" s="56" t="s">
        <v>15</v>
      </c>
      <c r="I19" s="55">
        <v>4.46</v>
      </c>
      <c r="J19" s="55">
        <v>0.45</v>
      </c>
      <c r="K19" s="55">
        <v>166.42</v>
      </c>
      <c r="L19" s="55">
        <v>28.34</v>
      </c>
      <c r="M19" s="55">
        <v>73.989999999999995</v>
      </c>
      <c r="N19" s="55">
        <v>813.90</v>
      </c>
      <c r="O19" s="55">
        <v>0</v>
      </c>
      <c r="P19" s="55">
        <v>0.48</v>
      </c>
      <c r="Q19" s="55">
        <v>12.91</v>
      </c>
      <c r="R19" s="43"/>
      <c r="S19" s="43"/>
      <c r="T19" s="43"/>
      <c r="U19" s="43"/>
    </row>
    <row r="20" spans="1:21" s="11" customFormat="1" ht="15">
      <c r="A20" s="54" t="s">
        <v>169</v>
      </c>
      <c r="B20" s="55">
        <v>6.99</v>
      </c>
      <c r="C20" s="55">
        <v>17.97</v>
      </c>
      <c r="D20" s="55">
        <v>15.85</v>
      </c>
      <c r="E20" s="55">
        <v>2.5299999999999998</v>
      </c>
      <c r="F20" s="55">
        <v>17.87</v>
      </c>
      <c r="G20" s="56" t="s">
        <v>15</v>
      </c>
      <c r="H20" s="56" t="s">
        <v>15</v>
      </c>
      <c r="I20" s="55">
        <v>2.57</v>
      </c>
      <c r="J20" s="55">
        <v>0.53</v>
      </c>
      <c r="K20" s="55">
        <v>74.069999999999993</v>
      </c>
      <c r="L20" s="55">
        <v>31.56</v>
      </c>
      <c r="M20" s="55">
        <v>73.69</v>
      </c>
      <c r="N20" s="55">
        <v>862.60</v>
      </c>
      <c r="O20" s="55">
        <v>0</v>
      </c>
      <c r="P20" s="55">
        <v>0.48</v>
      </c>
      <c r="Q20" s="55">
        <v>3.01</v>
      </c>
      <c r="R20" s="43"/>
      <c r="S20" s="43"/>
      <c r="T20" s="43"/>
      <c r="U20" s="43"/>
    </row>
    <row r="21" spans="1:21" s="11" customFormat="1" ht="15">
      <c r="A21" s="54" t="s">
        <v>170</v>
      </c>
      <c r="B21" s="55">
        <v>12.24</v>
      </c>
      <c r="C21" s="55">
        <v>25.20</v>
      </c>
      <c r="D21" s="55">
        <v>24.37</v>
      </c>
      <c r="E21" s="55">
        <v>2.46</v>
      </c>
      <c r="F21" s="55">
        <v>28.93</v>
      </c>
      <c r="G21" s="56" t="s">
        <v>15</v>
      </c>
      <c r="H21" s="56" t="s">
        <v>15</v>
      </c>
      <c r="I21" s="55">
        <v>2.61</v>
      </c>
      <c r="J21" s="55">
        <v>0.59</v>
      </c>
      <c r="K21" s="55">
        <v>358.24</v>
      </c>
      <c r="L21" s="55">
        <v>32.33</v>
      </c>
      <c r="M21" s="55">
        <v>62.75</v>
      </c>
      <c r="N21" s="55">
        <v>1076.5</v>
      </c>
      <c r="O21" s="55">
        <v>0</v>
      </c>
      <c r="P21" s="55">
        <v>0.55000000000000004</v>
      </c>
      <c r="Q21" s="55">
        <v>10.07</v>
      </c>
      <c r="R21" s="43"/>
      <c r="S21" s="43"/>
      <c r="T21" s="43"/>
      <c r="U21" s="43"/>
    </row>
    <row r="22" spans="1:21" s="11" customFormat="1" ht="15">
      <c r="A22" s="54" t="s">
        <v>171</v>
      </c>
      <c r="B22" s="55">
        <v>9.4600000000000009</v>
      </c>
      <c r="C22" s="55">
        <v>19.11</v>
      </c>
      <c r="D22" s="55">
        <v>17.77</v>
      </c>
      <c r="E22" s="55">
        <v>2.62</v>
      </c>
      <c r="F22" s="55">
        <v>33.75</v>
      </c>
      <c r="G22" s="56" t="s">
        <v>15</v>
      </c>
      <c r="H22" s="56" t="s">
        <v>15</v>
      </c>
      <c r="I22" s="55">
        <v>3.76</v>
      </c>
      <c r="J22" s="55">
        <v>0.34</v>
      </c>
      <c r="K22" s="55">
        <v>358.83</v>
      </c>
      <c r="L22" s="55">
        <v>32.36</v>
      </c>
      <c r="M22" s="55">
        <v>62.17</v>
      </c>
      <c r="N22" s="55">
        <v>937.5</v>
      </c>
      <c r="O22" s="55">
        <v>0</v>
      </c>
      <c r="P22" s="55">
        <v>0.59</v>
      </c>
      <c r="Q22" s="55">
        <v>13.92</v>
      </c>
      <c r="R22" s="43"/>
      <c r="S22" s="43"/>
      <c r="T22" s="43"/>
      <c r="U22" s="43"/>
    </row>
    <row r="23" spans="1:21" s="11" customFormat="1" ht="15">
      <c r="A23" s="54" t="s">
        <v>172</v>
      </c>
      <c r="B23" s="55">
        <v>5.0599999999999996</v>
      </c>
      <c r="C23" s="55">
        <v>17.04</v>
      </c>
      <c r="D23" s="55">
        <v>13.49</v>
      </c>
      <c r="E23" s="55">
        <v>2.2999999999999998</v>
      </c>
      <c r="F23" s="55">
        <v>11.43</v>
      </c>
      <c r="G23" s="56" t="s">
        <v>15</v>
      </c>
      <c r="H23" s="56" t="s">
        <v>15</v>
      </c>
      <c r="I23" s="55">
        <v>4.05</v>
      </c>
      <c r="J23" s="55">
        <v>0.14000000000000001</v>
      </c>
      <c r="K23" s="55">
        <v>358.95</v>
      </c>
      <c r="L23" s="55">
        <v>30.87</v>
      </c>
      <c r="M23" s="55">
        <v>63.25</v>
      </c>
      <c r="N23" s="55">
        <v>597.10</v>
      </c>
      <c r="O23" s="55">
        <v>0</v>
      </c>
      <c r="P23" s="55">
        <v>0.59</v>
      </c>
      <c r="Q23" s="55">
        <v>12.51</v>
      </c>
      <c r="R23" s="43"/>
      <c r="S23" s="43"/>
      <c r="T23" s="43"/>
      <c r="U23" s="43"/>
    </row>
    <row r="24" spans="1:21" s="11" customFormat="1" ht="15">
      <c r="A24" s="54" t="s">
        <v>173</v>
      </c>
      <c r="B24" s="55">
        <v>7.14</v>
      </c>
      <c r="C24" s="55">
        <v>22.88</v>
      </c>
      <c r="D24" s="55">
        <v>18.55</v>
      </c>
      <c r="E24" s="55">
        <v>2.04</v>
      </c>
      <c r="F24" s="55">
        <v>37.5</v>
      </c>
      <c r="G24" s="56" t="s">
        <v>15</v>
      </c>
      <c r="H24" s="56" t="s">
        <v>15</v>
      </c>
      <c r="I24" s="55">
        <v>3.47</v>
      </c>
      <c r="J24" s="55">
        <v>0.31</v>
      </c>
      <c r="K24" s="55">
        <v>358.83</v>
      </c>
      <c r="L24" s="55">
        <v>30.76</v>
      </c>
      <c r="M24" s="55">
        <v>64.44</v>
      </c>
      <c r="N24" s="55">
        <v>277.70</v>
      </c>
      <c r="O24" s="55">
        <v>0</v>
      </c>
      <c r="P24" s="55">
        <v>0.60</v>
      </c>
      <c r="Q24" s="55">
        <v>10.39</v>
      </c>
      <c r="R24" s="43"/>
      <c r="S24" s="43"/>
      <c r="T24" s="43"/>
      <c r="U24" s="43"/>
    </row>
    <row r="25" spans="1:21" s="11" customFormat="1" ht="15">
      <c r="A25" s="54" t="s">
        <v>174</v>
      </c>
      <c r="B25" s="55">
        <v>5.68</v>
      </c>
      <c r="C25" s="55">
        <v>24.41</v>
      </c>
      <c r="D25" s="55">
        <v>18.260000000000002</v>
      </c>
      <c r="E25" s="55">
        <v>2.73</v>
      </c>
      <c r="F25" s="55">
        <v>42.81</v>
      </c>
      <c r="G25" s="56" t="s">
        <v>15</v>
      </c>
      <c r="H25" s="56" t="s">
        <v>15</v>
      </c>
      <c r="I25" s="55">
        <v>3.48</v>
      </c>
      <c r="J25" s="55">
        <v>0.46</v>
      </c>
      <c r="K25" s="55">
        <v>348.94</v>
      </c>
      <c r="L25" s="55">
        <v>30.91</v>
      </c>
      <c r="M25" s="55">
        <v>63.59</v>
      </c>
      <c r="N25" s="55">
        <v>169.90</v>
      </c>
      <c r="O25" s="55">
        <v>0</v>
      </c>
      <c r="P25" s="55">
        <v>0.65</v>
      </c>
      <c r="Q25" s="55">
        <v>14.73</v>
      </c>
      <c r="R25" s="43"/>
      <c r="S25" s="43"/>
      <c r="T25" s="43"/>
      <c r="U25" s="43"/>
    </row>
    <row r="26" spans="1:21" s="11" customFormat="1" ht="15">
      <c r="A26" s="54" t="s">
        <v>175</v>
      </c>
      <c r="B26" s="55">
        <v>5.23</v>
      </c>
      <c r="C26" s="55">
        <v>25.33</v>
      </c>
      <c r="D26" s="55">
        <v>18.45</v>
      </c>
      <c r="E26" s="55">
        <v>2.4700000000000002</v>
      </c>
      <c r="F26" s="55">
        <v>23.06</v>
      </c>
      <c r="G26" s="56" t="s">
        <v>15</v>
      </c>
      <c r="H26" s="56" t="s">
        <v>15</v>
      </c>
      <c r="I26" s="55">
        <v>3.39</v>
      </c>
      <c r="J26" s="55">
        <v>0.21</v>
      </c>
      <c r="K26" s="55">
        <v>348.46</v>
      </c>
      <c r="L26" s="55">
        <v>29.62</v>
      </c>
      <c r="M26" s="55">
        <v>64.959999999999994</v>
      </c>
      <c r="N26" s="55">
        <v>85.5</v>
      </c>
      <c r="O26" s="55">
        <v>0</v>
      </c>
      <c r="P26" s="55">
        <v>0.74</v>
      </c>
      <c r="Q26" s="55">
        <v>12.48</v>
      </c>
      <c r="R26" s="43"/>
      <c r="S26" s="43"/>
      <c r="T26" s="43"/>
      <c r="U26" s="43"/>
    </row>
    <row r="27" spans="1:21" s="11" customFormat="1" ht="15">
      <c r="A27" s="54" t="s">
        <v>176</v>
      </c>
      <c r="B27" s="55">
        <v>13.86</v>
      </c>
      <c r="C27" s="55">
        <v>49.11</v>
      </c>
      <c r="D27" s="55">
        <v>37.799999999999997</v>
      </c>
      <c r="E27" s="55">
        <v>3.10</v>
      </c>
      <c r="F27" s="55">
        <v>35.5</v>
      </c>
      <c r="G27" s="56" t="s">
        <v>15</v>
      </c>
      <c r="H27" s="56" t="s">
        <v>15</v>
      </c>
      <c r="I27" s="55">
        <v>3.68</v>
      </c>
      <c r="J27" s="55">
        <v>0.13</v>
      </c>
      <c r="K27" s="55">
        <v>37.229999999999997</v>
      </c>
      <c r="L27" s="55">
        <v>28.98</v>
      </c>
      <c r="M27" s="55">
        <v>71.11</v>
      </c>
      <c r="N27" s="55">
        <v>46.60</v>
      </c>
      <c r="O27" s="55">
        <v>0</v>
      </c>
      <c r="P27" s="55">
        <v>0.78</v>
      </c>
      <c r="Q27" s="55">
        <v>13.54</v>
      </c>
      <c r="R27" s="43"/>
      <c r="S27" s="43"/>
      <c r="T27" s="43"/>
      <c r="U27" s="43"/>
    </row>
    <row r="28" spans="1:21" s="11" customFormat="1" ht="15">
      <c r="A28" s="54" t="s">
        <v>177</v>
      </c>
      <c r="B28" s="55">
        <v>13.70</v>
      </c>
      <c r="C28" s="55">
        <v>37.979999999999997</v>
      </c>
      <c r="D28" s="55">
        <v>32.60</v>
      </c>
      <c r="E28" s="55">
        <v>3.02</v>
      </c>
      <c r="F28" s="55">
        <v>17.61</v>
      </c>
      <c r="G28" s="56" t="s">
        <v>15</v>
      </c>
      <c r="H28" s="56" t="s">
        <v>15</v>
      </c>
      <c r="I28" s="55">
        <v>4.71</v>
      </c>
      <c r="J28" s="55">
        <v>0.25</v>
      </c>
      <c r="K28" s="55">
        <v>357.84</v>
      </c>
      <c r="L28" s="55">
        <v>28.19</v>
      </c>
      <c r="M28" s="55">
        <v>73.81</v>
      </c>
      <c r="N28" s="55">
        <v>25</v>
      </c>
      <c r="O28" s="55">
        <v>0</v>
      </c>
      <c r="P28" s="55">
        <v>1</v>
      </c>
      <c r="Q28" s="55">
        <v>15.75</v>
      </c>
      <c r="R28" s="43"/>
      <c r="S28" s="43"/>
      <c r="T28" s="43"/>
      <c r="U28" s="43"/>
    </row>
    <row r="29" spans="1:21" s="11" customFormat="1" ht="15">
      <c r="A29" s="54" t="s">
        <v>178</v>
      </c>
      <c r="B29" s="55">
        <v>10.220000000000001</v>
      </c>
      <c r="C29" s="55">
        <v>21.41</v>
      </c>
      <c r="D29" s="55">
        <v>19.690000000000001</v>
      </c>
      <c r="E29" s="55">
        <v>2.63</v>
      </c>
      <c r="F29" s="55">
        <v>8.48</v>
      </c>
      <c r="G29" s="56" t="s">
        <v>15</v>
      </c>
      <c r="H29" s="56" t="s">
        <v>15</v>
      </c>
      <c r="I29" s="55">
        <v>6.62</v>
      </c>
      <c r="J29" s="55">
        <v>3.65</v>
      </c>
      <c r="K29" s="55">
        <v>188.61</v>
      </c>
      <c r="L29" s="55">
        <v>26.03</v>
      </c>
      <c r="M29" s="55">
        <v>97.15</v>
      </c>
      <c r="N29" s="55">
        <v>32.90</v>
      </c>
      <c r="O29" s="55">
        <v>8.8000000000000007</v>
      </c>
      <c r="P29" s="55">
        <v>1.01</v>
      </c>
      <c r="Q29" s="55">
        <v>19.96</v>
      </c>
      <c r="R29" s="43"/>
      <c r="S29" s="43"/>
      <c r="T29" s="43"/>
      <c r="U29" s="43"/>
    </row>
    <row r="30" spans="1:21" s="11" customFormat="1" ht="15">
      <c r="A30" s="54" t="s">
        <v>179</v>
      </c>
      <c r="B30" s="55">
        <v>16.350000000000001</v>
      </c>
      <c r="C30" s="55">
        <v>38.380000000000003</v>
      </c>
      <c r="D30" s="55">
        <v>33.159999999999997</v>
      </c>
      <c r="E30" s="55">
        <v>2.4900000000000002</v>
      </c>
      <c r="F30" s="55">
        <v>9.69</v>
      </c>
      <c r="G30" s="56" t="s">
        <v>15</v>
      </c>
      <c r="H30" s="56" t="s">
        <v>15</v>
      </c>
      <c r="I30" s="55">
        <v>6.67</v>
      </c>
      <c r="J30" s="55">
        <v>0.34</v>
      </c>
      <c r="K30" s="55">
        <v>217.35</v>
      </c>
      <c r="L30" s="55">
        <v>22.61</v>
      </c>
      <c r="M30" s="55">
        <v>97.15</v>
      </c>
      <c r="N30" s="55">
        <v>26.70</v>
      </c>
      <c r="O30" s="55">
        <v>0</v>
      </c>
      <c r="P30" s="55">
        <v>0.88</v>
      </c>
      <c r="Q30" s="55">
        <v>19.829999999999998</v>
      </c>
      <c r="R30" s="43"/>
      <c r="S30" s="43"/>
      <c r="T30" s="43"/>
      <c r="U30" s="43"/>
    </row>
    <row r="31" spans="1:21" s="11" customFormat="1" ht="15">
      <c r="A31" s="54" t="s">
        <v>180</v>
      </c>
      <c r="B31" s="55">
        <v>10.94</v>
      </c>
      <c r="C31" s="55">
        <v>19.420000000000002</v>
      </c>
      <c r="D31" s="55">
        <v>19.649999999999999</v>
      </c>
      <c r="E31" s="55">
        <v>2.5499999999999998</v>
      </c>
      <c r="F31" s="55">
        <v>7.65</v>
      </c>
      <c r="G31" s="56" t="s">
        <v>15</v>
      </c>
      <c r="H31" s="56" t="s">
        <v>15</v>
      </c>
      <c r="I31" s="55">
        <v>6.42</v>
      </c>
      <c r="J31" s="55">
        <v>0.36</v>
      </c>
      <c r="K31" s="55">
        <v>330.87</v>
      </c>
      <c r="L31" s="55">
        <v>23.10</v>
      </c>
      <c r="M31" s="55">
        <v>97.18</v>
      </c>
      <c r="N31" s="55">
        <v>26.90</v>
      </c>
      <c r="O31" s="55">
        <v>0</v>
      </c>
      <c r="P31" s="55">
        <v>0.87</v>
      </c>
      <c r="Q31" s="55">
        <v>20.82</v>
      </c>
      <c r="R31" s="43"/>
      <c r="S31" s="43"/>
      <c r="T31" s="43"/>
      <c r="U31" s="43"/>
    </row>
    <row r="32" spans="1:21" s="11" customFormat="1" ht="15">
      <c r="A32" s="54" t="s">
        <v>181</v>
      </c>
      <c r="B32" s="55">
        <v>10.30</v>
      </c>
      <c r="C32" s="55">
        <v>18.22</v>
      </c>
      <c r="D32" s="55">
        <v>18.96</v>
      </c>
      <c r="E32" s="55">
        <v>2.87</v>
      </c>
      <c r="F32" s="55">
        <v>5.99</v>
      </c>
      <c r="G32" s="56" t="s">
        <v>15</v>
      </c>
      <c r="H32" s="56" t="s">
        <v>15</v>
      </c>
      <c r="I32" s="55">
        <v>6.25</v>
      </c>
      <c r="J32" s="55">
        <v>1.54</v>
      </c>
      <c r="K32" s="55">
        <v>194.04</v>
      </c>
      <c r="L32" s="55">
        <v>24.33</v>
      </c>
      <c r="M32" s="55">
        <v>97.16</v>
      </c>
      <c r="N32" s="55">
        <v>27.70</v>
      </c>
      <c r="O32" s="55">
        <v>0</v>
      </c>
      <c r="P32" s="55">
        <v>0.79</v>
      </c>
      <c r="Q32" s="55">
        <v>20.86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3.7799999999999998</v>
      </c>
      <c r="C34" s="28">
        <f t="shared" si="0"/>
        <v>12.59</v>
      </c>
      <c r="D34" s="28">
        <f t="shared" si="0"/>
        <v>11</v>
      </c>
      <c r="E34" s="28">
        <f t="shared" si="0"/>
        <v>2.04</v>
      </c>
      <c r="F34" s="28">
        <f t="shared" si="0"/>
        <v>5.1600000000000001</v>
      </c>
      <c r="G34" s="28">
        <f t="shared" si="0"/>
        <v>0</v>
      </c>
      <c r="H34" s="28">
        <f t="shared" si="0"/>
        <v>0</v>
      </c>
      <c r="I34" s="28">
        <f t="shared" si="0"/>
        <v>2.5699999999999998</v>
      </c>
      <c r="J34" s="28">
        <f t="shared" si="0"/>
        <v>0.13</v>
      </c>
      <c r="K34" s="28">
        <f t="shared" si="0"/>
        <v>37.229999999999997</v>
      </c>
      <c r="L34" s="28">
        <f t="shared" si="0"/>
        <v>21</v>
      </c>
      <c r="M34" s="28">
        <f t="shared" si="0"/>
        <v>62.170000000000002</v>
      </c>
      <c r="N34" s="28">
        <f t="shared" si="0"/>
        <v>25</v>
      </c>
      <c r="O34" s="28">
        <f t="shared" si="0"/>
        <v>0</v>
      </c>
      <c r="P34" s="28">
        <f t="shared" si="0"/>
        <v>0.42999999999999999</v>
      </c>
      <c r="Q34" s="28">
        <f t="shared" si="0"/>
        <v>3.0099999999999998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16.350000000000001</v>
      </c>
      <c r="C35" s="29">
        <f t="shared" si="1"/>
        <v>49.109999999999999</v>
      </c>
      <c r="D35" s="29">
        <f t="shared" si="1"/>
        <v>37.799999999999997</v>
      </c>
      <c r="E35" s="29">
        <f t="shared" si="1"/>
        <v>3.1000000000000001</v>
      </c>
      <c r="F35" s="29">
        <f t="shared" si="1"/>
        <v>42.810000000000002</v>
      </c>
      <c r="G35" s="29">
        <f t="shared" si="1"/>
        <v>0</v>
      </c>
      <c r="H35" s="29">
        <f t="shared" si="1"/>
        <v>0</v>
      </c>
      <c r="I35" s="29">
        <f t="shared" si="1"/>
        <v>6.6699999999999999</v>
      </c>
      <c r="J35" s="29">
        <f t="shared" si="1"/>
        <v>3.6499999999999999</v>
      </c>
      <c r="K35" s="29">
        <f t="shared" si="1"/>
        <v>358.94999999999999</v>
      </c>
      <c r="L35" s="29">
        <f t="shared" si="1"/>
        <v>32.359999999999999</v>
      </c>
      <c r="M35" s="29">
        <f t="shared" si="1"/>
        <v>97.200000000000003</v>
      </c>
      <c r="N35" s="29">
        <f t="shared" si="1"/>
        <v>1076.5</v>
      </c>
      <c r="O35" s="29">
        <f t="shared" si="1"/>
        <v>20.399999999999999</v>
      </c>
      <c r="P35" s="29">
        <f t="shared" si="1"/>
        <v>1.01</v>
      </c>
      <c r="Q35" s="29">
        <f t="shared" si="1"/>
        <v>20.859999999999999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8.8291666666666657</v>
      </c>
      <c r="C36" s="28">
        <f t="shared" si="2"/>
        <v>21.34833333333334</v>
      </c>
      <c r="D36" s="28">
        <f t="shared" si="2"/>
        <v>18.947499999999998</v>
      </c>
      <c r="E36" s="28">
        <f t="shared" si="2"/>
        <v>2.594583333333333</v>
      </c>
      <c r="F36" s="28">
        <f t="shared" si="2"/>
        <v>17.467916666666667</v>
      </c>
      <c r="G36" s="28" t="e">
        <f t="shared" si="2"/>
        <v>#DIV/0!</v>
      </c>
      <c r="H36" s="28" t="e">
        <f t="shared" si="2"/>
        <v>#DIV/0!</v>
      </c>
      <c r="I36" s="28">
        <f t="shared" si="2"/>
        <v>4.3449999999999998</v>
      </c>
      <c r="J36" s="28">
        <f t="shared" si="2"/>
        <v>0.67916666666666681</v>
      </c>
      <c r="K36" s="28">
        <f t="shared" si="2"/>
        <v>270.49041666666665</v>
      </c>
      <c r="L36" s="28">
        <f t="shared" si="2"/>
        <v>26.606250000000003</v>
      </c>
      <c r="M36" s="28">
        <f t="shared" si="2"/>
        <v>82.74041666666669</v>
      </c>
      <c r="N36" s="28">
        <f t="shared" si="2"/>
        <v>312.90416666666664</v>
      </c>
      <c r="O36" s="28">
        <f t="shared" si="2"/>
        <v>2.0333333333333332</v>
      </c>
      <c r="P36" s="28">
        <f t="shared" si="2"/>
        <v>0.64374999999999993</v>
      </c>
      <c r="Q36" s="28">
        <f t="shared" si="2"/>
        <v>13.174583333333331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3.5023109348054713</v>
      </c>
      <c r="C37" s="28">
        <f t="shared" si="3" ref="C37:Q37">STDEV(C9:C32)</f>
        <v>8.8641631531575964</v>
      </c>
      <c r="D37" s="28">
        <f t="shared" si="3"/>
        <v>6.9503338987668704</v>
      </c>
      <c r="E37" s="28">
        <f t="shared" si="3"/>
        <v>0.25598877636175466</v>
      </c>
      <c r="F37" s="28">
        <f t="shared" si="3"/>
        <v>11.157944324918054</v>
      </c>
      <c r="G37" s="28" t="e">
        <f t="shared" si="3"/>
        <v>#DIV/0!</v>
      </c>
      <c r="H37" s="28" t="e">
        <f t="shared" si="3"/>
        <v>#DIV/0!</v>
      </c>
      <c r="I37" s="28">
        <f t="shared" si="3"/>
        <v>1.2522397325696422</v>
      </c>
      <c r="J37" s="28">
        <f t="shared" si="3"/>
        <v>0.73894117355241096</v>
      </c>
      <c r="K37" s="28">
        <f t="shared" si="3"/>
        <v>102.58774363098708</v>
      </c>
      <c r="L37" s="28">
        <f t="shared" si="3"/>
        <v>3.7971886768800349</v>
      </c>
      <c r="M37" s="28">
        <f t="shared" si="3"/>
        <v>14.329484495465765</v>
      </c>
      <c r="N37" s="28">
        <f t="shared" si="3"/>
        <v>345.63918417051332</v>
      </c>
      <c r="O37" s="28">
        <f t="shared" si="3"/>
        <v>5.7889449866077509</v>
      </c>
      <c r="P37" s="28">
        <f t="shared" si="3"/>
        <v>0.16298339472633949</v>
      </c>
      <c r="Q37" s="28">
        <f t="shared" si="3"/>
        <v>4.5764035425274816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780e9a-4a4f-4935-96c9-08d6dbc5f18c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182</v>
      </c>
      <c r="B9" s="55">
        <v>7.58</v>
      </c>
      <c r="C9" s="55">
        <v>11.66</v>
      </c>
      <c r="D9" s="55">
        <v>13.16</v>
      </c>
      <c r="E9" s="55">
        <v>2.98</v>
      </c>
      <c r="F9" s="55">
        <v>11.99</v>
      </c>
      <c r="G9" s="56" t="s">
        <v>15</v>
      </c>
      <c r="H9" s="56" t="s">
        <v>15</v>
      </c>
      <c r="I9" s="55">
        <v>5.77</v>
      </c>
      <c r="J9" s="55">
        <v>0.47</v>
      </c>
      <c r="K9" s="55">
        <v>291.75</v>
      </c>
      <c r="L9" s="55">
        <v>23.43</v>
      </c>
      <c r="M9" s="55">
        <v>94.55</v>
      </c>
      <c r="N9" s="55">
        <v>25.30</v>
      </c>
      <c r="O9" s="55">
        <v>0</v>
      </c>
      <c r="P9" s="55">
        <v>0.66</v>
      </c>
      <c r="Q9" s="55">
        <v>18.46</v>
      </c>
      <c r="R9" s="43"/>
      <c r="S9" s="43"/>
      <c r="T9" s="43"/>
      <c r="U9" s="43"/>
    </row>
    <row r="10" spans="1:21" s="11" customFormat="1" ht="15">
      <c r="A10" s="54" t="s">
        <v>183</v>
      </c>
      <c r="B10" s="55">
        <v>6.78</v>
      </c>
      <c r="C10" s="55">
        <v>13.48</v>
      </c>
      <c r="D10" s="55">
        <v>13.52</v>
      </c>
      <c r="E10" s="55">
        <v>2.96</v>
      </c>
      <c r="F10" s="55">
        <v>5.86</v>
      </c>
      <c r="G10" s="56" t="s">
        <v>15</v>
      </c>
      <c r="H10" s="56" t="s">
        <v>15</v>
      </c>
      <c r="I10" s="55">
        <v>4.99</v>
      </c>
      <c r="J10" s="55">
        <v>0.35</v>
      </c>
      <c r="K10" s="55">
        <v>231.98</v>
      </c>
      <c r="L10" s="55">
        <v>23.22</v>
      </c>
      <c r="M10" s="55">
        <v>97.15</v>
      </c>
      <c r="N10" s="55">
        <v>24.70</v>
      </c>
      <c r="O10" s="55">
        <v>0</v>
      </c>
      <c r="P10" s="55">
        <v>0.54</v>
      </c>
      <c r="Q10" s="55">
        <v>19.21</v>
      </c>
      <c r="R10" s="43"/>
      <c r="S10" s="43"/>
      <c r="T10" s="43"/>
      <c r="U10" s="43"/>
    </row>
    <row r="11" spans="1:21" s="11" customFormat="1" ht="15">
      <c r="A11" s="54" t="s">
        <v>184</v>
      </c>
      <c r="B11" s="55">
        <v>5.84</v>
      </c>
      <c r="C11" s="55">
        <v>12.81</v>
      </c>
      <c r="D11" s="55">
        <v>12.40</v>
      </c>
      <c r="E11" s="55">
        <v>2.90</v>
      </c>
      <c r="F11" s="55">
        <v>18.82</v>
      </c>
      <c r="G11" s="56" t="s">
        <v>15</v>
      </c>
      <c r="H11" s="56" t="s">
        <v>15</v>
      </c>
      <c r="I11" s="55">
        <v>4.7699999999999996</v>
      </c>
      <c r="J11" s="55">
        <v>0.17</v>
      </c>
      <c r="K11" s="55">
        <v>357.69</v>
      </c>
      <c r="L11" s="55">
        <v>23.33</v>
      </c>
      <c r="M11" s="55">
        <v>97.11</v>
      </c>
      <c r="N11" s="55">
        <v>24.90</v>
      </c>
      <c r="O11" s="55">
        <v>0</v>
      </c>
      <c r="P11" s="55">
        <v>0.47</v>
      </c>
      <c r="Q11" s="55">
        <v>17.36</v>
      </c>
      <c r="R11" s="43"/>
      <c r="S11" s="43"/>
      <c r="T11" s="43"/>
      <c r="U11" s="43"/>
    </row>
    <row r="12" spans="1:21" s="11" customFormat="1" ht="15">
      <c r="A12" s="54" t="s">
        <v>185</v>
      </c>
      <c r="B12" s="55">
        <v>5.49</v>
      </c>
      <c r="C12" s="55">
        <v>10.07</v>
      </c>
      <c r="D12" s="55">
        <v>10.60</v>
      </c>
      <c r="E12" s="55">
        <v>2.78</v>
      </c>
      <c r="F12" s="55">
        <v>16.77</v>
      </c>
      <c r="G12" s="56" t="s">
        <v>15</v>
      </c>
      <c r="H12" s="56" t="s">
        <v>15</v>
      </c>
      <c r="I12" s="55">
        <v>3.77</v>
      </c>
      <c r="J12" s="55">
        <v>0.08</v>
      </c>
      <c r="K12" s="55">
        <v>359.31</v>
      </c>
      <c r="L12" s="55">
        <v>23.29</v>
      </c>
      <c r="M12" s="55">
        <v>96.89</v>
      </c>
      <c r="N12" s="55">
        <v>24.80</v>
      </c>
      <c r="O12" s="55">
        <v>0</v>
      </c>
      <c r="P12" s="55">
        <v>0.41</v>
      </c>
      <c r="Q12" s="55">
        <v>18.68</v>
      </c>
      <c r="R12" s="43"/>
      <c r="S12" s="43"/>
      <c r="T12" s="43"/>
      <c r="U12" s="43"/>
    </row>
    <row r="13" spans="1:21" s="11" customFormat="1" ht="15">
      <c r="A13" s="54" t="s">
        <v>186</v>
      </c>
      <c r="B13" s="55">
        <v>8.77</v>
      </c>
      <c r="C13" s="55">
        <v>14.80</v>
      </c>
      <c r="D13" s="55">
        <v>15.85</v>
      </c>
      <c r="E13" s="55">
        <v>2.70</v>
      </c>
      <c r="F13" s="55">
        <v>5.54</v>
      </c>
      <c r="G13" s="56" t="s">
        <v>15</v>
      </c>
      <c r="H13" s="56" t="s">
        <v>15</v>
      </c>
      <c r="I13" s="55">
        <v>4.51</v>
      </c>
      <c r="J13" s="55">
        <v>0.31</v>
      </c>
      <c r="K13" s="55">
        <v>353.87</v>
      </c>
      <c r="L13" s="55">
        <v>23.16</v>
      </c>
      <c r="M13" s="55">
        <v>97.10</v>
      </c>
      <c r="N13" s="55">
        <v>24.70</v>
      </c>
      <c r="O13" s="55">
        <v>0</v>
      </c>
      <c r="P13" s="55">
        <v>0.37</v>
      </c>
      <c r="Q13" s="55">
        <v>19.600000000000001</v>
      </c>
      <c r="R13" s="43"/>
      <c r="S13" s="43"/>
      <c r="T13" s="43"/>
      <c r="U13" s="43"/>
    </row>
    <row r="14" spans="1:21" s="11" customFormat="1" ht="15">
      <c r="A14" s="54" t="s">
        <v>187</v>
      </c>
      <c r="B14" s="55">
        <v>14.18</v>
      </c>
      <c r="C14" s="55">
        <v>17.54</v>
      </c>
      <c r="D14" s="55">
        <v>21.69</v>
      </c>
      <c r="E14" s="55">
        <v>2.75</v>
      </c>
      <c r="F14" s="55">
        <v>14.17</v>
      </c>
      <c r="G14" s="56" t="s">
        <v>15</v>
      </c>
      <c r="H14" s="56" t="s">
        <v>15</v>
      </c>
      <c r="I14" s="55">
        <v>4.58</v>
      </c>
      <c r="J14" s="55">
        <v>0.66</v>
      </c>
      <c r="K14" s="55">
        <v>344.59</v>
      </c>
      <c r="L14" s="55">
        <v>23.07</v>
      </c>
      <c r="M14" s="55">
        <v>97.08</v>
      </c>
      <c r="N14" s="55">
        <v>31.5</v>
      </c>
      <c r="O14" s="55">
        <v>0</v>
      </c>
      <c r="P14" s="55">
        <v>0.38</v>
      </c>
      <c r="Q14" s="55">
        <v>18.579999999999998</v>
      </c>
      <c r="R14" s="43"/>
      <c r="S14" s="43"/>
      <c r="T14" s="43"/>
      <c r="U14" s="43"/>
    </row>
    <row r="15" spans="1:21" s="11" customFormat="1" ht="15">
      <c r="A15" s="54" t="s">
        <v>188</v>
      </c>
      <c r="B15" s="55">
        <v>14.98</v>
      </c>
      <c r="C15" s="55">
        <v>15.93</v>
      </c>
      <c r="D15" s="55">
        <v>21.46</v>
      </c>
      <c r="E15" s="55">
        <v>2.54</v>
      </c>
      <c r="F15" s="55">
        <v>15.60</v>
      </c>
      <c r="G15" s="56" t="s">
        <v>15</v>
      </c>
      <c r="H15" s="56" t="s">
        <v>15</v>
      </c>
      <c r="I15" s="55">
        <v>3.67</v>
      </c>
      <c r="J15" s="55">
        <v>0.80</v>
      </c>
      <c r="K15" s="55">
        <v>9.48</v>
      </c>
      <c r="L15" s="55">
        <v>23.68</v>
      </c>
      <c r="M15" s="55">
        <v>95.94</v>
      </c>
      <c r="N15" s="55">
        <v>96.5</v>
      </c>
      <c r="O15" s="55">
        <v>0</v>
      </c>
      <c r="P15" s="55">
        <v>0.41</v>
      </c>
      <c r="Q15" s="55">
        <v>20.66</v>
      </c>
      <c r="R15" s="43"/>
      <c r="S15" s="43"/>
      <c r="T15" s="43"/>
      <c r="U15" s="43"/>
    </row>
    <row r="16" spans="1:21" s="11" customFormat="1" ht="15">
      <c r="A16" s="54" t="s">
        <v>189</v>
      </c>
      <c r="B16" s="55">
        <v>20.67</v>
      </c>
      <c r="C16" s="55">
        <v>19.20</v>
      </c>
      <c r="D16" s="55">
        <v>27.82</v>
      </c>
      <c r="E16" s="55">
        <v>3.01</v>
      </c>
      <c r="F16" s="55">
        <v>8.84</v>
      </c>
      <c r="G16" s="56" t="s">
        <v>15</v>
      </c>
      <c r="H16" s="56" t="s">
        <v>15</v>
      </c>
      <c r="I16" s="55">
        <v>4.96</v>
      </c>
      <c r="J16" s="55">
        <v>0.51</v>
      </c>
      <c r="K16" s="55">
        <v>19.78</v>
      </c>
      <c r="L16" s="55">
        <v>25.04</v>
      </c>
      <c r="M16" s="55">
        <v>91.23</v>
      </c>
      <c r="N16" s="55">
        <v>133.60</v>
      </c>
      <c r="O16" s="55">
        <v>0</v>
      </c>
      <c r="P16" s="55">
        <v>0.52</v>
      </c>
      <c r="Q16" s="55">
        <v>20.95</v>
      </c>
      <c r="R16" s="43"/>
      <c r="S16" s="43"/>
      <c r="T16" s="43"/>
      <c r="U16" s="43"/>
    </row>
    <row r="17" spans="1:21" s="11" customFormat="1" ht="15">
      <c r="A17" s="54" t="s">
        <v>190</v>
      </c>
      <c r="B17" s="55">
        <v>26.21</v>
      </c>
      <c r="C17" s="55">
        <v>23.02</v>
      </c>
      <c r="D17" s="55">
        <v>34.36</v>
      </c>
      <c r="E17" s="55">
        <v>3.18</v>
      </c>
      <c r="F17" s="55">
        <v>14.87</v>
      </c>
      <c r="G17" s="56" t="s">
        <v>15</v>
      </c>
      <c r="H17" s="56" t="s">
        <v>15</v>
      </c>
      <c r="I17" s="55">
        <v>5.05</v>
      </c>
      <c r="J17" s="55">
        <v>0.33</v>
      </c>
      <c r="K17" s="55">
        <v>226.28</v>
      </c>
      <c r="L17" s="55">
        <v>25.39</v>
      </c>
      <c r="M17" s="55">
        <v>85.16</v>
      </c>
      <c r="N17" s="55">
        <v>289.89999999999998</v>
      </c>
      <c r="O17" s="55">
        <v>0</v>
      </c>
      <c r="P17" s="55">
        <v>0.60</v>
      </c>
      <c r="Q17" s="55">
        <v>21.56</v>
      </c>
      <c r="R17" s="43"/>
      <c r="S17" s="43"/>
      <c r="T17" s="43"/>
      <c r="U17" s="43"/>
    </row>
    <row r="18" spans="1:21" s="11" customFormat="1" ht="15">
      <c r="A18" s="54" t="s">
        <v>191</v>
      </c>
      <c r="B18" s="55">
        <v>20.59</v>
      </c>
      <c r="C18" s="55">
        <v>20.170000000000002</v>
      </c>
      <c r="D18" s="55">
        <v>26.49</v>
      </c>
      <c r="E18" s="55">
        <v>2.89</v>
      </c>
      <c r="F18" s="55">
        <v>15.98</v>
      </c>
      <c r="G18" s="56" t="s">
        <v>15</v>
      </c>
      <c r="H18" s="56" t="s">
        <v>15</v>
      </c>
      <c r="I18" s="55">
        <v>5.04</v>
      </c>
      <c r="J18" s="55">
        <v>0.12</v>
      </c>
      <c r="K18" s="55">
        <v>182.41</v>
      </c>
      <c r="L18" s="55">
        <v>25.61</v>
      </c>
      <c r="M18" s="55">
        <v>87.32</v>
      </c>
      <c r="N18" s="55">
        <v>229.5</v>
      </c>
      <c r="O18" s="55">
        <v>0</v>
      </c>
      <c r="P18" s="55">
        <v>0.63</v>
      </c>
      <c r="Q18" s="55">
        <v>22.36</v>
      </c>
      <c r="R18" s="43"/>
      <c r="S18" s="43"/>
      <c r="T18" s="43"/>
      <c r="U18" s="43"/>
    </row>
    <row r="19" spans="1:21" s="11" customFormat="1" ht="15">
      <c r="A19" s="54" t="s">
        <v>192</v>
      </c>
      <c r="B19" s="55">
        <v>17.829999999999998</v>
      </c>
      <c r="C19" s="55">
        <v>17.5</v>
      </c>
      <c r="D19" s="55">
        <v>24.60</v>
      </c>
      <c r="E19" s="55">
        <v>3.01</v>
      </c>
      <c r="F19" s="55">
        <v>6.74</v>
      </c>
      <c r="G19" s="56" t="s">
        <v>15</v>
      </c>
      <c r="H19" s="56" t="s">
        <v>15</v>
      </c>
      <c r="I19" s="55">
        <v>6.30</v>
      </c>
      <c r="J19" s="55">
        <v>0.13</v>
      </c>
      <c r="K19" s="55">
        <v>301.06</v>
      </c>
      <c r="L19" s="55">
        <v>25.41</v>
      </c>
      <c r="M19" s="55">
        <v>87.44</v>
      </c>
      <c r="N19" s="55">
        <v>224.30</v>
      </c>
      <c r="O19" s="55">
        <v>0</v>
      </c>
      <c r="P19" s="55">
        <v>0.70</v>
      </c>
      <c r="Q19" s="55">
        <v>22.11</v>
      </c>
      <c r="R19" s="43"/>
      <c r="S19" s="43"/>
      <c r="T19" s="43"/>
      <c r="U19" s="43"/>
    </row>
    <row r="20" spans="1:21" s="11" customFormat="1" ht="15">
      <c r="A20" s="54" t="s">
        <v>193</v>
      </c>
      <c r="B20" s="55">
        <v>10.92</v>
      </c>
      <c r="C20" s="55">
        <v>16.27</v>
      </c>
      <c r="D20" s="55">
        <v>17.61</v>
      </c>
      <c r="E20" s="55">
        <v>2.59</v>
      </c>
      <c r="F20" s="55">
        <v>9.85</v>
      </c>
      <c r="G20" s="56" t="s">
        <v>15</v>
      </c>
      <c r="H20" s="56" t="s">
        <v>15</v>
      </c>
      <c r="I20" s="55">
        <v>6</v>
      </c>
      <c r="J20" s="55">
        <v>0.78</v>
      </c>
      <c r="K20" s="55">
        <v>212.36</v>
      </c>
      <c r="L20" s="55">
        <v>25.12</v>
      </c>
      <c r="M20" s="55">
        <v>95.86</v>
      </c>
      <c r="N20" s="55">
        <v>185.60</v>
      </c>
      <c r="O20" s="55">
        <v>0</v>
      </c>
      <c r="P20" s="55">
        <v>0.70</v>
      </c>
      <c r="Q20" s="55">
        <v>20.73</v>
      </c>
      <c r="R20" s="43"/>
      <c r="S20" s="43"/>
      <c r="T20" s="43"/>
      <c r="U20" s="43"/>
    </row>
    <row r="21" spans="1:21" s="11" customFormat="1" ht="15">
      <c r="A21" s="54" t="s">
        <v>194</v>
      </c>
      <c r="B21" s="55">
        <v>10.55</v>
      </c>
      <c r="C21" s="55">
        <v>16.690000000000001</v>
      </c>
      <c r="D21" s="55">
        <v>18.23</v>
      </c>
      <c r="E21" s="55">
        <v>2.38</v>
      </c>
      <c r="F21" s="55">
        <v>8.06</v>
      </c>
      <c r="G21" s="56" t="s">
        <v>15</v>
      </c>
      <c r="H21" s="56" t="s">
        <v>15</v>
      </c>
      <c r="I21" s="55">
        <v>5.40</v>
      </c>
      <c r="J21" s="55">
        <v>0.91</v>
      </c>
      <c r="K21" s="55">
        <v>178.32</v>
      </c>
      <c r="L21" s="55">
        <v>24.26</v>
      </c>
      <c r="M21" s="55">
        <v>97.12</v>
      </c>
      <c r="N21" s="55">
        <v>184.40</v>
      </c>
      <c r="O21" s="55">
        <v>0</v>
      </c>
      <c r="P21" s="55">
        <v>0.67</v>
      </c>
      <c r="Q21" s="55">
        <v>20.37</v>
      </c>
      <c r="R21" s="43"/>
      <c r="S21" s="43"/>
      <c r="T21" s="43"/>
      <c r="U21" s="43"/>
    </row>
    <row r="22" spans="1:21" s="11" customFormat="1" ht="15">
      <c r="A22" s="54" t="s">
        <v>195</v>
      </c>
      <c r="B22" s="55">
        <v>8.43</v>
      </c>
      <c r="C22" s="55">
        <v>16.22</v>
      </c>
      <c r="D22" s="55">
        <v>16.36</v>
      </c>
      <c r="E22" s="55">
        <v>2.4700000000000002</v>
      </c>
      <c r="F22" s="55">
        <v>5.62</v>
      </c>
      <c r="G22" s="56" t="s">
        <v>15</v>
      </c>
      <c r="H22" s="56" t="s">
        <v>15</v>
      </c>
      <c r="I22" s="55">
        <v>5.93</v>
      </c>
      <c r="J22" s="55">
        <v>0.73</v>
      </c>
      <c r="K22" s="55">
        <v>191.37</v>
      </c>
      <c r="L22" s="55">
        <v>24.95</v>
      </c>
      <c r="M22" s="55">
        <v>97.05</v>
      </c>
      <c r="N22" s="55">
        <v>392.80</v>
      </c>
      <c r="O22" s="55">
        <v>0</v>
      </c>
      <c r="P22" s="55">
        <v>0.57999999999999996</v>
      </c>
      <c r="Q22" s="55">
        <v>20.52</v>
      </c>
      <c r="R22" s="43"/>
      <c r="S22" s="43"/>
      <c r="T22" s="43"/>
      <c r="U22" s="43"/>
    </row>
    <row r="23" spans="1:21" s="11" customFormat="1" ht="15">
      <c r="A23" s="54" t="s">
        <v>196</v>
      </c>
      <c r="B23" s="55">
        <v>5.97</v>
      </c>
      <c r="C23" s="55">
        <v>15.61</v>
      </c>
      <c r="D23" s="55">
        <v>13.51</v>
      </c>
      <c r="E23" s="55">
        <v>2.46</v>
      </c>
      <c r="F23" s="55">
        <v>8.73</v>
      </c>
      <c r="G23" s="56" t="s">
        <v>15</v>
      </c>
      <c r="H23" s="56" t="s">
        <v>15</v>
      </c>
      <c r="I23" s="55">
        <v>5.21</v>
      </c>
      <c r="J23" s="55">
        <v>0.64</v>
      </c>
      <c r="K23" s="55">
        <v>203.63</v>
      </c>
      <c r="L23" s="55">
        <v>25.13</v>
      </c>
      <c r="M23" s="55">
        <v>90.03</v>
      </c>
      <c r="N23" s="55">
        <v>392.10</v>
      </c>
      <c r="O23" s="55">
        <v>0</v>
      </c>
      <c r="P23" s="55">
        <v>0.5</v>
      </c>
      <c r="Q23" s="55">
        <v>16.96</v>
      </c>
      <c r="R23" s="43"/>
      <c r="S23" s="43"/>
      <c r="T23" s="43"/>
      <c r="U23" s="43"/>
    </row>
    <row r="24" spans="1:21" s="11" customFormat="1" ht="15">
      <c r="A24" s="54" t="s">
        <v>197</v>
      </c>
      <c r="B24" s="55">
        <v>5.39</v>
      </c>
      <c r="C24" s="55">
        <v>14.40</v>
      </c>
      <c r="D24" s="55">
        <v>12.88</v>
      </c>
      <c r="E24" s="55">
        <v>2.36</v>
      </c>
      <c r="F24" s="55">
        <v>11.96</v>
      </c>
      <c r="G24" s="56" t="s">
        <v>15</v>
      </c>
      <c r="H24" s="56" t="s">
        <v>15</v>
      </c>
      <c r="I24" s="55">
        <v>4.07</v>
      </c>
      <c r="J24" s="55">
        <v>0.44</v>
      </c>
      <c r="K24" s="55">
        <v>232.14</v>
      </c>
      <c r="L24" s="55">
        <v>25.30</v>
      </c>
      <c r="M24" s="55">
        <v>88.21</v>
      </c>
      <c r="N24" s="55">
        <v>291.60000000000002</v>
      </c>
      <c r="O24" s="55">
        <v>0</v>
      </c>
      <c r="P24" s="55">
        <v>0.42</v>
      </c>
      <c r="Q24" s="55">
        <v>15.74</v>
      </c>
      <c r="R24" s="43"/>
      <c r="S24" s="43"/>
      <c r="T24" s="43"/>
      <c r="U24" s="43"/>
    </row>
    <row r="25" spans="1:21" s="11" customFormat="1" ht="15">
      <c r="A25" s="54" t="s">
        <v>198</v>
      </c>
      <c r="B25" s="55">
        <v>4.72</v>
      </c>
      <c r="C25" s="55">
        <v>13.34</v>
      </c>
      <c r="D25" s="55">
        <v>11.79</v>
      </c>
      <c r="E25" s="55">
        <v>2</v>
      </c>
      <c r="F25" s="55">
        <v>7.15</v>
      </c>
      <c r="G25" s="56" t="s">
        <v>15</v>
      </c>
      <c r="H25" s="56" t="s">
        <v>15</v>
      </c>
      <c r="I25" s="55">
        <v>4.17</v>
      </c>
      <c r="J25" s="55">
        <v>0.40</v>
      </c>
      <c r="K25" s="55">
        <v>263.27999999999997</v>
      </c>
      <c r="L25" s="55">
        <v>24.95</v>
      </c>
      <c r="M25" s="55">
        <v>88.66</v>
      </c>
      <c r="N25" s="55">
        <v>240.20</v>
      </c>
      <c r="O25" s="55">
        <v>0</v>
      </c>
      <c r="P25" s="55">
        <v>0.37</v>
      </c>
      <c r="Q25" s="55">
        <v>12.59</v>
      </c>
      <c r="R25" s="43"/>
      <c r="S25" s="43"/>
      <c r="T25" s="43"/>
      <c r="U25" s="43"/>
    </row>
    <row r="26" spans="1:21" s="11" customFormat="1" ht="15">
      <c r="A26" s="54" t="s">
        <v>199</v>
      </c>
      <c r="B26" s="55">
        <v>5.05</v>
      </c>
      <c r="C26" s="55">
        <v>13.20</v>
      </c>
      <c r="D26" s="55">
        <v>11.55</v>
      </c>
      <c r="E26" s="55">
        <v>2.06</v>
      </c>
      <c r="F26" s="55">
        <v>10.26</v>
      </c>
      <c r="G26" s="56" t="s">
        <v>15</v>
      </c>
      <c r="H26" s="56" t="s">
        <v>15</v>
      </c>
      <c r="I26" s="55">
        <v>3.33</v>
      </c>
      <c r="J26" s="55">
        <v>0.45</v>
      </c>
      <c r="K26" s="55">
        <v>259.66000000000003</v>
      </c>
      <c r="L26" s="55">
        <v>24.69</v>
      </c>
      <c r="M26" s="55">
        <v>91.86</v>
      </c>
      <c r="N26" s="55">
        <v>117.40</v>
      </c>
      <c r="O26" s="55">
        <v>0</v>
      </c>
      <c r="P26" s="55">
        <v>0.34</v>
      </c>
      <c r="Q26" s="55">
        <v>10.59</v>
      </c>
      <c r="R26" s="43"/>
      <c r="S26" s="43"/>
      <c r="T26" s="43"/>
      <c r="U26" s="43"/>
    </row>
    <row r="27" spans="1:21" s="11" customFormat="1" ht="15">
      <c r="A27" s="54" t="s">
        <v>200</v>
      </c>
      <c r="B27" s="55">
        <v>9.11</v>
      </c>
      <c r="C27" s="55">
        <v>16.55</v>
      </c>
      <c r="D27" s="55">
        <v>17.079999999999998</v>
      </c>
      <c r="E27" s="55">
        <v>2.37</v>
      </c>
      <c r="F27" s="55">
        <v>8.3699999999999992</v>
      </c>
      <c r="G27" s="56" t="s">
        <v>15</v>
      </c>
      <c r="H27" s="56" t="s">
        <v>15</v>
      </c>
      <c r="I27" s="55">
        <v>3.27</v>
      </c>
      <c r="J27" s="55">
        <v>0.11</v>
      </c>
      <c r="K27" s="55">
        <v>340.10</v>
      </c>
      <c r="L27" s="55">
        <v>23.85</v>
      </c>
      <c r="M27" s="55">
        <v>94.38</v>
      </c>
      <c r="N27" s="55">
        <v>28.20</v>
      </c>
      <c r="O27" s="55">
        <v>0</v>
      </c>
      <c r="P27" s="55">
        <v>0.36</v>
      </c>
      <c r="Q27" s="55">
        <v>12.32</v>
      </c>
      <c r="R27" s="43"/>
      <c r="S27" s="43"/>
      <c r="T27" s="43"/>
      <c r="U27" s="43"/>
    </row>
    <row r="28" spans="1:21" s="11" customFormat="1" ht="15">
      <c r="A28" s="54" t="s">
        <v>201</v>
      </c>
      <c r="B28" s="55">
        <v>5.67</v>
      </c>
      <c r="C28" s="55">
        <v>14.24</v>
      </c>
      <c r="D28" s="55">
        <v>13.05</v>
      </c>
      <c r="E28" s="55">
        <v>2.31</v>
      </c>
      <c r="F28" s="55">
        <v>6.88</v>
      </c>
      <c r="G28" s="56" t="s">
        <v>15</v>
      </c>
      <c r="H28" s="56" t="s">
        <v>15</v>
      </c>
      <c r="I28" s="55">
        <v>3.39</v>
      </c>
      <c r="J28" s="55">
        <v>0.32</v>
      </c>
      <c r="K28" s="55">
        <v>231.27</v>
      </c>
      <c r="L28" s="55">
        <v>23.5</v>
      </c>
      <c r="M28" s="55">
        <v>95.75</v>
      </c>
      <c r="N28" s="55">
        <v>23.80</v>
      </c>
      <c r="O28" s="55">
        <v>0</v>
      </c>
      <c r="P28" s="55">
        <v>0.36</v>
      </c>
      <c r="Q28" s="55">
        <v>11.68</v>
      </c>
      <c r="R28" s="43"/>
      <c r="S28" s="43"/>
      <c r="T28" s="43"/>
      <c r="U28" s="43"/>
    </row>
    <row r="29" spans="1:21" s="11" customFormat="1" ht="15">
      <c r="A29" s="54" t="s">
        <v>202</v>
      </c>
      <c r="B29" s="55">
        <v>9.06</v>
      </c>
      <c r="C29" s="55">
        <v>20.309999999999999</v>
      </c>
      <c r="D29" s="55">
        <v>19.12</v>
      </c>
      <c r="E29" s="55">
        <v>1.72</v>
      </c>
      <c r="F29" s="55">
        <v>13.86</v>
      </c>
      <c r="G29" s="56" t="s">
        <v>15</v>
      </c>
      <c r="H29" s="56" t="s">
        <v>15</v>
      </c>
      <c r="I29" s="55">
        <v>3.06</v>
      </c>
      <c r="J29" s="55">
        <v>0.64</v>
      </c>
      <c r="K29" s="55">
        <v>289.77</v>
      </c>
      <c r="L29" s="55">
        <v>23.56</v>
      </c>
      <c r="M29" s="55">
        <v>96.34</v>
      </c>
      <c r="N29" s="55">
        <v>24.40</v>
      </c>
      <c r="O29" s="55">
        <v>0.60</v>
      </c>
      <c r="P29" s="55">
        <v>0.41</v>
      </c>
      <c r="Q29" s="55">
        <v>11.93</v>
      </c>
      <c r="R29" s="43"/>
      <c r="S29" s="43"/>
      <c r="T29" s="43"/>
      <c r="U29" s="43"/>
    </row>
    <row r="30" spans="1:21" s="11" customFormat="1" ht="15">
      <c r="A30" s="54" t="s">
        <v>203</v>
      </c>
      <c r="B30" s="55">
        <v>8.15</v>
      </c>
      <c r="C30" s="55">
        <v>15.82</v>
      </c>
      <c r="D30" s="55">
        <v>15.31</v>
      </c>
      <c r="E30" s="55">
        <v>2.19</v>
      </c>
      <c r="F30" s="55">
        <v>10.41</v>
      </c>
      <c r="G30" s="56" t="s">
        <v>15</v>
      </c>
      <c r="H30" s="56" t="s">
        <v>15</v>
      </c>
      <c r="I30" s="55">
        <v>3.92</v>
      </c>
      <c r="J30" s="55">
        <v>0.37</v>
      </c>
      <c r="K30" s="55">
        <v>259.49</v>
      </c>
      <c r="L30" s="55">
        <v>22.91</v>
      </c>
      <c r="M30" s="55">
        <v>97.16</v>
      </c>
      <c r="N30" s="55">
        <v>24.20</v>
      </c>
      <c r="O30" s="55">
        <v>0.80</v>
      </c>
      <c r="P30" s="55">
        <v>0.41</v>
      </c>
      <c r="Q30" s="55">
        <v>14.87</v>
      </c>
      <c r="R30" s="43"/>
      <c r="S30" s="43"/>
      <c r="T30" s="43"/>
      <c r="U30" s="43"/>
    </row>
    <row r="31" spans="1:21" s="11" customFormat="1" ht="15">
      <c r="A31" s="54" t="s">
        <v>204</v>
      </c>
      <c r="B31" s="55">
        <v>7.92</v>
      </c>
      <c r="C31" s="55">
        <v>13.15</v>
      </c>
      <c r="D31" s="55">
        <v>13.68</v>
      </c>
      <c r="E31" s="55">
        <v>2.06</v>
      </c>
      <c r="F31" s="55">
        <v>5.45</v>
      </c>
      <c r="G31" s="56" t="s">
        <v>15</v>
      </c>
      <c r="H31" s="56" t="s">
        <v>15</v>
      </c>
      <c r="I31" s="55">
        <v>4.22</v>
      </c>
      <c r="J31" s="55">
        <v>0.14000000000000001</v>
      </c>
      <c r="K31" s="55">
        <v>235.16</v>
      </c>
      <c r="L31" s="55">
        <v>22.58</v>
      </c>
      <c r="M31" s="55">
        <v>97.17</v>
      </c>
      <c r="N31" s="55">
        <v>23.80</v>
      </c>
      <c r="O31" s="55">
        <v>0</v>
      </c>
      <c r="P31" s="55">
        <v>0.39</v>
      </c>
      <c r="Q31" s="55">
        <v>14.51</v>
      </c>
      <c r="R31" s="43"/>
      <c r="S31" s="43"/>
      <c r="T31" s="43"/>
      <c r="U31" s="43"/>
    </row>
    <row r="32" spans="1:21" s="11" customFormat="1" ht="15">
      <c r="A32" s="54" t="s">
        <v>205</v>
      </c>
      <c r="B32" s="55">
        <v>7.32</v>
      </c>
      <c r="C32" s="55">
        <v>12.65</v>
      </c>
      <c r="D32" s="55">
        <v>12.78</v>
      </c>
      <c r="E32" s="55">
        <v>2.2400000000000002</v>
      </c>
      <c r="F32" s="55">
        <v>12.16</v>
      </c>
      <c r="G32" s="56" t="s">
        <v>15</v>
      </c>
      <c r="H32" s="56" t="s">
        <v>15</v>
      </c>
      <c r="I32" s="55">
        <v>3.67</v>
      </c>
      <c r="J32" s="55">
        <v>0.19</v>
      </c>
      <c r="K32" s="55">
        <v>236.97</v>
      </c>
      <c r="L32" s="55">
        <v>22.5</v>
      </c>
      <c r="M32" s="55">
        <v>97.18</v>
      </c>
      <c r="N32" s="55">
        <v>24.20</v>
      </c>
      <c r="O32" s="55">
        <v>0</v>
      </c>
      <c r="P32" s="55">
        <v>0.37</v>
      </c>
      <c r="Q32" s="55">
        <v>14.54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4.7199999999999998</v>
      </c>
      <c r="C34" s="28">
        <f t="shared" si="0"/>
        <v>10.07</v>
      </c>
      <c r="D34" s="28">
        <f t="shared" si="0"/>
        <v>10.6</v>
      </c>
      <c r="E34" s="28">
        <f t="shared" si="0"/>
        <v>1.72</v>
      </c>
      <c r="F34" s="28">
        <f t="shared" si="0"/>
        <v>5.4500000000000002</v>
      </c>
      <c r="G34" s="28">
        <f t="shared" si="0"/>
        <v>0</v>
      </c>
      <c r="H34" s="28">
        <f t="shared" si="0"/>
        <v>0</v>
      </c>
      <c r="I34" s="28">
        <f t="shared" si="0"/>
        <v>3.0600000000000001</v>
      </c>
      <c r="J34" s="28">
        <f t="shared" si="0"/>
        <v>0.080000000000000002</v>
      </c>
      <c r="K34" s="28">
        <f t="shared" si="0"/>
        <v>9.4800000000000004</v>
      </c>
      <c r="L34" s="28">
        <f t="shared" si="0"/>
        <v>22.5</v>
      </c>
      <c r="M34" s="28">
        <f t="shared" si="0"/>
        <v>85.159999999999997</v>
      </c>
      <c r="N34" s="28">
        <f t="shared" si="0"/>
        <v>23.800000000000001</v>
      </c>
      <c r="O34" s="28">
        <f t="shared" si="0"/>
        <v>0</v>
      </c>
      <c r="P34" s="28">
        <f t="shared" si="0"/>
        <v>0.34000000000000002</v>
      </c>
      <c r="Q34" s="28">
        <f t="shared" si="0"/>
        <v>10.59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26.210000000000001</v>
      </c>
      <c r="C35" s="29">
        <f t="shared" si="1"/>
        <v>23.02</v>
      </c>
      <c r="D35" s="29">
        <f t="shared" si="1"/>
        <v>34.359999999999999</v>
      </c>
      <c r="E35" s="29">
        <f t="shared" si="1"/>
        <v>3.1800000000000002</v>
      </c>
      <c r="F35" s="29">
        <f t="shared" si="1"/>
        <v>18.82</v>
      </c>
      <c r="G35" s="29">
        <f t="shared" si="1"/>
        <v>0</v>
      </c>
      <c r="H35" s="29">
        <f t="shared" si="1"/>
        <v>0</v>
      </c>
      <c r="I35" s="29">
        <f t="shared" si="1"/>
        <v>6.2999999999999998</v>
      </c>
      <c r="J35" s="29">
        <f t="shared" si="1"/>
        <v>0.91000000000000003</v>
      </c>
      <c r="K35" s="29">
        <f t="shared" si="1"/>
        <v>359.31</v>
      </c>
      <c r="L35" s="29">
        <f t="shared" si="1"/>
        <v>25.609999999999999</v>
      </c>
      <c r="M35" s="29">
        <f t="shared" si="1"/>
        <v>97.180000000000007</v>
      </c>
      <c r="N35" s="29">
        <f t="shared" si="1"/>
        <v>392.80000000000001</v>
      </c>
      <c r="O35" s="29">
        <f t="shared" si="1"/>
        <v>0.80000000000000004</v>
      </c>
      <c r="P35" s="29">
        <f t="shared" si="1"/>
        <v>0.69999999999999996</v>
      </c>
      <c r="Q35" s="29">
        <f t="shared" si="1"/>
        <v>22.359999999999999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10.299166666666666</v>
      </c>
      <c r="C36" s="28">
        <f t="shared" si="2"/>
        <v>15.609583333333333</v>
      </c>
      <c r="D36" s="28">
        <f t="shared" si="2"/>
        <v>17.287500000000001</v>
      </c>
      <c r="E36" s="28">
        <f t="shared" si="2"/>
        <v>2.5379166666666664</v>
      </c>
      <c r="F36" s="28">
        <f t="shared" si="2"/>
        <v>10.580833333333333</v>
      </c>
      <c r="G36" s="28" t="e">
        <f t="shared" si="2"/>
        <v>#DIV/0!</v>
      </c>
      <c r="H36" s="28" t="e">
        <f t="shared" si="2"/>
        <v>#DIV/0!</v>
      </c>
      <c r="I36" s="28">
        <f t="shared" si="2"/>
        <v>4.5437500000000002</v>
      </c>
      <c r="J36" s="28">
        <f t="shared" si="2"/>
        <v>0.41874999999999996</v>
      </c>
      <c r="K36" s="28">
        <f t="shared" si="2"/>
        <v>242.155</v>
      </c>
      <c r="L36" s="28">
        <f t="shared" si="2"/>
        <v>24.080416666666668</v>
      </c>
      <c r="M36" s="28">
        <f t="shared" si="2"/>
        <v>93.90583333333332</v>
      </c>
      <c r="N36" s="28">
        <f t="shared" si="2"/>
        <v>128.43333333333331</v>
      </c>
      <c r="O36" s="28">
        <f t="shared" si="2"/>
        <v>0.058333333333333327</v>
      </c>
      <c r="P36" s="28">
        <f t="shared" si="2"/>
        <v>0.48208333333333325</v>
      </c>
      <c r="Q36" s="28">
        <f t="shared" si="2"/>
        <v>17.369999999999997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5.8026297761308738</v>
      </c>
      <c r="C37" s="28">
        <f t="shared" si="3" ref="C37:Q37">STDEV(C9:C32)</f>
        <v>3.0175090204348738</v>
      </c>
      <c r="D37" s="28">
        <f t="shared" si="3"/>
        <v>6.0309003221452837</v>
      </c>
      <c r="E37" s="28">
        <f t="shared" si="3"/>
        <v>0.38400610464652196</v>
      </c>
      <c r="F37" s="28">
        <f t="shared" si="3"/>
        <v>3.9899950056268927</v>
      </c>
      <c r="G37" s="28" t="e">
        <f t="shared" si="3"/>
        <v>#DIV/0!</v>
      </c>
      <c r="H37" s="28" t="e">
        <f t="shared" si="3"/>
        <v>#DIV/0!</v>
      </c>
      <c r="I37" s="28">
        <f t="shared" si="3"/>
        <v>0.94058174644159986</v>
      </c>
      <c r="J37" s="28">
        <f t="shared" si="3"/>
        <v>0.24619385257044554</v>
      </c>
      <c r="K37" s="28">
        <f t="shared" si="3"/>
        <v>89.860692717406565</v>
      </c>
      <c r="L37" s="28">
        <f t="shared" si="3"/>
        <v>1.0105636789808758</v>
      </c>
      <c r="M37" s="28">
        <f t="shared" si="3"/>
        <v>4.0004183658024184</v>
      </c>
      <c r="N37" s="28">
        <f t="shared" si="3"/>
        <v>124.94828727419046</v>
      </c>
      <c r="O37" s="28">
        <f t="shared" si="3"/>
        <v>0.19981875845846922</v>
      </c>
      <c r="P37" s="28">
        <f t="shared" si="3"/>
        <v>0.12226056161958451</v>
      </c>
      <c r="Q37" s="28">
        <f t="shared" si="3"/>
        <v>3.6893253772377568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d178ca-21f9-4aff-b021-402d859bb7d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J60" sqref="J60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206</v>
      </c>
      <c r="B9" s="55">
        <v>7.80</v>
      </c>
      <c r="C9" s="55">
        <v>12.81</v>
      </c>
      <c r="D9" s="55">
        <v>13.95</v>
      </c>
      <c r="E9" s="55">
        <v>2.72</v>
      </c>
      <c r="F9" s="55">
        <v>10.220000000000001</v>
      </c>
      <c r="G9" s="56" t="s">
        <v>15</v>
      </c>
      <c r="H9" s="56" t="s">
        <v>15</v>
      </c>
      <c r="I9" s="55">
        <v>4.24</v>
      </c>
      <c r="J9" s="55">
        <v>0.16</v>
      </c>
      <c r="K9" s="55">
        <v>332.60</v>
      </c>
      <c r="L9" s="55">
        <v>22.58</v>
      </c>
      <c r="M9" s="55">
        <v>97.17</v>
      </c>
      <c r="N9" s="55">
        <v>24</v>
      </c>
      <c r="O9" s="55">
        <v>0.20</v>
      </c>
      <c r="P9" s="55">
        <v>0.34</v>
      </c>
      <c r="Q9" s="55">
        <v>16.22</v>
      </c>
      <c r="R9" s="43"/>
      <c r="S9" s="43"/>
      <c r="T9" s="43"/>
      <c r="U9" s="43"/>
    </row>
    <row r="10" spans="1:21" s="11" customFormat="1" ht="15">
      <c r="A10" s="54" t="s">
        <v>207</v>
      </c>
      <c r="B10" s="55">
        <v>6.67</v>
      </c>
      <c r="C10" s="55">
        <v>13.52</v>
      </c>
      <c r="D10" s="55">
        <v>13.01</v>
      </c>
      <c r="E10" s="55">
        <v>2.66</v>
      </c>
      <c r="F10" s="55">
        <v>5.31</v>
      </c>
      <c r="G10" s="56" t="s">
        <v>15</v>
      </c>
      <c r="H10" s="56" t="s">
        <v>15</v>
      </c>
      <c r="I10" s="55">
        <v>4.17</v>
      </c>
      <c r="J10" s="55">
        <v>0.10</v>
      </c>
      <c r="K10" s="55">
        <v>351.26</v>
      </c>
      <c r="L10" s="55">
        <v>22.58</v>
      </c>
      <c r="M10" s="55">
        <v>97.11</v>
      </c>
      <c r="N10" s="55">
        <v>24.30</v>
      </c>
      <c r="O10" s="55">
        <v>0</v>
      </c>
      <c r="P10" s="55">
        <v>0.28000000000000003</v>
      </c>
      <c r="Q10" s="55">
        <v>14.27</v>
      </c>
      <c r="R10" s="43"/>
      <c r="S10" s="43"/>
      <c r="T10" s="43"/>
      <c r="U10" s="43"/>
    </row>
    <row r="11" spans="1:21" s="11" customFormat="1" ht="15">
      <c r="A11" s="54" t="s">
        <v>208</v>
      </c>
      <c r="B11" s="55">
        <v>5.56</v>
      </c>
      <c r="C11" s="55">
        <v>12.40</v>
      </c>
      <c r="D11" s="55">
        <v>11.89</v>
      </c>
      <c r="E11" s="55">
        <v>2.2999999999999998</v>
      </c>
      <c r="F11" s="55">
        <v>15.11</v>
      </c>
      <c r="G11" s="56" t="s">
        <v>15</v>
      </c>
      <c r="H11" s="56" t="s">
        <v>15</v>
      </c>
      <c r="I11" s="55">
        <v>3.36</v>
      </c>
      <c r="J11" s="55">
        <v>0.28000000000000003</v>
      </c>
      <c r="K11" s="55">
        <v>232.5</v>
      </c>
      <c r="L11" s="55">
        <v>22.49</v>
      </c>
      <c r="M11" s="55">
        <v>97.15</v>
      </c>
      <c r="N11" s="55">
        <v>24.5</v>
      </c>
      <c r="O11" s="55">
        <v>0</v>
      </c>
      <c r="P11" s="55">
        <v>0.26</v>
      </c>
      <c r="Q11" s="55">
        <v>13.83</v>
      </c>
      <c r="R11" s="43"/>
      <c r="S11" s="43"/>
      <c r="T11" s="43"/>
      <c r="U11" s="43"/>
    </row>
    <row r="12" spans="1:21" s="11" customFormat="1" ht="15">
      <c r="A12" s="54" t="s">
        <v>209</v>
      </c>
      <c r="B12" s="55">
        <v>6.87</v>
      </c>
      <c r="C12" s="55">
        <v>12.43</v>
      </c>
      <c r="D12" s="55">
        <v>13.02</v>
      </c>
      <c r="E12" s="55">
        <v>2.79</v>
      </c>
      <c r="F12" s="55">
        <v>9.84</v>
      </c>
      <c r="G12" s="56" t="s">
        <v>15</v>
      </c>
      <c r="H12" s="56" t="s">
        <v>15</v>
      </c>
      <c r="I12" s="55">
        <v>4.01</v>
      </c>
      <c r="J12" s="55">
        <v>0.11</v>
      </c>
      <c r="K12" s="55">
        <v>280.44</v>
      </c>
      <c r="L12" s="55">
        <v>22.5</v>
      </c>
      <c r="M12" s="55">
        <v>97.15</v>
      </c>
      <c r="N12" s="55">
        <v>24.5</v>
      </c>
      <c r="O12" s="55">
        <v>0</v>
      </c>
      <c r="P12" s="55">
        <v>0.24</v>
      </c>
      <c r="Q12" s="55">
        <v>16.09</v>
      </c>
      <c r="R12" s="43"/>
      <c r="S12" s="43"/>
      <c r="T12" s="43"/>
      <c r="U12" s="43"/>
    </row>
    <row r="13" spans="1:21" s="11" customFormat="1" ht="15">
      <c r="A13" s="54" t="s">
        <v>210</v>
      </c>
      <c r="B13" s="55">
        <v>6.56</v>
      </c>
      <c r="C13" s="55">
        <v>12.23</v>
      </c>
      <c r="D13" s="55">
        <v>12.47</v>
      </c>
      <c r="E13" s="55">
        <v>2.5</v>
      </c>
      <c r="F13" s="55">
        <v>5.37</v>
      </c>
      <c r="G13" s="56" t="s">
        <v>15</v>
      </c>
      <c r="H13" s="56" t="s">
        <v>15</v>
      </c>
      <c r="I13" s="55">
        <v>4.01</v>
      </c>
      <c r="J13" s="55">
        <v>0.05</v>
      </c>
      <c r="K13" s="55">
        <v>296</v>
      </c>
      <c r="L13" s="55">
        <v>22.25</v>
      </c>
      <c r="M13" s="55">
        <v>97.18</v>
      </c>
      <c r="N13" s="55">
        <v>24.10</v>
      </c>
      <c r="O13" s="55">
        <v>0.80</v>
      </c>
      <c r="P13" s="55">
        <v>0.22</v>
      </c>
      <c r="Q13" s="55">
        <v>14.52</v>
      </c>
      <c r="R13" s="43"/>
      <c r="S13" s="43"/>
      <c r="T13" s="43"/>
      <c r="U13" s="43"/>
    </row>
    <row r="14" spans="1:21" s="11" customFormat="1" ht="15">
      <c r="A14" s="54" t="s">
        <v>211</v>
      </c>
      <c r="B14" s="55">
        <v>6.55</v>
      </c>
      <c r="C14" s="55">
        <v>14.85</v>
      </c>
      <c r="D14" s="55">
        <v>14.09</v>
      </c>
      <c r="E14" s="55">
        <v>2.4300000000000002</v>
      </c>
      <c r="F14" s="55">
        <v>5.05</v>
      </c>
      <c r="G14" s="56" t="s">
        <v>15</v>
      </c>
      <c r="H14" s="56" t="s">
        <v>15</v>
      </c>
      <c r="I14" s="55">
        <v>3.53</v>
      </c>
      <c r="J14" s="55">
        <v>0.20</v>
      </c>
      <c r="K14" s="55">
        <v>43.62</v>
      </c>
      <c r="L14" s="55">
        <v>21.83</v>
      </c>
      <c r="M14" s="55">
        <v>97.18</v>
      </c>
      <c r="N14" s="55">
        <v>27</v>
      </c>
      <c r="O14" s="55">
        <v>10</v>
      </c>
      <c r="P14" s="55">
        <v>0.20</v>
      </c>
      <c r="Q14" s="55">
        <v>12.30</v>
      </c>
      <c r="R14" s="43"/>
      <c r="S14" s="43"/>
      <c r="T14" s="43"/>
      <c r="U14" s="43"/>
    </row>
    <row r="15" spans="1:21" s="11" customFormat="1" ht="15">
      <c r="A15" s="54" t="s">
        <v>212</v>
      </c>
      <c r="B15" s="55">
        <v>6.33</v>
      </c>
      <c r="C15" s="55">
        <v>14.54</v>
      </c>
      <c r="D15" s="55">
        <v>13.46</v>
      </c>
      <c r="E15" s="55">
        <v>2.23</v>
      </c>
      <c r="F15" s="55">
        <v>5.72</v>
      </c>
      <c r="G15" s="56" t="s">
        <v>15</v>
      </c>
      <c r="H15" s="56" t="s">
        <v>15</v>
      </c>
      <c r="I15" s="55">
        <v>3.04</v>
      </c>
      <c r="J15" s="55">
        <v>0.45</v>
      </c>
      <c r="K15" s="55">
        <v>258.58999999999997</v>
      </c>
      <c r="L15" s="55">
        <v>21.27</v>
      </c>
      <c r="M15" s="55">
        <v>97.16</v>
      </c>
      <c r="N15" s="55">
        <v>32.5</v>
      </c>
      <c r="O15" s="55">
        <v>9.1999999999999993</v>
      </c>
      <c r="P15" s="55">
        <v>0.20</v>
      </c>
      <c r="Q15" s="55">
        <v>11.37</v>
      </c>
      <c r="R15" s="43"/>
      <c r="S15" s="43"/>
      <c r="T15" s="43"/>
      <c r="U15" s="43"/>
    </row>
    <row r="16" spans="1:21" s="11" customFormat="1" ht="15">
      <c r="A16" s="54" t="s">
        <v>213</v>
      </c>
      <c r="B16" s="55">
        <v>6.54</v>
      </c>
      <c r="C16" s="55">
        <v>15.86</v>
      </c>
      <c r="D16" s="55">
        <v>14.58</v>
      </c>
      <c r="E16" s="55">
        <v>2.56</v>
      </c>
      <c r="F16" s="55">
        <v>5.20</v>
      </c>
      <c r="G16" s="56" t="s">
        <v>15</v>
      </c>
      <c r="H16" s="56" t="s">
        <v>15</v>
      </c>
      <c r="I16" s="55">
        <v>2.5499999999999998</v>
      </c>
      <c r="J16" s="55">
        <v>0.97</v>
      </c>
      <c r="K16" s="55">
        <v>224.04</v>
      </c>
      <c r="L16" s="55">
        <v>21.45</v>
      </c>
      <c r="M16" s="55">
        <v>97.15</v>
      </c>
      <c r="N16" s="55">
        <v>60.30</v>
      </c>
      <c r="O16" s="55">
        <v>3</v>
      </c>
      <c r="P16" s="55">
        <v>0.21</v>
      </c>
      <c r="Q16" s="55">
        <v>10.53</v>
      </c>
      <c r="R16" s="43"/>
      <c r="S16" s="43"/>
      <c r="T16" s="43"/>
      <c r="U16" s="43"/>
    </row>
    <row r="17" spans="1:21" s="11" customFormat="1" ht="15">
      <c r="A17" s="54" t="s">
        <v>214</v>
      </c>
      <c r="B17" s="55">
        <v>7.28</v>
      </c>
      <c r="C17" s="55">
        <v>12.20</v>
      </c>
      <c r="D17" s="55">
        <v>13.16</v>
      </c>
      <c r="E17" s="55">
        <v>2.15</v>
      </c>
      <c r="F17" s="55">
        <v>6.49</v>
      </c>
      <c r="G17" s="56" t="s">
        <v>15</v>
      </c>
      <c r="H17" s="56" t="s">
        <v>15</v>
      </c>
      <c r="I17" s="55">
        <v>2.4500000000000002</v>
      </c>
      <c r="J17" s="55">
        <v>0.84</v>
      </c>
      <c r="K17" s="55">
        <v>236.24</v>
      </c>
      <c r="L17" s="55">
        <v>21.70</v>
      </c>
      <c r="M17" s="55">
        <v>97.20</v>
      </c>
      <c r="N17" s="55">
        <v>123</v>
      </c>
      <c r="O17" s="55">
        <v>0.60</v>
      </c>
      <c r="P17" s="55">
        <v>0.21</v>
      </c>
      <c r="Q17" s="55">
        <v>9.61</v>
      </c>
      <c r="R17" s="43"/>
      <c r="S17" s="43"/>
      <c r="T17" s="43"/>
      <c r="U17" s="43"/>
    </row>
    <row r="18" spans="1:21" s="11" customFormat="1" ht="15">
      <c r="A18" s="54" t="s">
        <v>215</v>
      </c>
      <c r="B18" s="55">
        <v>7.21</v>
      </c>
      <c r="C18" s="55">
        <v>14.88</v>
      </c>
      <c r="D18" s="55">
        <v>14.25</v>
      </c>
      <c r="E18" s="55">
        <v>2.2799999999999998</v>
      </c>
      <c r="F18" s="55">
        <v>4.93</v>
      </c>
      <c r="G18" s="56" t="s">
        <v>15</v>
      </c>
      <c r="H18" s="56" t="s">
        <v>15</v>
      </c>
      <c r="I18" s="55">
        <v>2.80</v>
      </c>
      <c r="J18" s="55">
        <v>0.15</v>
      </c>
      <c r="K18" s="55">
        <v>339.51</v>
      </c>
      <c r="L18" s="55">
        <v>22.49</v>
      </c>
      <c r="M18" s="55">
        <v>97.20</v>
      </c>
      <c r="N18" s="55">
        <v>134.90</v>
      </c>
      <c r="O18" s="55">
        <v>0</v>
      </c>
      <c r="P18" s="55">
        <v>0.23</v>
      </c>
      <c r="Q18" s="55">
        <v>11.12</v>
      </c>
      <c r="R18" s="43"/>
      <c r="S18" s="43"/>
      <c r="T18" s="43"/>
      <c r="U18" s="43"/>
    </row>
    <row r="19" spans="1:21" s="11" customFormat="1" ht="15">
      <c r="A19" s="54" t="s">
        <v>216</v>
      </c>
      <c r="B19" s="55">
        <v>6.52</v>
      </c>
      <c r="C19" s="55">
        <v>14.14</v>
      </c>
      <c r="D19" s="55">
        <v>13.47</v>
      </c>
      <c r="E19" s="55">
        <v>2.35</v>
      </c>
      <c r="F19" s="55">
        <v>5.72</v>
      </c>
      <c r="G19" s="56" t="s">
        <v>15</v>
      </c>
      <c r="H19" s="56" t="s">
        <v>15</v>
      </c>
      <c r="I19" s="55">
        <v>2.76</v>
      </c>
      <c r="J19" s="55">
        <v>0.21</v>
      </c>
      <c r="K19" s="55">
        <v>339.66</v>
      </c>
      <c r="L19" s="55">
        <v>22.76</v>
      </c>
      <c r="M19" s="55">
        <v>97.19</v>
      </c>
      <c r="N19" s="55">
        <v>134.80000000000001</v>
      </c>
      <c r="O19" s="55">
        <v>0</v>
      </c>
      <c r="P19" s="55">
        <v>0.28000000000000003</v>
      </c>
      <c r="Q19" s="55">
        <v>10.62</v>
      </c>
      <c r="R19" s="43"/>
      <c r="S19" s="43"/>
      <c r="T19" s="43"/>
      <c r="U19" s="43"/>
    </row>
    <row r="20" spans="1:21" s="11" customFormat="1" ht="15">
      <c r="A20" s="54" t="s">
        <v>217</v>
      </c>
      <c r="B20" s="55">
        <v>6.25</v>
      </c>
      <c r="C20" s="55">
        <v>13.28</v>
      </c>
      <c r="D20" s="55">
        <v>12.92</v>
      </c>
      <c r="E20" s="55">
        <v>2.5499999999999998</v>
      </c>
      <c r="F20" s="55">
        <v>6.21</v>
      </c>
      <c r="G20" s="56" t="s">
        <v>15</v>
      </c>
      <c r="H20" s="56" t="s">
        <v>15</v>
      </c>
      <c r="I20" s="55">
        <v>2.42</v>
      </c>
      <c r="J20" s="55">
        <v>0.38</v>
      </c>
      <c r="K20" s="55">
        <v>345.85</v>
      </c>
      <c r="L20" s="55">
        <v>23</v>
      </c>
      <c r="M20" s="55">
        <v>97.15</v>
      </c>
      <c r="N20" s="55">
        <v>189.30</v>
      </c>
      <c r="O20" s="55">
        <v>0.20</v>
      </c>
      <c r="P20" s="55">
        <v>0.28000000000000003</v>
      </c>
      <c r="Q20" s="55">
        <v>8.1199999999999992</v>
      </c>
      <c r="R20" s="43"/>
      <c r="S20" s="43"/>
      <c r="T20" s="43"/>
      <c r="U20" s="43"/>
    </row>
    <row r="21" spans="1:21" s="11" customFormat="1" ht="15">
      <c r="A21" s="54" t="s">
        <v>218</v>
      </c>
      <c r="B21" s="55">
        <v>6.56</v>
      </c>
      <c r="C21" s="55">
        <v>14.96</v>
      </c>
      <c r="D21" s="55">
        <v>13.59</v>
      </c>
      <c r="E21" s="55">
        <v>3.24</v>
      </c>
      <c r="F21" s="55">
        <v>6.36</v>
      </c>
      <c r="G21" s="56" t="s">
        <v>15</v>
      </c>
      <c r="H21" s="56" t="s">
        <v>15</v>
      </c>
      <c r="I21" s="55">
        <v>2.5099999999999998</v>
      </c>
      <c r="J21" s="55">
        <v>0.25</v>
      </c>
      <c r="K21" s="55">
        <v>250.98</v>
      </c>
      <c r="L21" s="55">
        <v>23.67</v>
      </c>
      <c r="M21" s="55">
        <v>96.64</v>
      </c>
      <c r="N21" s="55">
        <v>405.40</v>
      </c>
      <c r="O21" s="55">
        <v>0</v>
      </c>
      <c r="P21" s="55">
        <v>0.30</v>
      </c>
      <c r="Q21" s="55">
        <v>7.54</v>
      </c>
      <c r="R21" s="43"/>
      <c r="S21" s="43"/>
      <c r="T21" s="43"/>
      <c r="U21" s="43"/>
    </row>
    <row r="22" spans="1:21" s="11" customFormat="1" ht="15">
      <c r="A22" s="54" t="s">
        <v>219</v>
      </c>
      <c r="B22" s="55">
        <v>5.38</v>
      </c>
      <c r="C22" s="55">
        <v>20</v>
      </c>
      <c r="D22" s="55">
        <v>15.19</v>
      </c>
      <c r="E22" s="55">
        <v>2.85</v>
      </c>
      <c r="F22" s="55">
        <v>24.28</v>
      </c>
      <c r="G22" s="56" t="s">
        <v>15</v>
      </c>
      <c r="H22" s="56" t="s">
        <v>15</v>
      </c>
      <c r="I22" s="55">
        <v>2.2200000000000002</v>
      </c>
      <c r="J22" s="55">
        <v>0.32</v>
      </c>
      <c r="K22" s="55">
        <v>32.270000000000003</v>
      </c>
      <c r="L22" s="55">
        <v>24.51</v>
      </c>
      <c r="M22" s="55">
        <v>89.57</v>
      </c>
      <c r="N22" s="55">
        <v>483.80</v>
      </c>
      <c r="O22" s="55">
        <v>0</v>
      </c>
      <c r="P22" s="55">
        <v>0.31</v>
      </c>
      <c r="Q22" s="55">
        <v>5.15</v>
      </c>
      <c r="R22" s="43"/>
      <c r="S22" s="43"/>
      <c r="T22" s="43"/>
      <c r="U22" s="43"/>
    </row>
    <row r="23" spans="1:21" s="11" customFormat="1" ht="15">
      <c r="A23" s="54" t="s">
        <v>220</v>
      </c>
      <c r="B23" s="55">
        <v>6.03</v>
      </c>
      <c r="C23" s="55">
        <v>19.54</v>
      </c>
      <c r="D23" s="55">
        <v>15.36</v>
      </c>
      <c r="E23" s="55">
        <v>2.72</v>
      </c>
      <c r="F23" s="55">
        <v>7.30</v>
      </c>
      <c r="G23" s="56" t="s">
        <v>15</v>
      </c>
      <c r="H23" s="56" t="s">
        <v>15</v>
      </c>
      <c r="I23" s="55">
        <v>2.31</v>
      </c>
      <c r="J23" s="55">
        <v>0.26</v>
      </c>
      <c r="K23" s="55">
        <v>31.54</v>
      </c>
      <c r="L23" s="55">
        <v>24.54</v>
      </c>
      <c r="M23" s="55">
        <v>88.57</v>
      </c>
      <c r="N23" s="55">
        <v>327.20</v>
      </c>
      <c r="O23" s="55">
        <v>0</v>
      </c>
      <c r="P23" s="55">
        <v>0.30</v>
      </c>
      <c r="Q23" s="55">
        <v>7.60</v>
      </c>
      <c r="R23" s="43"/>
      <c r="S23" s="43"/>
      <c r="T23" s="43"/>
      <c r="U23" s="43"/>
    </row>
    <row r="24" spans="1:21" s="11" customFormat="1" ht="15">
      <c r="A24" s="54" t="s">
        <v>221</v>
      </c>
      <c r="B24" s="55">
        <v>6.21</v>
      </c>
      <c r="C24" s="55">
        <v>15.28</v>
      </c>
      <c r="D24" s="55">
        <v>14.06</v>
      </c>
      <c r="E24" s="55">
        <v>2.61</v>
      </c>
      <c r="F24" s="55">
        <v>6.36</v>
      </c>
      <c r="G24" s="56" t="s">
        <v>15</v>
      </c>
      <c r="H24" s="56" t="s">
        <v>15</v>
      </c>
      <c r="I24" s="55">
        <v>3.13</v>
      </c>
      <c r="J24" s="55">
        <v>0.28000000000000003</v>
      </c>
      <c r="K24" s="55">
        <v>354.09</v>
      </c>
      <c r="L24" s="55">
        <v>24.32</v>
      </c>
      <c r="M24" s="55">
        <v>90.66</v>
      </c>
      <c r="N24" s="55">
        <v>229.80</v>
      </c>
      <c r="O24" s="55">
        <v>0</v>
      </c>
      <c r="P24" s="55">
        <v>0.30</v>
      </c>
      <c r="Q24" s="55">
        <v>8.27</v>
      </c>
      <c r="R24" s="43"/>
      <c r="S24" s="43"/>
      <c r="T24" s="43"/>
      <c r="U24" s="43"/>
    </row>
    <row r="25" spans="1:21" s="11" customFormat="1" ht="15">
      <c r="A25" s="54" t="s">
        <v>222</v>
      </c>
      <c r="B25" s="55">
        <v>5.74</v>
      </c>
      <c r="C25" s="55">
        <v>13.37</v>
      </c>
      <c r="D25" s="55">
        <v>12.59</v>
      </c>
      <c r="E25" s="55">
        <v>2.40</v>
      </c>
      <c r="F25" s="55">
        <v>8.49</v>
      </c>
      <c r="G25" s="56" t="s">
        <v>15</v>
      </c>
      <c r="H25" s="56" t="s">
        <v>15</v>
      </c>
      <c r="I25" s="55">
        <v>3.57</v>
      </c>
      <c r="J25" s="55">
        <v>0.070000000000000007</v>
      </c>
      <c r="K25" s="55">
        <v>338.01</v>
      </c>
      <c r="L25" s="55">
        <v>24</v>
      </c>
      <c r="M25" s="55">
        <v>90.5</v>
      </c>
      <c r="N25" s="55">
        <v>104.30</v>
      </c>
      <c r="O25" s="55">
        <v>0</v>
      </c>
      <c r="P25" s="55">
        <v>0.27</v>
      </c>
      <c r="Q25" s="55">
        <v>6.93</v>
      </c>
      <c r="R25" s="43"/>
      <c r="S25" s="43"/>
      <c r="T25" s="43"/>
      <c r="U25" s="43"/>
    </row>
    <row r="26" spans="1:21" s="11" customFormat="1" ht="15">
      <c r="A26" s="54" t="s">
        <v>223</v>
      </c>
      <c r="B26" s="55">
        <v>6.02</v>
      </c>
      <c r="C26" s="55">
        <v>16.149999999999999</v>
      </c>
      <c r="D26" s="55">
        <v>14.39</v>
      </c>
      <c r="E26" s="55">
        <v>2.97</v>
      </c>
      <c r="F26" s="55">
        <v>10.33</v>
      </c>
      <c r="G26" s="56" t="s">
        <v>15</v>
      </c>
      <c r="H26" s="56" t="s">
        <v>15</v>
      </c>
      <c r="I26" s="55">
        <v>3.91</v>
      </c>
      <c r="J26" s="55">
        <v>0.15</v>
      </c>
      <c r="K26" s="55">
        <v>300.68</v>
      </c>
      <c r="L26" s="55">
        <v>24.12</v>
      </c>
      <c r="M26" s="55">
        <v>90.02</v>
      </c>
      <c r="N26" s="55">
        <v>97.40</v>
      </c>
      <c r="O26" s="55">
        <v>0</v>
      </c>
      <c r="P26" s="55">
        <v>0.30</v>
      </c>
      <c r="Q26" s="55">
        <v>9.61</v>
      </c>
      <c r="R26" s="43"/>
      <c r="S26" s="43"/>
      <c r="T26" s="43"/>
      <c r="U26" s="43"/>
    </row>
    <row r="27" spans="1:21" s="11" customFormat="1" ht="15">
      <c r="A27" s="54" t="s">
        <v>224</v>
      </c>
      <c r="B27" s="55">
        <v>5.86</v>
      </c>
      <c r="C27" s="55">
        <v>14.24</v>
      </c>
      <c r="D27" s="55">
        <v>12.78</v>
      </c>
      <c r="E27" s="55">
        <v>3.08</v>
      </c>
      <c r="F27" s="55">
        <v>6.32</v>
      </c>
      <c r="G27" s="56" t="s">
        <v>15</v>
      </c>
      <c r="H27" s="56" t="s">
        <v>15</v>
      </c>
      <c r="I27" s="55">
        <v>4.3600000000000003</v>
      </c>
      <c r="J27" s="55">
        <v>0.26</v>
      </c>
      <c r="K27" s="55">
        <v>236.70</v>
      </c>
      <c r="L27" s="55">
        <v>24</v>
      </c>
      <c r="M27" s="55">
        <v>88.54</v>
      </c>
      <c r="N27" s="55">
        <v>58.90</v>
      </c>
      <c r="O27" s="55">
        <v>0</v>
      </c>
      <c r="P27" s="55">
        <v>0.33</v>
      </c>
      <c r="Q27" s="55">
        <v>8.27</v>
      </c>
      <c r="R27" s="43"/>
      <c r="S27" s="43"/>
      <c r="T27" s="43"/>
      <c r="U27" s="43"/>
    </row>
    <row r="28" spans="1:21" s="11" customFormat="1" ht="15">
      <c r="A28" s="54" t="s">
        <v>225</v>
      </c>
      <c r="B28" s="55">
        <v>7.15</v>
      </c>
      <c r="C28" s="55">
        <v>16.45</v>
      </c>
      <c r="D28" s="55">
        <v>15.46</v>
      </c>
      <c r="E28" s="55">
        <v>2.75</v>
      </c>
      <c r="F28" s="55">
        <v>5.01</v>
      </c>
      <c r="G28" s="56" t="s">
        <v>15</v>
      </c>
      <c r="H28" s="56" t="s">
        <v>15</v>
      </c>
      <c r="I28" s="55">
        <v>5.0599999999999996</v>
      </c>
      <c r="J28" s="55">
        <v>0.52</v>
      </c>
      <c r="K28" s="55">
        <v>231.45</v>
      </c>
      <c r="L28" s="55">
        <v>23.76</v>
      </c>
      <c r="M28" s="55">
        <v>90.36</v>
      </c>
      <c r="N28" s="55">
        <v>44.40</v>
      </c>
      <c r="O28" s="55">
        <v>0</v>
      </c>
      <c r="P28" s="55">
        <v>0.40</v>
      </c>
      <c r="Q28" s="55">
        <v>9.3000000000000007</v>
      </c>
      <c r="R28" s="43"/>
      <c r="S28" s="43"/>
      <c r="T28" s="43"/>
      <c r="U28" s="43"/>
    </row>
    <row r="29" spans="1:21" s="11" customFormat="1" ht="15">
      <c r="A29" s="54" t="s">
        <v>226</v>
      </c>
      <c r="B29" s="55">
        <v>8.2200000000000006</v>
      </c>
      <c r="C29" s="55">
        <v>15.70</v>
      </c>
      <c r="D29" s="55">
        <v>15.90</v>
      </c>
      <c r="E29" s="55">
        <v>2.21</v>
      </c>
      <c r="F29" s="55">
        <v>6.34</v>
      </c>
      <c r="G29" s="56" t="s">
        <v>15</v>
      </c>
      <c r="H29" s="56" t="s">
        <v>15</v>
      </c>
      <c r="I29" s="55">
        <v>5.72</v>
      </c>
      <c r="J29" s="55">
        <v>0.44</v>
      </c>
      <c r="K29" s="55">
        <v>234.17</v>
      </c>
      <c r="L29" s="55">
        <v>23.64</v>
      </c>
      <c r="M29" s="55">
        <v>91.19</v>
      </c>
      <c r="N29" s="55">
        <v>44.70</v>
      </c>
      <c r="O29" s="55">
        <v>0</v>
      </c>
      <c r="P29" s="55">
        <v>0.47</v>
      </c>
      <c r="Q29" s="55">
        <v>13.05</v>
      </c>
      <c r="R29" s="43"/>
      <c r="S29" s="43"/>
      <c r="T29" s="43"/>
      <c r="U29" s="43"/>
    </row>
    <row r="30" spans="1:21" s="11" customFormat="1" ht="15">
      <c r="A30" s="54" t="s">
        <v>227</v>
      </c>
      <c r="B30" s="55">
        <v>8.42</v>
      </c>
      <c r="C30" s="55">
        <v>16.03</v>
      </c>
      <c r="D30" s="55">
        <v>16.14</v>
      </c>
      <c r="E30" s="55">
        <v>2.10</v>
      </c>
      <c r="F30" s="55">
        <v>5.04</v>
      </c>
      <c r="G30" s="56" t="s">
        <v>15</v>
      </c>
      <c r="H30" s="56" t="s">
        <v>15</v>
      </c>
      <c r="I30" s="55">
        <v>6.87</v>
      </c>
      <c r="J30" s="55">
        <v>0.21</v>
      </c>
      <c r="K30" s="55">
        <v>262.22000000000003</v>
      </c>
      <c r="L30" s="55">
        <v>23.39</v>
      </c>
      <c r="M30" s="55">
        <v>92.11</v>
      </c>
      <c r="N30" s="55">
        <v>44.80</v>
      </c>
      <c r="O30" s="55">
        <v>0</v>
      </c>
      <c r="P30" s="55">
        <v>0.49</v>
      </c>
      <c r="Q30" s="55">
        <v>12.73</v>
      </c>
      <c r="R30" s="43"/>
      <c r="S30" s="43"/>
      <c r="T30" s="43"/>
      <c r="U30" s="43"/>
    </row>
    <row r="31" spans="1:21" s="11" customFormat="1" ht="15">
      <c r="A31" s="54" t="s">
        <v>228</v>
      </c>
      <c r="B31" s="55">
        <v>7.82</v>
      </c>
      <c r="C31" s="55">
        <v>13.64</v>
      </c>
      <c r="D31" s="55">
        <v>13.68</v>
      </c>
      <c r="E31" s="55">
        <v>2.23</v>
      </c>
      <c r="F31" s="55">
        <v>8.51</v>
      </c>
      <c r="G31" s="56" t="s">
        <v>15</v>
      </c>
      <c r="H31" s="56" t="s">
        <v>15</v>
      </c>
      <c r="I31" s="55">
        <v>6.93</v>
      </c>
      <c r="J31" s="55">
        <v>0.32</v>
      </c>
      <c r="K31" s="55">
        <v>217.34</v>
      </c>
      <c r="L31" s="55">
        <v>23.32</v>
      </c>
      <c r="M31" s="55">
        <v>90.85</v>
      </c>
      <c r="N31" s="55">
        <v>45.10</v>
      </c>
      <c r="O31" s="55">
        <v>0</v>
      </c>
      <c r="P31" s="55">
        <v>0.52</v>
      </c>
      <c r="Q31" s="55">
        <v>12.35</v>
      </c>
      <c r="R31" s="43"/>
      <c r="S31" s="43"/>
      <c r="T31" s="43"/>
      <c r="U31" s="43"/>
    </row>
    <row r="32" spans="1:21" s="11" customFormat="1" ht="15">
      <c r="A32" s="54" t="s">
        <v>229</v>
      </c>
      <c r="B32" s="55">
        <v>7.83</v>
      </c>
      <c r="C32" s="55">
        <v>14.18</v>
      </c>
      <c r="D32" s="55">
        <v>13.78</v>
      </c>
      <c r="E32" s="55">
        <v>2.46</v>
      </c>
      <c r="F32" s="55">
        <v>9.2100000000000009</v>
      </c>
      <c r="G32" s="56" t="s">
        <v>15</v>
      </c>
      <c r="H32" s="56" t="s">
        <v>15</v>
      </c>
      <c r="I32" s="55">
        <v>5.90</v>
      </c>
      <c r="J32" s="55">
        <v>0.21</v>
      </c>
      <c r="K32" s="55">
        <v>263.41000000000003</v>
      </c>
      <c r="L32" s="55">
        <v>23.12</v>
      </c>
      <c r="M32" s="55">
        <v>92.74</v>
      </c>
      <c r="N32" s="55">
        <v>45.5</v>
      </c>
      <c r="O32" s="55">
        <v>0</v>
      </c>
      <c r="P32" s="55">
        <v>0.5</v>
      </c>
      <c r="Q32" s="55">
        <v>17.03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5.3799999999999999</v>
      </c>
      <c r="C34" s="28">
        <f t="shared" si="0"/>
        <v>12.199999999999999</v>
      </c>
      <c r="D34" s="28">
        <f t="shared" si="0"/>
        <v>11.890000000000001</v>
      </c>
      <c r="E34" s="28">
        <f t="shared" si="0"/>
        <v>2.1000000000000001</v>
      </c>
      <c r="F34" s="28">
        <f t="shared" si="0"/>
        <v>4.9299999999999997</v>
      </c>
      <c r="G34" s="28">
        <f t="shared" si="0"/>
        <v>0</v>
      </c>
      <c r="H34" s="28">
        <f t="shared" si="0"/>
        <v>0</v>
      </c>
      <c r="I34" s="28">
        <f t="shared" si="0"/>
        <v>2.2200000000000002</v>
      </c>
      <c r="J34" s="28">
        <f t="shared" si="0"/>
        <v>0.050000000000000003</v>
      </c>
      <c r="K34" s="28">
        <f t="shared" si="0"/>
        <v>31.539999999999999</v>
      </c>
      <c r="L34" s="28">
        <f t="shared" si="0"/>
        <v>21.27</v>
      </c>
      <c r="M34" s="28">
        <f t="shared" si="0"/>
        <v>88.540000000000006</v>
      </c>
      <c r="N34" s="28">
        <f t="shared" si="0"/>
        <v>24</v>
      </c>
      <c r="O34" s="28">
        <f t="shared" si="0"/>
        <v>0</v>
      </c>
      <c r="P34" s="28">
        <f t="shared" si="0"/>
        <v>0.20000000000000001</v>
      </c>
      <c r="Q34" s="28">
        <f t="shared" si="0"/>
        <v>5.1500000000000004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8.4199999999999999</v>
      </c>
      <c r="C35" s="29">
        <f t="shared" si="1"/>
        <v>20</v>
      </c>
      <c r="D35" s="29">
        <f t="shared" si="1"/>
        <v>16.140000000000001</v>
      </c>
      <c r="E35" s="29">
        <f t="shared" si="1"/>
        <v>3.2400000000000002</v>
      </c>
      <c r="F35" s="29">
        <f t="shared" si="1"/>
        <v>24.280000000000001</v>
      </c>
      <c r="G35" s="29">
        <f t="shared" si="1"/>
        <v>0</v>
      </c>
      <c r="H35" s="29">
        <f t="shared" si="1"/>
        <v>0</v>
      </c>
      <c r="I35" s="29">
        <f t="shared" si="1"/>
        <v>6.9299999999999997</v>
      </c>
      <c r="J35" s="29">
        <f t="shared" si="1"/>
        <v>0.96999999999999997</v>
      </c>
      <c r="K35" s="29">
        <f t="shared" si="1"/>
        <v>354.08999999999997</v>
      </c>
      <c r="L35" s="29">
        <f t="shared" si="1"/>
        <v>24.539999999999999</v>
      </c>
      <c r="M35" s="29">
        <f t="shared" si="1"/>
        <v>97.200000000000003</v>
      </c>
      <c r="N35" s="29">
        <f t="shared" si="1"/>
        <v>483.80000000000001</v>
      </c>
      <c r="O35" s="29">
        <f t="shared" si="1"/>
        <v>10</v>
      </c>
      <c r="P35" s="29">
        <f t="shared" si="1"/>
        <v>0.52000000000000002</v>
      </c>
      <c r="Q35" s="29">
        <f t="shared" si="1"/>
        <v>17.030000000000001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6.7241666666666653</v>
      </c>
      <c r="C36" s="28">
        <f t="shared" si="2"/>
        <v>14.695</v>
      </c>
      <c r="D36" s="28">
        <f t="shared" si="2"/>
        <v>13.882916666666661</v>
      </c>
      <c r="E36" s="28">
        <f t="shared" si="2"/>
        <v>2.5474999999999999</v>
      </c>
      <c r="F36" s="28">
        <f t="shared" si="2"/>
        <v>7.8633333333333333</v>
      </c>
      <c r="G36" s="28" t="e">
        <f t="shared" si="2"/>
        <v>#DIV/0!</v>
      </c>
      <c r="H36" s="28" t="e">
        <f t="shared" si="2"/>
        <v>#DIV/0!</v>
      </c>
      <c r="I36" s="28">
        <f t="shared" si="2"/>
        <v>3.8262500000000004</v>
      </c>
      <c r="J36" s="28">
        <f t="shared" si="2"/>
        <v>0.29958333333333342</v>
      </c>
      <c r="K36" s="28">
        <f t="shared" si="2"/>
        <v>251.38208333333333</v>
      </c>
      <c r="L36" s="28">
        <f t="shared" si="2"/>
        <v>23.053749999999997</v>
      </c>
      <c r="M36" s="28">
        <f t="shared" si="2"/>
        <v>94.072499999999991</v>
      </c>
      <c r="N36" s="28">
        <f t="shared" si="2"/>
        <v>114.77083333333336</v>
      </c>
      <c r="O36" s="28">
        <f t="shared" si="2"/>
        <v>1</v>
      </c>
      <c r="P36" s="28">
        <f t="shared" si="2"/>
        <v>0.31</v>
      </c>
      <c r="Q36" s="28">
        <f t="shared" si="2"/>
        <v>11.10125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0.836779107866781</v>
      </c>
      <c r="C37" s="28">
        <f t="shared" si="3" ref="C37:Q37">STDEV(C9:C32)</f>
        <v>2.0295833798226091</v>
      </c>
      <c r="D37" s="28">
        <f t="shared" si="3"/>
        <v>1.1189376917286389</v>
      </c>
      <c r="E37" s="28">
        <f t="shared" si="3"/>
        <v>0.30218407865290908</v>
      </c>
      <c r="F37" s="28">
        <f t="shared" si="3"/>
        <v>4.2528749014679716</v>
      </c>
      <c r="G37" s="28" t="e">
        <f t="shared" si="3"/>
        <v>#DIV/0!</v>
      </c>
      <c r="H37" s="28" t="e">
        <f t="shared" si="3"/>
        <v>#DIV/0!</v>
      </c>
      <c r="I37" s="28">
        <f t="shared" si="3"/>
        <v>1.3945727489714941</v>
      </c>
      <c r="J37" s="28">
        <f t="shared" si="3"/>
        <v>0.22215308405156811</v>
      </c>
      <c r="K37" s="28">
        <f t="shared" si="3"/>
        <v>95.004742763953246</v>
      </c>
      <c r="L37" s="28">
        <f t="shared" si="3"/>
        <v>0.96642691304664652</v>
      </c>
      <c r="M37" s="28">
        <f t="shared" si="3"/>
        <v>3.4985478353913866</v>
      </c>
      <c r="N37" s="28">
        <f t="shared" si="3"/>
        <v>127.13568745777998</v>
      </c>
      <c r="O37" s="28">
        <f t="shared" si="3"/>
        <v>2.724446493446361</v>
      </c>
      <c r="P37" s="28">
        <f t="shared" si="3"/>
        <v>0.097445637018355319</v>
      </c>
      <c r="Q37" s="28">
        <f t="shared" si="3"/>
        <v>3.2023188778839833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94659d-5e11-4680-a06a-53630341354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0" sqref="H70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230</v>
      </c>
      <c r="B9" s="55">
        <v>8.49</v>
      </c>
      <c r="C9" s="55">
        <v>12.12</v>
      </c>
      <c r="D9" s="55">
        <v>13.56</v>
      </c>
      <c r="E9" s="55">
        <v>3.39</v>
      </c>
      <c r="F9" s="55">
        <v>4.97</v>
      </c>
      <c r="G9" s="56" t="s">
        <v>15</v>
      </c>
      <c r="H9" s="56" t="s">
        <v>15</v>
      </c>
      <c r="I9" s="55">
        <v>8.2100000000000009</v>
      </c>
      <c r="J9" s="55">
        <v>0.15</v>
      </c>
      <c r="K9" s="55">
        <v>243.70</v>
      </c>
      <c r="L9" s="55">
        <v>22.98</v>
      </c>
      <c r="M9" s="55">
        <v>93.33</v>
      </c>
      <c r="N9" s="55">
        <v>45.70</v>
      </c>
      <c r="O9" s="55">
        <v>0</v>
      </c>
      <c r="P9" s="55">
        <v>0.47</v>
      </c>
      <c r="Q9" s="55">
        <v>17.36</v>
      </c>
      <c r="R9" s="43"/>
      <c r="S9" s="43"/>
      <c r="T9" s="43"/>
      <c r="U9" s="43"/>
    </row>
    <row r="10" spans="1:21" s="11" customFormat="1" ht="15">
      <c r="A10" s="54" t="s">
        <v>231</v>
      </c>
      <c r="B10" s="55">
        <v>7.22</v>
      </c>
      <c r="C10" s="55">
        <v>11.97</v>
      </c>
      <c r="D10" s="55">
        <v>13.04</v>
      </c>
      <c r="E10" s="55">
        <v>3.05</v>
      </c>
      <c r="F10" s="55">
        <v>9.7899999999999991</v>
      </c>
      <c r="G10" s="56" t="s">
        <v>15</v>
      </c>
      <c r="H10" s="56" t="s">
        <v>15</v>
      </c>
      <c r="I10" s="55">
        <v>8.01</v>
      </c>
      <c r="J10" s="55">
        <v>0.37</v>
      </c>
      <c r="K10" s="55">
        <v>219.33</v>
      </c>
      <c r="L10" s="55">
        <v>22.87</v>
      </c>
      <c r="M10" s="55">
        <v>93.68</v>
      </c>
      <c r="N10" s="55">
        <v>46.30</v>
      </c>
      <c r="O10" s="55">
        <v>0</v>
      </c>
      <c r="P10" s="55">
        <v>0.44</v>
      </c>
      <c r="Q10" s="55">
        <v>15.81</v>
      </c>
      <c r="R10" s="43"/>
      <c r="S10" s="43"/>
      <c r="T10" s="43"/>
      <c r="U10" s="43"/>
    </row>
    <row r="11" spans="1:21" s="11" customFormat="1" ht="15">
      <c r="A11" s="54" t="s">
        <v>232</v>
      </c>
      <c r="B11" s="55">
        <v>7.24</v>
      </c>
      <c r="C11" s="55">
        <v>11.80</v>
      </c>
      <c r="D11" s="55">
        <v>12.97</v>
      </c>
      <c r="E11" s="55">
        <v>2.99</v>
      </c>
      <c r="F11" s="55">
        <v>7.76</v>
      </c>
      <c r="G11" s="56" t="s">
        <v>15</v>
      </c>
      <c r="H11" s="56" t="s">
        <v>15</v>
      </c>
      <c r="I11" s="55">
        <v>7.78</v>
      </c>
      <c r="J11" s="55">
        <v>0.25</v>
      </c>
      <c r="K11" s="55">
        <v>242.12</v>
      </c>
      <c r="L11" s="55">
        <v>23.05</v>
      </c>
      <c r="M11" s="55">
        <v>91.32</v>
      </c>
      <c r="N11" s="55">
        <v>47</v>
      </c>
      <c r="O11" s="55">
        <v>0</v>
      </c>
      <c r="P11" s="55">
        <v>0.42</v>
      </c>
      <c r="Q11" s="55">
        <v>19.07</v>
      </c>
      <c r="R11" s="43"/>
      <c r="S11" s="43"/>
      <c r="T11" s="43"/>
      <c r="U11" s="43"/>
    </row>
    <row r="12" spans="1:21" s="11" customFormat="1" ht="15">
      <c r="A12" s="54" t="s">
        <v>233</v>
      </c>
      <c r="B12" s="55">
        <v>6.74</v>
      </c>
      <c r="C12" s="55">
        <v>12.19</v>
      </c>
      <c r="D12" s="55">
        <v>12.78</v>
      </c>
      <c r="E12" s="55">
        <v>3.01</v>
      </c>
      <c r="F12" s="55">
        <v>4.5999999999999996</v>
      </c>
      <c r="G12" s="56" t="s">
        <v>15</v>
      </c>
      <c r="H12" s="56" t="s">
        <v>15</v>
      </c>
      <c r="I12" s="55">
        <v>8.51</v>
      </c>
      <c r="J12" s="55">
        <v>0.22</v>
      </c>
      <c r="K12" s="55">
        <v>252.60</v>
      </c>
      <c r="L12" s="55">
        <v>22.69</v>
      </c>
      <c r="M12" s="55">
        <v>94.51</v>
      </c>
      <c r="N12" s="55">
        <v>47.40</v>
      </c>
      <c r="O12" s="55">
        <v>0</v>
      </c>
      <c r="P12" s="55">
        <v>0.36</v>
      </c>
      <c r="Q12" s="55">
        <v>15.69</v>
      </c>
      <c r="R12" s="43"/>
      <c r="S12" s="43"/>
      <c r="T12" s="43"/>
      <c r="U12" s="43"/>
    </row>
    <row r="13" spans="1:21" s="11" customFormat="1" ht="15">
      <c r="A13" s="54" t="s">
        <v>234</v>
      </c>
      <c r="B13" s="55">
        <v>6.20</v>
      </c>
      <c r="C13" s="55">
        <v>11.93</v>
      </c>
      <c r="D13" s="55">
        <v>11.87</v>
      </c>
      <c r="E13" s="55">
        <v>3.02</v>
      </c>
      <c r="F13" s="55">
        <v>6.17</v>
      </c>
      <c r="G13" s="56" t="s">
        <v>15</v>
      </c>
      <c r="H13" s="56" t="s">
        <v>15</v>
      </c>
      <c r="I13" s="55">
        <v>7.69</v>
      </c>
      <c r="J13" s="55">
        <v>0.40</v>
      </c>
      <c r="K13" s="55">
        <v>234.49</v>
      </c>
      <c r="L13" s="55">
        <v>22.83</v>
      </c>
      <c r="M13" s="55">
        <v>93.08</v>
      </c>
      <c r="N13" s="55">
        <v>47.40</v>
      </c>
      <c r="O13" s="55">
        <v>0</v>
      </c>
      <c r="P13" s="55">
        <v>0.32</v>
      </c>
      <c r="Q13" s="55">
        <v>14.28</v>
      </c>
      <c r="R13" s="43"/>
      <c r="S13" s="43"/>
      <c r="T13" s="43"/>
      <c r="U13" s="43"/>
    </row>
    <row r="14" spans="1:21" s="11" customFormat="1" ht="15">
      <c r="A14" s="54" t="s">
        <v>235</v>
      </c>
      <c r="B14" s="55">
        <v>6.47</v>
      </c>
      <c r="C14" s="55">
        <v>11.82</v>
      </c>
      <c r="D14" s="55">
        <v>12.36</v>
      </c>
      <c r="E14" s="55">
        <v>2.68</v>
      </c>
      <c r="F14" s="55">
        <v>5.94</v>
      </c>
      <c r="G14" s="56" t="s">
        <v>15</v>
      </c>
      <c r="H14" s="56" t="s">
        <v>15</v>
      </c>
      <c r="I14" s="55">
        <v>6.78</v>
      </c>
      <c r="J14" s="55">
        <v>0.22</v>
      </c>
      <c r="K14" s="55">
        <v>269.27</v>
      </c>
      <c r="L14" s="55">
        <v>22.53</v>
      </c>
      <c r="M14" s="55">
        <v>95.22</v>
      </c>
      <c r="N14" s="55">
        <v>66.099999999999994</v>
      </c>
      <c r="O14" s="55">
        <v>0</v>
      </c>
      <c r="P14" s="55">
        <v>0.28000000000000003</v>
      </c>
      <c r="Q14" s="55">
        <v>15.29</v>
      </c>
      <c r="R14" s="43"/>
      <c r="S14" s="43"/>
      <c r="T14" s="43"/>
      <c r="U14" s="43"/>
    </row>
    <row r="15" spans="1:21" s="11" customFormat="1" ht="15">
      <c r="A15" s="54" t="s">
        <v>236</v>
      </c>
      <c r="B15" s="55">
        <v>6.40</v>
      </c>
      <c r="C15" s="55">
        <v>12.19</v>
      </c>
      <c r="D15" s="55">
        <v>12.37</v>
      </c>
      <c r="E15" s="55">
        <v>2.91</v>
      </c>
      <c r="F15" s="55">
        <v>4.63</v>
      </c>
      <c r="G15" s="56" t="s">
        <v>15</v>
      </c>
      <c r="H15" s="56" t="s">
        <v>15</v>
      </c>
      <c r="I15" s="55">
        <v>7.01</v>
      </c>
      <c r="J15" s="55">
        <v>0.10</v>
      </c>
      <c r="K15" s="55">
        <v>352.56</v>
      </c>
      <c r="L15" s="55">
        <v>22.44</v>
      </c>
      <c r="M15" s="55">
        <v>97.17</v>
      </c>
      <c r="N15" s="55">
        <v>125.80</v>
      </c>
      <c r="O15" s="55">
        <v>0</v>
      </c>
      <c r="P15" s="55">
        <v>0.27</v>
      </c>
      <c r="Q15" s="55">
        <v>12.64</v>
      </c>
      <c r="R15" s="43"/>
      <c r="S15" s="43"/>
      <c r="T15" s="43"/>
      <c r="U15" s="43"/>
    </row>
    <row r="16" spans="1:21" s="11" customFormat="1" ht="15">
      <c r="A16" s="54" t="s">
        <v>237</v>
      </c>
      <c r="B16" s="55">
        <v>6.23</v>
      </c>
      <c r="C16" s="55">
        <v>11.88</v>
      </c>
      <c r="D16" s="55">
        <v>12.17</v>
      </c>
      <c r="E16" s="55">
        <v>2.76</v>
      </c>
      <c r="F16" s="55">
        <v>4.29</v>
      </c>
      <c r="G16" s="56" t="s">
        <v>15</v>
      </c>
      <c r="H16" s="56" t="s">
        <v>15</v>
      </c>
      <c r="I16" s="55">
        <v>6.32</v>
      </c>
      <c r="J16" s="55">
        <v>0.13</v>
      </c>
      <c r="K16" s="55">
        <v>357.37</v>
      </c>
      <c r="L16" s="55">
        <v>22.03</v>
      </c>
      <c r="M16" s="55">
        <v>97.20</v>
      </c>
      <c r="N16" s="55">
        <v>142.10</v>
      </c>
      <c r="O16" s="55">
        <v>1</v>
      </c>
      <c r="P16" s="55">
        <v>0.24</v>
      </c>
      <c r="Q16" s="55">
        <v>11.37</v>
      </c>
      <c r="R16" s="43"/>
      <c r="S16" s="43"/>
      <c r="T16" s="43"/>
      <c r="U16" s="43"/>
    </row>
    <row r="17" spans="1:21" s="11" customFormat="1" ht="15">
      <c r="A17" s="54" t="s">
        <v>238</v>
      </c>
      <c r="B17" s="55">
        <v>6.48</v>
      </c>
      <c r="C17" s="55">
        <v>13.74</v>
      </c>
      <c r="D17" s="55">
        <v>13.42</v>
      </c>
      <c r="E17" s="55">
        <v>3.30</v>
      </c>
      <c r="F17" s="55">
        <v>4.96</v>
      </c>
      <c r="G17" s="56" t="s">
        <v>15</v>
      </c>
      <c r="H17" s="56" t="s">
        <v>15</v>
      </c>
      <c r="I17" s="55">
        <v>5.62</v>
      </c>
      <c r="J17" s="55">
        <v>0.32</v>
      </c>
      <c r="K17" s="55">
        <v>40.020000000000003</v>
      </c>
      <c r="L17" s="55">
        <v>21.67</v>
      </c>
      <c r="M17" s="55">
        <v>97.20</v>
      </c>
      <c r="N17" s="55">
        <v>217.30</v>
      </c>
      <c r="O17" s="55">
        <v>2.60</v>
      </c>
      <c r="P17" s="55">
        <v>0.25</v>
      </c>
      <c r="Q17" s="55">
        <v>9.01</v>
      </c>
      <c r="R17" s="43"/>
      <c r="S17" s="43"/>
      <c r="T17" s="43"/>
      <c r="U17" s="43"/>
    </row>
    <row r="18" spans="1:21" s="11" customFormat="1" ht="15">
      <c r="A18" s="54" t="s">
        <v>239</v>
      </c>
      <c r="B18" s="55">
        <v>7.94</v>
      </c>
      <c r="C18" s="55">
        <v>12.62</v>
      </c>
      <c r="D18" s="55">
        <v>13.83</v>
      </c>
      <c r="E18" s="55">
        <v>3.43</v>
      </c>
      <c r="F18" s="55">
        <v>4.01</v>
      </c>
      <c r="G18" s="56" t="s">
        <v>15</v>
      </c>
      <c r="H18" s="56" t="s">
        <v>15</v>
      </c>
      <c r="I18" s="55">
        <v>4.51</v>
      </c>
      <c r="J18" s="55">
        <v>0.21</v>
      </c>
      <c r="K18" s="55">
        <v>198.91</v>
      </c>
      <c r="L18" s="55">
        <v>22.71</v>
      </c>
      <c r="M18" s="55">
        <v>97.20</v>
      </c>
      <c r="N18" s="55">
        <v>236.70</v>
      </c>
      <c r="O18" s="55">
        <v>0.20</v>
      </c>
      <c r="P18" s="55">
        <v>0.28000000000000003</v>
      </c>
      <c r="Q18" s="55">
        <v>7.73</v>
      </c>
      <c r="R18" s="43"/>
      <c r="S18" s="43"/>
      <c r="T18" s="43"/>
      <c r="U18" s="43"/>
    </row>
    <row r="19" spans="1:21" s="11" customFormat="1" ht="15">
      <c r="A19" s="54" t="s">
        <v>240</v>
      </c>
      <c r="B19" s="55">
        <v>10.67</v>
      </c>
      <c r="C19" s="55">
        <v>26.05</v>
      </c>
      <c r="D19" s="55">
        <v>23.58</v>
      </c>
      <c r="E19" s="55">
        <v>3.07</v>
      </c>
      <c r="F19" s="55">
        <v>10.27</v>
      </c>
      <c r="G19" s="56" t="s">
        <v>15</v>
      </c>
      <c r="H19" s="56" t="s">
        <v>15</v>
      </c>
      <c r="I19" s="55">
        <v>4.83</v>
      </c>
      <c r="J19" s="55">
        <v>0.73</v>
      </c>
      <c r="K19" s="55">
        <v>200.28</v>
      </c>
      <c r="L19" s="55">
        <v>22.79</v>
      </c>
      <c r="M19" s="55">
        <v>97.18</v>
      </c>
      <c r="N19" s="55">
        <v>138</v>
      </c>
      <c r="O19" s="55">
        <v>0</v>
      </c>
      <c r="P19" s="55">
        <v>0.31</v>
      </c>
      <c r="Q19" s="55">
        <v>9.2100000000000009</v>
      </c>
      <c r="R19" s="43"/>
      <c r="S19" s="43"/>
      <c r="T19" s="43"/>
      <c r="U19" s="43"/>
    </row>
    <row r="20" spans="1:21" s="11" customFormat="1" ht="15">
      <c r="A20" s="54" t="s">
        <v>241</v>
      </c>
      <c r="B20" s="55">
        <v>13.33</v>
      </c>
      <c r="C20" s="55">
        <v>29.20</v>
      </c>
      <c r="D20" s="55">
        <v>27.46</v>
      </c>
      <c r="E20" s="55">
        <v>3.02</v>
      </c>
      <c r="F20" s="55">
        <v>9.61</v>
      </c>
      <c r="G20" s="56" t="s">
        <v>15</v>
      </c>
      <c r="H20" s="56" t="s">
        <v>15</v>
      </c>
      <c r="I20" s="55">
        <v>21.60</v>
      </c>
      <c r="J20" s="55">
        <v>0.31</v>
      </c>
      <c r="K20" s="55">
        <v>272.31</v>
      </c>
      <c r="L20" s="55">
        <v>22.82</v>
      </c>
      <c r="M20" s="55">
        <v>97.03</v>
      </c>
      <c r="N20" s="55">
        <v>120.60</v>
      </c>
      <c r="O20" s="55">
        <v>0</v>
      </c>
      <c r="P20" s="55">
        <v>0.31</v>
      </c>
      <c r="Q20" s="55">
        <v>9.01</v>
      </c>
      <c r="R20" s="43"/>
      <c r="S20" s="43"/>
      <c r="T20" s="43"/>
      <c r="U20" s="43"/>
    </row>
    <row r="21" spans="1:21" s="11" customFormat="1" ht="15">
      <c r="A21" s="54" t="s">
        <v>242</v>
      </c>
      <c r="B21" s="55">
        <v>7.86</v>
      </c>
      <c r="C21" s="55">
        <v>21.25</v>
      </c>
      <c r="D21" s="55">
        <v>17.91</v>
      </c>
      <c r="E21" s="55">
        <v>2.58</v>
      </c>
      <c r="F21" s="55">
        <v>14.11</v>
      </c>
      <c r="G21" s="56" t="s">
        <v>15</v>
      </c>
      <c r="H21" s="56" t="s">
        <v>15</v>
      </c>
      <c r="I21" s="55">
        <v>66.040000000000006</v>
      </c>
      <c r="J21" s="55">
        <v>0.18</v>
      </c>
      <c r="K21" s="55">
        <v>312.94</v>
      </c>
      <c r="L21" s="55">
        <v>23.45</v>
      </c>
      <c r="M21" s="55">
        <v>94.29</v>
      </c>
      <c r="N21" s="55">
        <v>142.69999999999999</v>
      </c>
      <c r="O21" s="55">
        <v>0</v>
      </c>
      <c r="P21" s="55">
        <v>0.27</v>
      </c>
      <c r="Q21" s="55">
        <v>9.2100000000000009</v>
      </c>
      <c r="R21" s="43"/>
      <c r="S21" s="43"/>
      <c r="T21" s="43"/>
      <c r="U21" s="43"/>
    </row>
    <row r="22" spans="1:21" s="11" customFormat="1" ht="15">
      <c r="A22" s="54" t="s">
        <v>243</v>
      </c>
      <c r="B22" s="55">
        <v>5.51</v>
      </c>
      <c r="C22" s="55">
        <v>17.05</v>
      </c>
      <c r="D22" s="55">
        <v>13.95</v>
      </c>
      <c r="E22" s="55">
        <v>2.84</v>
      </c>
      <c r="F22" s="55">
        <v>16.98</v>
      </c>
      <c r="G22" s="56" t="s">
        <v>15</v>
      </c>
      <c r="H22" s="56" t="s">
        <v>15</v>
      </c>
      <c r="I22" s="55">
        <v>6.79</v>
      </c>
      <c r="J22" s="55">
        <v>0.28999999999999998</v>
      </c>
      <c r="K22" s="55">
        <v>232.29</v>
      </c>
      <c r="L22" s="55">
        <v>23.62</v>
      </c>
      <c r="M22" s="55">
        <v>97.13</v>
      </c>
      <c r="N22" s="55">
        <v>190.5</v>
      </c>
      <c r="O22" s="55">
        <v>0.20</v>
      </c>
      <c r="P22" s="55">
        <v>0.23</v>
      </c>
      <c r="Q22" s="55">
        <v>3.59</v>
      </c>
      <c r="R22" s="43"/>
      <c r="S22" s="43"/>
      <c r="T22" s="43"/>
      <c r="U22" s="43"/>
    </row>
    <row r="23" spans="1:21" s="11" customFormat="1" ht="15">
      <c r="A23" s="54" t="s">
        <v>244</v>
      </c>
      <c r="B23" s="55">
        <v>6.61</v>
      </c>
      <c r="C23" s="55">
        <v>16.010000000000002</v>
      </c>
      <c r="D23" s="55">
        <v>14.39</v>
      </c>
      <c r="E23" s="55">
        <v>2.2799999999999998</v>
      </c>
      <c r="F23" s="55">
        <v>17.96</v>
      </c>
      <c r="G23" s="56" t="s">
        <v>15</v>
      </c>
      <c r="H23" s="56" t="s">
        <v>15</v>
      </c>
      <c r="I23" s="55">
        <v>5.36</v>
      </c>
      <c r="J23" s="55">
        <v>0.16</v>
      </c>
      <c r="K23" s="55">
        <v>300.14999999999998</v>
      </c>
      <c r="L23" s="55">
        <v>24.58</v>
      </c>
      <c r="M23" s="55">
        <v>94.69</v>
      </c>
      <c r="N23" s="55">
        <v>369.90</v>
      </c>
      <c r="O23" s="55">
        <v>0</v>
      </c>
      <c r="P23" s="55">
        <v>0.22</v>
      </c>
      <c r="Q23" s="55">
        <v>6.73</v>
      </c>
      <c r="R23" s="43"/>
      <c r="S23" s="43"/>
      <c r="T23" s="43"/>
      <c r="U23" s="43"/>
    </row>
    <row r="24" spans="1:21" s="11" customFormat="1" ht="15">
      <c r="A24" s="54" t="s">
        <v>245</v>
      </c>
      <c r="B24" s="55">
        <v>4.82</v>
      </c>
      <c r="C24" s="55">
        <v>15.68</v>
      </c>
      <c r="D24" s="55">
        <v>12.83</v>
      </c>
      <c r="E24" s="55">
        <v>2.15</v>
      </c>
      <c r="F24" s="55">
        <v>20.05</v>
      </c>
      <c r="G24" s="56" t="s">
        <v>15</v>
      </c>
      <c r="H24" s="56" t="s">
        <v>15</v>
      </c>
      <c r="I24" s="55">
        <v>5.56</v>
      </c>
      <c r="J24" s="55">
        <v>0.37</v>
      </c>
      <c r="K24" s="55">
        <v>239.19</v>
      </c>
      <c r="L24" s="55">
        <v>25.32</v>
      </c>
      <c r="M24" s="55">
        <v>85.35</v>
      </c>
      <c r="N24" s="55">
        <v>325.70</v>
      </c>
      <c r="O24" s="55">
        <v>0</v>
      </c>
      <c r="P24" s="55">
        <v>0.24</v>
      </c>
      <c r="Q24" s="55">
        <v>3.29</v>
      </c>
      <c r="R24" s="43"/>
      <c r="S24" s="43"/>
      <c r="T24" s="43"/>
      <c r="U24" s="43"/>
    </row>
    <row r="25" spans="1:21" s="11" customFormat="1" ht="15">
      <c r="A25" s="54" t="s">
        <v>246</v>
      </c>
      <c r="B25" s="55">
        <v>6.09</v>
      </c>
      <c r="C25" s="55">
        <v>12.37</v>
      </c>
      <c r="D25" s="55">
        <v>12.12</v>
      </c>
      <c r="E25" s="55">
        <v>2.33</v>
      </c>
      <c r="F25" s="55">
        <v>9.3699999999999992</v>
      </c>
      <c r="G25" s="56" t="s">
        <v>15</v>
      </c>
      <c r="H25" s="56" t="s">
        <v>15</v>
      </c>
      <c r="I25" s="55">
        <v>5.76</v>
      </c>
      <c r="J25" s="55">
        <v>0.73</v>
      </c>
      <c r="K25" s="55">
        <v>232.76</v>
      </c>
      <c r="L25" s="55">
        <v>25.37</v>
      </c>
      <c r="M25" s="55">
        <v>85.18</v>
      </c>
      <c r="N25" s="55">
        <v>283.20</v>
      </c>
      <c r="O25" s="55">
        <v>0</v>
      </c>
      <c r="P25" s="55">
        <v>0.24</v>
      </c>
      <c r="Q25" s="55">
        <v>4.6399999999999997</v>
      </c>
      <c r="R25" s="43"/>
      <c r="S25" s="43"/>
      <c r="T25" s="43"/>
      <c r="U25" s="43"/>
    </row>
    <row r="26" spans="1:21" s="11" customFormat="1" ht="15">
      <c r="A26" s="54" t="s">
        <v>247</v>
      </c>
      <c r="B26" s="55">
        <v>6.92</v>
      </c>
      <c r="C26" s="55">
        <v>12.80</v>
      </c>
      <c r="D26" s="55">
        <v>12.95</v>
      </c>
      <c r="E26" s="55">
        <v>2.17</v>
      </c>
      <c r="F26" s="55">
        <v>8.93</v>
      </c>
      <c r="G26" s="56" t="s">
        <v>15</v>
      </c>
      <c r="H26" s="56" t="s">
        <v>15</v>
      </c>
      <c r="I26" s="55">
        <v>8.34</v>
      </c>
      <c r="J26" s="55">
        <v>0.48</v>
      </c>
      <c r="K26" s="55">
        <v>224.99</v>
      </c>
      <c r="L26" s="55">
        <v>25.01</v>
      </c>
      <c r="M26" s="55">
        <v>85.82</v>
      </c>
      <c r="N26" s="55">
        <v>132.10</v>
      </c>
      <c r="O26" s="55">
        <v>0</v>
      </c>
      <c r="P26" s="55">
        <v>0.25</v>
      </c>
      <c r="Q26" s="55">
        <v>7.49</v>
      </c>
      <c r="R26" s="43"/>
      <c r="S26" s="43"/>
      <c r="T26" s="43"/>
      <c r="U26" s="43"/>
    </row>
    <row r="27" spans="1:21" s="11" customFormat="1" ht="15">
      <c r="A27" s="54" t="s">
        <v>248</v>
      </c>
      <c r="B27" s="55">
        <v>7.73</v>
      </c>
      <c r="C27" s="55">
        <v>16.329999999999998</v>
      </c>
      <c r="D27" s="55">
        <v>15.78</v>
      </c>
      <c r="E27" s="55">
        <v>2.37</v>
      </c>
      <c r="F27" s="55">
        <v>6.49</v>
      </c>
      <c r="G27" s="56" t="s">
        <v>15</v>
      </c>
      <c r="H27" s="56" t="s">
        <v>15</v>
      </c>
      <c r="I27" s="55">
        <v>9.25</v>
      </c>
      <c r="J27" s="55">
        <v>0.52</v>
      </c>
      <c r="K27" s="55">
        <v>235.42</v>
      </c>
      <c r="L27" s="55">
        <v>24.80</v>
      </c>
      <c r="M27" s="55">
        <v>88.96</v>
      </c>
      <c r="N27" s="55">
        <v>80.20</v>
      </c>
      <c r="O27" s="55">
        <v>0</v>
      </c>
      <c r="P27" s="55">
        <v>0.30</v>
      </c>
      <c r="Q27" s="55">
        <v>7.90</v>
      </c>
      <c r="R27" s="43"/>
      <c r="S27" s="43"/>
      <c r="T27" s="43"/>
      <c r="U27" s="43"/>
    </row>
    <row r="28" spans="1:21" s="11" customFormat="1" ht="15">
      <c r="A28" s="54" t="s">
        <v>249</v>
      </c>
      <c r="B28" s="55">
        <v>15.37</v>
      </c>
      <c r="C28" s="55">
        <v>32.44</v>
      </c>
      <c r="D28" s="55">
        <v>30.88</v>
      </c>
      <c r="E28" s="55">
        <v>2.46</v>
      </c>
      <c r="F28" s="55">
        <v>9.10</v>
      </c>
      <c r="G28" s="56" t="s">
        <v>15</v>
      </c>
      <c r="H28" s="56" t="s">
        <v>15</v>
      </c>
      <c r="I28" s="55">
        <v>8.40</v>
      </c>
      <c r="J28" s="55">
        <v>0.57999999999999996</v>
      </c>
      <c r="K28" s="55">
        <v>246.24</v>
      </c>
      <c r="L28" s="55">
        <v>24.19</v>
      </c>
      <c r="M28" s="55">
        <v>93.92</v>
      </c>
      <c r="N28" s="55">
        <v>47.5</v>
      </c>
      <c r="O28" s="55">
        <v>0</v>
      </c>
      <c r="P28" s="55">
        <v>0.30</v>
      </c>
      <c r="Q28" s="55">
        <v>12.17</v>
      </c>
      <c r="R28" s="43"/>
      <c r="S28" s="43"/>
      <c r="T28" s="43"/>
      <c r="U28" s="43"/>
    </row>
    <row r="29" spans="1:21" s="11" customFormat="1" ht="15">
      <c r="A29" s="54" t="s">
        <v>250</v>
      </c>
      <c r="B29" s="55">
        <v>15.44</v>
      </c>
      <c r="C29" s="55">
        <v>28.94</v>
      </c>
      <c r="D29" s="55">
        <v>29</v>
      </c>
      <c r="E29" s="55">
        <v>2.15</v>
      </c>
      <c r="F29" s="55">
        <v>6</v>
      </c>
      <c r="G29" s="56" t="s">
        <v>15</v>
      </c>
      <c r="H29" s="56" t="s">
        <v>15</v>
      </c>
      <c r="I29" s="55">
        <v>8.67</v>
      </c>
      <c r="J29" s="55">
        <v>0.25</v>
      </c>
      <c r="K29" s="55">
        <v>280.69</v>
      </c>
      <c r="L29" s="55">
        <v>23.81</v>
      </c>
      <c r="M29" s="55">
        <v>94.67</v>
      </c>
      <c r="N29" s="55">
        <v>47.10</v>
      </c>
      <c r="O29" s="55">
        <v>0</v>
      </c>
      <c r="P29" s="55">
        <v>0.41</v>
      </c>
      <c r="Q29" s="55">
        <v>15.83</v>
      </c>
      <c r="R29" s="43"/>
      <c r="S29" s="43"/>
      <c r="T29" s="43"/>
      <c r="U29" s="43"/>
    </row>
    <row r="30" spans="1:21" s="11" customFormat="1" ht="15">
      <c r="A30" s="54" t="s">
        <v>251</v>
      </c>
      <c r="B30" s="55">
        <v>18.850000000000001</v>
      </c>
      <c r="C30" s="55">
        <v>21.38</v>
      </c>
      <c r="D30" s="55">
        <v>27.46</v>
      </c>
      <c r="E30" s="55">
        <v>2.23</v>
      </c>
      <c r="F30" s="55">
        <v>4.76</v>
      </c>
      <c r="G30" s="56" t="s">
        <v>15</v>
      </c>
      <c r="H30" s="56" t="s">
        <v>15</v>
      </c>
      <c r="I30" s="55">
        <v>9.6999999999999993</v>
      </c>
      <c r="J30" s="55">
        <v>0.39</v>
      </c>
      <c r="K30" s="55">
        <v>208.92</v>
      </c>
      <c r="L30" s="55">
        <v>23.93</v>
      </c>
      <c r="M30" s="55">
        <v>92.41</v>
      </c>
      <c r="N30" s="55">
        <v>46.80</v>
      </c>
      <c r="O30" s="55">
        <v>0</v>
      </c>
      <c r="P30" s="55">
        <v>0.45</v>
      </c>
      <c r="Q30" s="55">
        <v>16.47</v>
      </c>
      <c r="R30" s="43"/>
      <c r="S30" s="43"/>
      <c r="T30" s="43"/>
      <c r="U30" s="43"/>
    </row>
    <row r="31" spans="1:21" s="11" customFormat="1" ht="15">
      <c r="A31" s="54" t="s">
        <v>252</v>
      </c>
      <c r="B31" s="55">
        <v>19.22</v>
      </c>
      <c r="C31" s="55">
        <v>25.29</v>
      </c>
      <c r="D31" s="55">
        <v>30.02</v>
      </c>
      <c r="E31" s="55">
        <v>2.13</v>
      </c>
      <c r="F31" s="55">
        <v>9.43</v>
      </c>
      <c r="G31" s="56" t="s">
        <v>15</v>
      </c>
      <c r="H31" s="56" t="s">
        <v>15</v>
      </c>
      <c r="I31" s="55">
        <v>9.99</v>
      </c>
      <c r="J31" s="55">
        <v>0.56999999999999995</v>
      </c>
      <c r="K31" s="55">
        <v>198.26</v>
      </c>
      <c r="L31" s="55">
        <v>23.94</v>
      </c>
      <c r="M31" s="55">
        <v>91.72</v>
      </c>
      <c r="N31" s="55">
        <v>46.70</v>
      </c>
      <c r="O31" s="55">
        <v>0</v>
      </c>
      <c r="P31" s="55">
        <v>0.45</v>
      </c>
      <c r="Q31" s="55">
        <v>19.97</v>
      </c>
      <c r="R31" s="43"/>
      <c r="S31" s="43"/>
      <c r="T31" s="43"/>
      <c r="U31" s="43"/>
    </row>
    <row r="32" spans="1:21" s="11" customFormat="1" ht="15">
      <c r="A32" s="54" t="s">
        <v>253</v>
      </c>
      <c r="B32" s="55">
        <v>14.91</v>
      </c>
      <c r="C32" s="55">
        <v>17.760000000000002</v>
      </c>
      <c r="D32" s="55">
        <v>20.02</v>
      </c>
      <c r="E32" s="55">
        <v>2.67</v>
      </c>
      <c r="F32" s="55">
        <v>7.34</v>
      </c>
      <c r="G32" s="56" t="s">
        <v>15</v>
      </c>
      <c r="H32" s="56" t="s">
        <v>15</v>
      </c>
      <c r="I32" s="55">
        <v>10.16</v>
      </c>
      <c r="J32" s="55">
        <v>0.55000000000000004</v>
      </c>
      <c r="K32" s="55">
        <v>192.84</v>
      </c>
      <c r="L32" s="55">
        <v>23.89</v>
      </c>
      <c r="M32" s="55">
        <v>94.63</v>
      </c>
      <c r="N32" s="55">
        <v>46.70</v>
      </c>
      <c r="O32" s="55">
        <v>0</v>
      </c>
      <c r="P32" s="55">
        <v>0.43</v>
      </c>
      <c r="Q32" s="55">
        <v>20.63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4.8200000000000003</v>
      </c>
      <c r="C34" s="28">
        <f t="shared" si="0"/>
        <v>11.800000000000001</v>
      </c>
      <c r="D34" s="28">
        <f t="shared" si="0"/>
        <v>11.869999999999999</v>
      </c>
      <c r="E34" s="28">
        <f t="shared" si="0"/>
        <v>2.1299999999999999</v>
      </c>
      <c r="F34" s="28">
        <f t="shared" si="0"/>
        <v>4.0099999999999998</v>
      </c>
      <c r="G34" s="28">
        <f t="shared" si="0"/>
        <v>0</v>
      </c>
      <c r="H34" s="28">
        <f t="shared" si="0"/>
        <v>0</v>
      </c>
      <c r="I34" s="28">
        <f t="shared" si="0"/>
        <v>4.5099999999999998</v>
      </c>
      <c r="J34" s="28">
        <f t="shared" si="0"/>
        <v>0.10000000000000001</v>
      </c>
      <c r="K34" s="28">
        <f t="shared" si="0"/>
        <v>40.020000000000003</v>
      </c>
      <c r="L34" s="28">
        <f t="shared" si="0"/>
        <v>21.670000000000002</v>
      </c>
      <c r="M34" s="28">
        <f t="shared" si="0"/>
        <v>85.180000000000007</v>
      </c>
      <c r="N34" s="28">
        <f t="shared" si="0"/>
        <v>45.700000000000003</v>
      </c>
      <c r="O34" s="28">
        <f t="shared" si="0"/>
        <v>0</v>
      </c>
      <c r="P34" s="28">
        <f t="shared" si="0"/>
        <v>0.22</v>
      </c>
      <c r="Q34" s="28">
        <f t="shared" si="0"/>
        <v>3.29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19.219999999999999</v>
      </c>
      <c r="C35" s="29">
        <f t="shared" si="1"/>
        <v>32.439999999999998</v>
      </c>
      <c r="D35" s="29">
        <f t="shared" si="1"/>
        <v>30.879999999999999</v>
      </c>
      <c r="E35" s="29">
        <f t="shared" si="1"/>
        <v>3.4300000000000002</v>
      </c>
      <c r="F35" s="29">
        <f t="shared" si="1"/>
        <v>20.050000000000001</v>
      </c>
      <c r="G35" s="29">
        <f t="shared" si="1"/>
        <v>0</v>
      </c>
      <c r="H35" s="29">
        <f t="shared" si="1"/>
        <v>0</v>
      </c>
      <c r="I35" s="29">
        <f t="shared" si="1"/>
        <v>66.040000000000006</v>
      </c>
      <c r="J35" s="29">
        <f t="shared" si="1"/>
        <v>0.72999999999999998</v>
      </c>
      <c r="K35" s="29">
        <f t="shared" si="1"/>
        <v>357.37</v>
      </c>
      <c r="L35" s="29">
        <f t="shared" si="1"/>
        <v>25.370000000000001</v>
      </c>
      <c r="M35" s="29">
        <f t="shared" si="1"/>
        <v>97.200000000000003</v>
      </c>
      <c r="N35" s="29">
        <f t="shared" si="1"/>
        <v>369.89999999999998</v>
      </c>
      <c r="O35" s="29">
        <f t="shared" si="1"/>
        <v>2.6000000000000001</v>
      </c>
      <c r="P35" s="29">
        <f t="shared" si="1"/>
        <v>0.46999999999999997</v>
      </c>
      <c r="Q35" s="29">
        <f t="shared" si="1"/>
        <v>20.629999999999999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9.2808333333333319</v>
      </c>
      <c r="C36" s="28">
        <f t="shared" si="2"/>
        <v>17.283750000000001</v>
      </c>
      <c r="D36" s="28">
        <f t="shared" si="2"/>
        <v>17.36333333333333</v>
      </c>
      <c r="E36" s="28">
        <f t="shared" si="2"/>
        <v>2.7079166666666663</v>
      </c>
      <c r="F36" s="28">
        <f t="shared" si="2"/>
        <v>8.6466666666666683</v>
      </c>
      <c r="G36" s="28" t="e">
        <f t="shared" si="2"/>
        <v>#DIV/0!</v>
      </c>
      <c r="H36" s="28" t="e">
        <f t="shared" si="2"/>
        <v>#DIV/0!</v>
      </c>
      <c r="I36" s="28">
        <f t="shared" si="2"/>
        <v>10.453750000000001</v>
      </c>
      <c r="J36" s="28">
        <f t="shared" si="2"/>
        <v>0.35333333333333333</v>
      </c>
      <c r="K36" s="28">
        <f t="shared" si="2"/>
        <v>241.15208333333331</v>
      </c>
      <c r="L36" s="28">
        <f t="shared" si="2"/>
        <v>23.471666666666664</v>
      </c>
      <c r="M36" s="28">
        <f t="shared" si="2"/>
        <v>93.453749999999999</v>
      </c>
      <c r="N36" s="28">
        <f t="shared" si="2"/>
        <v>126.6458333333333</v>
      </c>
      <c r="O36" s="28">
        <f t="shared" si="2"/>
        <v>0.16666666666666666</v>
      </c>
      <c r="P36" s="28">
        <f t="shared" si="2"/>
        <v>0.32250000000000006</v>
      </c>
      <c r="Q36" s="28">
        <f t="shared" si="2"/>
        <v>11.849583333333333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4.3586375181348567</v>
      </c>
      <c r="C37" s="28">
        <f t="shared" si="3" ref="C37:Q37">STDEV(C9:C32)</f>
        <v>6.5592880131253875</v>
      </c>
      <c r="D37" s="28">
        <f t="shared" si="3"/>
        <v>6.6832871804398728</v>
      </c>
      <c r="E37" s="28">
        <f t="shared" si="3"/>
        <v>0.41736210080505254</v>
      </c>
      <c r="F37" s="28">
        <f t="shared" si="3"/>
        <v>4.4972123410597007</v>
      </c>
      <c r="G37" s="28" t="e">
        <f t="shared" si="3"/>
        <v>#DIV/0!</v>
      </c>
      <c r="H37" s="28" t="e">
        <f t="shared" si="3"/>
        <v>#DIV/0!</v>
      </c>
      <c r="I37" s="28">
        <f t="shared" si="3"/>
        <v>12.293407498931392</v>
      </c>
      <c r="J37" s="28">
        <f t="shared" si="3"/>
        <v>0.18367425482102259</v>
      </c>
      <c r="K37" s="28">
        <f t="shared" si="3"/>
        <v>61.901337484965005</v>
      </c>
      <c r="L37" s="28">
        <f t="shared" si="3"/>
        <v>1.0254571267686328</v>
      </c>
      <c r="M37" s="28">
        <f t="shared" si="3"/>
        <v>3.7711384655150186</v>
      </c>
      <c r="N37" s="28">
        <f t="shared" si="3"/>
        <v>97.331325576125835</v>
      </c>
      <c r="O37" s="28">
        <f t="shared" si="3"/>
        <v>0.5584658073427724</v>
      </c>
      <c r="P37" s="28">
        <f t="shared" si="3"/>
        <v>0.083053152179532172</v>
      </c>
      <c r="Q37" s="28">
        <f t="shared" si="3"/>
        <v>5.1633124514224864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5f6b63-3931-42b0-9150-2f229e580b9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57" sqref="I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254</v>
      </c>
      <c r="B9" s="55">
        <v>13.74</v>
      </c>
      <c r="C9" s="55">
        <v>10.73</v>
      </c>
      <c r="D9" s="55">
        <v>17</v>
      </c>
      <c r="E9" s="55">
        <v>3.38</v>
      </c>
      <c r="F9" s="55">
        <v>5.74</v>
      </c>
      <c r="G9" s="56" t="s">
        <v>15</v>
      </c>
      <c r="H9" s="56" t="s">
        <v>15</v>
      </c>
      <c r="I9" s="55">
        <v>9.94</v>
      </c>
      <c r="J9" s="55">
        <v>0.79</v>
      </c>
      <c r="K9" s="55">
        <v>194.51</v>
      </c>
      <c r="L9" s="55">
        <v>23.63</v>
      </c>
      <c r="M9" s="55">
        <v>95.76</v>
      </c>
      <c r="N9" s="55">
        <v>46.60</v>
      </c>
      <c r="O9" s="55">
        <v>0</v>
      </c>
      <c r="P9" s="55">
        <v>0.41</v>
      </c>
      <c r="Q9" s="55">
        <v>19.27</v>
      </c>
      <c r="R9" s="43"/>
      <c r="S9" s="43"/>
      <c r="T9" s="43"/>
      <c r="U9" s="43"/>
    </row>
    <row r="10" spans="1:21" s="11" customFormat="1" ht="15">
      <c r="A10" s="54" t="s">
        <v>255</v>
      </c>
      <c r="B10" s="55">
        <v>10.02</v>
      </c>
      <c r="C10" s="55">
        <v>10.61</v>
      </c>
      <c r="D10" s="55">
        <v>14.53</v>
      </c>
      <c r="E10" s="55">
        <v>3.36</v>
      </c>
      <c r="F10" s="55">
        <v>11.62</v>
      </c>
      <c r="G10" s="56" t="s">
        <v>15</v>
      </c>
      <c r="H10" s="56" t="s">
        <v>15</v>
      </c>
      <c r="I10" s="55">
        <v>10.220000000000001</v>
      </c>
      <c r="J10" s="55">
        <v>0.78</v>
      </c>
      <c r="K10" s="55">
        <v>216.40</v>
      </c>
      <c r="L10" s="55">
        <v>23.63</v>
      </c>
      <c r="M10" s="55">
        <v>96.87</v>
      </c>
      <c r="N10" s="55">
        <v>46.60</v>
      </c>
      <c r="O10" s="55">
        <v>0</v>
      </c>
      <c r="P10" s="55">
        <v>0.36</v>
      </c>
      <c r="Q10" s="55">
        <v>20.64</v>
      </c>
      <c r="R10" s="43"/>
      <c r="S10" s="43"/>
      <c r="T10" s="43"/>
      <c r="U10" s="43"/>
    </row>
    <row r="11" spans="1:21" s="11" customFormat="1" ht="15">
      <c r="A11" s="54" t="s">
        <v>256</v>
      </c>
      <c r="B11" s="55">
        <v>11.12</v>
      </c>
      <c r="C11" s="55">
        <v>10.39</v>
      </c>
      <c r="D11" s="55">
        <v>14.74</v>
      </c>
      <c r="E11" s="55">
        <v>3.28</v>
      </c>
      <c r="F11" s="55">
        <v>5.68</v>
      </c>
      <c r="G11" s="56" t="s">
        <v>15</v>
      </c>
      <c r="H11" s="56" t="s">
        <v>15</v>
      </c>
      <c r="I11" s="55">
        <v>10.10</v>
      </c>
      <c r="J11" s="55">
        <v>0.43</v>
      </c>
      <c r="K11" s="55">
        <v>350.73</v>
      </c>
      <c r="L11" s="55">
        <v>23.40</v>
      </c>
      <c r="M11" s="55">
        <v>96.12</v>
      </c>
      <c r="N11" s="55">
        <v>47.40</v>
      </c>
      <c r="O11" s="55">
        <v>0</v>
      </c>
      <c r="P11" s="55">
        <v>0.34</v>
      </c>
      <c r="Q11" s="55">
        <v>21.02</v>
      </c>
      <c r="R11" s="43"/>
      <c r="S11" s="43"/>
      <c r="T11" s="43"/>
      <c r="U11" s="43"/>
    </row>
    <row r="12" spans="1:21" s="11" customFormat="1" ht="15">
      <c r="A12" s="54" t="s">
        <v>257</v>
      </c>
      <c r="B12" s="55">
        <v>4.75</v>
      </c>
      <c r="C12" s="55">
        <v>11.5</v>
      </c>
      <c r="D12" s="55">
        <v>10.80</v>
      </c>
      <c r="E12" s="55">
        <v>3.04</v>
      </c>
      <c r="F12" s="55">
        <v>6.39</v>
      </c>
      <c r="G12" s="56" t="s">
        <v>15</v>
      </c>
      <c r="H12" s="56" t="s">
        <v>15</v>
      </c>
      <c r="I12" s="55">
        <v>9.07</v>
      </c>
      <c r="J12" s="55">
        <v>0.45</v>
      </c>
      <c r="K12" s="55">
        <v>55.35</v>
      </c>
      <c r="L12" s="55">
        <v>22.02</v>
      </c>
      <c r="M12" s="55">
        <v>96.04</v>
      </c>
      <c r="N12" s="55">
        <v>47</v>
      </c>
      <c r="O12" s="55">
        <v>0</v>
      </c>
      <c r="P12" s="55">
        <v>0.18</v>
      </c>
      <c r="Q12" s="55">
        <v>12.31</v>
      </c>
      <c r="R12" s="43"/>
      <c r="S12" s="43"/>
      <c r="T12" s="43"/>
      <c r="U12" s="43"/>
    </row>
    <row r="13" spans="1:21" s="11" customFormat="1" ht="15">
      <c r="A13" s="54" t="s">
        <v>258</v>
      </c>
      <c r="B13" s="55">
        <v>4.6500000000000004</v>
      </c>
      <c r="C13" s="55">
        <v>9.73</v>
      </c>
      <c r="D13" s="55">
        <v>9.59</v>
      </c>
      <c r="E13" s="55">
        <v>2.21</v>
      </c>
      <c r="F13" s="55">
        <v>5.24</v>
      </c>
      <c r="G13" s="56" t="s">
        <v>15</v>
      </c>
      <c r="H13" s="56" t="s">
        <v>15</v>
      </c>
      <c r="I13" s="55">
        <v>5.90</v>
      </c>
      <c r="J13" s="55">
        <v>0.16</v>
      </c>
      <c r="K13" s="55">
        <v>325.72000000000003</v>
      </c>
      <c r="L13" s="55">
        <v>21.59</v>
      </c>
      <c r="M13" s="55">
        <v>97.18</v>
      </c>
      <c r="N13" s="55">
        <v>46.60</v>
      </c>
      <c r="O13" s="55">
        <v>0.20</v>
      </c>
      <c r="P13" s="55">
        <v>0.15</v>
      </c>
      <c r="Q13" s="55">
        <v>9.98</v>
      </c>
      <c r="R13" s="43"/>
      <c r="S13" s="43"/>
      <c r="T13" s="43"/>
      <c r="U13" s="43"/>
    </row>
    <row r="14" spans="1:21" s="11" customFormat="1" ht="15">
      <c r="A14" s="54" t="s">
        <v>259</v>
      </c>
      <c r="B14" s="55">
        <v>4.67</v>
      </c>
      <c r="C14" s="55">
        <v>10.18</v>
      </c>
      <c r="D14" s="55">
        <v>9.83</v>
      </c>
      <c r="E14" s="55">
        <v>2.0699999999999998</v>
      </c>
      <c r="F14" s="55">
        <v>5.18</v>
      </c>
      <c r="G14" s="56" t="s">
        <v>15</v>
      </c>
      <c r="H14" s="56" t="s">
        <v>15</v>
      </c>
      <c r="I14" s="55">
        <v>5.64</v>
      </c>
      <c r="J14" s="55">
        <v>0.19</v>
      </c>
      <c r="K14" s="55">
        <v>34</v>
      </c>
      <c r="L14" s="55">
        <v>21.14</v>
      </c>
      <c r="M14" s="55">
        <v>97.18</v>
      </c>
      <c r="N14" s="55">
        <v>61.70</v>
      </c>
      <c r="O14" s="55">
        <v>0</v>
      </c>
      <c r="P14" s="55">
        <v>0.13</v>
      </c>
      <c r="Q14" s="55">
        <v>7.81</v>
      </c>
      <c r="R14" s="43"/>
      <c r="S14" s="43"/>
      <c r="T14" s="43"/>
      <c r="U14" s="43"/>
    </row>
    <row r="15" spans="1:21" s="11" customFormat="1" ht="15">
      <c r="A15" s="54" t="s">
        <v>260</v>
      </c>
      <c r="B15" s="55">
        <v>4.91</v>
      </c>
      <c r="C15" s="55">
        <v>9.8800000000000008</v>
      </c>
      <c r="D15" s="55">
        <v>9.6999999999999993</v>
      </c>
      <c r="E15" s="55">
        <v>2.1800000000000002</v>
      </c>
      <c r="F15" s="55">
        <v>4.95</v>
      </c>
      <c r="G15" s="56" t="s">
        <v>15</v>
      </c>
      <c r="H15" s="56" t="s">
        <v>15</v>
      </c>
      <c r="I15" s="55">
        <v>5.36</v>
      </c>
      <c r="J15" s="55">
        <v>0.18</v>
      </c>
      <c r="K15" s="55">
        <v>308.54000000000002</v>
      </c>
      <c r="L15" s="55">
        <v>21.36</v>
      </c>
      <c r="M15" s="55">
        <v>97.18</v>
      </c>
      <c r="N15" s="55">
        <v>95.40</v>
      </c>
      <c r="O15" s="55">
        <v>0</v>
      </c>
      <c r="P15" s="55">
        <v>0.14000000000000001</v>
      </c>
      <c r="Q15" s="55">
        <v>7.29</v>
      </c>
      <c r="R15" s="43"/>
      <c r="S15" s="43"/>
      <c r="T15" s="43"/>
      <c r="U15" s="43"/>
    </row>
    <row r="16" spans="1:21" s="11" customFormat="1" ht="15">
      <c r="A16" s="54" t="s">
        <v>261</v>
      </c>
      <c r="B16" s="55">
        <v>6.14</v>
      </c>
      <c r="C16" s="55">
        <v>10.039999999999999</v>
      </c>
      <c r="D16" s="55">
        <v>10.95</v>
      </c>
      <c r="E16" s="55">
        <v>1.86</v>
      </c>
      <c r="F16" s="55">
        <v>6.31</v>
      </c>
      <c r="G16" s="56" t="s">
        <v>15</v>
      </c>
      <c r="H16" s="56" t="s">
        <v>15</v>
      </c>
      <c r="I16" s="55">
        <v>5.19</v>
      </c>
      <c r="J16" s="55">
        <v>0.24</v>
      </c>
      <c r="K16" s="55">
        <v>291.88</v>
      </c>
      <c r="L16" s="55">
        <v>22.18</v>
      </c>
      <c r="M16" s="55">
        <v>97.13</v>
      </c>
      <c r="N16" s="55">
        <v>182.20</v>
      </c>
      <c r="O16" s="55">
        <v>0</v>
      </c>
      <c r="P16" s="55">
        <v>0.24</v>
      </c>
      <c r="Q16" s="55">
        <v>8.2100000000000009</v>
      </c>
      <c r="R16" s="43"/>
      <c r="S16" s="43"/>
      <c r="T16" s="43"/>
      <c r="U16" s="43"/>
    </row>
    <row r="17" spans="1:21" s="11" customFormat="1" ht="15">
      <c r="A17" s="54" t="s">
        <v>262</v>
      </c>
      <c r="B17" s="55">
        <v>6</v>
      </c>
      <c r="C17" s="55">
        <v>12.27</v>
      </c>
      <c r="D17" s="55">
        <v>12.20</v>
      </c>
      <c r="E17" s="55">
        <v>2.1800000000000002</v>
      </c>
      <c r="F17" s="55">
        <v>4.33</v>
      </c>
      <c r="G17" s="56" t="s">
        <v>15</v>
      </c>
      <c r="H17" s="56" t="s">
        <v>15</v>
      </c>
      <c r="I17" s="55">
        <v>5.60</v>
      </c>
      <c r="J17" s="55">
        <v>0.35</v>
      </c>
      <c r="K17" s="55">
        <v>49.28</v>
      </c>
      <c r="L17" s="55">
        <v>23.99</v>
      </c>
      <c r="M17" s="55">
        <v>90.79</v>
      </c>
      <c r="N17" s="55">
        <v>534.79999999999995</v>
      </c>
      <c r="O17" s="55">
        <v>0</v>
      </c>
      <c r="P17" s="55">
        <v>0.28000000000000003</v>
      </c>
      <c r="Q17" s="55">
        <v>9</v>
      </c>
      <c r="R17" s="43"/>
      <c r="S17" s="43"/>
      <c r="T17" s="43"/>
      <c r="U17" s="43"/>
    </row>
    <row r="18" spans="1:21" s="11" customFormat="1" ht="15">
      <c r="A18" s="54" t="s">
        <v>263</v>
      </c>
      <c r="B18" s="55">
        <v>7.24</v>
      </c>
      <c r="C18" s="55">
        <v>14.30</v>
      </c>
      <c r="D18" s="55">
        <v>14.15</v>
      </c>
      <c r="E18" s="55">
        <v>2.0099999999999998</v>
      </c>
      <c r="F18" s="55">
        <v>4.79</v>
      </c>
      <c r="G18" s="56" t="s">
        <v>15</v>
      </c>
      <c r="H18" s="56" t="s">
        <v>15</v>
      </c>
      <c r="I18" s="55">
        <v>5.18</v>
      </c>
      <c r="J18" s="55">
        <v>0.47</v>
      </c>
      <c r="K18" s="55">
        <v>38.78</v>
      </c>
      <c r="L18" s="55">
        <v>27.37</v>
      </c>
      <c r="M18" s="55">
        <v>79.53</v>
      </c>
      <c r="N18" s="55">
        <v>1073.9000000000001</v>
      </c>
      <c r="O18" s="55">
        <v>0</v>
      </c>
      <c r="P18" s="55">
        <v>0.44</v>
      </c>
      <c r="Q18" s="55">
        <v>6.35</v>
      </c>
      <c r="R18" s="43"/>
      <c r="S18" s="43"/>
      <c r="T18" s="43"/>
      <c r="U18" s="43"/>
    </row>
    <row r="19" spans="1:21" s="11" customFormat="1" ht="15">
      <c r="A19" s="54" t="s">
        <v>264</v>
      </c>
      <c r="B19" s="55">
        <v>7.30</v>
      </c>
      <c r="C19" s="55">
        <v>15.78</v>
      </c>
      <c r="D19" s="55">
        <v>14.86</v>
      </c>
      <c r="E19" s="55">
        <v>2.17</v>
      </c>
      <c r="F19" s="55">
        <v>5.34</v>
      </c>
      <c r="G19" s="56" t="s">
        <v>15</v>
      </c>
      <c r="H19" s="56" t="s">
        <v>15</v>
      </c>
      <c r="I19" s="55">
        <v>5.20</v>
      </c>
      <c r="J19" s="55">
        <v>0.45</v>
      </c>
      <c r="K19" s="55">
        <v>42.11</v>
      </c>
      <c r="L19" s="55">
        <v>27.37</v>
      </c>
      <c r="M19" s="55">
        <v>68.150000000000006</v>
      </c>
      <c r="N19" s="55">
        <v>956.70</v>
      </c>
      <c r="O19" s="55">
        <v>0</v>
      </c>
      <c r="P19" s="55">
        <v>0.56000000000000005</v>
      </c>
      <c r="Q19" s="55">
        <v>8.18</v>
      </c>
      <c r="R19" s="43"/>
      <c r="S19" s="43"/>
      <c r="T19" s="43"/>
      <c r="U19" s="43"/>
    </row>
    <row r="20" spans="1:21" s="11" customFormat="1" ht="15">
      <c r="A20" s="54" t="s">
        <v>265</v>
      </c>
      <c r="B20" s="55">
        <v>6.81</v>
      </c>
      <c r="C20" s="55">
        <v>16.670000000000002</v>
      </c>
      <c r="D20" s="55">
        <v>15.07</v>
      </c>
      <c r="E20" s="55">
        <v>2.14</v>
      </c>
      <c r="F20" s="55">
        <v>5.74</v>
      </c>
      <c r="G20" s="56" t="s">
        <v>15</v>
      </c>
      <c r="H20" s="56" t="s">
        <v>15</v>
      </c>
      <c r="I20" s="55">
        <v>5.49</v>
      </c>
      <c r="J20" s="55">
        <v>0.53</v>
      </c>
      <c r="K20" s="55">
        <v>28.75</v>
      </c>
      <c r="L20" s="55">
        <v>29.03</v>
      </c>
      <c r="M20" s="55">
        <v>62.58</v>
      </c>
      <c r="N20" s="55">
        <v>935.10</v>
      </c>
      <c r="O20" s="55">
        <v>0</v>
      </c>
      <c r="P20" s="55">
        <v>0.70</v>
      </c>
      <c r="Q20" s="55">
        <v>7.92</v>
      </c>
      <c r="R20" s="43"/>
      <c r="S20" s="43"/>
      <c r="T20" s="43"/>
      <c r="U20" s="43"/>
    </row>
    <row r="21" spans="1:21" s="11" customFormat="1" ht="15">
      <c r="A21" s="54" t="s">
        <v>266</v>
      </c>
      <c r="B21" s="55">
        <v>6.81</v>
      </c>
      <c r="C21" s="55">
        <v>16.43</v>
      </c>
      <c r="D21" s="55">
        <v>14.99</v>
      </c>
      <c r="E21" s="55">
        <v>1.80</v>
      </c>
      <c r="F21" s="55">
        <v>5.51</v>
      </c>
      <c r="G21" s="56" t="s">
        <v>15</v>
      </c>
      <c r="H21" s="56" t="s">
        <v>15</v>
      </c>
      <c r="I21" s="55">
        <v>5.72</v>
      </c>
      <c r="J21" s="55">
        <v>0.53</v>
      </c>
      <c r="K21" s="55">
        <v>47.60</v>
      </c>
      <c r="L21" s="55">
        <v>28.07</v>
      </c>
      <c r="M21" s="55">
        <v>61.83</v>
      </c>
      <c r="N21" s="55">
        <v>852</v>
      </c>
      <c r="O21" s="55">
        <v>0</v>
      </c>
      <c r="P21" s="55">
        <v>0.70</v>
      </c>
      <c r="Q21" s="55">
        <v>7.13</v>
      </c>
      <c r="R21" s="43"/>
      <c r="S21" s="43"/>
      <c r="T21" s="43"/>
      <c r="U21" s="43"/>
    </row>
    <row r="22" spans="1:21" s="11" customFormat="1" ht="15">
      <c r="A22" s="54" t="s">
        <v>267</v>
      </c>
      <c r="B22" s="55">
        <v>6.19</v>
      </c>
      <c r="C22" s="55">
        <v>16.14</v>
      </c>
      <c r="D22" s="55">
        <v>14.41</v>
      </c>
      <c r="E22" s="55">
        <v>1.88</v>
      </c>
      <c r="F22" s="55">
        <v>5.90</v>
      </c>
      <c r="G22" s="56" t="s">
        <v>15</v>
      </c>
      <c r="H22" s="56" t="s">
        <v>15</v>
      </c>
      <c r="I22" s="55">
        <v>5.43</v>
      </c>
      <c r="J22" s="55">
        <v>0.45</v>
      </c>
      <c r="K22" s="55">
        <v>38.78</v>
      </c>
      <c r="L22" s="55">
        <v>28.97</v>
      </c>
      <c r="M22" s="55">
        <v>59.76</v>
      </c>
      <c r="N22" s="55">
        <v>986.40</v>
      </c>
      <c r="O22" s="55">
        <v>0</v>
      </c>
      <c r="P22" s="55">
        <v>0.64</v>
      </c>
      <c r="Q22" s="55">
        <v>6.02</v>
      </c>
      <c r="R22" s="43"/>
      <c r="S22" s="43"/>
      <c r="T22" s="43"/>
      <c r="U22" s="43"/>
    </row>
    <row r="23" spans="1:21" s="11" customFormat="1" ht="15">
      <c r="A23" s="54" t="s">
        <v>268</v>
      </c>
      <c r="B23" s="55">
        <v>5.71</v>
      </c>
      <c r="C23" s="55">
        <v>16.45</v>
      </c>
      <c r="D23" s="55">
        <v>14.31</v>
      </c>
      <c r="E23" s="55">
        <v>1.77</v>
      </c>
      <c r="F23" s="55">
        <v>5.58</v>
      </c>
      <c r="G23" s="56" t="s">
        <v>15</v>
      </c>
      <c r="H23" s="56" t="s">
        <v>15</v>
      </c>
      <c r="I23" s="55">
        <v>4.7300000000000004</v>
      </c>
      <c r="J23" s="55">
        <v>0.43</v>
      </c>
      <c r="K23" s="55">
        <v>37.31</v>
      </c>
      <c r="L23" s="55">
        <v>28.82</v>
      </c>
      <c r="M23" s="55">
        <v>59.04</v>
      </c>
      <c r="N23" s="55">
        <v>533.90</v>
      </c>
      <c r="O23" s="55">
        <v>0</v>
      </c>
      <c r="P23" s="55">
        <v>0.56999999999999995</v>
      </c>
      <c r="Q23" s="55">
        <v>5.95</v>
      </c>
      <c r="R23" s="43"/>
      <c r="S23" s="43"/>
      <c r="T23" s="43"/>
      <c r="U23" s="43"/>
    </row>
    <row r="24" spans="1:21" s="11" customFormat="1" ht="15">
      <c r="A24" s="54" t="s">
        <v>269</v>
      </c>
      <c r="B24" s="55">
        <v>6.03</v>
      </c>
      <c r="C24" s="55">
        <v>15.18</v>
      </c>
      <c r="D24" s="55">
        <v>13.30</v>
      </c>
      <c r="E24" s="55">
        <v>1.92</v>
      </c>
      <c r="F24" s="55">
        <v>6.69</v>
      </c>
      <c r="G24" s="56" t="s">
        <v>15</v>
      </c>
      <c r="H24" s="56" t="s">
        <v>15</v>
      </c>
      <c r="I24" s="55">
        <v>4.33</v>
      </c>
      <c r="J24" s="55">
        <v>0.34</v>
      </c>
      <c r="K24" s="55">
        <v>47.27</v>
      </c>
      <c r="L24" s="55">
        <v>27.30</v>
      </c>
      <c r="M24" s="55">
        <v>64.150000000000006</v>
      </c>
      <c r="N24" s="55">
        <v>265.39999999999998</v>
      </c>
      <c r="O24" s="55">
        <v>0</v>
      </c>
      <c r="P24" s="55">
        <v>0.48</v>
      </c>
      <c r="Q24" s="55">
        <v>5.19</v>
      </c>
      <c r="R24" s="43"/>
      <c r="S24" s="43"/>
      <c r="T24" s="43"/>
      <c r="U24" s="43"/>
    </row>
    <row r="25" spans="1:21" s="11" customFormat="1" ht="15">
      <c r="A25" s="54" t="s">
        <v>270</v>
      </c>
      <c r="B25" s="55">
        <v>6.66</v>
      </c>
      <c r="C25" s="55">
        <v>14.02</v>
      </c>
      <c r="D25" s="55">
        <v>13.72</v>
      </c>
      <c r="E25" s="55">
        <v>1.91</v>
      </c>
      <c r="F25" s="55">
        <v>7</v>
      </c>
      <c r="G25" s="56" t="s">
        <v>15</v>
      </c>
      <c r="H25" s="56" t="s">
        <v>15</v>
      </c>
      <c r="I25" s="55">
        <v>4.16</v>
      </c>
      <c r="J25" s="55">
        <v>0.33</v>
      </c>
      <c r="K25" s="55">
        <v>50.61</v>
      </c>
      <c r="L25" s="55">
        <v>27.20</v>
      </c>
      <c r="M25" s="55">
        <v>64.290000000000006</v>
      </c>
      <c r="N25" s="55">
        <v>205.90</v>
      </c>
      <c r="O25" s="55">
        <v>0</v>
      </c>
      <c r="P25" s="55">
        <v>0.44</v>
      </c>
      <c r="Q25" s="55">
        <v>6.59</v>
      </c>
      <c r="R25" s="43"/>
      <c r="S25" s="43"/>
      <c r="T25" s="43"/>
      <c r="U25" s="43"/>
    </row>
    <row r="26" spans="1:21" s="11" customFormat="1" ht="15">
      <c r="A26" s="54" t="s">
        <v>271</v>
      </c>
      <c r="B26" s="55">
        <v>8.23</v>
      </c>
      <c r="C26" s="55">
        <v>15.82</v>
      </c>
      <c r="D26" s="55">
        <v>15.97</v>
      </c>
      <c r="E26" s="55">
        <v>2.3199999999999998</v>
      </c>
      <c r="F26" s="55">
        <v>5.21</v>
      </c>
      <c r="G26" s="56" t="s">
        <v>15</v>
      </c>
      <c r="H26" s="56" t="s">
        <v>15</v>
      </c>
      <c r="I26" s="55">
        <v>4.80</v>
      </c>
      <c r="J26" s="55">
        <v>0.35</v>
      </c>
      <c r="K26" s="55">
        <v>41.54</v>
      </c>
      <c r="L26" s="55">
        <v>26.91</v>
      </c>
      <c r="M26" s="55">
        <v>64.20</v>
      </c>
      <c r="N26" s="55">
        <v>115.30</v>
      </c>
      <c r="O26" s="55">
        <v>0</v>
      </c>
      <c r="P26" s="55">
        <v>0.47</v>
      </c>
      <c r="Q26" s="55">
        <v>6</v>
      </c>
      <c r="R26" s="43"/>
      <c r="S26" s="43"/>
      <c r="T26" s="43"/>
      <c r="U26" s="43"/>
    </row>
    <row r="27" spans="1:21" s="11" customFormat="1" ht="15">
      <c r="A27" s="54" t="s">
        <v>272</v>
      </c>
      <c r="B27" s="55">
        <v>14.75</v>
      </c>
      <c r="C27" s="55">
        <v>18.62</v>
      </c>
      <c r="D27" s="55">
        <v>22.40</v>
      </c>
      <c r="E27" s="55">
        <v>2.13</v>
      </c>
      <c r="F27" s="55">
        <v>10.99</v>
      </c>
      <c r="G27" s="56" t="s">
        <v>15</v>
      </c>
      <c r="H27" s="56" t="s">
        <v>15</v>
      </c>
      <c r="I27" s="55">
        <v>5.13</v>
      </c>
      <c r="J27" s="55">
        <v>0.44</v>
      </c>
      <c r="K27" s="55">
        <v>349.58</v>
      </c>
      <c r="L27" s="55">
        <v>26.65</v>
      </c>
      <c r="M27" s="55">
        <v>71.77</v>
      </c>
      <c r="N27" s="55">
        <v>59.40</v>
      </c>
      <c r="O27" s="55">
        <v>0</v>
      </c>
      <c r="P27" s="55">
        <v>0.56999999999999995</v>
      </c>
      <c r="Q27" s="55">
        <v>9.57</v>
      </c>
      <c r="R27" s="43"/>
      <c r="S27" s="43"/>
      <c r="T27" s="43"/>
      <c r="U27" s="43"/>
    </row>
    <row r="28" spans="1:21" s="11" customFormat="1" ht="15">
      <c r="A28" s="54" t="s">
        <v>273</v>
      </c>
      <c r="B28" s="55">
        <v>23.32</v>
      </c>
      <c r="C28" s="55">
        <v>26.04</v>
      </c>
      <c r="D28" s="55">
        <v>32.200000000000003</v>
      </c>
      <c r="E28" s="55">
        <v>2.2799999999999998</v>
      </c>
      <c r="F28" s="55">
        <v>11.43</v>
      </c>
      <c r="G28" s="56" t="s">
        <v>15</v>
      </c>
      <c r="H28" s="56" t="s">
        <v>15</v>
      </c>
      <c r="I28" s="55">
        <v>5.32</v>
      </c>
      <c r="J28" s="55">
        <v>0.25</v>
      </c>
      <c r="K28" s="55">
        <v>359.85</v>
      </c>
      <c r="L28" s="55">
        <v>25.51</v>
      </c>
      <c r="M28" s="55">
        <v>74.31</v>
      </c>
      <c r="N28" s="55">
        <v>30.80</v>
      </c>
      <c r="O28" s="55">
        <v>0</v>
      </c>
      <c r="P28" s="55">
        <v>0.63</v>
      </c>
      <c r="Q28" s="55">
        <v>14.33</v>
      </c>
      <c r="R28" s="43"/>
      <c r="S28" s="43"/>
      <c r="T28" s="43"/>
      <c r="U28" s="43"/>
    </row>
    <row r="29" spans="1:21" s="11" customFormat="1" ht="15">
      <c r="A29" s="54" t="s">
        <v>274</v>
      </c>
      <c r="B29" s="55">
        <v>22.75</v>
      </c>
      <c r="C29" s="55">
        <v>25.04</v>
      </c>
      <c r="D29" s="55">
        <v>32.71</v>
      </c>
      <c r="E29" s="55">
        <v>2.75</v>
      </c>
      <c r="F29" s="55">
        <v>5.98</v>
      </c>
      <c r="G29" s="56" t="s">
        <v>15</v>
      </c>
      <c r="H29" s="56" t="s">
        <v>15</v>
      </c>
      <c r="I29" s="55">
        <v>6.93</v>
      </c>
      <c r="J29" s="55">
        <v>0.19</v>
      </c>
      <c r="K29" s="55">
        <v>348.39</v>
      </c>
      <c r="L29" s="55">
        <v>25.02</v>
      </c>
      <c r="M29" s="55">
        <v>77.02</v>
      </c>
      <c r="N29" s="55">
        <v>31.30</v>
      </c>
      <c r="O29" s="55">
        <v>0</v>
      </c>
      <c r="P29" s="55">
        <v>0.82</v>
      </c>
      <c r="Q29" s="55">
        <v>14.43</v>
      </c>
      <c r="R29" s="43"/>
      <c r="S29" s="43"/>
      <c r="T29" s="43"/>
      <c r="U29" s="43"/>
    </row>
    <row r="30" spans="1:21" s="11" customFormat="1" ht="15">
      <c r="A30" s="54" t="s">
        <v>275</v>
      </c>
      <c r="B30" s="55">
        <v>45.08</v>
      </c>
      <c r="C30" s="55">
        <v>42.19</v>
      </c>
      <c r="D30" s="55">
        <v>59.51</v>
      </c>
      <c r="E30" s="55">
        <v>2.98</v>
      </c>
      <c r="F30" s="55">
        <v>5.56</v>
      </c>
      <c r="G30" s="56" t="s">
        <v>15</v>
      </c>
      <c r="H30" s="56" t="s">
        <v>15</v>
      </c>
      <c r="I30" s="55">
        <v>7.10</v>
      </c>
      <c r="J30" s="55">
        <v>0.11</v>
      </c>
      <c r="K30" s="55">
        <v>328.28</v>
      </c>
      <c r="L30" s="55">
        <v>24.59</v>
      </c>
      <c r="M30" s="55">
        <v>81.819999999999993</v>
      </c>
      <c r="N30" s="55">
        <v>31.20</v>
      </c>
      <c r="O30" s="55">
        <v>0</v>
      </c>
      <c r="P30" s="55">
        <v>0.96</v>
      </c>
      <c r="Q30" s="55">
        <v>16.190000000000001</v>
      </c>
      <c r="R30" s="43"/>
      <c r="S30" s="43"/>
      <c r="T30" s="43"/>
      <c r="U30" s="43"/>
    </row>
    <row r="31" spans="1:21" s="11" customFormat="1" ht="15">
      <c r="A31" s="54" t="s">
        <v>276</v>
      </c>
      <c r="B31" s="55">
        <v>45.34</v>
      </c>
      <c r="C31" s="55">
        <v>35.549999999999997</v>
      </c>
      <c r="D31" s="55">
        <v>54.87</v>
      </c>
      <c r="E31" s="55">
        <v>2.75</v>
      </c>
      <c r="F31" s="55">
        <v>4.75</v>
      </c>
      <c r="G31" s="56" t="s">
        <v>15</v>
      </c>
      <c r="H31" s="56" t="s">
        <v>15</v>
      </c>
      <c r="I31" s="55">
        <v>6.30</v>
      </c>
      <c r="J31" s="55">
        <v>0.09</v>
      </c>
      <c r="K31" s="55">
        <v>316.08</v>
      </c>
      <c r="L31" s="55">
        <v>24.06</v>
      </c>
      <c r="M31" s="55">
        <v>84.47</v>
      </c>
      <c r="N31" s="55">
        <v>31.10</v>
      </c>
      <c r="O31" s="55">
        <v>0</v>
      </c>
      <c r="P31" s="55">
        <v>1.02</v>
      </c>
      <c r="Q31" s="55">
        <v>20.07</v>
      </c>
      <c r="R31" s="43"/>
      <c r="S31" s="43"/>
      <c r="T31" s="43"/>
      <c r="U31" s="43"/>
    </row>
    <row r="32" spans="1:21" s="11" customFormat="1" ht="15">
      <c r="A32" s="54" t="s">
        <v>277</v>
      </c>
      <c r="B32" s="55">
        <v>29.04</v>
      </c>
      <c r="C32" s="55">
        <v>24.84</v>
      </c>
      <c r="D32" s="55">
        <v>37.64</v>
      </c>
      <c r="E32" s="55">
        <v>2.64</v>
      </c>
      <c r="F32" s="55">
        <v>4.6500000000000004</v>
      </c>
      <c r="G32" s="56" t="s">
        <v>15</v>
      </c>
      <c r="H32" s="56" t="s">
        <v>15</v>
      </c>
      <c r="I32" s="55">
        <v>8.2899999999999991</v>
      </c>
      <c r="J32" s="55">
        <v>0.24</v>
      </c>
      <c r="K32" s="55">
        <v>355.44</v>
      </c>
      <c r="L32" s="55">
        <v>24.05</v>
      </c>
      <c r="M32" s="55">
        <v>87.84</v>
      </c>
      <c r="N32" s="55">
        <v>31.20</v>
      </c>
      <c r="O32" s="55">
        <v>0</v>
      </c>
      <c r="P32" s="55">
        <v>0.99</v>
      </c>
      <c r="Q32" s="55">
        <v>20.11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4.6500000000000004</v>
      </c>
      <c r="C34" s="28">
        <f t="shared" si="0"/>
        <v>9.7300000000000004</v>
      </c>
      <c r="D34" s="28">
        <f t="shared" si="0"/>
        <v>9.5899999999999999</v>
      </c>
      <c r="E34" s="28">
        <f t="shared" si="0"/>
        <v>1.77</v>
      </c>
      <c r="F34" s="28">
        <f t="shared" si="0"/>
        <v>4.3300000000000001</v>
      </c>
      <c r="G34" s="28">
        <f t="shared" si="0"/>
        <v>0</v>
      </c>
      <c r="H34" s="28">
        <f t="shared" si="0"/>
        <v>0</v>
      </c>
      <c r="I34" s="28">
        <f t="shared" si="0"/>
        <v>4.1600000000000001</v>
      </c>
      <c r="J34" s="28">
        <f t="shared" si="0"/>
        <v>0.089999999999999997</v>
      </c>
      <c r="K34" s="28">
        <f t="shared" si="0"/>
        <v>28.75</v>
      </c>
      <c r="L34" s="28">
        <f t="shared" si="0"/>
        <v>21.140000000000001</v>
      </c>
      <c r="M34" s="28">
        <f t="shared" si="0"/>
        <v>59.039999999999999</v>
      </c>
      <c r="N34" s="28">
        <f t="shared" si="0"/>
        <v>30.800000000000001</v>
      </c>
      <c r="O34" s="28">
        <f t="shared" si="0"/>
        <v>0</v>
      </c>
      <c r="P34" s="28">
        <f t="shared" si="0"/>
        <v>0.13</v>
      </c>
      <c r="Q34" s="28">
        <f t="shared" si="0"/>
        <v>5.1900000000000004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45.340000000000003</v>
      </c>
      <c r="C35" s="29">
        <f t="shared" si="1"/>
        <v>42.189999999999998</v>
      </c>
      <c r="D35" s="29">
        <f t="shared" si="1"/>
        <v>59.509999999999998</v>
      </c>
      <c r="E35" s="29">
        <f t="shared" si="1"/>
        <v>3.3799999999999999</v>
      </c>
      <c r="F35" s="29">
        <f t="shared" si="1"/>
        <v>11.619999999999999</v>
      </c>
      <c r="G35" s="29">
        <f t="shared" si="1"/>
        <v>0</v>
      </c>
      <c r="H35" s="29">
        <f t="shared" si="1"/>
        <v>0</v>
      </c>
      <c r="I35" s="29">
        <f t="shared" si="1"/>
        <v>10.220000000000001</v>
      </c>
      <c r="J35" s="29">
        <f t="shared" si="1"/>
        <v>0.79000000000000004</v>
      </c>
      <c r="K35" s="29">
        <f t="shared" si="1"/>
        <v>359.85000000000002</v>
      </c>
      <c r="L35" s="29">
        <f t="shared" si="1"/>
        <v>29.030000000000001</v>
      </c>
      <c r="M35" s="29">
        <f t="shared" si="1"/>
        <v>97.180000000000007</v>
      </c>
      <c r="N35" s="29">
        <f t="shared" si="1"/>
        <v>1073.9000000000001</v>
      </c>
      <c r="O35" s="29">
        <f t="shared" si="1"/>
        <v>0.20000000000000001</v>
      </c>
      <c r="P35" s="29">
        <f t="shared" si="1"/>
        <v>1.02</v>
      </c>
      <c r="Q35" s="29">
        <f t="shared" si="1"/>
        <v>21.02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12.802500000000002</v>
      </c>
      <c r="C36" s="28">
        <f t="shared" si="2"/>
        <v>17.016666666666666</v>
      </c>
      <c r="D36" s="28">
        <f t="shared" si="2"/>
        <v>19.977083333333333</v>
      </c>
      <c r="E36" s="28">
        <f t="shared" si="2"/>
        <v>2.3754166666666667</v>
      </c>
      <c r="F36" s="28">
        <f t="shared" si="2"/>
        <v>6.2733333333333334</v>
      </c>
      <c r="G36" s="28" t="e">
        <f t="shared" si="2"/>
        <v>#DIV/0!</v>
      </c>
      <c r="H36" s="28" t="e">
        <f t="shared" si="2"/>
        <v>#DIV/0!</v>
      </c>
      <c r="I36" s="28">
        <f t="shared" si="2"/>
        <v>6.2970833333333331</v>
      </c>
      <c r="J36" s="28">
        <f t="shared" si="2"/>
        <v>0.36541666666666667</v>
      </c>
      <c r="K36" s="28">
        <f t="shared" si="2"/>
        <v>177.36583333333328</v>
      </c>
      <c r="L36" s="28">
        <f t="shared" si="2"/>
        <v>25.160833333333329</v>
      </c>
      <c r="M36" s="28">
        <f t="shared" si="2"/>
        <v>80.208749999999995</v>
      </c>
      <c r="N36" s="28">
        <f t="shared" si="2"/>
        <v>301.99583333333328</v>
      </c>
      <c r="O36" s="28">
        <f t="shared" si="2"/>
        <v>0.0083333333333333332</v>
      </c>
      <c r="P36" s="28">
        <f t="shared" si="2"/>
        <v>0.50916666666666666</v>
      </c>
      <c r="Q36" s="28">
        <f t="shared" si="2"/>
        <v>11.231666666666667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11.925435458278461</v>
      </c>
      <c r="C37" s="28">
        <f t="shared" si="3" ref="C37:Q37">STDEV(C9:C32)</f>
        <v>8.3089421011690572</v>
      </c>
      <c r="D37" s="28">
        <f t="shared" si="3"/>
        <v>13.657863948836489</v>
      </c>
      <c r="E37" s="28">
        <f t="shared" si="3"/>
        <v>0.51448563732575947</v>
      </c>
      <c r="F37" s="28">
        <f t="shared" si="3"/>
        <v>2.0621741727702272</v>
      </c>
      <c r="G37" s="28" t="e">
        <f t="shared" si="3"/>
        <v>#DIV/0!</v>
      </c>
      <c r="H37" s="28" t="e">
        <f t="shared" si="3"/>
        <v>#DIV/0!</v>
      </c>
      <c r="I37" s="28">
        <f t="shared" si="3"/>
        <v>1.8491536940065239</v>
      </c>
      <c r="J37" s="28">
        <f t="shared" si="3"/>
        <v>0.18403636612901017</v>
      </c>
      <c r="K37" s="28">
        <f t="shared" si="3"/>
        <v>142.74823074869988</v>
      </c>
      <c r="L37" s="28">
        <f t="shared" si="3"/>
        <v>2.5477303056141807</v>
      </c>
      <c r="M37" s="28">
        <f t="shared" si="3"/>
        <v>14.60944551889523</v>
      </c>
      <c r="N37" s="28">
        <f t="shared" si="3"/>
        <v>373.91198043432485</v>
      </c>
      <c r="O37" s="28">
        <f t="shared" si="3"/>
        <v>0.040824829046386311</v>
      </c>
      <c r="P37" s="28">
        <f t="shared" si="3"/>
        <v>0.2655251837178646</v>
      </c>
      <c r="Q37" s="28">
        <f t="shared" si="3"/>
        <v>5.5110668632320623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0f861b-7ea9-4ce7-8608-282e428be19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9" sqref="I6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278</v>
      </c>
      <c r="B9" s="55">
        <v>24.10</v>
      </c>
      <c r="C9" s="55">
        <v>16.30</v>
      </c>
      <c r="D9" s="55">
        <v>26.70</v>
      </c>
      <c r="E9" s="55">
        <v>1.91</v>
      </c>
      <c r="F9" s="55">
        <v>11.96</v>
      </c>
      <c r="G9" s="58" t="s">
        <v>14</v>
      </c>
      <c r="H9" s="58" t="s">
        <v>14</v>
      </c>
      <c r="I9" s="55">
        <v>8.1300000000000008</v>
      </c>
      <c r="J9" s="55">
        <v>0.10</v>
      </c>
      <c r="K9" s="55">
        <v>237.64</v>
      </c>
      <c r="L9" s="55">
        <v>23.64</v>
      </c>
      <c r="M9" s="55">
        <v>89.23</v>
      </c>
      <c r="N9" s="55">
        <v>31.10</v>
      </c>
      <c r="O9" s="55">
        <v>0</v>
      </c>
      <c r="P9" s="55">
        <v>0.94</v>
      </c>
      <c r="Q9" s="55">
        <v>22.17</v>
      </c>
      <c r="R9" s="43"/>
      <c r="S9" s="43"/>
      <c r="T9" s="43"/>
      <c r="U9" s="43"/>
    </row>
    <row r="10" spans="1:21" s="11" customFormat="1" ht="15">
      <c r="A10" s="54" t="s">
        <v>279</v>
      </c>
      <c r="B10" s="55">
        <v>19.63</v>
      </c>
      <c r="C10" s="55">
        <v>17.559999999999999</v>
      </c>
      <c r="D10" s="55">
        <v>21.81</v>
      </c>
      <c r="E10" s="55">
        <v>2.3199999999999998</v>
      </c>
      <c r="F10" s="55">
        <v>12.43</v>
      </c>
      <c r="G10" s="58" t="s">
        <v>14</v>
      </c>
      <c r="H10" s="58" t="s">
        <v>14</v>
      </c>
      <c r="I10" s="55">
        <v>6.02</v>
      </c>
      <c r="J10" s="55">
        <v>0.21</v>
      </c>
      <c r="K10" s="55">
        <v>249.67</v>
      </c>
      <c r="L10" s="55">
        <v>23.53</v>
      </c>
      <c r="M10" s="55">
        <v>91.45</v>
      </c>
      <c r="N10" s="55">
        <v>31.20</v>
      </c>
      <c r="O10" s="55">
        <v>0</v>
      </c>
      <c r="P10" s="55">
        <v>0.82</v>
      </c>
      <c r="Q10" s="55">
        <v>23.45</v>
      </c>
      <c r="R10" s="43"/>
      <c r="S10" s="43"/>
      <c r="T10" s="43"/>
      <c r="U10" s="43"/>
    </row>
    <row r="11" spans="1:21" s="11" customFormat="1" ht="15">
      <c r="A11" s="54" t="s">
        <v>280</v>
      </c>
      <c r="B11" s="55">
        <v>18.46</v>
      </c>
      <c r="C11" s="55">
        <v>10.96</v>
      </c>
      <c r="D11" s="55">
        <v>20.440000000000001</v>
      </c>
      <c r="E11" s="55">
        <v>2.25</v>
      </c>
      <c r="F11" s="55">
        <v>7.80</v>
      </c>
      <c r="G11" s="58" t="s">
        <v>14</v>
      </c>
      <c r="H11" s="58" t="s">
        <v>14</v>
      </c>
      <c r="I11" s="55">
        <v>9.34</v>
      </c>
      <c r="J11" s="55">
        <v>0.59</v>
      </c>
      <c r="K11" s="55">
        <v>231.64</v>
      </c>
      <c r="L11" s="55">
        <v>23.59</v>
      </c>
      <c r="M11" s="55">
        <v>94.51</v>
      </c>
      <c r="N11" s="55">
        <v>31.10</v>
      </c>
      <c r="O11" s="55">
        <v>0</v>
      </c>
      <c r="P11" s="55">
        <v>0.68</v>
      </c>
      <c r="Q11" s="55">
        <v>21.87</v>
      </c>
      <c r="R11" s="43"/>
      <c r="S11" s="43"/>
      <c r="T11" s="43"/>
      <c r="U11" s="43"/>
    </row>
    <row r="12" spans="1:21" s="11" customFormat="1" ht="15">
      <c r="A12" s="54" t="s">
        <v>281</v>
      </c>
      <c r="B12" s="55">
        <v>16.21</v>
      </c>
      <c r="C12" s="55">
        <v>11.39</v>
      </c>
      <c r="D12" s="55">
        <v>18.54</v>
      </c>
      <c r="E12" s="55">
        <v>2.16</v>
      </c>
      <c r="F12" s="55">
        <v>11.16</v>
      </c>
      <c r="G12" s="58" t="s">
        <v>14</v>
      </c>
      <c r="H12" s="58" t="s">
        <v>14</v>
      </c>
      <c r="I12" s="55">
        <v>8.7799999999999994</v>
      </c>
      <c r="J12" s="55">
        <v>0.68</v>
      </c>
      <c r="K12" s="55">
        <v>178.93</v>
      </c>
      <c r="L12" s="55">
        <v>23.51</v>
      </c>
      <c r="M12" s="55">
        <v>96.58</v>
      </c>
      <c r="N12" s="55">
        <v>31.30</v>
      </c>
      <c r="O12" s="55">
        <v>0</v>
      </c>
      <c r="P12" s="55">
        <v>0.57999999999999996</v>
      </c>
      <c r="Q12" s="55">
        <v>22.58</v>
      </c>
      <c r="R12" s="43"/>
      <c r="S12" s="43"/>
      <c r="T12" s="43"/>
      <c r="U12" s="43"/>
    </row>
    <row r="13" spans="1:21" s="11" customFormat="1" ht="15">
      <c r="A13" s="54" t="s">
        <v>282</v>
      </c>
      <c r="B13" s="55">
        <v>13.69</v>
      </c>
      <c r="C13" s="55">
        <v>13.33</v>
      </c>
      <c r="D13" s="55">
        <v>18.98</v>
      </c>
      <c r="E13" s="55">
        <v>2.87</v>
      </c>
      <c r="F13" s="55">
        <v>11.74</v>
      </c>
      <c r="G13" s="58" t="s">
        <v>14</v>
      </c>
      <c r="H13" s="58" t="s">
        <v>14</v>
      </c>
      <c r="I13" s="55">
        <v>6.62</v>
      </c>
      <c r="J13" s="55">
        <v>0.62</v>
      </c>
      <c r="K13" s="55">
        <v>183.76</v>
      </c>
      <c r="L13" s="55">
        <v>23.44</v>
      </c>
      <c r="M13" s="55">
        <v>97.18</v>
      </c>
      <c r="N13" s="55">
        <v>31.30</v>
      </c>
      <c r="O13" s="55">
        <v>0</v>
      </c>
      <c r="P13" s="55">
        <v>0.51</v>
      </c>
      <c r="Q13" s="55">
        <v>23.15</v>
      </c>
      <c r="R13" s="43"/>
      <c r="S13" s="43"/>
      <c r="T13" s="43"/>
      <c r="U13" s="43"/>
    </row>
    <row r="14" spans="1:21" s="11" customFormat="1" ht="15">
      <c r="A14" s="54" t="s">
        <v>283</v>
      </c>
      <c r="B14" s="55">
        <v>25.57</v>
      </c>
      <c r="C14" s="55">
        <v>16.80</v>
      </c>
      <c r="D14" s="55">
        <v>29.65</v>
      </c>
      <c r="E14" s="55">
        <v>2.85</v>
      </c>
      <c r="F14" s="55">
        <v>5.67</v>
      </c>
      <c r="G14" s="58" t="s">
        <v>14</v>
      </c>
      <c r="H14" s="58" t="s">
        <v>14</v>
      </c>
      <c r="I14" s="55">
        <v>8.19</v>
      </c>
      <c r="J14" s="55">
        <v>0.24</v>
      </c>
      <c r="K14" s="55">
        <v>153.38999999999999</v>
      </c>
      <c r="L14" s="55">
        <v>23.73</v>
      </c>
      <c r="M14" s="55">
        <v>97.17</v>
      </c>
      <c r="N14" s="55">
        <v>42.80</v>
      </c>
      <c r="O14" s="55">
        <v>0</v>
      </c>
      <c r="P14" s="55">
        <v>0.42</v>
      </c>
      <c r="Q14" s="55">
        <v>21</v>
      </c>
      <c r="R14" s="43"/>
      <c r="S14" s="43"/>
      <c r="T14" s="43"/>
      <c r="U14" s="43"/>
    </row>
    <row r="15" spans="1:21" s="11" customFormat="1" ht="15">
      <c r="A15" s="54" t="s">
        <v>284</v>
      </c>
      <c r="B15" s="55">
        <v>24.95</v>
      </c>
      <c r="C15" s="55">
        <v>20.71</v>
      </c>
      <c r="D15" s="55">
        <v>27.66</v>
      </c>
      <c r="E15" s="55">
        <v>3.18</v>
      </c>
      <c r="F15" s="55">
        <v>9.8800000000000008</v>
      </c>
      <c r="G15" s="58" t="s">
        <v>14</v>
      </c>
      <c r="H15" s="58" t="s">
        <v>14</v>
      </c>
      <c r="I15" s="55">
        <v>6.60</v>
      </c>
      <c r="J15" s="55">
        <v>0.53</v>
      </c>
      <c r="K15" s="55">
        <v>187.12</v>
      </c>
      <c r="L15" s="55">
        <v>24.16</v>
      </c>
      <c r="M15" s="55">
        <v>96.5</v>
      </c>
      <c r="N15" s="55">
        <v>93.90</v>
      </c>
      <c r="O15" s="55">
        <v>0</v>
      </c>
      <c r="P15" s="55">
        <v>0.45</v>
      </c>
      <c r="Q15" s="55">
        <v>22.82</v>
      </c>
      <c r="R15" s="43"/>
      <c r="S15" s="43"/>
      <c r="T15" s="43"/>
      <c r="U15" s="43"/>
    </row>
    <row r="16" spans="1:21" s="11" customFormat="1" ht="15">
      <c r="A16" s="54" t="s">
        <v>285</v>
      </c>
      <c r="B16" s="55">
        <v>18.12</v>
      </c>
      <c r="C16" s="55">
        <v>18.78</v>
      </c>
      <c r="D16" s="55">
        <v>23.65</v>
      </c>
      <c r="E16" s="55">
        <v>3.20</v>
      </c>
      <c r="F16" s="55">
        <v>8.49</v>
      </c>
      <c r="G16" s="58" t="s">
        <v>14</v>
      </c>
      <c r="H16" s="58" t="s">
        <v>14</v>
      </c>
      <c r="I16" s="55">
        <v>7.56</v>
      </c>
      <c r="J16" s="55">
        <v>0.24</v>
      </c>
      <c r="K16" s="55">
        <v>212.22</v>
      </c>
      <c r="L16" s="55">
        <v>24.38</v>
      </c>
      <c r="M16" s="55">
        <v>90.44</v>
      </c>
      <c r="N16" s="55">
        <v>117.5</v>
      </c>
      <c r="O16" s="55">
        <v>0</v>
      </c>
      <c r="P16" s="55">
        <v>0.41</v>
      </c>
      <c r="Q16" s="55">
        <v>24.03</v>
      </c>
      <c r="R16" s="43"/>
      <c r="S16" s="43"/>
      <c r="T16" s="43"/>
      <c r="U16" s="43"/>
    </row>
    <row r="17" spans="1:21" s="11" customFormat="1" ht="15">
      <c r="A17" s="54" t="s">
        <v>286</v>
      </c>
      <c r="B17" s="55">
        <v>17.64</v>
      </c>
      <c r="C17" s="55">
        <v>12.82</v>
      </c>
      <c r="D17" s="55">
        <v>21.86</v>
      </c>
      <c r="E17" s="55">
        <v>1.64</v>
      </c>
      <c r="F17" s="55">
        <v>4.46</v>
      </c>
      <c r="G17" s="58" t="s">
        <v>14</v>
      </c>
      <c r="H17" s="58" t="s">
        <v>14</v>
      </c>
      <c r="I17" s="55">
        <v>8.99</v>
      </c>
      <c r="J17" s="55">
        <v>0.15</v>
      </c>
      <c r="K17" s="55">
        <v>257.87</v>
      </c>
      <c r="L17" s="55">
        <v>25.59</v>
      </c>
      <c r="M17" s="55">
        <v>91.12</v>
      </c>
      <c r="N17" s="55">
        <v>418.60</v>
      </c>
      <c r="O17" s="55">
        <v>0</v>
      </c>
      <c r="P17" s="55">
        <v>0.37</v>
      </c>
      <c r="Q17" s="55">
        <v>21.51</v>
      </c>
      <c r="R17" s="43"/>
      <c r="S17" s="43"/>
      <c r="T17" s="43"/>
      <c r="U17" s="43"/>
    </row>
    <row r="18" spans="1:21" s="11" customFormat="1" ht="15">
      <c r="A18" s="54" t="s">
        <v>287</v>
      </c>
      <c r="B18" s="55">
        <v>22.06</v>
      </c>
      <c r="C18" s="55">
        <v>17.399999999999999</v>
      </c>
      <c r="D18" s="55">
        <v>27.94</v>
      </c>
      <c r="E18" s="55">
        <v>1.89</v>
      </c>
      <c r="F18" s="55">
        <v>10.41</v>
      </c>
      <c r="G18" s="58" t="s">
        <v>14</v>
      </c>
      <c r="H18" s="58" t="s">
        <v>14</v>
      </c>
      <c r="I18" s="55">
        <v>8.43</v>
      </c>
      <c r="J18" s="55">
        <v>1.24</v>
      </c>
      <c r="K18" s="55">
        <v>359.77</v>
      </c>
      <c r="L18" s="55">
        <v>25.29</v>
      </c>
      <c r="M18" s="55">
        <v>91.78</v>
      </c>
      <c r="N18" s="55">
        <v>299</v>
      </c>
      <c r="O18" s="55">
        <v>0</v>
      </c>
      <c r="P18" s="55">
        <v>0.41</v>
      </c>
      <c r="Q18" s="55">
        <v>20.239999999999998</v>
      </c>
      <c r="R18" s="43"/>
      <c r="S18" s="43"/>
      <c r="T18" s="43"/>
      <c r="U18" s="43"/>
    </row>
    <row r="19" spans="1:21" s="11" customFormat="1" ht="15">
      <c r="A19" s="54" t="s">
        <v>288</v>
      </c>
      <c r="B19" s="55">
        <v>21.17</v>
      </c>
      <c r="C19" s="55">
        <v>15.46</v>
      </c>
      <c r="D19" s="55">
        <v>26.16</v>
      </c>
      <c r="E19" s="55">
        <v>2</v>
      </c>
      <c r="F19" s="55">
        <v>9.6999999999999993</v>
      </c>
      <c r="G19" s="58" t="s">
        <v>14</v>
      </c>
      <c r="H19" s="58" t="s">
        <v>14</v>
      </c>
      <c r="I19" s="55">
        <v>7.82</v>
      </c>
      <c r="J19" s="55">
        <v>0.68</v>
      </c>
      <c r="K19" s="55">
        <v>188.54</v>
      </c>
      <c r="L19" s="55">
        <v>29.66</v>
      </c>
      <c r="M19" s="55">
        <v>81.89</v>
      </c>
      <c r="N19" s="55">
        <v>792</v>
      </c>
      <c r="O19" s="55">
        <v>0</v>
      </c>
      <c r="P19" s="55">
        <v>0.55000000000000004</v>
      </c>
      <c r="Q19" s="55">
        <v>20.25</v>
      </c>
      <c r="R19" s="43"/>
      <c r="S19" s="43"/>
      <c r="T19" s="43"/>
      <c r="U19" s="43"/>
    </row>
    <row r="20" spans="1:21" s="11" customFormat="1" ht="15">
      <c r="A20" s="54" t="s">
        <v>289</v>
      </c>
      <c r="B20" s="55">
        <v>17.559999999999999</v>
      </c>
      <c r="C20" s="55">
        <v>14.15</v>
      </c>
      <c r="D20" s="55">
        <v>21.43</v>
      </c>
      <c r="E20" s="55">
        <v>2.2999999999999998</v>
      </c>
      <c r="F20" s="55">
        <v>4.80</v>
      </c>
      <c r="G20" s="58" t="s">
        <v>14</v>
      </c>
      <c r="H20" s="58" t="s">
        <v>14</v>
      </c>
      <c r="I20" s="55">
        <v>8.42</v>
      </c>
      <c r="J20" s="55">
        <v>0.28999999999999998</v>
      </c>
      <c r="K20" s="55">
        <v>347.81</v>
      </c>
      <c r="L20" s="55">
        <v>30.01</v>
      </c>
      <c r="M20" s="55">
        <v>76.650000000000006</v>
      </c>
      <c r="N20" s="55">
        <v>772.5</v>
      </c>
      <c r="O20" s="55">
        <v>0</v>
      </c>
      <c r="P20" s="55">
        <v>0.53</v>
      </c>
      <c r="Q20" s="55">
        <v>19.18</v>
      </c>
      <c r="R20" s="43"/>
      <c r="S20" s="43"/>
      <c r="T20" s="43"/>
      <c r="U20" s="43"/>
    </row>
    <row r="21" spans="1:21" s="11" customFormat="1" ht="15">
      <c r="A21" s="54" t="s">
        <v>290</v>
      </c>
      <c r="B21" s="55">
        <v>12.98</v>
      </c>
      <c r="C21" s="55">
        <v>23.77</v>
      </c>
      <c r="D21" s="55">
        <v>23.35</v>
      </c>
      <c r="E21" s="55">
        <v>3.02</v>
      </c>
      <c r="F21" s="55">
        <v>12.19</v>
      </c>
      <c r="G21" s="58" t="s">
        <v>14</v>
      </c>
      <c r="H21" s="58" t="s">
        <v>14</v>
      </c>
      <c r="I21" s="55">
        <v>7.39</v>
      </c>
      <c r="J21" s="55">
        <v>0.70</v>
      </c>
      <c r="K21" s="55">
        <v>353.18</v>
      </c>
      <c r="L21" s="55">
        <v>28.98</v>
      </c>
      <c r="M21" s="55">
        <v>70.81</v>
      </c>
      <c r="N21" s="55">
        <v>789.10</v>
      </c>
      <c r="O21" s="55">
        <v>0</v>
      </c>
      <c r="P21" s="55">
        <v>0.76</v>
      </c>
      <c r="Q21" s="55">
        <v>17.55</v>
      </c>
      <c r="R21" s="43"/>
      <c r="S21" s="43"/>
      <c r="T21" s="43"/>
      <c r="U21" s="43"/>
    </row>
    <row r="22" spans="1:21" s="11" customFormat="1" ht="15">
      <c r="A22" s="54" t="s">
        <v>291</v>
      </c>
      <c r="B22" s="55">
        <v>12.13</v>
      </c>
      <c r="C22" s="55">
        <v>35.659999999999997</v>
      </c>
      <c r="D22" s="55">
        <v>30.05</v>
      </c>
      <c r="E22" s="55">
        <v>2.72</v>
      </c>
      <c r="F22" s="55">
        <v>22.43</v>
      </c>
      <c r="G22" s="58" t="s">
        <v>14</v>
      </c>
      <c r="H22" s="58" t="s">
        <v>14</v>
      </c>
      <c r="I22" s="55">
        <v>38.03</v>
      </c>
      <c r="J22" s="55">
        <v>0.57999999999999996</v>
      </c>
      <c r="K22" s="55">
        <v>341.15</v>
      </c>
      <c r="L22" s="55">
        <v>30.64</v>
      </c>
      <c r="M22" s="55">
        <v>70.260000000000005</v>
      </c>
      <c r="N22" s="55">
        <v>542.5</v>
      </c>
      <c r="O22" s="55">
        <v>0</v>
      </c>
      <c r="P22" s="55">
        <v>1.37</v>
      </c>
      <c r="Q22" s="55">
        <v>13.83</v>
      </c>
      <c r="R22" s="43"/>
      <c r="S22" s="43"/>
      <c r="T22" s="43"/>
      <c r="U22" s="43"/>
    </row>
    <row r="23" spans="1:21" s="11" customFormat="1" ht="15">
      <c r="A23" s="54" t="s">
        <v>292</v>
      </c>
      <c r="B23" s="55">
        <v>7.39</v>
      </c>
      <c r="C23" s="55">
        <v>31.67</v>
      </c>
      <c r="D23" s="55">
        <v>22.86</v>
      </c>
      <c r="E23" s="55">
        <v>2.0499999999999998</v>
      </c>
      <c r="F23" s="55">
        <v>10.70</v>
      </c>
      <c r="G23" s="58" t="s">
        <v>14</v>
      </c>
      <c r="H23" s="58" t="s">
        <v>14</v>
      </c>
      <c r="I23" s="55">
        <v>36.94</v>
      </c>
      <c r="J23" s="55">
        <v>0.70</v>
      </c>
      <c r="K23" s="55">
        <v>350.22</v>
      </c>
      <c r="L23" s="55">
        <v>31.37</v>
      </c>
      <c r="M23" s="55">
        <v>64.09</v>
      </c>
      <c r="N23" s="55">
        <v>562.10</v>
      </c>
      <c r="O23" s="55">
        <v>0</v>
      </c>
      <c r="P23" s="55">
        <v>1.37</v>
      </c>
      <c r="Q23" s="55">
        <v>10.55</v>
      </c>
      <c r="R23" s="43"/>
      <c r="S23" s="43"/>
      <c r="T23" s="43"/>
      <c r="U23" s="43"/>
    </row>
    <row r="24" spans="1:21" s="11" customFormat="1" ht="15">
      <c r="A24" s="54" t="s">
        <v>293</v>
      </c>
      <c r="B24" s="55">
        <v>10.11</v>
      </c>
      <c r="C24" s="55">
        <v>20.86</v>
      </c>
      <c r="D24" s="55">
        <v>20.260000000000002</v>
      </c>
      <c r="E24" s="55">
        <v>3.29</v>
      </c>
      <c r="F24" s="55">
        <v>14.44</v>
      </c>
      <c r="G24" s="58" t="s">
        <v>14</v>
      </c>
      <c r="H24" s="58" t="s">
        <v>14</v>
      </c>
      <c r="I24" s="55">
        <v>18.309999999999999</v>
      </c>
      <c r="J24" s="55">
        <v>0.46</v>
      </c>
      <c r="K24" s="55">
        <v>357.28</v>
      </c>
      <c r="L24" s="55">
        <v>30.31</v>
      </c>
      <c r="M24" s="55">
        <v>64.19</v>
      </c>
      <c r="N24" s="55">
        <v>268.70</v>
      </c>
      <c r="O24" s="55">
        <v>0</v>
      </c>
      <c r="P24" s="55">
        <v>1.07</v>
      </c>
      <c r="Q24" s="55">
        <v>10.15</v>
      </c>
      <c r="R24" s="43"/>
      <c r="S24" s="43"/>
      <c r="T24" s="43"/>
      <c r="U24" s="43"/>
    </row>
    <row r="25" spans="1:21" s="11" customFormat="1" ht="15">
      <c r="A25" s="54" t="s">
        <v>294</v>
      </c>
      <c r="B25" s="55">
        <v>8.4600000000000009</v>
      </c>
      <c r="C25" s="55">
        <v>27.22</v>
      </c>
      <c r="D25" s="55">
        <v>22.09</v>
      </c>
      <c r="E25" s="55">
        <v>2.66</v>
      </c>
      <c r="F25" s="55">
        <v>12.84</v>
      </c>
      <c r="G25" s="58" t="s">
        <v>14</v>
      </c>
      <c r="H25" s="58" t="s">
        <v>14</v>
      </c>
      <c r="I25" s="55">
        <v>11.98</v>
      </c>
      <c r="J25" s="55">
        <v>0.52</v>
      </c>
      <c r="K25" s="55">
        <v>24.65</v>
      </c>
      <c r="L25" s="55">
        <v>29.53</v>
      </c>
      <c r="M25" s="55">
        <v>66</v>
      </c>
      <c r="N25" s="55">
        <v>239.5</v>
      </c>
      <c r="O25" s="55">
        <v>0</v>
      </c>
      <c r="P25" s="55">
        <v>0.80</v>
      </c>
      <c r="Q25" s="55">
        <v>10.61</v>
      </c>
      <c r="R25" s="43"/>
      <c r="S25" s="43"/>
      <c r="T25" s="43"/>
      <c r="U25" s="43"/>
    </row>
    <row r="26" spans="1:21" s="11" customFormat="1" ht="15">
      <c r="A26" s="54" t="s">
        <v>295</v>
      </c>
      <c r="B26" s="55">
        <v>16.899999999999999</v>
      </c>
      <c r="C26" s="55">
        <v>27.09</v>
      </c>
      <c r="D26" s="55">
        <v>29.03</v>
      </c>
      <c r="E26" s="55">
        <v>2.0699999999999998</v>
      </c>
      <c r="F26" s="55">
        <v>11.29</v>
      </c>
      <c r="G26" s="55">
        <v>29.20</v>
      </c>
      <c r="H26" s="55">
        <v>17.37</v>
      </c>
      <c r="I26" s="55">
        <v>8.5299999999999994</v>
      </c>
      <c r="J26" s="55">
        <v>0.56999999999999995</v>
      </c>
      <c r="K26" s="55">
        <v>41.40</v>
      </c>
      <c r="L26" s="55">
        <v>28.78</v>
      </c>
      <c r="M26" s="55">
        <v>70.09</v>
      </c>
      <c r="N26" s="55">
        <v>174.10</v>
      </c>
      <c r="O26" s="55">
        <v>0</v>
      </c>
      <c r="P26" s="55">
        <v>0.92</v>
      </c>
      <c r="Q26" s="55">
        <v>10.70</v>
      </c>
      <c r="R26" s="43"/>
      <c r="S26" s="43"/>
      <c r="T26" s="43"/>
      <c r="U26" s="43"/>
    </row>
    <row r="27" spans="1:21" s="11" customFormat="1" ht="15">
      <c r="A27" s="54" t="s">
        <v>296</v>
      </c>
      <c r="B27" s="55">
        <v>13.23</v>
      </c>
      <c r="C27" s="55">
        <v>22.33</v>
      </c>
      <c r="D27" s="55">
        <v>23.35</v>
      </c>
      <c r="E27" s="55">
        <v>2.27</v>
      </c>
      <c r="F27" s="55">
        <v>11.35</v>
      </c>
      <c r="G27" s="55">
        <v>37.97</v>
      </c>
      <c r="H27" s="55">
        <v>26.20</v>
      </c>
      <c r="I27" s="55">
        <v>5.36</v>
      </c>
      <c r="J27" s="55">
        <v>0.28000000000000003</v>
      </c>
      <c r="K27" s="55">
        <v>58.02</v>
      </c>
      <c r="L27" s="55">
        <v>27.65</v>
      </c>
      <c r="M27" s="55">
        <v>71.91</v>
      </c>
      <c r="N27" s="55">
        <v>71.599999999999994</v>
      </c>
      <c r="O27" s="55">
        <v>0</v>
      </c>
      <c r="P27" s="55">
        <v>0.84</v>
      </c>
      <c r="Q27" s="55">
        <v>12.51</v>
      </c>
      <c r="R27" s="43"/>
      <c r="S27" s="43"/>
      <c r="T27" s="43"/>
      <c r="U27" s="43"/>
    </row>
    <row r="28" spans="1:21" s="11" customFormat="1" ht="15">
      <c r="A28" s="54" t="s">
        <v>297</v>
      </c>
      <c r="B28" s="55">
        <v>8.9700000000000006</v>
      </c>
      <c r="C28" s="55">
        <v>18.63</v>
      </c>
      <c r="D28" s="55">
        <v>18.12</v>
      </c>
      <c r="E28" s="55">
        <v>2.4500000000000002</v>
      </c>
      <c r="F28" s="55">
        <v>6.51</v>
      </c>
      <c r="G28" s="55">
        <v>40.299999999999997</v>
      </c>
      <c r="H28" s="55">
        <v>33.47</v>
      </c>
      <c r="I28" s="55">
        <v>5.69</v>
      </c>
      <c r="J28" s="55">
        <v>0.30</v>
      </c>
      <c r="K28" s="55">
        <v>42.82</v>
      </c>
      <c r="L28" s="55">
        <v>26.76</v>
      </c>
      <c r="M28" s="55">
        <v>74.489999999999995</v>
      </c>
      <c r="N28" s="55">
        <v>39.200000000000003</v>
      </c>
      <c r="O28" s="55">
        <v>0</v>
      </c>
      <c r="P28" s="55">
        <v>0.73</v>
      </c>
      <c r="Q28" s="55">
        <v>8.39</v>
      </c>
      <c r="R28" s="43"/>
      <c r="S28" s="43"/>
      <c r="T28" s="43"/>
      <c r="U28" s="43"/>
    </row>
    <row r="29" spans="1:21" s="11" customFormat="1" ht="15">
      <c r="A29" s="54" t="s">
        <v>298</v>
      </c>
      <c r="B29" s="55">
        <v>13.72</v>
      </c>
      <c r="C29" s="55">
        <v>17.440000000000001</v>
      </c>
      <c r="D29" s="55">
        <v>20.440000000000001</v>
      </c>
      <c r="E29" s="55">
        <v>2.56</v>
      </c>
      <c r="F29" s="55">
        <v>6.12</v>
      </c>
      <c r="G29" s="55">
        <v>44.86</v>
      </c>
      <c r="H29" s="55">
        <v>37.86</v>
      </c>
      <c r="I29" s="55">
        <v>6.20</v>
      </c>
      <c r="J29" s="55">
        <v>0.14000000000000001</v>
      </c>
      <c r="K29" s="55">
        <v>47.36</v>
      </c>
      <c r="L29" s="55">
        <v>26.10</v>
      </c>
      <c r="M29" s="55">
        <v>78.5</v>
      </c>
      <c r="N29" s="55">
        <v>39</v>
      </c>
      <c r="O29" s="55">
        <v>0</v>
      </c>
      <c r="P29" s="55">
        <v>0.81</v>
      </c>
      <c r="Q29" s="55">
        <v>8.6999999999999993</v>
      </c>
      <c r="R29" s="43"/>
      <c r="S29" s="43"/>
      <c r="T29" s="43"/>
      <c r="U29" s="43"/>
    </row>
    <row r="30" spans="1:21" s="11" customFormat="1" ht="15">
      <c r="A30" s="54" t="s">
        <v>299</v>
      </c>
      <c r="B30" s="55">
        <v>20.92</v>
      </c>
      <c r="C30" s="55">
        <v>28.49</v>
      </c>
      <c r="D30" s="55">
        <v>29.74</v>
      </c>
      <c r="E30" s="55">
        <v>2.75</v>
      </c>
      <c r="F30" s="55">
        <v>9.81</v>
      </c>
      <c r="G30" s="55">
        <v>49.96</v>
      </c>
      <c r="H30" s="55">
        <v>37.86</v>
      </c>
      <c r="I30" s="55">
        <v>6.55</v>
      </c>
      <c r="J30" s="55">
        <v>0.17</v>
      </c>
      <c r="K30" s="55">
        <v>185.33</v>
      </c>
      <c r="L30" s="55">
        <v>25.80</v>
      </c>
      <c r="M30" s="55">
        <v>83</v>
      </c>
      <c r="N30" s="55">
        <v>38.799999999999997</v>
      </c>
      <c r="O30" s="55">
        <v>0</v>
      </c>
      <c r="P30" s="55">
        <v>0.85</v>
      </c>
      <c r="Q30" s="55">
        <v>10.96</v>
      </c>
      <c r="R30" s="43"/>
      <c r="S30" s="43"/>
      <c r="T30" s="43"/>
      <c r="U30" s="43"/>
    </row>
    <row r="31" spans="1:21" s="11" customFormat="1" ht="15">
      <c r="A31" s="54" t="s">
        <v>300</v>
      </c>
      <c r="B31" s="55">
        <v>11.09</v>
      </c>
      <c r="C31" s="55">
        <v>15.91</v>
      </c>
      <c r="D31" s="55">
        <v>18.170000000000002</v>
      </c>
      <c r="E31" s="55">
        <v>2.5499999999999998</v>
      </c>
      <c r="F31" s="55">
        <v>8.2899999999999991</v>
      </c>
      <c r="G31" s="55">
        <v>49.96</v>
      </c>
      <c r="H31" s="55">
        <v>36.65</v>
      </c>
      <c r="I31" s="55">
        <v>6.10</v>
      </c>
      <c r="J31" s="55">
        <v>0.32</v>
      </c>
      <c r="K31" s="55">
        <v>270.31</v>
      </c>
      <c r="L31" s="55">
        <v>25.37</v>
      </c>
      <c r="M31" s="55">
        <v>84.93</v>
      </c>
      <c r="N31" s="55">
        <v>38.90</v>
      </c>
      <c r="O31" s="55">
        <v>0</v>
      </c>
      <c r="P31" s="55">
        <v>0.80</v>
      </c>
      <c r="Q31" s="55">
        <v>13.45</v>
      </c>
      <c r="R31" s="43"/>
      <c r="S31" s="43"/>
      <c r="T31" s="43"/>
      <c r="U31" s="43"/>
    </row>
    <row r="32" spans="1:21" s="11" customFormat="1" ht="15">
      <c r="A32" s="54" t="s">
        <v>301</v>
      </c>
      <c r="B32" s="55">
        <v>9.34</v>
      </c>
      <c r="C32" s="55">
        <v>12.81</v>
      </c>
      <c r="D32" s="55">
        <v>15.10</v>
      </c>
      <c r="E32" s="55">
        <v>2.68</v>
      </c>
      <c r="F32" s="55">
        <v>12.45</v>
      </c>
      <c r="G32" s="55">
        <v>44.40</v>
      </c>
      <c r="H32" s="55">
        <v>27.78</v>
      </c>
      <c r="I32" s="55">
        <v>5.79</v>
      </c>
      <c r="J32" s="55">
        <v>0.25</v>
      </c>
      <c r="K32" s="55">
        <v>180.31</v>
      </c>
      <c r="L32" s="55">
        <v>25.24</v>
      </c>
      <c r="M32" s="55">
        <v>87.41</v>
      </c>
      <c r="N32" s="55">
        <v>38.799999999999997</v>
      </c>
      <c r="O32" s="55">
        <v>0</v>
      </c>
      <c r="P32" s="55">
        <v>0.71</v>
      </c>
      <c r="Q32" s="55">
        <v>12.56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7.3899999999999997</v>
      </c>
      <c r="C34" s="28">
        <f t="shared" si="0"/>
        <v>10.960000000000001</v>
      </c>
      <c r="D34" s="28">
        <f t="shared" si="0"/>
        <v>15.1</v>
      </c>
      <c r="E34" s="28">
        <f t="shared" si="0"/>
        <v>1.6399999999999999</v>
      </c>
      <c r="F34" s="28">
        <f t="shared" si="0"/>
        <v>4.46</v>
      </c>
      <c r="G34" s="28">
        <f t="shared" si="0"/>
        <v>29.199999999999999</v>
      </c>
      <c r="H34" s="28">
        <f t="shared" si="0"/>
        <v>17.370000000000001</v>
      </c>
      <c r="I34" s="28">
        <f t="shared" si="0"/>
        <v>5.3600000000000003</v>
      </c>
      <c r="J34" s="28">
        <f t="shared" si="0"/>
        <v>0.10000000000000001</v>
      </c>
      <c r="K34" s="28">
        <f t="shared" si="0"/>
        <v>24.649999999999999</v>
      </c>
      <c r="L34" s="28">
        <f t="shared" si="0"/>
        <v>23.440000000000001</v>
      </c>
      <c r="M34" s="28">
        <f t="shared" si="0"/>
        <v>64.090000000000003</v>
      </c>
      <c r="N34" s="28">
        <f t="shared" si="0"/>
        <v>31.100000000000001</v>
      </c>
      <c r="O34" s="28">
        <f t="shared" si="0"/>
        <v>0</v>
      </c>
      <c r="P34" s="28">
        <f t="shared" si="0"/>
        <v>0.37</v>
      </c>
      <c r="Q34" s="28">
        <f t="shared" si="0"/>
        <v>8.3900000000000006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25.57</v>
      </c>
      <c r="C35" s="29">
        <f t="shared" si="1"/>
        <v>35.659999999999997</v>
      </c>
      <c r="D35" s="29">
        <f t="shared" si="1"/>
        <v>30.050000000000001</v>
      </c>
      <c r="E35" s="29">
        <f t="shared" si="1"/>
        <v>3.29</v>
      </c>
      <c r="F35" s="29">
        <f t="shared" si="1"/>
        <v>22.43</v>
      </c>
      <c r="G35" s="29">
        <f t="shared" si="1"/>
        <v>49.960000000000001</v>
      </c>
      <c r="H35" s="29">
        <f t="shared" si="1"/>
        <v>37.859999999999999</v>
      </c>
      <c r="I35" s="29">
        <f t="shared" si="1"/>
        <v>38.030000000000001</v>
      </c>
      <c r="J35" s="29">
        <f t="shared" si="1"/>
        <v>1.24</v>
      </c>
      <c r="K35" s="29">
        <f t="shared" si="1"/>
        <v>359.76999999999998</v>
      </c>
      <c r="L35" s="29">
        <f t="shared" si="1"/>
        <v>31.370000000000001</v>
      </c>
      <c r="M35" s="29">
        <f t="shared" si="1"/>
        <v>97.180000000000007</v>
      </c>
      <c r="N35" s="29">
        <f t="shared" si="1"/>
        <v>792</v>
      </c>
      <c r="O35" s="29">
        <f t="shared" si="1"/>
        <v>0</v>
      </c>
      <c r="P35" s="29">
        <f t="shared" si="1"/>
        <v>1.3700000000000001</v>
      </c>
      <c r="Q35" s="29">
        <f t="shared" si="1"/>
        <v>24.030000000000001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16.016666666666669</v>
      </c>
      <c r="C36" s="28">
        <f t="shared" si="2"/>
        <v>19.480833333333333</v>
      </c>
      <c r="D36" s="28">
        <f t="shared" si="2"/>
        <v>23.224166666666665</v>
      </c>
      <c r="E36" s="28">
        <f t="shared" si="2"/>
        <v>2.4850000000000003</v>
      </c>
      <c r="F36" s="28">
        <f t="shared" si="2"/>
        <v>10.28833333333333</v>
      </c>
      <c r="G36" s="28">
        <f t="shared" si="2"/>
        <v>42.378571428571426</v>
      </c>
      <c r="H36" s="28">
        <f t="shared" si="2"/>
        <v>31.027142857142856</v>
      </c>
      <c r="I36" s="28">
        <f t="shared" si="2"/>
        <v>10.490416666666667</v>
      </c>
      <c r="J36" s="28">
        <f t="shared" si="2"/>
        <v>0.44000000000000011</v>
      </c>
      <c r="K36" s="28">
        <f t="shared" si="2"/>
        <v>210.01624999999999</v>
      </c>
      <c r="L36" s="28">
        <f t="shared" si="2"/>
        <v>26.544166666666666</v>
      </c>
      <c r="M36" s="28">
        <f t="shared" si="2"/>
        <v>82.507500000000007</v>
      </c>
      <c r="N36" s="28">
        <f t="shared" si="2"/>
        <v>230.60833333333335</v>
      </c>
      <c r="O36" s="28">
        <f t="shared" si="2"/>
        <v>0</v>
      </c>
      <c r="P36" s="28">
        <f t="shared" si="2"/>
        <v>0.73750000000000027</v>
      </c>
      <c r="Q36" s="28">
        <f t="shared" si="2"/>
        <v>16.758749999999996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5.4394490343325685</v>
      </c>
      <c r="C37" s="28">
        <f t="shared" si="3" ref="C37:Q37">STDEV(C9:C32)</f>
        <v>6.5674877181107973</v>
      </c>
      <c r="D37" s="28">
        <f t="shared" si="3"/>
        <v>4.2590986152580212</v>
      </c>
      <c r="E37" s="28">
        <f t="shared" si="3"/>
        <v>0.45103745144798485</v>
      </c>
      <c r="F37" s="28">
        <f t="shared" si="3"/>
        <v>3.7489217773586194</v>
      </c>
      <c r="G37" s="28">
        <f t="shared" si="3"/>
        <v>7.3329221746209505</v>
      </c>
      <c r="H37" s="28">
        <f t="shared" si="3"/>
        <v>7.652044855866345</v>
      </c>
      <c r="I37" s="28">
        <f t="shared" si="3"/>
        <v>8.7258070408697872</v>
      </c>
      <c r="J37" s="28">
        <f t="shared" si="3"/>
        <v>0.26460799554123038</v>
      </c>
      <c r="K37" s="28">
        <f t="shared" si="3"/>
        <v>109.70878137785078</v>
      </c>
      <c r="L37" s="28">
        <f t="shared" si="3"/>
        <v>2.6927695725803376</v>
      </c>
      <c r="M37" s="28">
        <f t="shared" si="3"/>
        <v>11.348510819754619</v>
      </c>
      <c r="N37" s="28">
        <f t="shared" si="3"/>
        <v>267.61144597063253</v>
      </c>
      <c r="O37" s="28">
        <f t="shared" si="3"/>
        <v>0</v>
      </c>
      <c r="P37" s="28">
        <f t="shared" si="3"/>
        <v>0.27349986090132322</v>
      </c>
      <c r="Q37" s="28">
        <f t="shared" si="3"/>
        <v>5.5811587642866805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COUNT(G9:G32)+17</f>
        <v>24</v>
      </c>
      <c r="H38" s="32">
        <f>COUNT(H9:H32)+17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19f331-223b-4884-9c57-62dcfecef50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302</v>
      </c>
      <c r="B9" s="55">
        <v>8.02</v>
      </c>
      <c r="C9" s="55">
        <v>12.99</v>
      </c>
      <c r="D9" s="55">
        <v>12.92</v>
      </c>
      <c r="E9" s="55">
        <v>2.72</v>
      </c>
      <c r="F9" s="55">
        <v>12.58</v>
      </c>
      <c r="G9" s="55">
        <v>38.78</v>
      </c>
      <c r="H9" s="55">
        <v>30.11</v>
      </c>
      <c r="I9" s="55">
        <v>5.28</v>
      </c>
      <c r="J9" s="55">
        <v>0.66</v>
      </c>
      <c r="K9" s="55">
        <v>190.33</v>
      </c>
      <c r="L9" s="55">
        <v>24.90</v>
      </c>
      <c r="M9" s="55">
        <v>89.84</v>
      </c>
      <c r="N9" s="55">
        <v>38.799999999999997</v>
      </c>
      <c r="O9" s="55">
        <v>0</v>
      </c>
      <c r="P9" s="55">
        <v>0.63</v>
      </c>
      <c r="Q9" s="55">
        <v>16.12</v>
      </c>
      <c r="R9" s="43"/>
      <c r="S9" s="43"/>
      <c r="T9" s="43"/>
      <c r="U9" s="43"/>
    </row>
    <row r="10" spans="1:21" s="11" customFormat="1" ht="15">
      <c r="A10" s="54" t="s">
        <v>303</v>
      </c>
      <c r="B10" s="55">
        <v>9.14</v>
      </c>
      <c r="C10" s="55">
        <v>9.69</v>
      </c>
      <c r="D10" s="55">
        <v>13.33</v>
      </c>
      <c r="E10" s="55">
        <v>2.85</v>
      </c>
      <c r="F10" s="55">
        <v>8.08</v>
      </c>
      <c r="G10" s="55">
        <v>33.520000000000003</v>
      </c>
      <c r="H10" s="55">
        <v>30.11</v>
      </c>
      <c r="I10" s="55">
        <v>7.21</v>
      </c>
      <c r="J10" s="55">
        <v>0.74</v>
      </c>
      <c r="K10" s="55">
        <v>228.95</v>
      </c>
      <c r="L10" s="55">
        <v>24.70</v>
      </c>
      <c r="M10" s="55">
        <v>94.05</v>
      </c>
      <c r="N10" s="55">
        <v>38.90</v>
      </c>
      <c r="O10" s="55">
        <v>0.20</v>
      </c>
      <c r="P10" s="55">
        <v>0.71</v>
      </c>
      <c r="Q10" s="55">
        <v>16.34</v>
      </c>
      <c r="R10" s="43"/>
      <c r="S10" s="43"/>
      <c r="T10" s="43"/>
      <c r="U10" s="43"/>
    </row>
    <row r="11" spans="1:21" s="11" customFormat="1" ht="15">
      <c r="A11" s="54" t="s">
        <v>304</v>
      </c>
      <c r="B11" s="55">
        <v>8.2100000000000009</v>
      </c>
      <c r="C11" s="55">
        <v>9.51</v>
      </c>
      <c r="D11" s="55">
        <v>12.12</v>
      </c>
      <c r="E11" s="55">
        <v>2.69</v>
      </c>
      <c r="F11" s="55">
        <v>10.68</v>
      </c>
      <c r="G11" s="58" t="s">
        <v>14</v>
      </c>
      <c r="H11" s="58" t="s">
        <v>14</v>
      </c>
      <c r="I11" s="55">
        <v>7.31</v>
      </c>
      <c r="J11" s="55">
        <v>0.73</v>
      </c>
      <c r="K11" s="55">
        <v>254.32</v>
      </c>
      <c r="L11" s="55">
        <v>24.54</v>
      </c>
      <c r="M11" s="55">
        <v>97.18</v>
      </c>
      <c r="N11" s="55">
        <v>39.299999999999997</v>
      </c>
      <c r="O11" s="55">
        <v>1.40</v>
      </c>
      <c r="P11" s="55">
        <v>0.66</v>
      </c>
      <c r="Q11" s="55">
        <v>13.13</v>
      </c>
      <c r="R11" s="43"/>
      <c r="S11" s="43"/>
      <c r="T11" s="43"/>
      <c r="U11" s="43"/>
    </row>
    <row r="12" spans="1:21" s="11" customFormat="1" ht="15">
      <c r="A12" s="54" t="s">
        <v>305</v>
      </c>
      <c r="B12" s="55">
        <v>7.19</v>
      </c>
      <c r="C12" s="55">
        <v>10.99</v>
      </c>
      <c r="D12" s="55">
        <v>11.36</v>
      </c>
      <c r="E12" s="55">
        <v>2.57</v>
      </c>
      <c r="F12" s="55">
        <v>12.65</v>
      </c>
      <c r="G12" s="58" t="s">
        <v>14</v>
      </c>
      <c r="H12" s="58" t="s">
        <v>14</v>
      </c>
      <c r="I12" s="55">
        <v>6.70</v>
      </c>
      <c r="J12" s="55">
        <v>0.70</v>
      </c>
      <c r="K12" s="55">
        <v>199.02</v>
      </c>
      <c r="L12" s="55">
        <v>23.23</v>
      </c>
      <c r="M12" s="55">
        <v>97.23</v>
      </c>
      <c r="N12" s="55">
        <v>39.40</v>
      </c>
      <c r="O12" s="55">
        <v>4.80</v>
      </c>
      <c r="P12" s="55">
        <v>0.63</v>
      </c>
      <c r="Q12" s="55">
        <v>15.09</v>
      </c>
      <c r="R12" s="43"/>
      <c r="S12" s="43"/>
      <c r="T12" s="43"/>
      <c r="U12" s="43"/>
    </row>
    <row r="13" spans="1:21" s="11" customFormat="1" ht="15">
      <c r="A13" s="54" t="s">
        <v>306</v>
      </c>
      <c r="B13" s="55">
        <v>7.37</v>
      </c>
      <c r="C13" s="55">
        <v>8.99</v>
      </c>
      <c r="D13" s="55">
        <v>11.52</v>
      </c>
      <c r="E13" s="55">
        <v>2.5499999999999998</v>
      </c>
      <c r="F13" s="55">
        <v>4.68</v>
      </c>
      <c r="G13" s="58" t="s">
        <v>14</v>
      </c>
      <c r="H13" s="58" t="s">
        <v>14</v>
      </c>
      <c r="I13" s="55">
        <v>7.58</v>
      </c>
      <c r="J13" s="55">
        <v>0.13</v>
      </c>
      <c r="K13" s="55">
        <v>255.36</v>
      </c>
      <c r="L13" s="55">
        <v>21.77</v>
      </c>
      <c r="M13" s="55">
        <v>97.23</v>
      </c>
      <c r="N13" s="55">
        <v>39.10</v>
      </c>
      <c r="O13" s="55">
        <v>9.8000000000000007</v>
      </c>
      <c r="P13" s="55">
        <v>0.60</v>
      </c>
      <c r="Q13" s="55">
        <v>13.93</v>
      </c>
      <c r="R13" s="43"/>
      <c r="S13" s="43"/>
      <c r="T13" s="43"/>
      <c r="U13" s="43"/>
    </row>
    <row r="14" spans="1:21" s="11" customFormat="1" ht="15">
      <c r="A14" s="54" t="s">
        <v>307</v>
      </c>
      <c r="B14" s="55">
        <v>5.49</v>
      </c>
      <c r="C14" s="55">
        <v>9.31</v>
      </c>
      <c r="D14" s="55">
        <v>9.91</v>
      </c>
      <c r="E14" s="55">
        <v>2.4700000000000002</v>
      </c>
      <c r="F14" s="55">
        <v>4.21</v>
      </c>
      <c r="G14" s="58" t="s">
        <v>14</v>
      </c>
      <c r="H14" s="58" t="s">
        <v>14</v>
      </c>
      <c r="I14" s="55">
        <v>6.82</v>
      </c>
      <c r="J14" s="55">
        <v>0.22</v>
      </c>
      <c r="K14" s="55">
        <v>240.46</v>
      </c>
      <c r="L14" s="55">
        <v>21.29</v>
      </c>
      <c r="M14" s="55">
        <v>97.23</v>
      </c>
      <c r="N14" s="55">
        <v>41.80</v>
      </c>
      <c r="O14" s="55">
        <v>5.80</v>
      </c>
      <c r="P14" s="55">
        <v>0.54</v>
      </c>
      <c r="Q14" s="55">
        <v>9.89</v>
      </c>
      <c r="R14" s="43"/>
      <c r="S14" s="43"/>
      <c r="T14" s="43"/>
      <c r="U14" s="43"/>
    </row>
    <row r="15" spans="1:21" s="11" customFormat="1" ht="15">
      <c r="A15" s="54" t="s">
        <v>308</v>
      </c>
      <c r="B15" s="55">
        <v>7.41</v>
      </c>
      <c r="C15" s="55">
        <v>9.84</v>
      </c>
      <c r="D15" s="55">
        <v>11.65</v>
      </c>
      <c r="E15" s="55">
        <v>2.69</v>
      </c>
      <c r="F15" s="55">
        <v>4.7300000000000004</v>
      </c>
      <c r="G15" s="58" t="s">
        <v>14</v>
      </c>
      <c r="H15" s="58" t="s">
        <v>14</v>
      </c>
      <c r="I15" s="55">
        <v>5.72</v>
      </c>
      <c r="J15" s="55">
        <v>0.19</v>
      </c>
      <c r="K15" s="55">
        <v>48.56</v>
      </c>
      <c r="L15" s="55">
        <v>21.48</v>
      </c>
      <c r="M15" s="55">
        <v>97.23</v>
      </c>
      <c r="N15" s="55">
        <v>66.599999999999994</v>
      </c>
      <c r="O15" s="55">
        <v>0.80</v>
      </c>
      <c r="P15" s="55">
        <v>0.53</v>
      </c>
      <c r="Q15" s="55">
        <v>11.41</v>
      </c>
      <c r="R15" s="43"/>
      <c r="S15" s="43"/>
      <c r="T15" s="43"/>
      <c r="U15" s="43"/>
    </row>
    <row r="16" spans="1:21" s="11" customFormat="1" ht="15">
      <c r="A16" s="54" t="s">
        <v>309</v>
      </c>
      <c r="B16" s="55">
        <v>6.76</v>
      </c>
      <c r="C16" s="55">
        <v>9.9600000000000009</v>
      </c>
      <c r="D16" s="55">
        <v>11.52</v>
      </c>
      <c r="E16" s="55">
        <v>2.2799999999999998</v>
      </c>
      <c r="F16" s="55">
        <v>3.43</v>
      </c>
      <c r="G16" s="58" t="s">
        <v>14</v>
      </c>
      <c r="H16" s="58" t="s">
        <v>14</v>
      </c>
      <c r="I16" s="55">
        <v>5.74</v>
      </c>
      <c r="J16" s="55">
        <v>0.16</v>
      </c>
      <c r="K16" s="55">
        <v>40.28</v>
      </c>
      <c r="L16" s="55">
        <v>21.66</v>
      </c>
      <c r="M16" s="55">
        <v>97.23</v>
      </c>
      <c r="N16" s="55">
        <v>120.80</v>
      </c>
      <c r="O16" s="55">
        <v>0.40</v>
      </c>
      <c r="P16" s="55">
        <v>0.62</v>
      </c>
      <c r="Q16" s="55">
        <v>9.48</v>
      </c>
      <c r="R16" s="43"/>
      <c r="S16" s="43"/>
      <c r="T16" s="43"/>
      <c r="U16" s="43"/>
    </row>
    <row r="17" spans="1:21" s="11" customFormat="1" ht="15">
      <c r="A17" s="54" t="s">
        <v>310</v>
      </c>
      <c r="B17" s="55">
        <v>8.34</v>
      </c>
      <c r="C17" s="55">
        <v>12.24</v>
      </c>
      <c r="D17" s="55">
        <v>14.09</v>
      </c>
      <c r="E17" s="55">
        <v>2.63</v>
      </c>
      <c r="F17" s="55">
        <v>3.69</v>
      </c>
      <c r="G17" s="58" t="s">
        <v>14</v>
      </c>
      <c r="H17" s="58" t="s">
        <v>14</v>
      </c>
      <c r="I17" s="55">
        <v>5.32</v>
      </c>
      <c r="J17" s="55">
        <v>0.25</v>
      </c>
      <c r="K17" s="55">
        <v>45.15</v>
      </c>
      <c r="L17" s="55">
        <v>22.32</v>
      </c>
      <c r="M17" s="55">
        <v>97.23</v>
      </c>
      <c r="N17" s="55">
        <v>194.5</v>
      </c>
      <c r="O17" s="55">
        <v>0</v>
      </c>
      <c r="P17" s="55">
        <v>0.69</v>
      </c>
      <c r="Q17" s="55">
        <v>8.27</v>
      </c>
      <c r="R17" s="43"/>
      <c r="S17" s="43"/>
      <c r="T17" s="43"/>
      <c r="U17" s="43"/>
    </row>
    <row r="18" spans="1:21" s="11" customFormat="1" ht="15">
      <c r="A18" s="54" t="s">
        <v>311</v>
      </c>
      <c r="B18" s="55">
        <v>9.77</v>
      </c>
      <c r="C18" s="55">
        <v>11.18</v>
      </c>
      <c r="D18" s="55">
        <v>14.65</v>
      </c>
      <c r="E18" s="55">
        <v>2.61</v>
      </c>
      <c r="F18" s="55">
        <v>4.22</v>
      </c>
      <c r="G18" s="58" t="s">
        <v>14</v>
      </c>
      <c r="H18" s="58" t="s">
        <v>14</v>
      </c>
      <c r="I18" s="55">
        <v>5.04</v>
      </c>
      <c r="J18" s="55">
        <v>0.27</v>
      </c>
      <c r="K18" s="55">
        <v>354.69</v>
      </c>
      <c r="L18" s="55">
        <v>23.69</v>
      </c>
      <c r="M18" s="55">
        <v>97.23</v>
      </c>
      <c r="N18" s="55">
        <v>281.5</v>
      </c>
      <c r="O18" s="55">
        <v>0</v>
      </c>
      <c r="P18" s="55">
        <v>0.82</v>
      </c>
      <c r="Q18" s="55">
        <v>9.7100000000000009</v>
      </c>
      <c r="R18" s="43"/>
      <c r="S18" s="43"/>
      <c r="T18" s="43"/>
      <c r="U18" s="43"/>
    </row>
    <row r="19" spans="1:21" s="11" customFormat="1" ht="15">
      <c r="A19" s="54" t="s">
        <v>312</v>
      </c>
      <c r="B19" s="55">
        <v>9.57</v>
      </c>
      <c r="C19" s="55">
        <v>20.61</v>
      </c>
      <c r="D19" s="55">
        <v>18.489999999999998</v>
      </c>
      <c r="E19" s="55">
        <v>2.66</v>
      </c>
      <c r="F19" s="55">
        <v>7.63</v>
      </c>
      <c r="G19" s="58" t="s">
        <v>14</v>
      </c>
      <c r="H19" s="58" t="s">
        <v>14</v>
      </c>
      <c r="I19" s="55">
        <v>5.35</v>
      </c>
      <c r="J19" s="55">
        <v>0.30</v>
      </c>
      <c r="K19" s="55">
        <v>36.94</v>
      </c>
      <c r="L19" s="55">
        <v>24.09</v>
      </c>
      <c r="M19" s="55">
        <v>96.83</v>
      </c>
      <c r="N19" s="55">
        <v>312</v>
      </c>
      <c r="O19" s="55">
        <v>0</v>
      </c>
      <c r="P19" s="55">
        <v>0.92</v>
      </c>
      <c r="Q19" s="55">
        <v>9.0500000000000007</v>
      </c>
      <c r="R19" s="43"/>
      <c r="S19" s="43"/>
      <c r="T19" s="43"/>
      <c r="U19" s="43"/>
    </row>
    <row r="20" spans="1:21" s="11" customFormat="1" ht="15">
      <c r="A20" s="54" t="s">
        <v>313</v>
      </c>
      <c r="B20" s="55">
        <v>6.93</v>
      </c>
      <c r="C20" s="55">
        <v>16.36</v>
      </c>
      <c r="D20" s="55">
        <v>15.23</v>
      </c>
      <c r="E20" s="55">
        <v>2.17</v>
      </c>
      <c r="F20" s="55">
        <v>6.53</v>
      </c>
      <c r="G20" s="58" t="s">
        <v>14</v>
      </c>
      <c r="H20" s="58" t="s">
        <v>14</v>
      </c>
      <c r="I20" s="55">
        <v>4.46</v>
      </c>
      <c r="J20" s="55">
        <v>0.28999999999999998</v>
      </c>
      <c r="K20" s="55">
        <v>28.09</v>
      </c>
      <c r="L20" s="55">
        <v>23.63</v>
      </c>
      <c r="M20" s="55">
        <v>95.45</v>
      </c>
      <c r="N20" s="55">
        <v>196.30</v>
      </c>
      <c r="O20" s="55">
        <v>0</v>
      </c>
      <c r="P20" s="55">
        <v>1.19</v>
      </c>
      <c r="Q20" s="55">
        <v>7.51</v>
      </c>
      <c r="R20" s="43"/>
      <c r="S20" s="43"/>
      <c r="T20" s="43"/>
      <c r="U20" s="43"/>
    </row>
    <row r="21" spans="1:21" s="11" customFormat="1" ht="15">
      <c r="A21" s="54" t="s">
        <v>314</v>
      </c>
      <c r="B21" s="55">
        <v>6.64</v>
      </c>
      <c r="C21" s="55">
        <v>24.17</v>
      </c>
      <c r="D21" s="55">
        <v>19.309999999999999</v>
      </c>
      <c r="E21" s="55">
        <v>2.48</v>
      </c>
      <c r="F21" s="55">
        <v>23.05</v>
      </c>
      <c r="G21" s="58" t="s">
        <v>14</v>
      </c>
      <c r="H21" s="58" t="s">
        <v>14</v>
      </c>
      <c r="I21" s="55">
        <v>5.64</v>
      </c>
      <c r="J21" s="55">
        <v>0.37</v>
      </c>
      <c r="K21" s="55">
        <v>26.95</v>
      </c>
      <c r="L21" s="55">
        <v>25.67</v>
      </c>
      <c r="M21" s="55">
        <v>91.17</v>
      </c>
      <c r="N21" s="55">
        <v>662.60</v>
      </c>
      <c r="O21" s="55">
        <v>0</v>
      </c>
      <c r="P21" s="55">
        <v>0.99</v>
      </c>
      <c r="Q21" s="55">
        <v>9.58</v>
      </c>
      <c r="R21" s="43"/>
      <c r="S21" s="43"/>
      <c r="T21" s="43"/>
      <c r="U21" s="43"/>
    </row>
    <row r="22" spans="1:21" s="11" customFormat="1" ht="15">
      <c r="A22" s="54" t="s">
        <v>315</v>
      </c>
      <c r="B22" s="55">
        <v>5.43</v>
      </c>
      <c r="C22" s="55">
        <v>19.61</v>
      </c>
      <c r="D22" s="55">
        <v>14.84</v>
      </c>
      <c r="E22" s="55">
        <v>1.52</v>
      </c>
      <c r="F22" s="55">
        <v>10.32</v>
      </c>
      <c r="G22" s="58" t="s">
        <v>14</v>
      </c>
      <c r="H22" s="58" t="s">
        <v>14</v>
      </c>
      <c r="I22" s="55">
        <v>2.2599999999999998</v>
      </c>
      <c r="J22" s="55">
        <v>0.39</v>
      </c>
      <c r="K22" s="55">
        <v>32.07</v>
      </c>
      <c r="L22" s="55">
        <v>26.46</v>
      </c>
      <c r="M22" s="55">
        <v>80.58</v>
      </c>
      <c r="N22" s="55">
        <v>753.60</v>
      </c>
      <c r="O22" s="55">
        <v>0</v>
      </c>
      <c r="P22" s="55">
        <v>0.94</v>
      </c>
      <c r="Q22" s="55">
        <v>5.48</v>
      </c>
      <c r="R22" s="43"/>
      <c r="S22" s="43"/>
      <c r="T22" s="43"/>
      <c r="U22" s="43"/>
    </row>
    <row r="23" spans="1:21" s="11" customFormat="1" ht="15">
      <c r="A23" s="54" t="s">
        <v>316</v>
      </c>
      <c r="B23" s="55">
        <v>5.18</v>
      </c>
      <c r="C23" s="55">
        <v>18.43</v>
      </c>
      <c r="D23" s="55">
        <v>14.49</v>
      </c>
      <c r="E23" s="55">
        <v>1.23</v>
      </c>
      <c r="F23" s="55">
        <v>12.46</v>
      </c>
      <c r="G23" s="58" t="s">
        <v>14</v>
      </c>
      <c r="H23" s="58" t="s">
        <v>14</v>
      </c>
      <c r="I23" s="55">
        <v>3.25</v>
      </c>
      <c r="J23" s="55">
        <v>0.30</v>
      </c>
      <c r="K23" s="55">
        <v>28.85</v>
      </c>
      <c r="L23" s="55">
        <v>25.97</v>
      </c>
      <c r="M23" s="55">
        <v>81.39</v>
      </c>
      <c r="N23" s="55">
        <v>496.30</v>
      </c>
      <c r="O23" s="55">
        <v>0</v>
      </c>
      <c r="P23" s="55">
        <v>0.95</v>
      </c>
      <c r="Q23" s="55">
        <v>8.43</v>
      </c>
      <c r="R23" s="43"/>
      <c r="S23" s="43"/>
      <c r="T23" s="43"/>
      <c r="U23" s="43"/>
    </row>
    <row r="24" spans="1:21" s="11" customFormat="1" ht="15">
      <c r="A24" s="54" t="s">
        <v>317</v>
      </c>
      <c r="B24" s="55">
        <v>6.53</v>
      </c>
      <c r="C24" s="55">
        <v>18.29</v>
      </c>
      <c r="D24" s="55">
        <v>15.56</v>
      </c>
      <c r="E24" s="55">
        <v>1.41</v>
      </c>
      <c r="F24" s="55">
        <v>8.4700000000000006</v>
      </c>
      <c r="G24" s="58" t="s">
        <v>14</v>
      </c>
      <c r="H24" s="58" t="s">
        <v>14</v>
      </c>
      <c r="I24" s="55">
        <v>3.15</v>
      </c>
      <c r="J24" s="55">
        <v>0.33</v>
      </c>
      <c r="K24" s="55">
        <v>31.97</v>
      </c>
      <c r="L24" s="55">
        <v>26.62</v>
      </c>
      <c r="M24" s="55">
        <v>79.5</v>
      </c>
      <c r="N24" s="55">
        <v>318.10000000000002</v>
      </c>
      <c r="O24" s="55">
        <v>0</v>
      </c>
      <c r="P24" s="55">
        <v>0.94</v>
      </c>
      <c r="Q24" s="55">
        <v>8.2200000000000006</v>
      </c>
      <c r="R24" s="43"/>
      <c r="S24" s="43"/>
      <c r="T24" s="43"/>
      <c r="U24" s="43"/>
    </row>
    <row r="25" spans="1:21" s="11" customFormat="1" ht="15">
      <c r="A25" s="54" t="s">
        <v>318</v>
      </c>
      <c r="B25" s="55">
        <v>5.64</v>
      </c>
      <c r="C25" s="55">
        <v>21.45</v>
      </c>
      <c r="D25" s="55">
        <v>16.46</v>
      </c>
      <c r="E25" s="55">
        <v>2.0499999999999998</v>
      </c>
      <c r="F25" s="55">
        <v>17.72</v>
      </c>
      <c r="G25" s="58" t="s">
        <v>14</v>
      </c>
      <c r="H25" s="58" t="s">
        <v>14</v>
      </c>
      <c r="I25" s="55">
        <v>2.86</v>
      </c>
      <c r="J25" s="55">
        <v>0.28000000000000003</v>
      </c>
      <c r="K25" s="55">
        <v>26.38</v>
      </c>
      <c r="L25" s="55">
        <v>26.06</v>
      </c>
      <c r="M25" s="55">
        <v>80.56</v>
      </c>
      <c r="N25" s="55">
        <v>285.39999999999998</v>
      </c>
      <c r="O25" s="55">
        <v>0</v>
      </c>
      <c r="P25" s="55">
        <v>0.93</v>
      </c>
      <c r="Q25" s="55">
        <v>6.32</v>
      </c>
      <c r="R25" s="43"/>
      <c r="S25" s="43"/>
      <c r="T25" s="43"/>
      <c r="U25" s="43"/>
    </row>
    <row r="26" spans="1:21" s="11" customFormat="1" ht="15">
      <c r="A26" s="54" t="s">
        <v>319</v>
      </c>
      <c r="B26" s="55">
        <v>9.14</v>
      </c>
      <c r="C26" s="55">
        <v>18.649999999999999</v>
      </c>
      <c r="D26" s="55">
        <v>17.84</v>
      </c>
      <c r="E26" s="55">
        <v>2.38</v>
      </c>
      <c r="F26" s="55">
        <v>21.16</v>
      </c>
      <c r="G26" s="58" t="s">
        <v>14</v>
      </c>
      <c r="H26" s="58" t="s">
        <v>14</v>
      </c>
      <c r="I26" s="55">
        <v>2.42</v>
      </c>
      <c r="J26" s="55">
        <v>0.16</v>
      </c>
      <c r="K26" s="55">
        <v>202.43</v>
      </c>
      <c r="L26" s="55">
        <v>25.40</v>
      </c>
      <c r="M26" s="55">
        <v>84.21</v>
      </c>
      <c r="N26" s="55">
        <v>127</v>
      </c>
      <c r="O26" s="55">
        <v>0</v>
      </c>
      <c r="P26" s="55">
        <v>0.94</v>
      </c>
      <c r="Q26" s="55">
        <v>8.06</v>
      </c>
      <c r="R26" s="43"/>
      <c r="S26" s="43"/>
      <c r="T26" s="43"/>
      <c r="U26" s="43"/>
    </row>
    <row r="27" spans="1:21" s="11" customFormat="1" ht="15">
      <c r="A27" s="54" t="s">
        <v>320</v>
      </c>
      <c r="B27" s="55">
        <v>4.6900000000000004</v>
      </c>
      <c r="C27" s="55">
        <v>17.190000000000001</v>
      </c>
      <c r="D27" s="55">
        <v>13.27</v>
      </c>
      <c r="E27" s="55">
        <v>2.17</v>
      </c>
      <c r="F27" s="55">
        <v>19.95</v>
      </c>
      <c r="G27" s="58" t="s">
        <v>14</v>
      </c>
      <c r="H27" s="58" t="s">
        <v>14</v>
      </c>
      <c r="I27" s="55">
        <v>2.21</v>
      </c>
      <c r="J27" s="55">
        <v>0.18</v>
      </c>
      <c r="K27" s="55">
        <v>186.86</v>
      </c>
      <c r="L27" s="55">
        <v>24.93</v>
      </c>
      <c r="M27" s="55">
        <v>86.88</v>
      </c>
      <c r="N27" s="55">
        <v>61.30</v>
      </c>
      <c r="O27" s="55">
        <v>0</v>
      </c>
      <c r="P27" s="55">
        <v>0.80</v>
      </c>
      <c r="Q27" s="55">
        <v>3.95</v>
      </c>
      <c r="R27" s="43"/>
      <c r="S27" s="43"/>
      <c r="T27" s="43"/>
      <c r="U27" s="43"/>
    </row>
    <row r="28" spans="1:21" s="11" customFormat="1" ht="15">
      <c r="A28" s="54" t="s">
        <v>321</v>
      </c>
      <c r="B28" s="55">
        <v>3.84</v>
      </c>
      <c r="C28" s="55">
        <v>10.220000000000001</v>
      </c>
      <c r="D28" s="55">
        <v>9.24</v>
      </c>
      <c r="E28" s="55">
        <v>1.95</v>
      </c>
      <c r="F28" s="55">
        <v>5.59</v>
      </c>
      <c r="G28" s="58" t="s">
        <v>14</v>
      </c>
      <c r="H28" s="58" t="s">
        <v>14</v>
      </c>
      <c r="I28" s="55">
        <v>3.02</v>
      </c>
      <c r="J28" s="55">
        <v>0.070000000000000007</v>
      </c>
      <c r="K28" s="55">
        <v>188.74</v>
      </c>
      <c r="L28" s="55">
        <v>24.18</v>
      </c>
      <c r="M28" s="55">
        <v>90.31</v>
      </c>
      <c r="N28" s="55">
        <v>39.299999999999997</v>
      </c>
      <c r="O28" s="55">
        <v>0</v>
      </c>
      <c r="P28" s="55">
        <v>0.83</v>
      </c>
      <c r="Q28" s="55">
        <v>2.35</v>
      </c>
      <c r="R28" s="43"/>
      <c r="S28" s="43"/>
      <c r="T28" s="43"/>
      <c r="U28" s="43"/>
    </row>
    <row r="29" spans="1:21" s="11" customFormat="1" ht="15">
      <c r="A29" s="54" t="s">
        <v>322</v>
      </c>
      <c r="B29" s="55">
        <v>6.81</v>
      </c>
      <c r="C29" s="55">
        <v>12.08</v>
      </c>
      <c r="D29" s="55">
        <v>12.78</v>
      </c>
      <c r="E29" s="55">
        <v>2.02</v>
      </c>
      <c r="F29" s="55">
        <v>9.16</v>
      </c>
      <c r="G29" s="58" t="s">
        <v>14</v>
      </c>
      <c r="H29" s="58" t="s">
        <v>14</v>
      </c>
      <c r="I29" s="55">
        <v>3.61</v>
      </c>
      <c r="J29" s="55">
        <v>0.10</v>
      </c>
      <c r="K29" s="55">
        <v>187.94</v>
      </c>
      <c r="L29" s="55">
        <v>23.71</v>
      </c>
      <c r="M29" s="55">
        <v>92.26</v>
      </c>
      <c r="N29" s="55">
        <v>38.799999999999997</v>
      </c>
      <c r="O29" s="55">
        <v>0</v>
      </c>
      <c r="P29" s="55">
        <v>0.88</v>
      </c>
      <c r="Q29" s="55">
        <v>3.39</v>
      </c>
      <c r="R29" s="43"/>
      <c r="S29" s="43"/>
      <c r="T29" s="43"/>
      <c r="U29" s="43"/>
    </row>
    <row r="30" spans="1:21" s="11" customFormat="1" ht="15">
      <c r="A30" s="54" t="s">
        <v>323</v>
      </c>
      <c r="B30" s="55">
        <v>5.31</v>
      </c>
      <c r="C30" s="55">
        <v>10.87</v>
      </c>
      <c r="D30" s="55">
        <v>10.85</v>
      </c>
      <c r="E30" s="55">
        <v>1.99</v>
      </c>
      <c r="F30" s="55">
        <v>9.52</v>
      </c>
      <c r="G30" s="58" t="s">
        <v>14</v>
      </c>
      <c r="H30" s="58" t="s">
        <v>14</v>
      </c>
      <c r="I30" s="55">
        <v>4.12</v>
      </c>
      <c r="J30" s="55">
        <v>0.12</v>
      </c>
      <c r="K30" s="55">
        <v>207.73</v>
      </c>
      <c r="L30" s="55">
        <v>23.53</v>
      </c>
      <c r="M30" s="55">
        <v>92.49</v>
      </c>
      <c r="N30" s="55">
        <v>38.700000000000003</v>
      </c>
      <c r="O30" s="55">
        <v>0</v>
      </c>
      <c r="P30" s="55">
        <v>0.90</v>
      </c>
      <c r="Q30" s="55">
        <v>5.91</v>
      </c>
      <c r="R30" s="43"/>
      <c r="S30" s="43"/>
      <c r="T30" s="43"/>
      <c r="U30" s="43"/>
    </row>
    <row r="31" spans="1:21" s="11" customFormat="1" ht="15">
      <c r="A31" s="54" t="s">
        <v>324</v>
      </c>
      <c r="B31" s="55">
        <v>4.9400000000000004</v>
      </c>
      <c r="C31" s="55">
        <v>8.31</v>
      </c>
      <c r="D31" s="55">
        <v>9.1300000000000008</v>
      </c>
      <c r="E31" s="55">
        <v>1.85</v>
      </c>
      <c r="F31" s="55">
        <v>4.6900000000000004</v>
      </c>
      <c r="G31" s="58" t="s">
        <v>14</v>
      </c>
      <c r="H31" s="58" t="s">
        <v>14</v>
      </c>
      <c r="I31" s="55">
        <v>4.82</v>
      </c>
      <c r="J31" s="55">
        <v>0.10</v>
      </c>
      <c r="K31" s="55">
        <v>275.61</v>
      </c>
      <c r="L31" s="55">
        <v>23.25</v>
      </c>
      <c r="M31" s="55">
        <v>93.68</v>
      </c>
      <c r="N31" s="55">
        <v>38.799999999999997</v>
      </c>
      <c r="O31" s="55">
        <v>0</v>
      </c>
      <c r="P31" s="55">
        <v>0.87</v>
      </c>
      <c r="Q31" s="55">
        <v>5.42</v>
      </c>
      <c r="R31" s="43"/>
      <c r="S31" s="43"/>
      <c r="T31" s="43"/>
      <c r="U31" s="43"/>
    </row>
    <row r="32" spans="1:21" s="11" customFormat="1" ht="15">
      <c r="A32" s="54" t="s">
        <v>325</v>
      </c>
      <c r="B32" s="55">
        <v>3.97</v>
      </c>
      <c r="C32" s="55">
        <v>8.82</v>
      </c>
      <c r="D32" s="55">
        <v>8.57</v>
      </c>
      <c r="E32" s="55">
        <v>2.2599999999999998</v>
      </c>
      <c r="F32" s="55">
        <v>9.40</v>
      </c>
      <c r="G32" s="58" t="s">
        <v>14</v>
      </c>
      <c r="H32" s="58" t="s">
        <v>14</v>
      </c>
      <c r="I32" s="55">
        <v>4.8099999999999996</v>
      </c>
      <c r="J32" s="55">
        <v>0.08</v>
      </c>
      <c r="K32" s="55">
        <v>332.15</v>
      </c>
      <c r="L32" s="55">
        <v>23.05</v>
      </c>
      <c r="M32" s="55">
        <v>94.65</v>
      </c>
      <c r="N32" s="55">
        <v>38.799999999999997</v>
      </c>
      <c r="O32" s="55">
        <v>0</v>
      </c>
      <c r="P32" s="55">
        <v>0.83</v>
      </c>
      <c r="Q32" s="55">
        <v>5.16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3.8399999999999999</v>
      </c>
      <c r="C34" s="28">
        <f t="shared" si="0"/>
        <v>8.3100000000000005</v>
      </c>
      <c r="D34" s="28">
        <f t="shared" si="0"/>
        <v>8.5700000000000003</v>
      </c>
      <c r="E34" s="28">
        <f t="shared" si="0"/>
        <v>1.23</v>
      </c>
      <c r="F34" s="28">
        <f t="shared" si="0"/>
        <v>3.4300000000000002</v>
      </c>
      <c r="G34" s="28">
        <f t="shared" si="0"/>
        <v>33.520000000000003</v>
      </c>
      <c r="H34" s="28">
        <f t="shared" si="0"/>
        <v>30.109999999999999</v>
      </c>
      <c r="I34" s="28">
        <f t="shared" si="0"/>
        <v>2.21</v>
      </c>
      <c r="J34" s="28">
        <f t="shared" si="0"/>
        <v>0.070000000000000007</v>
      </c>
      <c r="K34" s="28">
        <f t="shared" si="0"/>
        <v>26.379999999999999</v>
      </c>
      <c r="L34" s="28">
        <f t="shared" si="0"/>
        <v>21.289999999999999</v>
      </c>
      <c r="M34" s="28">
        <f t="shared" si="0"/>
        <v>79.5</v>
      </c>
      <c r="N34" s="28">
        <f t="shared" si="0"/>
        <v>38.700000000000003</v>
      </c>
      <c r="O34" s="28">
        <f t="shared" si="0"/>
        <v>0</v>
      </c>
      <c r="P34" s="28">
        <f t="shared" si="0"/>
        <v>0.53000000000000003</v>
      </c>
      <c r="Q34" s="28">
        <f t="shared" si="0"/>
        <v>2.3500000000000001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9.7699999999999996</v>
      </c>
      <c r="C35" s="29">
        <f t="shared" si="1"/>
        <v>24.170000000000002</v>
      </c>
      <c r="D35" s="29">
        <f t="shared" si="1"/>
        <v>19.309999999999999</v>
      </c>
      <c r="E35" s="29">
        <f t="shared" si="1"/>
        <v>2.8500000000000001</v>
      </c>
      <c r="F35" s="29">
        <f t="shared" si="1"/>
        <v>23.050000000000001</v>
      </c>
      <c r="G35" s="29">
        <f t="shared" si="1"/>
        <v>38.780000000000001</v>
      </c>
      <c r="H35" s="29">
        <f t="shared" si="1"/>
        <v>30.109999999999999</v>
      </c>
      <c r="I35" s="29">
        <f t="shared" si="1"/>
        <v>7.5800000000000001</v>
      </c>
      <c r="J35" s="29">
        <f t="shared" si="1"/>
        <v>0.73999999999999999</v>
      </c>
      <c r="K35" s="29">
        <f t="shared" si="1"/>
        <v>354.69</v>
      </c>
      <c r="L35" s="29">
        <f t="shared" si="1"/>
        <v>26.620000000000001</v>
      </c>
      <c r="M35" s="29">
        <f t="shared" si="1"/>
        <v>97.230000000000004</v>
      </c>
      <c r="N35" s="29">
        <f t="shared" si="1"/>
        <v>753.60000000000002</v>
      </c>
      <c r="O35" s="29">
        <f t="shared" si="1"/>
        <v>9.8000000000000007</v>
      </c>
      <c r="P35" s="29">
        <f t="shared" si="1"/>
        <v>1.1899999999999999</v>
      </c>
      <c r="Q35" s="29">
        <f t="shared" si="1"/>
        <v>16.34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6.7633333333333328</v>
      </c>
      <c r="C36" s="28">
        <f t="shared" si="2"/>
        <v>13.74</v>
      </c>
      <c r="D36" s="28">
        <f t="shared" si="2"/>
        <v>13.297083333333333</v>
      </c>
      <c r="E36" s="28">
        <f t="shared" si="2"/>
        <v>2.2583333333333333</v>
      </c>
      <c r="F36" s="28">
        <f t="shared" si="2"/>
        <v>9.7750000000000004</v>
      </c>
      <c r="G36" s="28">
        <f t="shared" si="2"/>
        <v>36.150000000000006</v>
      </c>
      <c r="H36" s="28">
        <f t="shared" si="2"/>
        <v>30.109999999999999</v>
      </c>
      <c r="I36" s="28">
        <f t="shared" si="2"/>
        <v>4.7791666666666659</v>
      </c>
      <c r="J36" s="28">
        <f t="shared" si="2"/>
        <v>0.29666666666666669</v>
      </c>
      <c r="K36" s="28">
        <f t="shared" si="2"/>
        <v>152.07624999999999</v>
      </c>
      <c r="L36" s="28">
        <f t="shared" si="2"/>
        <v>24.005416666666662</v>
      </c>
      <c r="M36" s="28">
        <f t="shared" si="2"/>
        <v>91.734999999999999</v>
      </c>
      <c r="N36" s="28">
        <f t="shared" si="2"/>
        <v>179.48750000000004</v>
      </c>
      <c r="O36" s="28">
        <f t="shared" si="2"/>
        <v>0.96666666666666667</v>
      </c>
      <c r="P36" s="28">
        <f t="shared" si="2"/>
        <v>0.80583333333333318</v>
      </c>
      <c r="Q36" s="28">
        <f t="shared" si="2"/>
        <v>8.841666666666665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1.7281849404522105</v>
      </c>
      <c r="C37" s="28">
        <f t="shared" si="3" ref="C37:Q37">STDEV(C9:C32)</f>
        <v>4.8249370349574887</v>
      </c>
      <c r="D37" s="28">
        <f t="shared" si="3"/>
        <v>2.9273217900188007</v>
      </c>
      <c r="E37" s="28">
        <f t="shared" si="3"/>
        <v>0.43849214624533439</v>
      </c>
      <c r="F37" s="28">
        <f t="shared" si="3"/>
        <v>5.7147535988572766</v>
      </c>
      <c r="G37" s="28">
        <f t="shared" si="3"/>
        <v>3.7193816690412387</v>
      </c>
      <c r="H37" s="28">
        <f t="shared" si="3"/>
        <v>0</v>
      </c>
      <c r="I37" s="28">
        <f t="shared" si="3"/>
        <v>1.6640545472525492</v>
      </c>
      <c r="J37" s="28">
        <f t="shared" si="3"/>
        <v>0.20854916356386655</v>
      </c>
      <c r="K37" s="28">
        <f t="shared" si="3"/>
        <v>109.43855464071075</v>
      </c>
      <c r="L37" s="28">
        <f t="shared" si="3"/>
        <v>1.5859025113046257</v>
      </c>
      <c r="M37" s="28">
        <f t="shared" si="3"/>
        <v>6.2255609141387573</v>
      </c>
      <c r="N37" s="28">
        <f t="shared" si="3"/>
        <v>205.5261547145256</v>
      </c>
      <c r="O37" s="28">
        <f t="shared" si="3"/>
        <v>2.4055491403558289</v>
      </c>
      <c r="P37" s="28">
        <f t="shared" si="3"/>
        <v>0.16602557861252384</v>
      </c>
      <c r="Q37" s="28">
        <f t="shared" si="3"/>
        <v>3.9150863910360174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COUNT(G9:G32)+22</f>
        <v>24</v>
      </c>
      <c r="H38" s="32">
        <f>COUNT(H9:H32)+22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034718-c7d0-43cf-b38f-e33903cd0993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46" sqref="E4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326</v>
      </c>
      <c r="B9" s="55">
        <v>4.1900000000000004</v>
      </c>
      <c r="C9" s="55">
        <v>7.71</v>
      </c>
      <c r="D9" s="55">
        <v>8.2200000000000006</v>
      </c>
      <c r="E9" s="55">
        <v>2.81</v>
      </c>
      <c r="F9" s="55">
        <v>9.4499999999999993</v>
      </c>
      <c r="G9" s="58" t="s">
        <v>14</v>
      </c>
      <c r="H9" s="58" t="s">
        <v>14</v>
      </c>
      <c r="I9" s="55">
        <v>4.84</v>
      </c>
      <c r="J9" s="55">
        <v>0.25</v>
      </c>
      <c r="K9" s="55">
        <v>213.12</v>
      </c>
      <c r="L9" s="55">
        <v>22.81</v>
      </c>
      <c r="M9" s="55">
        <v>96.12</v>
      </c>
      <c r="N9" s="55">
        <v>38.799999999999997</v>
      </c>
      <c r="O9" s="55">
        <v>0</v>
      </c>
      <c r="P9" s="55">
        <v>0.81</v>
      </c>
      <c r="Q9" s="55">
        <v>7.45</v>
      </c>
      <c r="R9" s="43"/>
      <c r="S9" s="43"/>
      <c r="T9" s="43"/>
      <c r="U9" s="43"/>
    </row>
    <row r="10" spans="1:21" s="11" customFormat="1" ht="15">
      <c r="A10" s="54" t="s">
        <v>327</v>
      </c>
      <c r="B10" s="55">
        <v>3.87</v>
      </c>
      <c r="C10" s="55">
        <v>7.19</v>
      </c>
      <c r="D10" s="55">
        <v>7.71</v>
      </c>
      <c r="E10" s="55">
        <v>2.61</v>
      </c>
      <c r="F10" s="55">
        <v>5.65</v>
      </c>
      <c r="G10" s="58" t="s">
        <v>14</v>
      </c>
      <c r="H10" s="58" t="s">
        <v>14</v>
      </c>
      <c r="I10" s="55">
        <v>5.1100000000000003</v>
      </c>
      <c r="J10" s="55">
        <v>0.24</v>
      </c>
      <c r="K10" s="55">
        <v>238.25</v>
      </c>
      <c r="L10" s="55">
        <v>22.5</v>
      </c>
      <c r="M10" s="55">
        <v>96.98</v>
      </c>
      <c r="N10" s="55">
        <v>38.60</v>
      </c>
      <c r="O10" s="55">
        <v>0</v>
      </c>
      <c r="P10" s="55">
        <v>0.78</v>
      </c>
      <c r="Q10" s="55">
        <v>7.02</v>
      </c>
      <c r="R10" s="43"/>
      <c r="S10" s="43"/>
      <c r="T10" s="43"/>
      <c r="U10" s="43"/>
    </row>
    <row r="11" spans="1:21" s="11" customFormat="1" ht="15">
      <c r="A11" s="54" t="s">
        <v>328</v>
      </c>
      <c r="B11" s="55">
        <v>3.68</v>
      </c>
      <c r="C11" s="55">
        <v>7.05</v>
      </c>
      <c r="D11" s="55">
        <v>7.35</v>
      </c>
      <c r="E11" s="55">
        <v>2.64</v>
      </c>
      <c r="F11" s="55">
        <v>12.21</v>
      </c>
      <c r="G11" s="58" t="s">
        <v>14</v>
      </c>
      <c r="H11" s="58" t="s">
        <v>14</v>
      </c>
      <c r="I11" s="55">
        <v>5.09</v>
      </c>
      <c r="J11" s="55">
        <v>0.27</v>
      </c>
      <c r="K11" s="55">
        <v>221.55</v>
      </c>
      <c r="L11" s="55">
        <v>22.60</v>
      </c>
      <c r="M11" s="55">
        <v>96.40</v>
      </c>
      <c r="N11" s="55">
        <v>38.799999999999997</v>
      </c>
      <c r="O11" s="55">
        <v>0</v>
      </c>
      <c r="P11" s="55">
        <v>0.78</v>
      </c>
      <c r="Q11" s="55">
        <v>9.1199999999999992</v>
      </c>
      <c r="R11" s="43"/>
      <c r="S11" s="43"/>
      <c r="T11" s="43"/>
      <c r="U11" s="43"/>
    </row>
    <row r="12" spans="1:21" s="11" customFormat="1" ht="15">
      <c r="A12" s="54" t="s">
        <v>329</v>
      </c>
      <c r="B12" s="55">
        <v>4.29</v>
      </c>
      <c r="C12" s="55">
        <v>7.17</v>
      </c>
      <c r="D12" s="55">
        <v>7.99</v>
      </c>
      <c r="E12" s="55">
        <v>3.12</v>
      </c>
      <c r="F12" s="55">
        <v>9.83</v>
      </c>
      <c r="G12" s="58" t="s">
        <v>14</v>
      </c>
      <c r="H12" s="58" t="s">
        <v>14</v>
      </c>
      <c r="I12" s="55">
        <v>5.63</v>
      </c>
      <c r="J12" s="55">
        <v>0.44</v>
      </c>
      <c r="K12" s="55">
        <v>233.80</v>
      </c>
      <c r="L12" s="55">
        <v>22.64</v>
      </c>
      <c r="M12" s="55">
        <v>97.01</v>
      </c>
      <c r="N12" s="55">
        <v>38.799999999999997</v>
      </c>
      <c r="O12" s="55">
        <v>0</v>
      </c>
      <c r="P12" s="55">
        <v>0.78</v>
      </c>
      <c r="Q12" s="55">
        <v>11.25</v>
      </c>
      <c r="R12" s="43"/>
      <c r="S12" s="43"/>
      <c r="T12" s="43"/>
      <c r="U12" s="43"/>
    </row>
    <row r="13" spans="1:21" s="11" customFormat="1" ht="15">
      <c r="A13" s="54" t="s">
        <v>330</v>
      </c>
      <c r="B13" s="55">
        <v>4.08</v>
      </c>
      <c r="C13" s="55">
        <v>7.49</v>
      </c>
      <c r="D13" s="55">
        <v>8.02</v>
      </c>
      <c r="E13" s="55">
        <v>2.2000000000000002</v>
      </c>
      <c r="F13" s="55">
        <v>4.78</v>
      </c>
      <c r="G13" s="58" t="s">
        <v>14</v>
      </c>
      <c r="H13" s="58" t="s">
        <v>14</v>
      </c>
      <c r="I13" s="55">
        <v>5.79</v>
      </c>
      <c r="J13" s="55">
        <v>0.49</v>
      </c>
      <c r="K13" s="55">
        <v>220.29</v>
      </c>
      <c r="L13" s="55">
        <v>22.58</v>
      </c>
      <c r="M13" s="55">
        <v>97.17</v>
      </c>
      <c r="N13" s="55">
        <v>38.700000000000003</v>
      </c>
      <c r="O13" s="55">
        <v>0</v>
      </c>
      <c r="P13" s="55">
        <v>0.75</v>
      </c>
      <c r="Q13" s="55">
        <v>9.23</v>
      </c>
      <c r="R13" s="43"/>
      <c r="S13" s="43"/>
      <c r="T13" s="43"/>
      <c r="U13" s="43"/>
    </row>
    <row r="14" spans="1:21" s="11" customFormat="1" ht="15">
      <c r="A14" s="54" t="s">
        <v>331</v>
      </c>
      <c r="B14" s="55">
        <v>4.51</v>
      </c>
      <c r="C14" s="55">
        <v>8.7100000000000009</v>
      </c>
      <c r="D14" s="55">
        <v>9.0299999999999994</v>
      </c>
      <c r="E14" s="55">
        <v>2.42</v>
      </c>
      <c r="F14" s="55">
        <v>10.88</v>
      </c>
      <c r="G14" s="58" t="s">
        <v>14</v>
      </c>
      <c r="H14" s="58" t="s">
        <v>14</v>
      </c>
      <c r="I14" s="58" t="s">
        <v>14</v>
      </c>
      <c r="J14" s="55">
        <v>0.46</v>
      </c>
      <c r="K14" s="55">
        <v>195.33</v>
      </c>
      <c r="L14" s="55">
        <v>22.44</v>
      </c>
      <c r="M14" s="55">
        <v>97.18</v>
      </c>
      <c r="N14" s="55">
        <v>59.90</v>
      </c>
      <c r="O14" s="55">
        <v>0</v>
      </c>
      <c r="P14" s="55">
        <v>0.77</v>
      </c>
      <c r="Q14" s="55">
        <v>10.199999999999999</v>
      </c>
      <c r="R14" s="43"/>
      <c r="S14" s="43"/>
      <c r="T14" s="43"/>
      <c r="U14" s="43"/>
    </row>
    <row r="15" spans="1:21" s="11" customFormat="1" ht="15">
      <c r="A15" s="54" t="s">
        <v>332</v>
      </c>
      <c r="B15" s="55">
        <v>5.68</v>
      </c>
      <c r="C15" s="55">
        <v>9.1999999999999993</v>
      </c>
      <c r="D15" s="55">
        <v>10</v>
      </c>
      <c r="E15" s="55">
        <v>2.61</v>
      </c>
      <c r="F15" s="55">
        <v>6.25</v>
      </c>
      <c r="G15" s="58" t="s">
        <v>14</v>
      </c>
      <c r="H15" s="58" t="s">
        <v>14</v>
      </c>
      <c r="I15" s="58" t="s">
        <v>14</v>
      </c>
      <c r="J15" s="55">
        <v>0.45</v>
      </c>
      <c r="K15" s="55">
        <v>190.53</v>
      </c>
      <c r="L15" s="55">
        <v>23.18</v>
      </c>
      <c r="M15" s="55">
        <v>97.17</v>
      </c>
      <c r="N15" s="55">
        <v>176</v>
      </c>
      <c r="O15" s="55">
        <v>0</v>
      </c>
      <c r="P15" s="55">
        <v>0.76</v>
      </c>
      <c r="Q15" s="55">
        <v>13.10</v>
      </c>
      <c r="R15" s="43"/>
      <c r="S15" s="43"/>
      <c r="T15" s="43"/>
      <c r="U15" s="43"/>
    </row>
    <row r="16" spans="1:21" s="11" customFormat="1" ht="15">
      <c r="A16" s="54" t="s">
        <v>333</v>
      </c>
      <c r="B16" s="55">
        <v>5.43</v>
      </c>
      <c r="C16" s="55">
        <v>8.34</v>
      </c>
      <c r="D16" s="55">
        <v>9.44</v>
      </c>
      <c r="E16" s="55">
        <v>2.52</v>
      </c>
      <c r="F16" s="55">
        <v>4.30</v>
      </c>
      <c r="G16" s="58" t="s">
        <v>14</v>
      </c>
      <c r="H16" s="58" t="s">
        <v>14</v>
      </c>
      <c r="I16" s="58" t="s">
        <v>14</v>
      </c>
      <c r="J16" s="55">
        <v>0.66</v>
      </c>
      <c r="K16" s="55">
        <v>201.20</v>
      </c>
      <c r="L16" s="55">
        <v>23.44</v>
      </c>
      <c r="M16" s="55">
        <v>94</v>
      </c>
      <c r="N16" s="55">
        <v>185</v>
      </c>
      <c r="O16" s="55">
        <v>0</v>
      </c>
      <c r="P16" s="55">
        <v>0.67</v>
      </c>
      <c r="Q16" s="55">
        <v>11.23</v>
      </c>
      <c r="R16" s="43"/>
      <c r="S16" s="43"/>
      <c r="T16" s="43"/>
      <c r="U16" s="43"/>
    </row>
    <row r="17" spans="1:21" s="11" customFormat="1" ht="15">
      <c r="A17" s="54" t="s">
        <v>334</v>
      </c>
      <c r="B17" s="55">
        <v>10.94</v>
      </c>
      <c r="C17" s="55">
        <v>16.25</v>
      </c>
      <c r="D17" s="55">
        <v>18.39</v>
      </c>
      <c r="E17" s="55">
        <v>2.96</v>
      </c>
      <c r="F17" s="55">
        <v>9.9700000000000006</v>
      </c>
      <c r="G17" s="58" t="s">
        <v>14</v>
      </c>
      <c r="H17" s="58" t="s">
        <v>14</v>
      </c>
      <c r="I17" s="58" t="s">
        <v>14</v>
      </c>
      <c r="J17" s="55">
        <v>0.32</v>
      </c>
      <c r="K17" s="55">
        <v>334.36</v>
      </c>
      <c r="L17" s="55">
        <v>23.46</v>
      </c>
      <c r="M17" s="55">
        <v>95.71</v>
      </c>
      <c r="N17" s="55">
        <v>167.70</v>
      </c>
      <c r="O17" s="55">
        <v>0</v>
      </c>
      <c r="P17" s="55">
        <v>0.69</v>
      </c>
      <c r="Q17" s="55">
        <v>11.05</v>
      </c>
      <c r="R17" s="43"/>
      <c r="S17" s="43"/>
      <c r="T17" s="43"/>
      <c r="U17" s="43"/>
    </row>
    <row r="18" spans="1:21" s="11" customFormat="1" ht="15">
      <c r="A18" s="54" t="s">
        <v>335</v>
      </c>
      <c r="B18" s="55">
        <v>7.24</v>
      </c>
      <c r="C18" s="55">
        <v>17.88</v>
      </c>
      <c r="D18" s="55">
        <v>14.95</v>
      </c>
      <c r="E18" s="55">
        <v>3.15</v>
      </c>
      <c r="F18" s="55">
        <v>10.80</v>
      </c>
      <c r="G18" s="58" t="s">
        <v>14</v>
      </c>
      <c r="H18" s="58" t="s">
        <v>14</v>
      </c>
      <c r="I18" s="58" t="s">
        <v>14</v>
      </c>
      <c r="J18" s="55">
        <v>0.20</v>
      </c>
      <c r="K18" s="55">
        <v>209.82</v>
      </c>
      <c r="L18" s="55">
        <v>24.68</v>
      </c>
      <c r="M18" s="55">
        <v>93.29</v>
      </c>
      <c r="N18" s="55">
        <v>412.40</v>
      </c>
      <c r="O18" s="55">
        <v>0</v>
      </c>
      <c r="P18" s="55">
        <v>0.90</v>
      </c>
      <c r="Q18" s="55">
        <v>12.89</v>
      </c>
      <c r="R18" s="43"/>
      <c r="S18" s="43"/>
      <c r="T18" s="43"/>
      <c r="U18" s="43"/>
    </row>
    <row r="19" spans="1:21" s="11" customFormat="1" ht="15">
      <c r="A19" s="54" t="s">
        <v>336</v>
      </c>
      <c r="B19" s="55">
        <v>4.41</v>
      </c>
      <c r="C19" s="55">
        <v>17.88</v>
      </c>
      <c r="D19" s="55">
        <v>13.62</v>
      </c>
      <c r="E19" s="55">
        <v>2.37</v>
      </c>
      <c r="F19" s="55">
        <v>12.86</v>
      </c>
      <c r="G19" s="58" t="s">
        <v>14</v>
      </c>
      <c r="H19" s="58" t="s">
        <v>14</v>
      </c>
      <c r="I19" s="58" t="s">
        <v>14</v>
      </c>
      <c r="J19" s="55">
        <v>0.28999999999999998</v>
      </c>
      <c r="K19" s="55">
        <v>205.81</v>
      </c>
      <c r="L19" s="55">
        <v>26.01</v>
      </c>
      <c r="M19" s="55">
        <v>84.84</v>
      </c>
      <c r="N19" s="55">
        <v>524.60</v>
      </c>
      <c r="O19" s="55">
        <v>0</v>
      </c>
      <c r="P19" s="55">
        <v>0.80</v>
      </c>
      <c r="Q19" s="55">
        <v>4.1500000000000004</v>
      </c>
      <c r="R19" s="43"/>
      <c r="S19" s="43"/>
      <c r="T19" s="43"/>
      <c r="U19" s="43"/>
    </row>
    <row r="20" spans="1:21" s="11" customFormat="1" ht="15">
      <c r="A20" s="54" t="s">
        <v>337</v>
      </c>
      <c r="B20" s="55">
        <v>5.64</v>
      </c>
      <c r="C20" s="55">
        <v>21.06</v>
      </c>
      <c r="D20" s="55">
        <v>16.79</v>
      </c>
      <c r="E20" s="55">
        <v>2.39</v>
      </c>
      <c r="F20" s="55">
        <v>14.78</v>
      </c>
      <c r="G20" s="58" t="s">
        <v>14</v>
      </c>
      <c r="H20" s="58" t="s">
        <v>14</v>
      </c>
      <c r="I20" s="58" t="s">
        <v>14</v>
      </c>
      <c r="J20" s="55">
        <v>0.12</v>
      </c>
      <c r="K20" s="55">
        <v>266.58999999999997</v>
      </c>
      <c r="L20" s="55">
        <v>25.29</v>
      </c>
      <c r="M20" s="55">
        <v>90.74</v>
      </c>
      <c r="N20" s="55">
        <v>328.30</v>
      </c>
      <c r="O20" s="55">
        <v>0</v>
      </c>
      <c r="P20" s="55">
        <v>0.83</v>
      </c>
      <c r="Q20" s="55">
        <v>7.14</v>
      </c>
      <c r="R20" s="43"/>
      <c r="S20" s="43"/>
      <c r="T20" s="43"/>
      <c r="U20" s="43"/>
    </row>
    <row r="21" spans="1:21" s="11" customFormat="1" ht="15">
      <c r="A21" s="54" t="s">
        <v>338</v>
      </c>
      <c r="B21" s="55">
        <v>3.28</v>
      </c>
      <c r="C21" s="55">
        <v>12.59</v>
      </c>
      <c r="D21" s="55">
        <v>9.66</v>
      </c>
      <c r="E21" s="55">
        <v>1.69</v>
      </c>
      <c r="F21" s="55">
        <v>5.91</v>
      </c>
      <c r="G21" s="58" t="s">
        <v>14</v>
      </c>
      <c r="H21" s="58" t="s">
        <v>14</v>
      </c>
      <c r="I21" s="58" t="s">
        <v>14</v>
      </c>
      <c r="J21" s="55">
        <v>0.60</v>
      </c>
      <c r="K21" s="55">
        <v>342.42</v>
      </c>
      <c r="L21" s="55">
        <v>26.64</v>
      </c>
      <c r="M21" s="55">
        <v>88.73</v>
      </c>
      <c r="N21" s="55">
        <v>856.5</v>
      </c>
      <c r="O21" s="55">
        <v>0</v>
      </c>
      <c r="P21" s="55">
        <v>0.67</v>
      </c>
      <c r="Q21" s="55">
        <v>5.72</v>
      </c>
      <c r="R21" s="43"/>
      <c r="S21" s="43"/>
      <c r="T21" s="43"/>
      <c r="U21" s="43"/>
    </row>
    <row r="22" spans="1:21" s="11" customFormat="1" ht="15">
      <c r="A22" s="54" t="s">
        <v>339</v>
      </c>
      <c r="B22" s="55">
        <v>3.08</v>
      </c>
      <c r="C22" s="55">
        <v>11.70</v>
      </c>
      <c r="D22" s="55">
        <v>9.23</v>
      </c>
      <c r="E22" s="55">
        <v>1.73</v>
      </c>
      <c r="F22" s="55">
        <v>7.74</v>
      </c>
      <c r="G22" s="58" t="s">
        <v>14</v>
      </c>
      <c r="H22" s="58" t="s">
        <v>14</v>
      </c>
      <c r="I22" s="58" t="s">
        <v>14</v>
      </c>
      <c r="J22" s="55">
        <v>0.63</v>
      </c>
      <c r="K22" s="55">
        <v>210.12</v>
      </c>
      <c r="L22" s="55">
        <v>27.65</v>
      </c>
      <c r="M22" s="55">
        <v>73.989999999999995</v>
      </c>
      <c r="N22" s="55">
        <v>1050.9000000000001</v>
      </c>
      <c r="O22" s="55">
        <v>0</v>
      </c>
      <c r="P22" s="55">
        <v>0.65</v>
      </c>
      <c r="Q22" s="55">
        <v>2.3199999999999998</v>
      </c>
      <c r="R22" s="43"/>
      <c r="S22" s="43"/>
      <c r="T22" s="43"/>
      <c r="U22" s="43"/>
    </row>
    <row r="23" spans="1:21" s="11" customFormat="1" ht="15">
      <c r="A23" s="54" t="s">
        <v>340</v>
      </c>
      <c r="B23" s="55">
        <v>2.93</v>
      </c>
      <c r="C23" s="55">
        <v>11.82</v>
      </c>
      <c r="D23" s="55">
        <v>9.51</v>
      </c>
      <c r="E23" s="55">
        <v>2.2999999999999998</v>
      </c>
      <c r="F23" s="55">
        <v>11.72</v>
      </c>
      <c r="G23" s="60" t="s">
        <v>12</v>
      </c>
      <c r="H23" s="60" t="s">
        <v>12</v>
      </c>
      <c r="I23" s="58" t="s">
        <v>14</v>
      </c>
      <c r="J23" s="55">
        <v>0.81</v>
      </c>
      <c r="K23" s="55">
        <v>181.91</v>
      </c>
      <c r="L23" s="55">
        <v>27.91</v>
      </c>
      <c r="M23" s="55">
        <v>73.67</v>
      </c>
      <c r="N23" s="55">
        <v>609.79999999999995</v>
      </c>
      <c r="O23" s="55">
        <v>0</v>
      </c>
      <c r="P23" s="55">
        <v>0.64</v>
      </c>
      <c r="Q23" s="55">
        <v>6.68</v>
      </c>
      <c r="R23" s="43"/>
      <c r="S23" s="43"/>
      <c r="T23" s="43"/>
      <c r="U23" s="43"/>
    </row>
    <row r="24" spans="1:21" s="11" customFormat="1" ht="15">
      <c r="A24" s="54" t="s">
        <v>341</v>
      </c>
      <c r="B24" s="55">
        <v>3.02</v>
      </c>
      <c r="C24" s="55">
        <v>12.05</v>
      </c>
      <c r="D24" s="55">
        <v>9.26</v>
      </c>
      <c r="E24" s="55">
        <v>2.2000000000000002</v>
      </c>
      <c r="F24" s="55">
        <v>24.78</v>
      </c>
      <c r="G24" s="60" t="s">
        <v>12</v>
      </c>
      <c r="H24" s="60" t="s">
        <v>12</v>
      </c>
      <c r="I24" s="58" t="s">
        <v>14</v>
      </c>
      <c r="J24" s="55">
        <v>0.38</v>
      </c>
      <c r="K24" s="55">
        <v>224.44</v>
      </c>
      <c r="L24" s="55">
        <v>27.41</v>
      </c>
      <c r="M24" s="55">
        <v>73.290000000000006</v>
      </c>
      <c r="N24" s="55">
        <v>196.5</v>
      </c>
      <c r="O24" s="55">
        <v>0</v>
      </c>
      <c r="P24" s="55">
        <v>0.62</v>
      </c>
      <c r="Q24" s="55">
        <v>5.74</v>
      </c>
      <c r="R24" s="43"/>
      <c r="S24" s="43"/>
      <c r="T24" s="43"/>
      <c r="U24" s="43"/>
    </row>
    <row r="25" spans="1:21" s="11" customFormat="1" ht="15">
      <c r="A25" s="54" t="s">
        <v>342</v>
      </c>
      <c r="B25" s="55">
        <v>3.16</v>
      </c>
      <c r="C25" s="55">
        <v>15.46</v>
      </c>
      <c r="D25" s="55">
        <v>11.20</v>
      </c>
      <c r="E25" s="55">
        <v>1.20</v>
      </c>
      <c r="F25" s="55">
        <v>20.96</v>
      </c>
      <c r="G25" s="60" t="s">
        <v>12</v>
      </c>
      <c r="H25" s="60" t="s">
        <v>12</v>
      </c>
      <c r="I25" s="58" t="s">
        <v>14</v>
      </c>
      <c r="J25" s="55">
        <v>0.24</v>
      </c>
      <c r="K25" s="55">
        <v>263.56</v>
      </c>
      <c r="L25" s="55">
        <v>27.23</v>
      </c>
      <c r="M25" s="55">
        <v>76.61</v>
      </c>
      <c r="N25" s="55">
        <v>193.40</v>
      </c>
      <c r="O25" s="55">
        <v>0</v>
      </c>
      <c r="P25" s="55">
        <v>0.81</v>
      </c>
      <c r="Q25" s="55">
        <v>4.7300000000000004</v>
      </c>
      <c r="R25" s="43"/>
      <c r="S25" s="43"/>
      <c r="T25" s="43"/>
      <c r="U25" s="43"/>
    </row>
    <row r="26" spans="1:21" s="11" customFormat="1" ht="15">
      <c r="A26" s="54" t="s">
        <v>343</v>
      </c>
      <c r="B26" s="55">
        <v>5.87</v>
      </c>
      <c r="C26" s="55">
        <v>23.78</v>
      </c>
      <c r="D26" s="55">
        <v>17.52</v>
      </c>
      <c r="E26" s="55">
        <v>1.5</v>
      </c>
      <c r="F26" s="55">
        <v>17.059999999999999</v>
      </c>
      <c r="G26" s="55">
        <v>32.08</v>
      </c>
      <c r="H26" s="55">
        <v>5.87</v>
      </c>
      <c r="I26" s="58" t="s">
        <v>14</v>
      </c>
      <c r="J26" s="55">
        <v>0.17</v>
      </c>
      <c r="K26" s="55">
        <v>308.80</v>
      </c>
      <c r="L26" s="55">
        <v>26.51</v>
      </c>
      <c r="M26" s="55">
        <v>78.73</v>
      </c>
      <c r="N26" s="55">
        <v>119.30</v>
      </c>
      <c r="O26" s="55">
        <v>0</v>
      </c>
      <c r="P26" s="55">
        <v>0.99</v>
      </c>
      <c r="Q26" s="55">
        <v>6.09</v>
      </c>
      <c r="R26" s="43"/>
      <c r="S26" s="43"/>
      <c r="T26" s="43"/>
      <c r="U26" s="43"/>
    </row>
    <row r="27" spans="1:21" s="11" customFormat="1" ht="15">
      <c r="A27" s="54" t="s">
        <v>344</v>
      </c>
      <c r="B27" s="55">
        <v>2.96</v>
      </c>
      <c r="C27" s="55">
        <v>23.17</v>
      </c>
      <c r="D27" s="55">
        <v>15.80</v>
      </c>
      <c r="E27" s="55">
        <v>1.82</v>
      </c>
      <c r="F27" s="55">
        <v>9.09</v>
      </c>
      <c r="G27" s="55">
        <v>22.33</v>
      </c>
      <c r="H27" s="55">
        <v>6.23</v>
      </c>
      <c r="I27" s="58" t="s">
        <v>14</v>
      </c>
      <c r="J27" s="55">
        <v>0.19</v>
      </c>
      <c r="K27" s="55">
        <v>202.43</v>
      </c>
      <c r="L27" s="55">
        <v>25.81</v>
      </c>
      <c r="M27" s="55">
        <v>81.83</v>
      </c>
      <c r="N27" s="55">
        <v>69.099999999999994</v>
      </c>
      <c r="O27" s="55">
        <v>0</v>
      </c>
      <c r="P27" s="55">
        <v>0.88</v>
      </c>
      <c r="Q27" s="55">
        <v>5.15</v>
      </c>
      <c r="R27" s="43"/>
      <c r="S27" s="43"/>
      <c r="T27" s="43"/>
      <c r="U27" s="43"/>
    </row>
    <row r="28" spans="1:21" s="11" customFormat="1" ht="15">
      <c r="A28" s="54" t="s">
        <v>345</v>
      </c>
      <c r="B28" s="55">
        <v>3.57</v>
      </c>
      <c r="C28" s="55">
        <v>16.55</v>
      </c>
      <c r="D28" s="55">
        <v>12.46</v>
      </c>
      <c r="E28" s="55">
        <v>1.85</v>
      </c>
      <c r="F28" s="55">
        <v>12.08</v>
      </c>
      <c r="G28" s="55">
        <v>22.38</v>
      </c>
      <c r="H28" s="55">
        <v>9.7899999999999991</v>
      </c>
      <c r="I28" s="58" t="s">
        <v>14</v>
      </c>
      <c r="J28" s="55">
        <v>0.30</v>
      </c>
      <c r="K28" s="55">
        <v>232.11</v>
      </c>
      <c r="L28" s="55">
        <v>25.11</v>
      </c>
      <c r="M28" s="55">
        <v>86</v>
      </c>
      <c r="N28" s="55">
        <v>38.700000000000003</v>
      </c>
      <c r="O28" s="55">
        <v>0</v>
      </c>
      <c r="P28" s="55">
        <v>0.89</v>
      </c>
      <c r="Q28" s="55">
        <v>4.7699999999999996</v>
      </c>
      <c r="R28" s="43"/>
      <c r="S28" s="43"/>
      <c r="T28" s="43"/>
      <c r="U28" s="43"/>
    </row>
    <row r="29" spans="1:21" s="11" customFormat="1" ht="15">
      <c r="A29" s="54" t="s">
        <v>346</v>
      </c>
      <c r="B29" s="55">
        <v>5.26</v>
      </c>
      <c r="C29" s="55">
        <v>16.64</v>
      </c>
      <c r="D29" s="55">
        <v>13.03</v>
      </c>
      <c r="E29" s="55">
        <v>3.06</v>
      </c>
      <c r="F29" s="55">
        <v>15.09</v>
      </c>
      <c r="G29" s="55">
        <v>22.28</v>
      </c>
      <c r="H29" s="55">
        <v>11.52</v>
      </c>
      <c r="I29" s="58" t="s">
        <v>14</v>
      </c>
      <c r="J29" s="55">
        <v>0.20</v>
      </c>
      <c r="K29" s="55">
        <v>220.30</v>
      </c>
      <c r="L29" s="55">
        <v>24.66</v>
      </c>
      <c r="M29" s="55">
        <v>88.5</v>
      </c>
      <c r="N29" s="55">
        <v>38.700000000000003</v>
      </c>
      <c r="O29" s="55">
        <v>0</v>
      </c>
      <c r="P29" s="55">
        <v>0.90</v>
      </c>
      <c r="Q29" s="55">
        <v>7.43</v>
      </c>
      <c r="R29" s="43"/>
      <c r="S29" s="43"/>
      <c r="T29" s="43"/>
      <c r="U29" s="43"/>
    </row>
    <row r="30" spans="1:21" s="11" customFormat="1" ht="15">
      <c r="A30" s="54" t="s">
        <v>347</v>
      </c>
      <c r="B30" s="55">
        <v>6.20</v>
      </c>
      <c r="C30" s="55">
        <v>14.74</v>
      </c>
      <c r="D30" s="55">
        <v>13.75</v>
      </c>
      <c r="E30" s="55">
        <v>2.66</v>
      </c>
      <c r="F30" s="55">
        <v>7.74</v>
      </c>
      <c r="G30" s="55">
        <v>22.40</v>
      </c>
      <c r="H30" s="55">
        <v>11.58</v>
      </c>
      <c r="I30" s="58" t="s">
        <v>14</v>
      </c>
      <c r="J30" s="55">
        <v>0.24</v>
      </c>
      <c r="K30" s="55">
        <v>217.61</v>
      </c>
      <c r="L30" s="55">
        <v>24.32</v>
      </c>
      <c r="M30" s="55">
        <v>90.88</v>
      </c>
      <c r="N30" s="55">
        <v>38.5</v>
      </c>
      <c r="O30" s="55">
        <v>0</v>
      </c>
      <c r="P30" s="55">
        <v>0.93</v>
      </c>
      <c r="Q30" s="55">
        <v>7.69</v>
      </c>
      <c r="R30" s="43"/>
      <c r="S30" s="43"/>
      <c r="T30" s="43"/>
      <c r="U30" s="43"/>
    </row>
    <row r="31" spans="1:21" s="11" customFormat="1" ht="15">
      <c r="A31" s="54" t="s">
        <v>348</v>
      </c>
      <c r="B31" s="55">
        <v>5.99</v>
      </c>
      <c r="C31" s="55">
        <v>14.80</v>
      </c>
      <c r="D31" s="55">
        <v>13.62</v>
      </c>
      <c r="E31" s="55">
        <v>2.66</v>
      </c>
      <c r="F31" s="55">
        <v>7.54</v>
      </c>
      <c r="G31" s="55">
        <v>24.13</v>
      </c>
      <c r="H31" s="55">
        <v>12.91</v>
      </c>
      <c r="I31" s="58" t="s">
        <v>14</v>
      </c>
      <c r="J31" s="55">
        <v>0.16</v>
      </c>
      <c r="K31" s="55">
        <v>256.23</v>
      </c>
      <c r="L31" s="55">
        <v>23.90</v>
      </c>
      <c r="M31" s="55">
        <v>93.35</v>
      </c>
      <c r="N31" s="55">
        <v>38.40</v>
      </c>
      <c r="O31" s="55">
        <v>0</v>
      </c>
      <c r="P31" s="55">
        <v>0.95</v>
      </c>
      <c r="Q31" s="55">
        <v>9.27</v>
      </c>
      <c r="R31" s="43"/>
      <c r="S31" s="43"/>
      <c r="T31" s="43"/>
      <c r="U31" s="43"/>
    </row>
    <row r="32" spans="1:21" s="11" customFormat="1" ht="15">
      <c r="A32" s="54" t="s">
        <v>349</v>
      </c>
      <c r="B32" s="55">
        <v>6.73</v>
      </c>
      <c r="C32" s="55">
        <v>15.53</v>
      </c>
      <c r="D32" s="55">
        <v>14.31</v>
      </c>
      <c r="E32" s="55">
        <v>2.73</v>
      </c>
      <c r="F32" s="55">
        <v>7.96</v>
      </c>
      <c r="G32" s="55">
        <v>30.55</v>
      </c>
      <c r="H32" s="55">
        <v>12.98</v>
      </c>
      <c r="I32" s="58" t="s">
        <v>14</v>
      </c>
      <c r="J32" s="55">
        <v>0.18</v>
      </c>
      <c r="K32" s="55">
        <v>45.35</v>
      </c>
      <c r="L32" s="55">
        <v>23.63</v>
      </c>
      <c r="M32" s="55">
        <v>95.19</v>
      </c>
      <c r="N32" s="55">
        <v>38.40</v>
      </c>
      <c r="O32" s="55">
        <v>0</v>
      </c>
      <c r="P32" s="55">
        <v>0.95</v>
      </c>
      <c r="Q32" s="55">
        <v>9.75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2.9300000000000002</v>
      </c>
      <c r="C34" s="28">
        <f t="shared" si="0"/>
        <v>7.0499999999999998</v>
      </c>
      <c r="D34" s="28">
        <f t="shared" si="0"/>
        <v>7.3499999999999996</v>
      </c>
      <c r="E34" s="28">
        <f t="shared" si="0"/>
        <v>1.2</v>
      </c>
      <c r="F34" s="28">
        <f t="shared" si="0"/>
        <v>4.2999999999999998</v>
      </c>
      <c r="G34" s="28">
        <f t="shared" si="0"/>
        <v>22.280000000000001</v>
      </c>
      <c r="H34" s="28">
        <f t="shared" si="0"/>
        <v>5.8700000000000001</v>
      </c>
      <c r="I34" s="28">
        <f t="shared" si="0"/>
        <v>4.8399999999999999</v>
      </c>
      <c r="J34" s="28">
        <f t="shared" si="0"/>
        <v>0.12</v>
      </c>
      <c r="K34" s="28">
        <f t="shared" si="0"/>
        <v>45.350000000000001</v>
      </c>
      <c r="L34" s="28">
        <f t="shared" si="0"/>
        <v>22.440000000000001</v>
      </c>
      <c r="M34" s="28">
        <f t="shared" si="0"/>
        <v>73.290000000000006</v>
      </c>
      <c r="N34" s="28">
        <f t="shared" si="0"/>
        <v>38.399999999999999</v>
      </c>
      <c r="O34" s="28">
        <f t="shared" si="0"/>
        <v>0</v>
      </c>
      <c r="P34" s="28">
        <f t="shared" si="0"/>
        <v>0.62</v>
      </c>
      <c r="Q34" s="28">
        <f t="shared" si="0"/>
        <v>2.3199999999999998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10.94</v>
      </c>
      <c r="C35" s="29">
        <f t="shared" si="1"/>
        <v>23.780000000000001</v>
      </c>
      <c r="D35" s="29">
        <f t="shared" si="1"/>
        <v>18.390000000000001</v>
      </c>
      <c r="E35" s="29">
        <f t="shared" si="1"/>
        <v>3.1499999999999999</v>
      </c>
      <c r="F35" s="29">
        <f t="shared" si="1"/>
        <v>24.780000000000001</v>
      </c>
      <c r="G35" s="29">
        <f t="shared" si="1"/>
        <v>32.079999999999998</v>
      </c>
      <c r="H35" s="29">
        <f t="shared" si="1"/>
        <v>12.98</v>
      </c>
      <c r="I35" s="29">
        <f t="shared" si="1"/>
        <v>5.79</v>
      </c>
      <c r="J35" s="29">
        <f t="shared" si="1"/>
        <v>0.81000000000000005</v>
      </c>
      <c r="K35" s="29">
        <f t="shared" si="1"/>
        <v>342.42000000000002</v>
      </c>
      <c r="L35" s="29">
        <f t="shared" si="1"/>
        <v>27.91</v>
      </c>
      <c r="M35" s="29">
        <f t="shared" si="1"/>
        <v>97.180000000000007</v>
      </c>
      <c r="N35" s="29">
        <f t="shared" si="1"/>
        <v>1050.9000000000001</v>
      </c>
      <c r="O35" s="29">
        <f t="shared" si="1"/>
        <v>0</v>
      </c>
      <c r="P35" s="29">
        <f t="shared" si="1"/>
        <v>0.98999999999999999</v>
      </c>
      <c r="Q35" s="29">
        <f t="shared" si="1"/>
        <v>13.1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4.8337499999999993</v>
      </c>
      <c r="C36" s="28">
        <f t="shared" si="2"/>
        <v>13.531666666666666</v>
      </c>
      <c r="D36" s="28">
        <f t="shared" si="2"/>
        <v>11.702500000000001</v>
      </c>
      <c r="E36" s="28">
        <f t="shared" si="2"/>
        <v>2.3833333333333333</v>
      </c>
      <c r="F36" s="28">
        <f t="shared" si="2"/>
        <v>10.809583333333334</v>
      </c>
      <c r="G36" s="28">
        <f t="shared" si="2"/>
        <v>25.164285714285715</v>
      </c>
      <c r="H36" s="28">
        <f t="shared" si="2"/>
        <v>10.125714285714285</v>
      </c>
      <c r="I36" s="28">
        <f t="shared" si="2"/>
        <v>5.2919999999999998</v>
      </c>
      <c r="J36" s="28">
        <f t="shared" si="2"/>
        <v>0.34541666666666671</v>
      </c>
      <c r="K36" s="28">
        <f t="shared" si="2"/>
        <v>226.49708333333334</v>
      </c>
      <c r="L36" s="28">
        <f t="shared" si="2"/>
        <v>24.683750000000003</v>
      </c>
      <c r="M36" s="28">
        <f t="shared" si="2"/>
        <v>89.05749999999999</v>
      </c>
      <c r="N36" s="28">
        <f t="shared" si="2"/>
        <v>222.32499999999993</v>
      </c>
      <c r="O36" s="28">
        <f t="shared" si="2"/>
        <v>0</v>
      </c>
      <c r="P36" s="28">
        <f t="shared" si="2"/>
        <v>0.79999999999999993</v>
      </c>
      <c r="Q36" s="28">
        <f t="shared" si="2"/>
        <v>7.882083333333334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1.8295706612065652</v>
      </c>
      <c r="C37" s="28">
        <f t="shared" si="3" ref="C37:Q37">STDEV(C9:C32)</f>
        <v>5.1108781400380563</v>
      </c>
      <c r="D37" s="28">
        <f t="shared" si="3"/>
        <v>3.3834061175864938</v>
      </c>
      <c r="E37" s="28">
        <f t="shared" si="3"/>
        <v>0.52457574300088383</v>
      </c>
      <c r="F37" s="28">
        <f t="shared" si="3"/>
        <v>4.9967080286112786</v>
      </c>
      <c r="G37" s="28">
        <f t="shared" si="3"/>
        <v>4.2748990519966457</v>
      </c>
      <c r="H37" s="28">
        <f t="shared" si="3"/>
        <v>2.982129312772213</v>
      </c>
      <c r="I37" s="28">
        <f t="shared" si="3"/>
        <v>0.40014997188554197</v>
      </c>
      <c r="J37" s="28">
        <f t="shared" si="3"/>
        <v>0.18408360970580404</v>
      </c>
      <c r="K37" s="28">
        <f t="shared" si="3"/>
        <v>57.31633422842097</v>
      </c>
      <c r="L37" s="28">
        <f t="shared" si="3"/>
        <v>1.8330772713141954</v>
      </c>
      <c r="M37" s="28">
        <f t="shared" si="3"/>
        <v>8.4183806405208159</v>
      </c>
      <c r="N37" s="28">
        <f t="shared" si="3"/>
        <v>278.46499311637797</v>
      </c>
      <c r="O37" s="28">
        <f t="shared" si="3"/>
        <v>0</v>
      </c>
      <c r="P37" s="28">
        <f t="shared" si="3"/>
        <v>0.10758212232280194</v>
      </c>
      <c r="Q37" s="28">
        <f t="shared" si="3"/>
        <v>2.848509876144496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COUNT(G9:G32)+17</f>
        <v>24</v>
      </c>
      <c r="H38" s="32">
        <f>COUNT(H9:H32)+17</f>
        <v>24</v>
      </c>
      <c r="I38" s="32">
        <f>COUNT(I9:I32)+19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 t="s">
        <v>350</v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affca6-c17d-448d-91bc-89d381f666f6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1" sqref="H61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351</v>
      </c>
      <c r="B9" s="55">
        <v>5.44</v>
      </c>
      <c r="C9" s="55">
        <v>11.38</v>
      </c>
      <c r="D9" s="55">
        <v>11.29</v>
      </c>
      <c r="E9" s="55">
        <v>2.10</v>
      </c>
      <c r="F9" s="55">
        <v>6.09</v>
      </c>
      <c r="G9" s="55">
        <v>30.77</v>
      </c>
      <c r="H9" s="55">
        <v>16.63</v>
      </c>
      <c r="I9" s="57" t="s">
        <v>8</v>
      </c>
      <c r="J9" s="55">
        <v>0.06</v>
      </c>
      <c r="K9" s="55">
        <v>253.29</v>
      </c>
      <c r="L9" s="55">
        <v>23.09</v>
      </c>
      <c r="M9" s="55">
        <v>95.67</v>
      </c>
      <c r="N9" s="55">
        <v>38.5</v>
      </c>
      <c r="O9" s="55">
        <v>0</v>
      </c>
      <c r="P9" s="55">
        <v>0.90</v>
      </c>
      <c r="Q9" s="55">
        <v>6.69</v>
      </c>
      <c r="R9" s="43"/>
      <c r="S9" s="43"/>
      <c r="T9" s="43"/>
      <c r="U9" s="43"/>
    </row>
    <row r="10" spans="1:21" s="11" customFormat="1" ht="15">
      <c r="A10" s="54" t="s">
        <v>352</v>
      </c>
      <c r="B10" s="55">
        <v>4.67</v>
      </c>
      <c r="C10" s="55">
        <v>10.66</v>
      </c>
      <c r="D10" s="55">
        <v>10.27</v>
      </c>
      <c r="E10" s="55">
        <v>1.87</v>
      </c>
      <c r="F10" s="55">
        <v>9.25</v>
      </c>
      <c r="G10" s="55">
        <v>23.63</v>
      </c>
      <c r="H10" s="55">
        <v>16.80</v>
      </c>
      <c r="I10" s="57" t="s">
        <v>8</v>
      </c>
      <c r="J10" s="55">
        <v>0.11</v>
      </c>
      <c r="K10" s="55">
        <v>344.90</v>
      </c>
      <c r="L10" s="55">
        <v>22.81</v>
      </c>
      <c r="M10" s="55">
        <v>97.13</v>
      </c>
      <c r="N10" s="55">
        <v>38.299999999999997</v>
      </c>
      <c r="O10" s="55">
        <v>0</v>
      </c>
      <c r="P10" s="55">
        <v>0.84</v>
      </c>
      <c r="Q10" s="55">
        <v>7.97</v>
      </c>
      <c r="R10" s="43"/>
      <c r="S10" s="43"/>
      <c r="T10" s="43"/>
      <c r="U10" s="43"/>
    </row>
    <row r="11" spans="1:21" s="11" customFormat="1" ht="15">
      <c r="A11" s="54" t="s">
        <v>353</v>
      </c>
      <c r="B11" s="55">
        <v>4.78</v>
      </c>
      <c r="C11" s="55">
        <v>11.02</v>
      </c>
      <c r="D11" s="55">
        <v>10.45</v>
      </c>
      <c r="E11" s="55">
        <v>2.2999999999999998</v>
      </c>
      <c r="F11" s="55">
        <v>13.15</v>
      </c>
      <c r="G11" s="55">
        <v>23.76</v>
      </c>
      <c r="H11" s="55">
        <v>15.84</v>
      </c>
      <c r="I11" s="57" t="s">
        <v>8</v>
      </c>
      <c r="J11" s="55">
        <v>0.13</v>
      </c>
      <c r="K11" s="55">
        <v>338.02</v>
      </c>
      <c r="L11" s="55">
        <v>22.52</v>
      </c>
      <c r="M11" s="55">
        <v>97.20</v>
      </c>
      <c r="N11" s="55">
        <v>38.200000000000003</v>
      </c>
      <c r="O11" s="55">
        <v>0</v>
      </c>
      <c r="P11" s="55">
        <v>0.84</v>
      </c>
      <c r="Q11" s="55">
        <v>10.15</v>
      </c>
      <c r="R11" s="43"/>
      <c r="S11" s="43"/>
      <c r="T11" s="43"/>
      <c r="U11" s="43"/>
    </row>
    <row r="12" spans="1:21" s="11" customFormat="1" ht="15">
      <c r="A12" s="54" t="s">
        <v>354</v>
      </c>
      <c r="B12" s="55">
        <v>4.92</v>
      </c>
      <c r="C12" s="55">
        <v>10.30</v>
      </c>
      <c r="D12" s="55">
        <v>10.26</v>
      </c>
      <c r="E12" s="55">
        <v>2.2200000000000002</v>
      </c>
      <c r="F12" s="55">
        <v>6.30</v>
      </c>
      <c r="G12" s="55">
        <v>23.56</v>
      </c>
      <c r="H12" s="55">
        <v>14.25</v>
      </c>
      <c r="I12" s="57" t="s">
        <v>8</v>
      </c>
      <c r="J12" s="55">
        <v>0.33</v>
      </c>
      <c r="K12" s="55">
        <v>212.94</v>
      </c>
      <c r="L12" s="55">
        <v>22.27</v>
      </c>
      <c r="M12" s="55">
        <v>97.20</v>
      </c>
      <c r="N12" s="55">
        <v>38.40</v>
      </c>
      <c r="O12" s="55">
        <v>0</v>
      </c>
      <c r="P12" s="55">
        <v>0.82</v>
      </c>
      <c r="Q12" s="55">
        <v>9.4499999999999993</v>
      </c>
      <c r="R12" s="43"/>
      <c r="S12" s="43"/>
      <c r="T12" s="43"/>
      <c r="U12" s="43"/>
    </row>
    <row r="13" spans="1:21" s="11" customFormat="1" ht="15">
      <c r="A13" s="54" t="s">
        <v>355</v>
      </c>
      <c r="B13" s="55">
        <v>4.82</v>
      </c>
      <c r="C13" s="55">
        <v>10.66</v>
      </c>
      <c r="D13" s="55">
        <v>10.19</v>
      </c>
      <c r="E13" s="55">
        <v>2.0299999999999998</v>
      </c>
      <c r="F13" s="55">
        <v>13.49</v>
      </c>
      <c r="G13" s="55">
        <v>21.70</v>
      </c>
      <c r="H13" s="55">
        <v>14.30</v>
      </c>
      <c r="I13" s="57" t="s">
        <v>8</v>
      </c>
      <c r="J13" s="55">
        <v>0.56999999999999995</v>
      </c>
      <c r="K13" s="55">
        <v>195.95</v>
      </c>
      <c r="L13" s="55">
        <v>22.34</v>
      </c>
      <c r="M13" s="55">
        <v>97.20</v>
      </c>
      <c r="N13" s="55">
        <v>38.40</v>
      </c>
      <c r="O13" s="55">
        <v>0</v>
      </c>
      <c r="P13" s="55">
        <v>0.79</v>
      </c>
      <c r="Q13" s="55">
        <v>11</v>
      </c>
      <c r="R13" s="43"/>
      <c r="S13" s="43"/>
      <c r="T13" s="43"/>
      <c r="U13" s="43"/>
    </row>
    <row r="14" spans="1:21" s="11" customFormat="1" ht="15">
      <c r="A14" s="54" t="s">
        <v>356</v>
      </c>
      <c r="B14" s="55">
        <v>6.30</v>
      </c>
      <c r="C14" s="55">
        <v>13.02</v>
      </c>
      <c r="D14" s="55">
        <v>12.30</v>
      </c>
      <c r="E14" s="55">
        <v>2.4700000000000002</v>
      </c>
      <c r="F14" s="55">
        <v>12.01</v>
      </c>
      <c r="G14" s="55">
        <v>22.04</v>
      </c>
      <c r="H14" s="55">
        <v>13.44</v>
      </c>
      <c r="I14" s="57" t="s">
        <v>8</v>
      </c>
      <c r="J14" s="55">
        <v>0.65</v>
      </c>
      <c r="K14" s="55">
        <v>273.81</v>
      </c>
      <c r="L14" s="55">
        <v>22.35</v>
      </c>
      <c r="M14" s="55">
        <v>97.20</v>
      </c>
      <c r="N14" s="55">
        <v>85.30</v>
      </c>
      <c r="O14" s="55">
        <v>0</v>
      </c>
      <c r="P14" s="55">
        <v>0.79</v>
      </c>
      <c r="Q14" s="55">
        <v>14.37</v>
      </c>
      <c r="R14" s="43"/>
      <c r="S14" s="43"/>
      <c r="T14" s="43"/>
      <c r="U14" s="43"/>
    </row>
    <row r="15" spans="1:21" s="11" customFormat="1" ht="15">
      <c r="A15" s="54" t="s">
        <v>357</v>
      </c>
      <c r="B15" s="55">
        <v>6.97</v>
      </c>
      <c r="C15" s="55">
        <v>11.47</v>
      </c>
      <c r="D15" s="55">
        <v>12.57</v>
      </c>
      <c r="E15" s="55">
        <v>2.23</v>
      </c>
      <c r="F15" s="55">
        <v>4.47</v>
      </c>
      <c r="G15" s="55">
        <v>24.17</v>
      </c>
      <c r="H15" s="55">
        <v>11.80</v>
      </c>
      <c r="I15" s="57" t="s">
        <v>8</v>
      </c>
      <c r="J15" s="55">
        <v>0.91</v>
      </c>
      <c r="K15" s="55">
        <v>180.06</v>
      </c>
      <c r="L15" s="55">
        <v>23.94</v>
      </c>
      <c r="M15" s="55">
        <v>96.20</v>
      </c>
      <c r="N15" s="55">
        <v>231.10</v>
      </c>
      <c r="O15" s="55">
        <v>0</v>
      </c>
      <c r="P15" s="55">
        <v>0.80</v>
      </c>
      <c r="Q15" s="55">
        <v>12.72</v>
      </c>
      <c r="R15" s="43"/>
      <c r="S15" s="43"/>
      <c r="T15" s="43"/>
      <c r="U15" s="43"/>
    </row>
    <row r="16" spans="1:21" s="11" customFormat="1" ht="15">
      <c r="A16" s="54" t="s">
        <v>358</v>
      </c>
      <c r="B16" s="55">
        <v>7.82</v>
      </c>
      <c r="C16" s="55">
        <v>11.99</v>
      </c>
      <c r="D16" s="55">
        <v>12.45</v>
      </c>
      <c r="E16" s="55">
        <v>1.93</v>
      </c>
      <c r="F16" s="55">
        <v>9.3699999999999992</v>
      </c>
      <c r="G16" s="55">
        <v>28.39</v>
      </c>
      <c r="H16" s="55">
        <v>11.19</v>
      </c>
      <c r="I16" s="57" t="s">
        <v>8</v>
      </c>
      <c r="J16" s="55">
        <v>0.63</v>
      </c>
      <c r="K16" s="55">
        <v>179.58</v>
      </c>
      <c r="L16" s="55">
        <v>24.46</v>
      </c>
      <c r="M16" s="55">
        <v>91.32</v>
      </c>
      <c r="N16" s="55">
        <v>371.90</v>
      </c>
      <c r="O16" s="55">
        <v>0</v>
      </c>
      <c r="P16" s="55">
        <v>0.79</v>
      </c>
      <c r="Q16" s="55">
        <v>12.85</v>
      </c>
      <c r="R16" s="43"/>
      <c r="S16" s="43"/>
      <c r="T16" s="43"/>
      <c r="U16" s="43"/>
    </row>
    <row r="17" spans="1:21" s="11" customFormat="1" ht="15">
      <c r="A17" s="54" t="s">
        <v>359</v>
      </c>
      <c r="B17" s="55">
        <v>6.95</v>
      </c>
      <c r="C17" s="55">
        <v>11.51</v>
      </c>
      <c r="D17" s="55">
        <v>12.49</v>
      </c>
      <c r="E17" s="55">
        <v>1.87</v>
      </c>
      <c r="F17" s="55">
        <v>9.76</v>
      </c>
      <c r="G17" s="55">
        <v>28.53</v>
      </c>
      <c r="H17" s="55">
        <v>12.04</v>
      </c>
      <c r="I17" s="57" t="s">
        <v>8</v>
      </c>
      <c r="J17" s="55">
        <v>1.02</v>
      </c>
      <c r="K17" s="55">
        <v>204.12</v>
      </c>
      <c r="L17" s="55">
        <v>25.68</v>
      </c>
      <c r="M17" s="55">
        <v>83.84</v>
      </c>
      <c r="N17" s="55">
        <v>578.79999999999995</v>
      </c>
      <c r="O17" s="55">
        <v>0</v>
      </c>
      <c r="P17" s="55">
        <v>0.81</v>
      </c>
      <c r="Q17" s="55">
        <v>15.77</v>
      </c>
      <c r="R17" s="43"/>
      <c r="S17" s="43"/>
      <c r="T17" s="43"/>
      <c r="U17" s="43"/>
    </row>
    <row r="18" spans="1:21" s="11" customFormat="1" ht="15">
      <c r="A18" s="54" t="s">
        <v>360</v>
      </c>
      <c r="B18" s="55">
        <v>6</v>
      </c>
      <c r="C18" s="55">
        <v>12.69</v>
      </c>
      <c r="D18" s="55">
        <v>12</v>
      </c>
      <c r="E18" s="55">
        <v>1.87</v>
      </c>
      <c r="F18" s="55">
        <v>4.5199999999999996</v>
      </c>
      <c r="G18" s="55">
        <v>27.60</v>
      </c>
      <c r="H18" s="55">
        <v>13.92</v>
      </c>
      <c r="I18" s="57" t="s">
        <v>8</v>
      </c>
      <c r="J18" s="55">
        <v>0.55000000000000004</v>
      </c>
      <c r="K18" s="55">
        <v>210.72</v>
      </c>
      <c r="L18" s="55">
        <v>25.20</v>
      </c>
      <c r="M18" s="55">
        <v>84.51</v>
      </c>
      <c r="N18" s="55">
        <v>279.80</v>
      </c>
      <c r="O18" s="55">
        <v>0</v>
      </c>
      <c r="P18" s="55">
        <v>0.81</v>
      </c>
      <c r="Q18" s="55">
        <v>12.44</v>
      </c>
      <c r="R18" s="43"/>
      <c r="S18" s="43"/>
      <c r="T18" s="43"/>
      <c r="U18" s="43"/>
    </row>
    <row r="19" spans="1:21" s="11" customFormat="1" ht="15">
      <c r="A19" s="54" t="s">
        <v>361</v>
      </c>
      <c r="B19" s="55">
        <v>4.95</v>
      </c>
      <c r="C19" s="55">
        <v>12.96</v>
      </c>
      <c r="D19" s="55">
        <v>11.73</v>
      </c>
      <c r="E19" s="55">
        <v>1.63</v>
      </c>
      <c r="F19" s="55">
        <v>7.49</v>
      </c>
      <c r="G19" s="55">
        <v>29.09</v>
      </c>
      <c r="H19" s="55">
        <v>14.79</v>
      </c>
      <c r="I19" s="57" t="s">
        <v>8</v>
      </c>
      <c r="J19" s="55">
        <v>1.02</v>
      </c>
      <c r="K19" s="55">
        <v>211.45</v>
      </c>
      <c r="L19" s="55">
        <v>25.55</v>
      </c>
      <c r="M19" s="55">
        <v>82.37</v>
      </c>
      <c r="N19" s="55">
        <v>497.30</v>
      </c>
      <c r="O19" s="55">
        <v>0</v>
      </c>
      <c r="P19" s="55">
        <v>0.85</v>
      </c>
      <c r="Q19" s="55">
        <v>10.77</v>
      </c>
      <c r="R19" s="43"/>
      <c r="S19" s="43"/>
      <c r="T19" s="43"/>
      <c r="U19" s="43"/>
    </row>
    <row r="20" spans="1:21" s="11" customFormat="1" ht="15">
      <c r="A20" s="54" t="s">
        <v>362</v>
      </c>
      <c r="B20" s="55">
        <v>4.66</v>
      </c>
      <c r="C20" s="55">
        <v>12.57</v>
      </c>
      <c r="D20" s="55">
        <v>11.26</v>
      </c>
      <c r="E20" s="55">
        <v>1.74</v>
      </c>
      <c r="F20" s="55">
        <v>8.7100000000000009</v>
      </c>
      <c r="G20" s="55">
        <v>29.74</v>
      </c>
      <c r="H20" s="55">
        <v>14.79</v>
      </c>
      <c r="I20" s="57" t="s">
        <v>8</v>
      </c>
      <c r="J20" s="55">
        <v>0.63</v>
      </c>
      <c r="K20" s="55">
        <v>277.48</v>
      </c>
      <c r="L20" s="55">
        <v>26.73</v>
      </c>
      <c r="M20" s="55">
        <v>80.34</v>
      </c>
      <c r="N20" s="55">
        <v>577.20000000000005</v>
      </c>
      <c r="O20" s="55">
        <v>0</v>
      </c>
      <c r="P20" s="55">
        <v>0.84</v>
      </c>
      <c r="Q20" s="55">
        <v>10.60</v>
      </c>
      <c r="R20" s="43"/>
      <c r="S20" s="43"/>
      <c r="T20" s="43"/>
      <c r="U20" s="43"/>
    </row>
    <row r="21" spans="1:21" s="11" customFormat="1" ht="15">
      <c r="A21" s="54" t="s">
        <v>363</v>
      </c>
      <c r="B21" s="55">
        <v>3.76</v>
      </c>
      <c r="C21" s="55">
        <v>13.94</v>
      </c>
      <c r="D21" s="55">
        <v>11.24</v>
      </c>
      <c r="E21" s="55">
        <v>1.59</v>
      </c>
      <c r="F21" s="55">
        <v>5.0199999999999996</v>
      </c>
      <c r="G21" s="55">
        <v>29.76</v>
      </c>
      <c r="H21" s="55">
        <v>14.48</v>
      </c>
      <c r="I21" s="57" t="s">
        <v>8</v>
      </c>
      <c r="J21" s="55">
        <v>0.21</v>
      </c>
      <c r="K21" s="55">
        <v>356.35</v>
      </c>
      <c r="L21" s="55">
        <v>27.15</v>
      </c>
      <c r="M21" s="55">
        <v>75.5</v>
      </c>
      <c r="N21" s="55">
        <v>586.5</v>
      </c>
      <c r="O21" s="55">
        <v>0</v>
      </c>
      <c r="P21" s="55">
        <v>0.85</v>
      </c>
      <c r="Q21" s="55">
        <v>7.89</v>
      </c>
      <c r="R21" s="43"/>
      <c r="S21" s="43"/>
      <c r="T21" s="43"/>
      <c r="U21" s="43"/>
    </row>
    <row r="22" spans="1:21" s="11" customFormat="1" ht="15">
      <c r="A22" s="54" t="s">
        <v>364</v>
      </c>
      <c r="B22" s="55">
        <v>3.78</v>
      </c>
      <c r="C22" s="55">
        <v>13.84</v>
      </c>
      <c r="D22" s="55">
        <v>11.11</v>
      </c>
      <c r="E22" s="55">
        <v>1.30</v>
      </c>
      <c r="F22" s="55">
        <v>9.5</v>
      </c>
      <c r="G22" s="55">
        <v>27.20</v>
      </c>
      <c r="H22" s="55">
        <v>12.83</v>
      </c>
      <c r="I22" s="57" t="s">
        <v>8</v>
      </c>
      <c r="J22" s="55">
        <v>0.18</v>
      </c>
      <c r="K22" s="55">
        <v>350.58</v>
      </c>
      <c r="L22" s="55">
        <v>28.16</v>
      </c>
      <c r="M22" s="55">
        <v>73.959999999999994</v>
      </c>
      <c r="N22" s="55">
        <v>975.40</v>
      </c>
      <c r="O22" s="55">
        <v>0</v>
      </c>
      <c r="P22" s="55">
        <v>1.05</v>
      </c>
      <c r="Q22" s="55">
        <v>6.72</v>
      </c>
      <c r="R22" s="43"/>
      <c r="S22" s="43"/>
      <c r="T22" s="43"/>
      <c r="U22" s="43"/>
    </row>
    <row r="23" spans="1:21" s="11" customFormat="1" ht="15">
      <c r="A23" s="54" t="s">
        <v>365</v>
      </c>
      <c r="B23" s="55">
        <v>3.82</v>
      </c>
      <c r="C23" s="55">
        <v>12.77</v>
      </c>
      <c r="D23" s="55">
        <v>10.75</v>
      </c>
      <c r="E23" s="55">
        <v>1.80</v>
      </c>
      <c r="F23" s="55">
        <v>10.62</v>
      </c>
      <c r="G23" s="55">
        <v>27.21</v>
      </c>
      <c r="H23" s="55">
        <v>10.5</v>
      </c>
      <c r="I23" s="57" t="s">
        <v>8</v>
      </c>
      <c r="J23" s="55">
        <v>0.76</v>
      </c>
      <c r="K23" s="55">
        <v>231.74</v>
      </c>
      <c r="L23" s="55">
        <v>28.30</v>
      </c>
      <c r="M23" s="55">
        <v>70.319999999999993</v>
      </c>
      <c r="N23" s="55">
        <v>795.90</v>
      </c>
      <c r="O23" s="55">
        <v>0</v>
      </c>
      <c r="P23" s="55">
        <v>1.05</v>
      </c>
      <c r="Q23" s="55">
        <v>7.53</v>
      </c>
      <c r="R23" s="43"/>
      <c r="S23" s="43"/>
      <c r="T23" s="43"/>
      <c r="U23" s="43"/>
    </row>
    <row r="24" spans="1:21" s="11" customFormat="1" ht="15">
      <c r="A24" s="54" t="s">
        <v>366</v>
      </c>
      <c r="B24" s="55">
        <v>2.84</v>
      </c>
      <c r="C24" s="55">
        <v>12.45</v>
      </c>
      <c r="D24" s="55">
        <v>9.6199999999999992</v>
      </c>
      <c r="E24" s="55">
        <v>1.65</v>
      </c>
      <c r="F24" s="55">
        <v>6.43</v>
      </c>
      <c r="G24" s="55">
        <v>24.30</v>
      </c>
      <c r="H24" s="55">
        <v>10.33</v>
      </c>
      <c r="I24" s="57" t="s">
        <v>8</v>
      </c>
      <c r="J24" s="55">
        <v>0.37</v>
      </c>
      <c r="K24" s="55">
        <v>211.86</v>
      </c>
      <c r="L24" s="55">
        <v>28.01</v>
      </c>
      <c r="M24" s="55">
        <v>71.099999999999994</v>
      </c>
      <c r="N24" s="55">
        <v>236.5</v>
      </c>
      <c r="O24" s="55">
        <v>0</v>
      </c>
      <c r="P24" s="55">
        <v>1.02</v>
      </c>
      <c r="Q24" s="55">
        <v>4.5999999999999996</v>
      </c>
      <c r="R24" s="43"/>
      <c r="S24" s="43"/>
      <c r="T24" s="43"/>
      <c r="U24" s="43"/>
    </row>
    <row r="25" spans="1:21" s="11" customFormat="1" ht="15">
      <c r="A25" s="54" t="s">
        <v>367</v>
      </c>
      <c r="B25" s="55">
        <v>3.81</v>
      </c>
      <c r="C25" s="55">
        <v>15.24</v>
      </c>
      <c r="D25" s="55">
        <v>12.11</v>
      </c>
      <c r="E25" s="55">
        <v>2.2200000000000002</v>
      </c>
      <c r="F25" s="55">
        <v>12.5</v>
      </c>
      <c r="G25" s="55">
        <v>24.33</v>
      </c>
      <c r="H25" s="55">
        <v>11.24</v>
      </c>
      <c r="I25" s="57" t="s">
        <v>8</v>
      </c>
      <c r="J25" s="55">
        <v>0.26</v>
      </c>
      <c r="K25" s="55">
        <v>224.17</v>
      </c>
      <c r="L25" s="55">
        <v>27.63</v>
      </c>
      <c r="M25" s="55">
        <v>72.150000000000006</v>
      </c>
      <c r="N25" s="55">
        <v>229.60</v>
      </c>
      <c r="O25" s="55">
        <v>0</v>
      </c>
      <c r="P25" s="55">
        <v>1.03</v>
      </c>
      <c r="Q25" s="55">
        <v>5.99</v>
      </c>
      <c r="R25" s="43"/>
      <c r="S25" s="43"/>
      <c r="T25" s="43"/>
      <c r="U25" s="43"/>
    </row>
    <row r="26" spans="1:21" s="11" customFormat="1" ht="15">
      <c r="A26" s="54" t="s">
        <v>368</v>
      </c>
      <c r="B26" s="55">
        <v>4.49</v>
      </c>
      <c r="C26" s="55">
        <v>16.03</v>
      </c>
      <c r="D26" s="55">
        <v>13.10</v>
      </c>
      <c r="E26" s="55">
        <v>2.31</v>
      </c>
      <c r="F26" s="55">
        <v>8.15</v>
      </c>
      <c r="G26" s="55">
        <v>22.71</v>
      </c>
      <c r="H26" s="55">
        <v>11.24</v>
      </c>
      <c r="I26" s="57" t="s">
        <v>8</v>
      </c>
      <c r="J26" s="55">
        <v>0.24</v>
      </c>
      <c r="K26" s="55">
        <v>41.28</v>
      </c>
      <c r="L26" s="55">
        <v>27.69</v>
      </c>
      <c r="M26" s="55">
        <v>69.97</v>
      </c>
      <c r="N26" s="55">
        <v>111.10</v>
      </c>
      <c r="O26" s="55">
        <v>0</v>
      </c>
      <c r="P26" s="55">
        <v>1.1100000000000001</v>
      </c>
      <c r="Q26" s="55">
        <v>6.11</v>
      </c>
      <c r="R26" s="43"/>
      <c r="S26" s="43"/>
      <c r="T26" s="43"/>
      <c r="U26" s="43"/>
    </row>
    <row r="27" spans="1:21" s="11" customFormat="1" ht="15">
      <c r="A27" s="54" t="s">
        <v>369</v>
      </c>
      <c r="B27" s="55">
        <v>8.07</v>
      </c>
      <c r="C27" s="55">
        <v>20.010000000000002</v>
      </c>
      <c r="D27" s="55">
        <v>17.579999999999998</v>
      </c>
      <c r="E27" s="55">
        <v>2.31</v>
      </c>
      <c r="F27" s="55">
        <v>6.54</v>
      </c>
      <c r="G27" s="55">
        <v>30.94</v>
      </c>
      <c r="H27" s="55">
        <v>10.79</v>
      </c>
      <c r="I27" s="57" t="s">
        <v>8</v>
      </c>
      <c r="J27" s="55">
        <v>0.20</v>
      </c>
      <c r="K27" s="55">
        <v>55.47</v>
      </c>
      <c r="L27" s="55">
        <v>27.22</v>
      </c>
      <c r="M27" s="55">
        <v>75.88</v>
      </c>
      <c r="N27" s="55">
        <v>71.80</v>
      </c>
      <c r="O27" s="55">
        <v>0</v>
      </c>
      <c r="P27" s="55">
        <v>1.24</v>
      </c>
      <c r="Q27" s="55">
        <v>4.96</v>
      </c>
      <c r="R27" s="43"/>
      <c r="S27" s="43"/>
      <c r="T27" s="43"/>
      <c r="U27" s="43"/>
    </row>
    <row r="28" spans="1:21" s="11" customFormat="1" ht="15">
      <c r="A28" s="54" t="s">
        <v>370</v>
      </c>
      <c r="B28" s="55">
        <v>21.70</v>
      </c>
      <c r="C28" s="55">
        <v>32.36</v>
      </c>
      <c r="D28" s="55">
        <v>30.88</v>
      </c>
      <c r="E28" s="55">
        <v>2.57</v>
      </c>
      <c r="F28" s="55">
        <v>16.170000000000002</v>
      </c>
      <c r="G28" s="55">
        <v>32.11</v>
      </c>
      <c r="H28" s="55">
        <v>14.58</v>
      </c>
      <c r="I28" s="57" t="s">
        <v>8</v>
      </c>
      <c r="J28" s="55">
        <v>0.10</v>
      </c>
      <c r="K28" s="55">
        <v>230.94</v>
      </c>
      <c r="L28" s="55">
        <v>26.35</v>
      </c>
      <c r="M28" s="55">
        <v>81.25</v>
      </c>
      <c r="N28" s="55">
        <v>38.200000000000003</v>
      </c>
      <c r="O28" s="55">
        <v>0</v>
      </c>
      <c r="P28" s="55">
        <v>1.21</v>
      </c>
      <c r="Q28" s="55">
        <v>10.46</v>
      </c>
      <c r="R28" s="43"/>
      <c r="S28" s="43"/>
      <c r="T28" s="43"/>
      <c r="U28" s="43"/>
    </row>
    <row r="29" spans="1:21" s="11" customFormat="1" ht="15">
      <c r="A29" s="54" t="s">
        <v>371</v>
      </c>
      <c r="B29" s="55">
        <v>9.1999999999999993</v>
      </c>
      <c r="C29" s="55">
        <v>24.84</v>
      </c>
      <c r="D29" s="55">
        <v>21.73</v>
      </c>
      <c r="E29" s="55">
        <v>2.37</v>
      </c>
      <c r="F29" s="55">
        <v>13.24</v>
      </c>
      <c r="G29" s="55">
        <v>34.590000000000003</v>
      </c>
      <c r="H29" s="55">
        <v>14.58</v>
      </c>
      <c r="I29" s="57" t="s">
        <v>8</v>
      </c>
      <c r="J29" s="55">
        <v>0.13</v>
      </c>
      <c r="K29" s="55">
        <v>353.84</v>
      </c>
      <c r="L29" s="55">
        <v>25.80</v>
      </c>
      <c r="M29" s="55">
        <v>80.77</v>
      </c>
      <c r="N29" s="55">
        <v>38.200000000000003</v>
      </c>
      <c r="O29" s="55">
        <v>0</v>
      </c>
      <c r="P29" s="55">
        <v>1.26</v>
      </c>
      <c r="Q29" s="55">
        <v>10.26</v>
      </c>
      <c r="R29" s="43"/>
      <c r="S29" s="43"/>
      <c r="T29" s="43"/>
      <c r="U29" s="43"/>
    </row>
    <row r="30" spans="1:21" s="11" customFormat="1" ht="15">
      <c r="A30" s="54" t="s">
        <v>372</v>
      </c>
      <c r="B30" s="55">
        <v>10.63</v>
      </c>
      <c r="C30" s="55">
        <v>19.98</v>
      </c>
      <c r="D30" s="55">
        <v>20.20</v>
      </c>
      <c r="E30" s="55">
        <v>1.92</v>
      </c>
      <c r="F30" s="55">
        <v>7.52</v>
      </c>
      <c r="G30" s="55">
        <v>34.700000000000003</v>
      </c>
      <c r="H30" s="55">
        <v>16.62</v>
      </c>
      <c r="I30" s="57" t="s">
        <v>8</v>
      </c>
      <c r="J30" s="55">
        <v>0.18</v>
      </c>
      <c r="K30" s="55">
        <v>241.53</v>
      </c>
      <c r="L30" s="55">
        <v>25.44</v>
      </c>
      <c r="M30" s="55">
        <v>83.27</v>
      </c>
      <c r="N30" s="55">
        <v>38.200000000000003</v>
      </c>
      <c r="O30" s="55">
        <v>0</v>
      </c>
      <c r="P30" s="55">
        <v>1.30</v>
      </c>
      <c r="Q30" s="55">
        <v>8.01</v>
      </c>
      <c r="R30" s="43"/>
      <c r="S30" s="43"/>
      <c r="T30" s="43"/>
      <c r="U30" s="43"/>
    </row>
    <row r="31" spans="1:21" s="11" customFormat="1" ht="15">
      <c r="A31" s="54" t="s">
        <v>373</v>
      </c>
      <c r="B31" s="55">
        <v>7.16</v>
      </c>
      <c r="C31" s="55">
        <v>23.94</v>
      </c>
      <c r="D31" s="55">
        <v>18.809999999999999</v>
      </c>
      <c r="E31" s="55">
        <v>2.02</v>
      </c>
      <c r="F31" s="55">
        <v>15.57</v>
      </c>
      <c r="G31" s="55">
        <v>35.99</v>
      </c>
      <c r="H31" s="55">
        <v>16.62</v>
      </c>
      <c r="I31" s="57" t="s">
        <v>8</v>
      </c>
      <c r="J31" s="55">
        <v>0.24</v>
      </c>
      <c r="K31" s="55">
        <v>160</v>
      </c>
      <c r="L31" s="55">
        <v>25.12</v>
      </c>
      <c r="M31" s="55">
        <v>87.24</v>
      </c>
      <c r="N31" s="55">
        <v>38</v>
      </c>
      <c r="O31" s="55">
        <v>0</v>
      </c>
      <c r="P31" s="55">
        <v>1.28</v>
      </c>
      <c r="Q31" s="55">
        <v>11.48</v>
      </c>
      <c r="R31" s="43"/>
      <c r="S31" s="43"/>
      <c r="T31" s="43"/>
      <c r="U31" s="43"/>
    </row>
    <row r="32" spans="1:21" s="11" customFormat="1" ht="15">
      <c r="A32" s="54" t="s">
        <v>374</v>
      </c>
      <c r="B32" s="55">
        <v>6.5</v>
      </c>
      <c r="C32" s="55">
        <v>17.760000000000002</v>
      </c>
      <c r="D32" s="55">
        <v>14.76</v>
      </c>
      <c r="E32" s="55">
        <v>2.12</v>
      </c>
      <c r="F32" s="55">
        <v>11.58</v>
      </c>
      <c r="G32" s="55">
        <v>36.03</v>
      </c>
      <c r="H32" s="55">
        <v>24.37</v>
      </c>
      <c r="I32" s="57" t="s">
        <v>8</v>
      </c>
      <c r="J32" s="55">
        <v>0.26</v>
      </c>
      <c r="K32" s="55">
        <v>257.38</v>
      </c>
      <c r="L32" s="55">
        <v>24.64</v>
      </c>
      <c r="M32" s="55">
        <v>89.53</v>
      </c>
      <c r="N32" s="55">
        <v>38</v>
      </c>
      <c r="O32" s="55">
        <v>0</v>
      </c>
      <c r="P32" s="55">
        <v>1.24</v>
      </c>
      <c r="Q32" s="55">
        <v>13.10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2.8399999999999999</v>
      </c>
      <c r="C34" s="28">
        <f t="shared" si="0"/>
        <v>10.300000000000001</v>
      </c>
      <c r="D34" s="28">
        <f t="shared" si="0"/>
        <v>9.6199999999999992</v>
      </c>
      <c r="E34" s="28">
        <f t="shared" si="0"/>
        <v>1.3</v>
      </c>
      <c r="F34" s="28">
        <f t="shared" si="0"/>
        <v>4.4699999999999998</v>
      </c>
      <c r="G34" s="28">
        <f t="shared" si="0"/>
        <v>21.699999999999999</v>
      </c>
      <c r="H34" s="28">
        <f t="shared" si="0"/>
        <v>10.33</v>
      </c>
      <c r="I34" s="28">
        <f t="shared" si="0"/>
        <v>0</v>
      </c>
      <c r="J34" s="28">
        <f t="shared" si="0"/>
        <v>0.059999999999999998</v>
      </c>
      <c r="K34" s="28">
        <f t="shared" si="0"/>
        <v>41.280000000000001</v>
      </c>
      <c r="L34" s="28">
        <f t="shared" si="0"/>
        <v>22.27</v>
      </c>
      <c r="M34" s="28">
        <f t="shared" si="0"/>
        <v>69.969999999999999</v>
      </c>
      <c r="N34" s="28">
        <f t="shared" si="0"/>
        <v>38</v>
      </c>
      <c r="O34" s="28">
        <f t="shared" si="0"/>
        <v>0</v>
      </c>
      <c r="P34" s="28">
        <f t="shared" si="0"/>
        <v>0.79000000000000004</v>
      </c>
      <c r="Q34" s="28">
        <f t="shared" si="0"/>
        <v>4.5999999999999996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21.699999999999999</v>
      </c>
      <c r="C35" s="29">
        <f t="shared" si="1"/>
        <v>32.359999999999999</v>
      </c>
      <c r="D35" s="29">
        <f t="shared" si="1"/>
        <v>30.879999999999999</v>
      </c>
      <c r="E35" s="29">
        <f t="shared" si="1"/>
        <v>2.5699999999999998</v>
      </c>
      <c r="F35" s="29">
        <f t="shared" si="1"/>
        <v>16.170000000000002</v>
      </c>
      <c r="G35" s="29">
        <f t="shared" si="1"/>
        <v>36.030000000000001</v>
      </c>
      <c r="H35" s="29">
        <f t="shared" si="1"/>
        <v>24.370000000000001</v>
      </c>
      <c r="I35" s="29">
        <f t="shared" si="1"/>
        <v>0</v>
      </c>
      <c r="J35" s="29">
        <f t="shared" si="1"/>
        <v>1.02</v>
      </c>
      <c r="K35" s="29">
        <f t="shared" si="1"/>
        <v>356.35000000000002</v>
      </c>
      <c r="L35" s="29">
        <f t="shared" si="1"/>
        <v>28.300000000000001</v>
      </c>
      <c r="M35" s="29">
        <f t="shared" si="1"/>
        <v>97.200000000000003</v>
      </c>
      <c r="N35" s="29">
        <f t="shared" si="1"/>
        <v>975.39999999999998</v>
      </c>
      <c r="O35" s="29">
        <f t="shared" si="1"/>
        <v>0</v>
      </c>
      <c r="P35" s="29">
        <f t="shared" si="1"/>
        <v>1.3</v>
      </c>
      <c r="Q35" s="29">
        <f t="shared" si="1"/>
        <v>15.77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6.4183333333333339</v>
      </c>
      <c r="C36" s="28">
        <f t="shared" si="2"/>
        <v>15.141249999999999</v>
      </c>
      <c r="D36" s="28">
        <f t="shared" si="2"/>
        <v>13.714583333333335</v>
      </c>
      <c r="E36" s="28">
        <f t="shared" si="2"/>
        <v>2.0183333333333335</v>
      </c>
      <c r="F36" s="28">
        <f t="shared" si="2"/>
        <v>9.4770833333333346</v>
      </c>
      <c r="G36" s="28">
        <f t="shared" si="2"/>
        <v>28.035416666666663</v>
      </c>
      <c r="H36" s="28">
        <f t="shared" si="2"/>
        <v>14.082083333333332</v>
      </c>
      <c r="I36" s="28" t="e">
        <f t="shared" si="2"/>
        <v>#DIV/0!</v>
      </c>
      <c r="J36" s="28">
        <f t="shared" si="2"/>
        <v>0.40583333333333327</v>
      </c>
      <c r="K36" s="28">
        <f t="shared" si="2"/>
        <v>233.22749999999994</v>
      </c>
      <c r="L36" s="28">
        <f t="shared" si="2"/>
        <v>25.352083333333336</v>
      </c>
      <c r="M36" s="28">
        <f t="shared" si="2"/>
        <v>84.629999999999995</v>
      </c>
      <c r="N36" s="28">
        <f t="shared" si="2"/>
        <v>250.44166666666663</v>
      </c>
      <c r="O36" s="28">
        <f t="shared" si="2"/>
        <v>0</v>
      </c>
      <c r="P36" s="28">
        <f t="shared" si="2"/>
        <v>0.97999999999999998</v>
      </c>
      <c r="Q36" s="28">
        <f t="shared" si="2"/>
        <v>9.6620833333333334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3.7641393342351481</v>
      </c>
      <c r="C37" s="28">
        <f t="shared" si="3" ref="C37:Q37">STDEV(C9:C32)</f>
        <v>5.4849646762764106</v>
      </c>
      <c r="D37" s="28">
        <f t="shared" si="3"/>
        <v>4.9186521476188334</v>
      </c>
      <c r="E37" s="28">
        <f t="shared" si="3"/>
        <v>0.3106328276650554</v>
      </c>
      <c r="F37" s="28">
        <f t="shared" si="3"/>
        <v>3.4021265461813504</v>
      </c>
      <c r="G37" s="28">
        <f t="shared" si="3"/>
        <v>4.4760211165980968</v>
      </c>
      <c r="H37" s="28">
        <f t="shared" si="3"/>
        <v>3.02938647708348</v>
      </c>
      <c r="I37" s="28" t="e">
        <f t="shared" si="3"/>
        <v>#DIV/0!</v>
      </c>
      <c r="J37" s="28">
        <f t="shared" si="3"/>
        <v>0.30086710437127157</v>
      </c>
      <c r="K37" s="28">
        <f t="shared" si="3"/>
        <v>82.164831429955953</v>
      </c>
      <c r="L37" s="28">
        <f t="shared" si="3"/>
        <v>2.0304550339585301</v>
      </c>
      <c r="M37" s="28">
        <f t="shared" si="3"/>
        <v>9.7895005868089005</v>
      </c>
      <c r="N37" s="28">
        <f t="shared" si="3"/>
        <v>276.39504953200077</v>
      </c>
      <c r="O37" s="28">
        <f t="shared" si="3"/>
        <v>0</v>
      </c>
      <c r="P37" s="28">
        <f t="shared" si="3"/>
        <v>0.18798704858256296</v>
      </c>
      <c r="Q37" s="28">
        <f t="shared" si="3"/>
        <v>3.0331759494925024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4a67f7-680e-40ba-8a28-f4d940802998}">
  <sheetPr codeName=""/>
  <dimension ref="A1:U119"/>
  <sheetViews>
    <sheetView workbookViewId="0" topLeftCell="A1">
      <pane xSplit="1" ySplit="8" topLeftCell="B36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6" sqref="I36:I3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375</v>
      </c>
      <c r="B9" s="55">
        <v>5.97</v>
      </c>
      <c r="C9" s="55">
        <v>12.49</v>
      </c>
      <c r="D9" s="55">
        <v>12.14</v>
      </c>
      <c r="E9" s="55">
        <v>2.31</v>
      </c>
      <c r="F9" s="55">
        <v>12.33</v>
      </c>
      <c r="G9" s="55">
        <v>32.619999999999997</v>
      </c>
      <c r="H9" s="55">
        <v>30.37</v>
      </c>
      <c r="I9" s="57" t="s">
        <v>8</v>
      </c>
      <c r="J9" s="55">
        <v>0.14000000000000001</v>
      </c>
      <c r="K9" s="55">
        <v>348.63</v>
      </c>
      <c r="L9" s="55">
        <v>24.47</v>
      </c>
      <c r="M9" s="55">
        <v>89.70</v>
      </c>
      <c r="N9" s="55">
        <v>38</v>
      </c>
      <c r="O9" s="55">
        <v>0</v>
      </c>
      <c r="P9" s="55">
        <v>1.18</v>
      </c>
      <c r="Q9" s="55">
        <v>10.69</v>
      </c>
      <c r="R9" s="43"/>
      <c r="S9" s="43"/>
      <c r="T9" s="43"/>
      <c r="U9" s="43"/>
    </row>
    <row r="10" spans="1:21" s="11" customFormat="1" ht="15">
      <c r="A10" s="54" t="s">
        <v>376</v>
      </c>
      <c r="B10" s="55">
        <v>3.81</v>
      </c>
      <c r="C10" s="55">
        <v>10.55</v>
      </c>
      <c r="D10" s="55">
        <v>9.5299999999999994</v>
      </c>
      <c r="E10" s="55">
        <v>2.5499999999999998</v>
      </c>
      <c r="F10" s="55">
        <v>19.39</v>
      </c>
      <c r="G10" s="58" t="s">
        <v>14</v>
      </c>
      <c r="H10" s="58" t="s">
        <v>14</v>
      </c>
      <c r="I10" s="57" t="s">
        <v>8</v>
      </c>
      <c r="J10" s="55">
        <v>0.47</v>
      </c>
      <c r="K10" s="55">
        <v>252.07</v>
      </c>
      <c r="L10" s="55">
        <v>24.37</v>
      </c>
      <c r="M10" s="55">
        <v>89.96</v>
      </c>
      <c r="N10" s="55">
        <v>38.10</v>
      </c>
      <c r="O10" s="55">
        <v>0</v>
      </c>
      <c r="P10" s="55">
        <v>1.1100000000000001</v>
      </c>
      <c r="Q10" s="55">
        <v>14.80</v>
      </c>
      <c r="R10" s="43"/>
      <c r="S10" s="43"/>
      <c r="T10" s="43"/>
      <c r="U10" s="43"/>
    </row>
    <row r="11" spans="1:21" s="11" customFormat="1" ht="15">
      <c r="A11" s="54" t="s">
        <v>377</v>
      </c>
      <c r="B11" s="55">
        <v>5.54</v>
      </c>
      <c r="C11" s="55">
        <v>11.17</v>
      </c>
      <c r="D11" s="55">
        <v>11.17</v>
      </c>
      <c r="E11" s="55">
        <v>2.44</v>
      </c>
      <c r="F11" s="55">
        <v>11.65</v>
      </c>
      <c r="G11" s="58" t="s">
        <v>14</v>
      </c>
      <c r="H11" s="58" t="s">
        <v>14</v>
      </c>
      <c r="I11" s="57" t="s">
        <v>8</v>
      </c>
      <c r="J11" s="55">
        <v>0.10</v>
      </c>
      <c r="K11" s="55">
        <v>270.87</v>
      </c>
      <c r="L11" s="55">
        <v>24.02</v>
      </c>
      <c r="M11" s="55">
        <v>90.72</v>
      </c>
      <c r="N11" s="55">
        <v>38</v>
      </c>
      <c r="O11" s="55">
        <v>0</v>
      </c>
      <c r="P11" s="55">
        <v>1.07</v>
      </c>
      <c r="Q11" s="55">
        <v>16.54</v>
      </c>
      <c r="R11" s="43"/>
      <c r="S11" s="43"/>
      <c r="T11" s="43"/>
      <c r="U11" s="43"/>
    </row>
    <row r="12" spans="1:21" s="11" customFormat="1" ht="15">
      <c r="A12" s="54" t="s">
        <v>378</v>
      </c>
      <c r="B12" s="55">
        <v>5.43</v>
      </c>
      <c r="C12" s="55">
        <v>11.72</v>
      </c>
      <c r="D12" s="55">
        <v>11.38</v>
      </c>
      <c r="E12" s="55">
        <v>2.2599999999999998</v>
      </c>
      <c r="F12" s="55">
        <v>10.119999999999999</v>
      </c>
      <c r="G12" s="55">
        <v>21.92</v>
      </c>
      <c r="H12" s="55">
        <v>20.18</v>
      </c>
      <c r="I12" s="57" t="s">
        <v>8</v>
      </c>
      <c r="J12" s="55">
        <v>0.16</v>
      </c>
      <c r="K12" s="55">
        <v>214.84</v>
      </c>
      <c r="L12" s="55">
        <v>23.87</v>
      </c>
      <c r="M12" s="55">
        <v>93.63</v>
      </c>
      <c r="N12" s="55">
        <v>37.90</v>
      </c>
      <c r="O12" s="55">
        <v>0</v>
      </c>
      <c r="P12" s="55">
        <v>1.04</v>
      </c>
      <c r="Q12" s="55">
        <v>13.21</v>
      </c>
      <c r="R12" s="43"/>
      <c r="S12" s="43"/>
      <c r="T12" s="43"/>
      <c r="U12" s="43"/>
    </row>
    <row r="13" spans="1:21" s="11" customFormat="1" ht="15">
      <c r="A13" s="54" t="s">
        <v>379</v>
      </c>
      <c r="B13" s="55">
        <v>4.04</v>
      </c>
      <c r="C13" s="55">
        <v>13</v>
      </c>
      <c r="D13" s="55">
        <v>11.06</v>
      </c>
      <c r="E13" s="55">
        <v>2.56</v>
      </c>
      <c r="F13" s="55">
        <v>13.66</v>
      </c>
      <c r="G13" s="55">
        <v>21.05</v>
      </c>
      <c r="H13" s="55">
        <v>18.190000000000001</v>
      </c>
      <c r="I13" s="57" t="s">
        <v>8</v>
      </c>
      <c r="J13" s="55">
        <v>0.21</v>
      </c>
      <c r="K13" s="55">
        <v>271.20999999999998</v>
      </c>
      <c r="L13" s="55">
        <v>23.63</v>
      </c>
      <c r="M13" s="55">
        <v>94.62</v>
      </c>
      <c r="N13" s="55">
        <v>38</v>
      </c>
      <c r="O13" s="55">
        <v>0</v>
      </c>
      <c r="P13" s="55">
        <v>1.02</v>
      </c>
      <c r="Q13" s="55">
        <v>15.07</v>
      </c>
      <c r="R13" s="43"/>
      <c r="S13" s="43"/>
      <c r="T13" s="43"/>
      <c r="U13" s="43"/>
    </row>
    <row r="14" spans="1:21" s="11" customFormat="1" ht="15">
      <c r="A14" s="54" t="s">
        <v>380</v>
      </c>
      <c r="B14" s="55">
        <v>6.29</v>
      </c>
      <c r="C14" s="55">
        <v>13.62</v>
      </c>
      <c r="D14" s="55">
        <v>12.71</v>
      </c>
      <c r="E14" s="55">
        <v>2.82</v>
      </c>
      <c r="F14" s="55">
        <v>6.84</v>
      </c>
      <c r="G14" s="55">
        <v>22.12</v>
      </c>
      <c r="H14" s="55">
        <v>18.190000000000001</v>
      </c>
      <c r="I14" s="57" t="s">
        <v>8</v>
      </c>
      <c r="J14" s="55">
        <v>0.66</v>
      </c>
      <c r="K14" s="55">
        <v>233.25</v>
      </c>
      <c r="L14" s="55">
        <v>23.57</v>
      </c>
      <c r="M14" s="55">
        <v>95.47</v>
      </c>
      <c r="N14" s="55">
        <v>63.20</v>
      </c>
      <c r="O14" s="55">
        <v>0</v>
      </c>
      <c r="P14" s="55">
        <v>1</v>
      </c>
      <c r="Q14" s="55">
        <v>16.72</v>
      </c>
      <c r="R14" s="43"/>
      <c r="S14" s="43"/>
      <c r="T14" s="43"/>
      <c r="U14" s="43"/>
    </row>
    <row r="15" spans="1:21" s="11" customFormat="1" ht="15">
      <c r="A15" s="54" t="s">
        <v>381</v>
      </c>
      <c r="B15" s="55">
        <v>6.90</v>
      </c>
      <c r="C15" s="55">
        <v>12.67</v>
      </c>
      <c r="D15" s="55">
        <v>12.93</v>
      </c>
      <c r="E15" s="55">
        <v>2.58</v>
      </c>
      <c r="F15" s="55">
        <v>6.64</v>
      </c>
      <c r="G15" s="55">
        <v>23.68</v>
      </c>
      <c r="H15" s="55">
        <v>15.66</v>
      </c>
      <c r="I15" s="57" t="s">
        <v>8</v>
      </c>
      <c r="J15" s="55">
        <v>0.5</v>
      </c>
      <c r="K15" s="55">
        <v>208.66</v>
      </c>
      <c r="L15" s="55">
        <v>24.30</v>
      </c>
      <c r="M15" s="55">
        <v>95.34</v>
      </c>
      <c r="N15" s="55">
        <v>164.5</v>
      </c>
      <c r="O15" s="55">
        <v>0</v>
      </c>
      <c r="P15" s="55">
        <v>0.99</v>
      </c>
      <c r="Q15" s="55">
        <v>13.53</v>
      </c>
      <c r="R15" s="43"/>
      <c r="S15" s="43"/>
      <c r="T15" s="43"/>
      <c r="U15" s="43"/>
    </row>
    <row r="16" spans="1:21" s="11" customFormat="1" ht="15">
      <c r="A16" s="54" t="s">
        <v>382</v>
      </c>
      <c r="B16" s="55">
        <v>6.07</v>
      </c>
      <c r="C16" s="55">
        <v>12.15</v>
      </c>
      <c r="D16" s="55">
        <v>12.16</v>
      </c>
      <c r="E16" s="55">
        <v>2.88</v>
      </c>
      <c r="F16" s="55">
        <v>7.49</v>
      </c>
      <c r="G16" s="55">
        <v>25.42</v>
      </c>
      <c r="H16" s="55">
        <v>19.78</v>
      </c>
      <c r="I16" s="57" t="s">
        <v>8</v>
      </c>
      <c r="J16" s="55">
        <v>0.27</v>
      </c>
      <c r="K16" s="55">
        <v>233.23</v>
      </c>
      <c r="L16" s="55">
        <v>25.91</v>
      </c>
      <c r="M16" s="55">
        <v>89.72</v>
      </c>
      <c r="N16" s="55">
        <v>432.40</v>
      </c>
      <c r="O16" s="55">
        <v>0</v>
      </c>
      <c r="P16" s="55">
        <v>0.84</v>
      </c>
      <c r="Q16" s="55">
        <v>13.24</v>
      </c>
      <c r="R16" s="43"/>
      <c r="S16" s="43"/>
      <c r="T16" s="43"/>
      <c r="U16" s="43"/>
    </row>
    <row r="17" spans="1:21" s="11" customFormat="1" ht="15">
      <c r="A17" s="54" t="s">
        <v>383</v>
      </c>
      <c r="B17" s="55">
        <v>4.71</v>
      </c>
      <c r="C17" s="55">
        <v>13.64</v>
      </c>
      <c r="D17" s="55">
        <v>11.43</v>
      </c>
      <c r="E17" s="55">
        <v>1.53</v>
      </c>
      <c r="F17" s="55">
        <v>5.26</v>
      </c>
      <c r="G17" s="55">
        <v>37.21</v>
      </c>
      <c r="H17" s="55">
        <v>19.78</v>
      </c>
      <c r="I17" s="57" t="s">
        <v>8</v>
      </c>
      <c r="J17" s="55">
        <v>0.25</v>
      </c>
      <c r="K17" s="55">
        <v>221.99</v>
      </c>
      <c r="L17" s="55">
        <v>27.91</v>
      </c>
      <c r="M17" s="55">
        <v>80.040000000000006</v>
      </c>
      <c r="N17" s="55">
        <v>702.5</v>
      </c>
      <c r="O17" s="55">
        <v>0</v>
      </c>
      <c r="P17" s="55">
        <v>0.84</v>
      </c>
      <c r="Q17" s="55">
        <v>11.24</v>
      </c>
      <c r="R17" s="43"/>
      <c r="S17" s="43"/>
      <c r="T17" s="43"/>
      <c r="U17" s="43"/>
    </row>
    <row r="18" spans="1:21" s="11" customFormat="1" ht="15">
      <c r="A18" s="54" t="s">
        <v>384</v>
      </c>
      <c r="B18" s="55">
        <v>4.0199999999999996</v>
      </c>
      <c r="C18" s="55">
        <v>16.20</v>
      </c>
      <c r="D18" s="55">
        <v>12.67</v>
      </c>
      <c r="E18" s="55">
        <v>1.46</v>
      </c>
      <c r="F18" s="55">
        <v>5.74</v>
      </c>
      <c r="G18" s="55">
        <v>37.619999999999997</v>
      </c>
      <c r="H18" s="55">
        <v>16.850000000000001</v>
      </c>
      <c r="I18" s="57" t="s">
        <v>8</v>
      </c>
      <c r="J18" s="55">
        <v>0.33</v>
      </c>
      <c r="K18" s="55">
        <v>41.97</v>
      </c>
      <c r="L18" s="55">
        <v>28.84</v>
      </c>
      <c r="M18" s="55">
        <v>73.36</v>
      </c>
      <c r="N18" s="55">
        <v>696.30</v>
      </c>
      <c r="O18" s="55">
        <v>0</v>
      </c>
      <c r="P18" s="55">
        <v>0.91</v>
      </c>
      <c r="Q18" s="55">
        <v>6.45</v>
      </c>
      <c r="R18" s="43"/>
      <c r="S18" s="43"/>
      <c r="T18" s="43"/>
      <c r="U18" s="43"/>
    </row>
    <row r="19" spans="1:21" s="11" customFormat="1" ht="15">
      <c r="A19" s="54" t="s">
        <v>385</v>
      </c>
      <c r="B19" s="55">
        <v>3.48</v>
      </c>
      <c r="C19" s="55">
        <v>15.68</v>
      </c>
      <c r="D19" s="55">
        <v>11.99</v>
      </c>
      <c r="E19" s="55">
        <v>1.58</v>
      </c>
      <c r="F19" s="55">
        <v>7.24</v>
      </c>
      <c r="G19" s="55">
        <v>46.03</v>
      </c>
      <c r="H19" s="55">
        <v>19.12</v>
      </c>
      <c r="I19" s="57" t="s">
        <v>8</v>
      </c>
      <c r="J19" s="55">
        <v>0.33</v>
      </c>
      <c r="K19" s="55">
        <v>36.74</v>
      </c>
      <c r="L19" s="55">
        <v>29.23</v>
      </c>
      <c r="M19" s="55">
        <v>73.94</v>
      </c>
      <c r="N19" s="55">
        <v>999.5</v>
      </c>
      <c r="O19" s="55">
        <v>0</v>
      </c>
      <c r="P19" s="55">
        <v>0.95</v>
      </c>
      <c r="Q19" s="55">
        <v>4.93</v>
      </c>
      <c r="R19" s="43"/>
      <c r="S19" s="43"/>
      <c r="T19" s="43"/>
      <c r="U19" s="43"/>
    </row>
    <row r="20" spans="1:21" s="11" customFormat="1" ht="15">
      <c r="A20" s="54" t="s">
        <v>386</v>
      </c>
      <c r="B20" s="55">
        <v>3.01</v>
      </c>
      <c r="C20" s="55">
        <v>15.52</v>
      </c>
      <c r="D20" s="55">
        <v>11.62</v>
      </c>
      <c r="E20" s="55">
        <v>1.32</v>
      </c>
      <c r="F20" s="55">
        <v>6.17</v>
      </c>
      <c r="G20" s="55">
        <v>46.42</v>
      </c>
      <c r="H20" s="55">
        <v>21.30</v>
      </c>
      <c r="I20" s="57" t="s">
        <v>8</v>
      </c>
      <c r="J20" s="55">
        <v>0.26</v>
      </c>
      <c r="K20" s="55">
        <v>194.80</v>
      </c>
      <c r="L20" s="55">
        <v>29</v>
      </c>
      <c r="M20" s="55">
        <v>70.63</v>
      </c>
      <c r="N20" s="55">
        <v>647.10</v>
      </c>
      <c r="O20" s="55">
        <v>0</v>
      </c>
      <c r="P20" s="55">
        <v>0.97</v>
      </c>
      <c r="Q20" s="55">
        <v>3.70</v>
      </c>
      <c r="R20" s="43"/>
      <c r="S20" s="43"/>
      <c r="T20" s="43"/>
      <c r="U20" s="43"/>
    </row>
    <row r="21" spans="1:21" s="11" customFormat="1" ht="15">
      <c r="A21" s="54" t="s">
        <v>387</v>
      </c>
      <c r="B21" s="55">
        <v>3.68</v>
      </c>
      <c r="C21" s="55">
        <v>18.440000000000001</v>
      </c>
      <c r="D21" s="55">
        <v>13.77</v>
      </c>
      <c r="E21" s="55">
        <v>1.75</v>
      </c>
      <c r="F21" s="55">
        <v>9.56</v>
      </c>
      <c r="G21" s="55">
        <v>42.18</v>
      </c>
      <c r="H21" s="55">
        <v>21.30</v>
      </c>
      <c r="I21" s="57" t="s">
        <v>8</v>
      </c>
      <c r="J21" s="55">
        <v>0.19</v>
      </c>
      <c r="K21" s="55">
        <v>320.58999999999997</v>
      </c>
      <c r="L21" s="55">
        <v>28.06</v>
      </c>
      <c r="M21" s="55">
        <v>72.73</v>
      </c>
      <c r="N21" s="55">
        <v>314.30</v>
      </c>
      <c r="O21" s="55">
        <v>0</v>
      </c>
      <c r="P21" s="55">
        <v>0.96</v>
      </c>
      <c r="Q21" s="55">
        <v>3.02</v>
      </c>
      <c r="R21" s="43"/>
      <c r="S21" s="43"/>
      <c r="T21" s="43"/>
      <c r="U21" s="43"/>
    </row>
    <row r="22" spans="1:21" s="11" customFormat="1" ht="15">
      <c r="A22" s="54" t="s">
        <v>388</v>
      </c>
      <c r="B22" s="55">
        <v>3.93</v>
      </c>
      <c r="C22" s="55">
        <v>16.86</v>
      </c>
      <c r="D22" s="55">
        <v>13.10</v>
      </c>
      <c r="E22" s="55">
        <v>1.74</v>
      </c>
      <c r="F22" s="55">
        <v>10.98</v>
      </c>
      <c r="G22" s="55">
        <v>39.24</v>
      </c>
      <c r="H22" s="55">
        <v>15.99</v>
      </c>
      <c r="I22" s="57" t="s">
        <v>8</v>
      </c>
      <c r="J22" s="55">
        <v>0.18</v>
      </c>
      <c r="K22" s="55">
        <v>39.619999999999997</v>
      </c>
      <c r="L22" s="55">
        <v>29.31</v>
      </c>
      <c r="M22" s="55">
        <v>72</v>
      </c>
      <c r="N22" s="55">
        <v>753.30</v>
      </c>
      <c r="O22" s="55">
        <v>0</v>
      </c>
      <c r="P22" s="55">
        <v>0.94</v>
      </c>
      <c r="Q22" s="55">
        <v>5.37</v>
      </c>
      <c r="R22" s="43"/>
      <c r="S22" s="43"/>
      <c r="T22" s="43"/>
      <c r="U22" s="43"/>
    </row>
    <row r="23" spans="1:21" s="11" customFormat="1" ht="15">
      <c r="A23" s="54" t="s">
        <v>389</v>
      </c>
      <c r="B23" s="55">
        <v>3.62</v>
      </c>
      <c r="C23" s="55">
        <v>16.11</v>
      </c>
      <c r="D23" s="55">
        <v>12.44</v>
      </c>
      <c r="E23" s="55">
        <v>2.06</v>
      </c>
      <c r="F23" s="55">
        <v>5.95</v>
      </c>
      <c r="G23" s="55">
        <v>39.42</v>
      </c>
      <c r="H23" s="55">
        <v>15.96</v>
      </c>
      <c r="I23" s="57" t="s">
        <v>8</v>
      </c>
      <c r="J23" s="55">
        <v>0.48</v>
      </c>
      <c r="K23" s="55">
        <v>215.54</v>
      </c>
      <c r="L23" s="55">
        <v>29.77</v>
      </c>
      <c r="M23" s="55">
        <v>64.63</v>
      </c>
      <c r="N23" s="55">
        <v>646.90</v>
      </c>
      <c r="O23" s="55">
        <v>0</v>
      </c>
      <c r="P23" s="55">
        <v>0.95</v>
      </c>
      <c r="Q23" s="55">
        <v>3.93</v>
      </c>
      <c r="R23" s="43"/>
      <c r="S23" s="43"/>
      <c r="T23" s="43"/>
      <c r="U23" s="43"/>
    </row>
    <row r="24" spans="1:21" s="11" customFormat="1" ht="15">
      <c r="A24" s="54" t="s">
        <v>390</v>
      </c>
      <c r="B24" s="55">
        <v>3.56</v>
      </c>
      <c r="C24" s="55">
        <v>16.829999999999998</v>
      </c>
      <c r="D24" s="55">
        <v>12.78</v>
      </c>
      <c r="E24" s="55">
        <v>1.54</v>
      </c>
      <c r="F24" s="55">
        <v>11.17</v>
      </c>
      <c r="G24" s="55">
        <v>39.49</v>
      </c>
      <c r="H24" s="55">
        <v>18.25</v>
      </c>
      <c r="I24" s="57" t="s">
        <v>8</v>
      </c>
      <c r="J24" s="55">
        <v>0.28999999999999998</v>
      </c>
      <c r="K24" s="55">
        <v>354.21</v>
      </c>
      <c r="L24" s="55">
        <v>29.74</v>
      </c>
      <c r="M24" s="55">
        <v>63.94</v>
      </c>
      <c r="N24" s="55">
        <v>349.70</v>
      </c>
      <c r="O24" s="55">
        <v>0</v>
      </c>
      <c r="P24" s="55">
        <v>0.94</v>
      </c>
      <c r="Q24" s="55">
        <v>1.58</v>
      </c>
      <c r="R24" s="43"/>
      <c r="S24" s="43"/>
      <c r="T24" s="43"/>
      <c r="U24" s="43"/>
    </row>
    <row r="25" spans="1:21" s="11" customFormat="1" ht="15">
      <c r="A25" s="54" t="s">
        <v>391</v>
      </c>
      <c r="B25" s="55">
        <v>4.28</v>
      </c>
      <c r="C25" s="55">
        <v>17.07</v>
      </c>
      <c r="D25" s="55">
        <v>13.10</v>
      </c>
      <c r="E25" s="55">
        <v>1.90</v>
      </c>
      <c r="F25" s="55">
        <v>11.44</v>
      </c>
      <c r="G25" s="55">
        <v>37.65</v>
      </c>
      <c r="H25" s="55">
        <v>18.25</v>
      </c>
      <c r="I25" s="57" t="s">
        <v>8</v>
      </c>
      <c r="J25" s="55">
        <v>0.28999999999999998</v>
      </c>
      <c r="K25" s="55">
        <v>43.20</v>
      </c>
      <c r="L25" s="55">
        <v>29.40</v>
      </c>
      <c r="M25" s="55">
        <v>64.260000000000005</v>
      </c>
      <c r="N25" s="55">
        <v>239</v>
      </c>
      <c r="O25" s="55">
        <v>0</v>
      </c>
      <c r="P25" s="55">
        <v>0.97</v>
      </c>
      <c r="Q25" s="55">
        <v>3.22</v>
      </c>
      <c r="R25" s="43"/>
      <c r="S25" s="43"/>
      <c r="T25" s="43"/>
      <c r="U25" s="43"/>
    </row>
    <row r="26" spans="1:21" s="11" customFormat="1" ht="15">
      <c r="A26" s="54" t="s">
        <v>392</v>
      </c>
      <c r="B26" s="55">
        <v>5.38</v>
      </c>
      <c r="C26" s="55">
        <v>17.93</v>
      </c>
      <c r="D26" s="55">
        <v>14.69</v>
      </c>
      <c r="E26" s="55">
        <v>1.66</v>
      </c>
      <c r="F26" s="55">
        <v>6.72</v>
      </c>
      <c r="G26" s="55">
        <v>37.76</v>
      </c>
      <c r="H26" s="55">
        <v>15.29</v>
      </c>
      <c r="I26" s="57" t="s">
        <v>8</v>
      </c>
      <c r="J26" s="55">
        <v>0.34</v>
      </c>
      <c r="K26" s="55">
        <v>39.51</v>
      </c>
      <c r="L26" s="55">
        <v>28.81</v>
      </c>
      <c r="M26" s="55">
        <v>65.72</v>
      </c>
      <c r="N26" s="55">
        <v>139.30000000000001</v>
      </c>
      <c r="O26" s="55">
        <v>0</v>
      </c>
      <c r="P26" s="55">
        <v>1.02</v>
      </c>
      <c r="Q26" s="55">
        <v>1.95</v>
      </c>
      <c r="R26" s="43"/>
      <c r="S26" s="43"/>
      <c r="T26" s="43"/>
      <c r="U26" s="43"/>
    </row>
    <row r="27" spans="1:21" s="11" customFormat="1" ht="15">
      <c r="A27" s="54" t="s">
        <v>393</v>
      </c>
      <c r="B27" s="55">
        <v>9.17</v>
      </c>
      <c r="C27" s="55">
        <v>23.26</v>
      </c>
      <c r="D27" s="55">
        <v>20.81</v>
      </c>
      <c r="E27" s="55">
        <v>1.75</v>
      </c>
      <c r="F27" s="55">
        <v>10.85</v>
      </c>
      <c r="G27" s="55">
        <v>36.770000000000003</v>
      </c>
      <c r="H27" s="55">
        <v>11.53</v>
      </c>
      <c r="I27" s="57" t="s">
        <v>8</v>
      </c>
      <c r="J27" s="55">
        <v>0.26</v>
      </c>
      <c r="K27" s="55">
        <v>46.69</v>
      </c>
      <c r="L27" s="55">
        <v>28.31</v>
      </c>
      <c r="M27" s="55">
        <v>67.180000000000007</v>
      </c>
      <c r="N27" s="55">
        <v>57.30</v>
      </c>
      <c r="O27" s="55">
        <v>0</v>
      </c>
      <c r="P27" s="55">
        <v>1.1200000000000001</v>
      </c>
      <c r="Q27" s="55">
        <v>4.12</v>
      </c>
      <c r="R27" s="43"/>
      <c r="S27" s="43"/>
      <c r="T27" s="43"/>
      <c r="U27" s="43"/>
    </row>
    <row r="28" spans="1:21" s="11" customFormat="1" ht="15">
      <c r="A28" s="54" t="s">
        <v>394</v>
      </c>
      <c r="B28" s="55">
        <v>13.13</v>
      </c>
      <c r="C28" s="55">
        <v>29.17</v>
      </c>
      <c r="D28" s="55">
        <v>26.33</v>
      </c>
      <c r="E28" s="55">
        <v>2.21</v>
      </c>
      <c r="F28" s="55">
        <v>15.58</v>
      </c>
      <c r="G28" s="55">
        <v>43.33</v>
      </c>
      <c r="H28" s="55">
        <v>31.51</v>
      </c>
      <c r="I28" s="57" t="s">
        <v>8</v>
      </c>
      <c r="J28" s="55">
        <v>0.13</v>
      </c>
      <c r="K28" s="55">
        <v>28.32</v>
      </c>
      <c r="L28" s="55">
        <v>27.77</v>
      </c>
      <c r="M28" s="55">
        <v>70.599999999999994</v>
      </c>
      <c r="N28" s="55">
        <v>40.700000000000003</v>
      </c>
      <c r="O28" s="55">
        <v>0</v>
      </c>
      <c r="P28" s="55">
        <v>1.26</v>
      </c>
      <c r="Q28" s="55">
        <v>7.41</v>
      </c>
      <c r="R28" s="43"/>
      <c r="S28" s="43"/>
      <c r="T28" s="43"/>
      <c r="U28" s="43"/>
    </row>
    <row r="29" spans="1:21" s="11" customFormat="1" ht="15">
      <c r="A29" s="54" t="s">
        <v>395</v>
      </c>
      <c r="B29" s="55">
        <v>15.14</v>
      </c>
      <c r="C29" s="55">
        <v>24.64</v>
      </c>
      <c r="D29" s="55">
        <v>26.39</v>
      </c>
      <c r="E29" s="55">
        <v>2.44</v>
      </c>
      <c r="F29" s="55">
        <v>8.73</v>
      </c>
      <c r="G29" s="55">
        <v>54.93</v>
      </c>
      <c r="H29" s="55">
        <v>36.19</v>
      </c>
      <c r="I29" s="57" t="s">
        <v>8</v>
      </c>
      <c r="J29" s="55">
        <v>0.13</v>
      </c>
      <c r="K29" s="55">
        <v>352.70</v>
      </c>
      <c r="L29" s="55">
        <v>27.46</v>
      </c>
      <c r="M29" s="55">
        <v>76.70</v>
      </c>
      <c r="N29" s="55">
        <v>40.799999999999997</v>
      </c>
      <c r="O29" s="55">
        <v>0</v>
      </c>
      <c r="P29" s="55">
        <v>1.38</v>
      </c>
      <c r="Q29" s="55">
        <v>6.83</v>
      </c>
      <c r="R29" s="43"/>
      <c r="S29" s="43"/>
      <c r="T29" s="43"/>
      <c r="U29" s="43"/>
    </row>
    <row r="30" spans="1:21" s="11" customFormat="1" ht="15">
      <c r="A30" s="54" t="s">
        <v>396</v>
      </c>
      <c r="B30" s="55">
        <v>12.49</v>
      </c>
      <c r="C30" s="55">
        <v>24.09</v>
      </c>
      <c r="D30" s="55">
        <v>23.96</v>
      </c>
      <c r="E30" s="55">
        <v>2.5499999999999998</v>
      </c>
      <c r="F30" s="55">
        <v>15.63</v>
      </c>
      <c r="G30" s="55">
        <v>55.33</v>
      </c>
      <c r="H30" s="55">
        <v>36.880000000000003</v>
      </c>
      <c r="I30" s="57" t="s">
        <v>8</v>
      </c>
      <c r="J30" s="55">
        <v>0.16</v>
      </c>
      <c r="K30" s="55">
        <v>35.409999999999997</v>
      </c>
      <c r="L30" s="55">
        <v>26.82</v>
      </c>
      <c r="M30" s="55">
        <v>78.010000000000005</v>
      </c>
      <c r="N30" s="55">
        <v>40.40</v>
      </c>
      <c r="O30" s="55">
        <v>0</v>
      </c>
      <c r="P30" s="55">
        <v>1.40</v>
      </c>
      <c r="Q30" s="55">
        <v>8.33</v>
      </c>
      <c r="R30" s="43"/>
      <c r="S30" s="43"/>
      <c r="T30" s="43"/>
      <c r="U30" s="43"/>
    </row>
    <row r="31" spans="1:21" s="11" customFormat="1" ht="15">
      <c r="A31" s="54" t="s">
        <v>397</v>
      </c>
      <c r="B31" s="55">
        <v>11.11</v>
      </c>
      <c r="C31" s="55">
        <v>26.23</v>
      </c>
      <c r="D31" s="55">
        <v>22.67</v>
      </c>
      <c r="E31" s="55">
        <v>2.5099999999999998</v>
      </c>
      <c r="F31" s="55">
        <v>13.43</v>
      </c>
      <c r="G31" s="55">
        <v>52.29</v>
      </c>
      <c r="H31" s="55">
        <v>36.880000000000003</v>
      </c>
      <c r="I31" s="57" t="s">
        <v>8</v>
      </c>
      <c r="J31" s="55">
        <v>0.23</v>
      </c>
      <c r="K31" s="55">
        <v>39.369999999999997</v>
      </c>
      <c r="L31" s="55">
        <v>26.45</v>
      </c>
      <c r="M31" s="55">
        <v>79.900000000000006</v>
      </c>
      <c r="N31" s="55">
        <v>40.700000000000003</v>
      </c>
      <c r="O31" s="55">
        <v>0</v>
      </c>
      <c r="P31" s="55">
        <v>1.39</v>
      </c>
      <c r="Q31" s="55">
        <v>10.039999999999999</v>
      </c>
      <c r="R31" s="43"/>
      <c r="S31" s="43"/>
      <c r="T31" s="43"/>
      <c r="U31" s="43"/>
    </row>
    <row r="32" spans="1:21" s="11" customFormat="1" ht="15">
      <c r="A32" s="54" t="s">
        <v>398</v>
      </c>
      <c r="B32" s="55">
        <v>7.78</v>
      </c>
      <c r="C32" s="55">
        <v>16.079999999999998</v>
      </c>
      <c r="D32" s="55">
        <v>15.23</v>
      </c>
      <c r="E32" s="55">
        <v>2.27</v>
      </c>
      <c r="F32" s="55">
        <v>5.08</v>
      </c>
      <c r="G32" s="55">
        <v>52.34</v>
      </c>
      <c r="H32" s="55">
        <v>24.49</v>
      </c>
      <c r="I32" s="57" t="s">
        <v>8</v>
      </c>
      <c r="J32" s="55">
        <v>0.23</v>
      </c>
      <c r="K32" s="55">
        <v>175.97</v>
      </c>
      <c r="L32" s="55">
        <v>25.18</v>
      </c>
      <c r="M32" s="55">
        <v>84.46</v>
      </c>
      <c r="N32" s="55">
        <v>40.60</v>
      </c>
      <c r="O32" s="55">
        <v>0</v>
      </c>
      <c r="P32" s="55">
        <v>1.24</v>
      </c>
      <c r="Q32" s="55">
        <v>7.13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3.0099999999999998</v>
      </c>
      <c r="C34" s="28">
        <f t="shared" si="0"/>
        <v>10.550000000000001</v>
      </c>
      <c r="D34" s="28">
        <f t="shared" si="0"/>
        <v>9.5299999999999994</v>
      </c>
      <c r="E34" s="28">
        <f t="shared" si="0"/>
        <v>1.3200000000000001</v>
      </c>
      <c r="F34" s="28">
        <f t="shared" si="0"/>
        <v>5.0800000000000001</v>
      </c>
      <c r="G34" s="28">
        <f t="shared" si="0"/>
        <v>21.050000000000001</v>
      </c>
      <c r="H34" s="28">
        <f t="shared" si="0"/>
        <v>11.529999999999999</v>
      </c>
      <c r="I34" s="28">
        <f t="shared" si="0"/>
        <v>0</v>
      </c>
      <c r="J34" s="28">
        <f t="shared" si="0"/>
        <v>0.10000000000000001</v>
      </c>
      <c r="K34" s="28">
        <f t="shared" si="0"/>
        <v>28.32</v>
      </c>
      <c r="L34" s="28">
        <f t="shared" si="0"/>
        <v>23.57</v>
      </c>
      <c r="M34" s="28">
        <f t="shared" si="0"/>
        <v>63.939999999999998</v>
      </c>
      <c r="N34" s="28">
        <f t="shared" si="0"/>
        <v>37.899999999999999</v>
      </c>
      <c r="O34" s="28">
        <f t="shared" si="0"/>
        <v>0</v>
      </c>
      <c r="P34" s="28">
        <f t="shared" si="0"/>
        <v>0.83999999999999997</v>
      </c>
      <c r="Q34" s="28">
        <f t="shared" si="0"/>
        <v>1.5800000000000001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15.140000000000001</v>
      </c>
      <c r="C35" s="29">
        <f t="shared" si="1"/>
        <v>29.170000000000002</v>
      </c>
      <c r="D35" s="29">
        <f t="shared" si="1"/>
        <v>26.390000000000001</v>
      </c>
      <c r="E35" s="29">
        <f t="shared" si="1"/>
        <v>2.8799999999999999</v>
      </c>
      <c r="F35" s="29">
        <f t="shared" si="1"/>
        <v>19.390000000000001</v>
      </c>
      <c r="G35" s="29">
        <f t="shared" si="1"/>
        <v>55.329999999999998</v>
      </c>
      <c r="H35" s="29">
        <f t="shared" si="1"/>
        <v>36.880000000000003</v>
      </c>
      <c r="I35" s="29">
        <f t="shared" si="1"/>
        <v>0</v>
      </c>
      <c r="J35" s="29">
        <f t="shared" si="1"/>
        <v>0.66000000000000003</v>
      </c>
      <c r="K35" s="29">
        <f t="shared" si="1"/>
        <v>354.20999999999998</v>
      </c>
      <c r="L35" s="29">
        <f t="shared" si="1"/>
        <v>29.77</v>
      </c>
      <c r="M35" s="29">
        <f t="shared" si="1"/>
        <v>95.469999999999999</v>
      </c>
      <c r="N35" s="29">
        <f t="shared" si="1"/>
        <v>999.5</v>
      </c>
      <c r="O35" s="29">
        <f t="shared" si="1"/>
        <v>0</v>
      </c>
      <c r="P35" s="29">
        <f t="shared" si="1"/>
        <v>1.3999999999999999</v>
      </c>
      <c r="Q35" s="29">
        <f t="shared" si="1"/>
        <v>16.719999999999999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6.355833333333333</v>
      </c>
      <c r="C36" s="28">
        <f t="shared" si="2"/>
        <v>16.879999999999999</v>
      </c>
      <c r="D36" s="28">
        <f t="shared" si="2"/>
        <v>14.835833333333333</v>
      </c>
      <c r="E36" s="28">
        <f t="shared" si="2"/>
        <v>2.1112499999999996</v>
      </c>
      <c r="F36" s="28">
        <f t="shared" si="2"/>
        <v>9.9020833333333318</v>
      </c>
      <c r="G36" s="28">
        <f t="shared" si="2"/>
        <v>38.400909090909096</v>
      </c>
      <c r="H36" s="28">
        <f t="shared" si="2"/>
        <v>21.906363636363636</v>
      </c>
      <c r="I36" s="57" t="s">
        <v>8</v>
      </c>
      <c r="J36" s="28">
        <f t="shared" si="2"/>
        <v>0.2745833333333334</v>
      </c>
      <c r="K36" s="28">
        <f t="shared" si="2"/>
        <v>175.80791666666664</v>
      </c>
      <c r="L36" s="28">
        <f t="shared" si="2"/>
        <v>26.925000000000001</v>
      </c>
      <c r="M36" s="28">
        <f t="shared" si="2"/>
        <v>79.052500000000023</v>
      </c>
      <c r="N36" s="28">
        <f t="shared" si="2"/>
        <v>274.93749999999994</v>
      </c>
      <c r="O36" s="28">
        <f t="shared" si="2"/>
        <v>0</v>
      </c>
      <c r="P36" s="28">
        <f t="shared" si="2"/>
        <v>1.062083333333333</v>
      </c>
      <c r="Q36" s="28">
        <f t="shared" si="2"/>
        <v>8.4604166666666671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3.415847869368112</v>
      </c>
      <c r="C37" s="28">
        <f t="shared" si="3" ref="C37:Q37">STDEV(C9:C32)</f>
        <v>5.0852728540364467</v>
      </c>
      <c r="D37" s="28">
        <f t="shared" si="3"/>
        <v>5.0576458836160132</v>
      </c>
      <c r="E37" s="28">
        <f t="shared" si="3"/>
        <v>0.46706588772705687</v>
      </c>
      <c r="F37" s="28">
        <f t="shared" si="3"/>
        <v>3.8043327463469261</v>
      </c>
      <c r="G37" s="28">
        <f t="shared" si="3"/>
        <v>10.630276128246624</v>
      </c>
      <c r="H37" s="28">
        <f t="shared" si="3"/>
        <v>7.5095327008597108</v>
      </c>
      <c r="I37" s="57" t="s">
        <v>8</v>
      </c>
      <c r="J37" s="28">
        <f t="shared" si="3"/>
        <v>0.13714413765361466</v>
      </c>
      <c r="K37" s="28">
        <f t="shared" si="3"/>
        <v>117.93257196488858</v>
      </c>
      <c r="L37" s="28">
        <f t="shared" si="3"/>
        <v>2.2213470257246279</v>
      </c>
      <c r="M37" s="28">
        <f t="shared" si="3"/>
        <v>10.982308401519505</v>
      </c>
      <c r="N37" s="28">
        <f t="shared" si="3"/>
        <v>302.3264702594949</v>
      </c>
      <c r="O37" s="28">
        <f t="shared" si="3"/>
        <v>0</v>
      </c>
      <c r="P37" s="28">
        <f t="shared" si="3"/>
        <v>0.16555517054068108</v>
      </c>
      <c r="Q37" s="28">
        <f t="shared" si="3"/>
        <v>4.8637492061762089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206526-42a7-4802-8b38-0d6aef6779f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21" s="11" customFormat="1" ht="15">
      <c r="A9" s="55" t="s">
        <v>399</v>
      </c>
      <c r="B9" s="61">
        <v>4.12</v>
      </c>
      <c r="C9" s="61">
        <v>14.57</v>
      </c>
      <c r="D9" s="61">
        <v>12</v>
      </c>
      <c r="E9" s="61">
        <v>2.54</v>
      </c>
      <c r="F9" s="61">
        <v>11.04</v>
      </c>
      <c r="G9" s="61">
        <v>41.01</v>
      </c>
      <c r="H9" s="61">
        <v>18</v>
      </c>
      <c r="I9" s="8" t="s">
        <v>8</v>
      </c>
      <c r="J9" s="61">
        <v>0.21</v>
      </c>
      <c r="K9" s="61">
        <v>207.28</v>
      </c>
      <c r="L9" s="61">
        <v>24.30</v>
      </c>
      <c r="M9" s="61">
        <v>89.31</v>
      </c>
      <c r="N9" s="61">
        <v>40.299999999999997</v>
      </c>
      <c r="O9" s="61">
        <v>0</v>
      </c>
      <c r="P9" s="61">
        <v>1.1000000000000001</v>
      </c>
      <c r="Q9" s="61">
        <v>6.62</v>
      </c>
      <c r="R9" s="43"/>
      <c r="S9" s="43"/>
      <c r="T9" s="43"/>
      <c r="U9" s="43"/>
    </row>
    <row r="10" spans="1:21" s="11" customFormat="1" ht="15">
      <c r="A10" s="55" t="s">
        <v>400</v>
      </c>
      <c r="B10" s="61">
        <v>3.55</v>
      </c>
      <c r="C10" s="61">
        <v>13.11</v>
      </c>
      <c r="D10" s="61">
        <v>10.69</v>
      </c>
      <c r="E10" s="61">
        <v>3.13</v>
      </c>
      <c r="F10" s="61">
        <v>10.74</v>
      </c>
      <c r="G10" s="61">
        <v>35.049999999999997</v>
      </c>
      <c r="H10" s="61">
        <v>14.21</v>
      </c>
      <c r="I10" s="8" t="s">
        <v>8</v>
      </c>
      <c r="J10" s="61">
        <v>0.17</v>
      </c>
      <c r="K10" s="61">
        <v>40</v>
      </c>
      <c r="L10" s="61">
        <v>23.99</v>
      </c>
      <c r="M10" s="61">
        <v>91.38</v>
      </c>
      <c r="N10" s="61">
        <v>40.10</v>
      </c>
      <c r="O10" s="61">
        <v>0</v>
      </c>
      <c r="P10" s="61">
        <v>1.02</v>
      </c>
      <c r="Q10" s="61">
        <v>6.48</v>
      </c>
      <c r="R10" s="43"/>
      <c r="S10" s="43"/>
      <c r="T10" s="43"/>
      <c r="U10" s="43"/>
    </row>
    <row r="11" spans="1:21" s="11" customFormat="1" ht="15">
      <c r="A11" s="55" t="s">
        <v>401</v>
      </c>
      <c r="B11" s="61">
        <v>3.16</v>
      </c>
      <c r="C11" s="61">
        <v>13.18</v>
      </c>
      <c r="D11" s="61">
        <v>10.45</v>
      </c>
      <c r="E11" s="61">
        <v>2.64</v>
      </c>
      <c r="F11" s="61">
        <v>4.63</v>
      </c>
      <c r="G11" s="61">
        <v>33.590000000000003</v>
      </c>
      <c r="H11" s="61">
        <v>11.53</v>
      </c>
      <c r="I11" s="8" t="s">
        <v>8</v>
      </c>
      <c r="J11" s="61">
        <v>0.19</v>
      </c>
      <c r="K11" s="61">
        <v>44.26</v>
      </c>
      <c r="L11" s="61">
        <v>23.73</v>
      </c>
      <c r="M11" s="61">
        <v>91.04</v>
      </c>
      <c r="N11" s="61">
        <v>39.90</v>
      </c>
      <c r="O11" s="61">
        <v>0</v>
      </c>
      <c r="P11" s="61">
        <v>0.97</v>
      </c>
      <c r="Q11" s="61">
        <v>4.46</v>
      </c>
      <c r="R11" s="43"/>
      <c r="S11" s="43"/>
      <c r="T11" s="43"/>
      <c r="U11" s="43"/>
    </row>
    <row r="12" spans="1:21" s="11" customFormat="1" ht="15">
      <c r="A12" s="55" t="s">
        <v>402</v>
      </c>
      <c r="B12" s="61">
        <v>3.54</v>
      </c>
      <c r="C12" s="61">
        <v>13.48</v>
      </c>
      <c r="D12" s="61">
        <v>10.92</v>
      </c>
      <c r="E12" s="61">
        <v>2.81</v>
      </c>
      <c r="F12" s="61">
        <v>6.71</v>
      </c>
      <c r="G12" s="61">
        <v>27.68</v>
      </c>
      <c r="H12" s="61">
        <v>11.04</v>
      </c>
      <c r="I12" s="8" t="s">
        <v>8</v>
      </c>
      <c r="J12" s="61">
        <v>0.20</v>
      </c>
      <c r="K12" s="61">
        <v>39.14</v>
      </c>
      <c r="L12" s="61">
        <v>23.79</v>
      </c>
      <c r="M12" s="61">
        <v>90.84</v>
      </c>
      <c r="N12" s="61">
        <v>40</v>
      </c>
      <c r="O12" s="61">
        <v>0</v>
      </c>
      <c r="P12" s="61">
        <v>0.89</v>
      </c>
      <c r="Q12" s="61">
        <v>3.80</v>
      </c>
      <c r="R12" s="43"/>
      <c r="S12" s="43"/>
      <c r="T12" s="43"/>
      <c r="U12" s="43"/>
    </row>
    <row r="13" spans="1:21" s="11" customFormat="1" ht="15">
      <c r="A13" s="55" t="s">
        <v>403</v>
      </c>
      <c r="B13" s="61">
        <v>3.43</v>
      </c>
      <c r="C13" s="61">
        <v>13.51</v>
      </c>
      <c r="D13" s="61">
        <v>10.82</v>
      </c>
      <c r="E13" s="61">
        <v>2.64</v>
      </c>
      <c r="F13" s="61">
        <v>9.10</v>
      </c>
      <c r="G13" s="61">
        <v>24.94</v>
      </c>
      <c r="H13" s="61">
        <v>10.54</v>
      </c>
      <c r="I13" s="8" t="s">
        <v>8</v>
      </c>
      <c r="J13" s="61">
        <v>0.17</v>
      </c>
      <c r="K13" s="61">
        <v>45</v>
      </c>
      <c r="L13" s="61">
        <v>23.78</v>
      </c>
      <c r="M13" s="61">
        <v>90.31</v>
      </c>
      <c r="N13" s="61">
        <v>39.90</v>
      </c>
      <c r="O13" s="61">
        <v>0</v>
      </c>
      <c r="P13" s="61">
        <v>0.90</v>
      </c>
      <c r="Q13" s="61">
        <v>4.82</v>
      </c>
      <c r="R13" s="43"/>
      <c r="S13" s="43"/>
      <c r="T13" s="43"/>
      <c r="U13" s="43"/>
    </row>
    <row r="14" spans="1:21" s="11" customFormat="1" ht="15">
      <c r="A14" s="55" t="s">
        <v>404</v>
      </c>
      <c r="B14" s="61">
        <v>3.53</v>
      </c>
      <c r="C14" s="61">
        <v>13.41</v>
      </c>
      <c r="D14" s="61">
        <v>10.88</v>
      </c>
      <c r="E14" s="61">
        <v>2.33</v>
      </c>
      <c r="F14" s="61">
        <v>5.43</v>
      </c>
      <c r="G14" s="61">
        <v>25.13</v>
      </c>
      <c r="H14" s="61">
        <v>13.97</v>
      </c>
      <c r="I14" s="8" t="s">
        <v>8</v>
      </c>
      <c r="J14" s="61">
        <v>0.10</v>
      </c>
      <c r="K14" s="61">
        <v>43.78</v>
      </c>
      <c r="L14" s="61">
        <v>23.65</v>
      </c>
      <c r="M14" s="61">
        <v>91.35</v>
      </c>
      <c r="N14" s="61">
        <v>89.10</v>
      </c>
      <c r="O14" s="61">
        <v>0</v>
      </c>
      <c r="P14" s="61">
        <v>0.89</v>
      </c>
      <c r="Q14" s="61">
        <v>2.89</v>
      </c>
      <c r="R14" s="43"/>
      <c r="S14" s="43"/>
      <c r="T14" s="43"/>
      <c r="U14" s="43"/>
    </row>
    <row r="15" spans="1:21" s="11" customFormat="1" ht="15">
      <c r="A15" s="55" t="s">
        <v>405</v>
      </c>
      <c r="B15" s="61">
        <v>5.21</v>
      </c>
      <c r="C15" s="61">
        <v>15.39</v>
      </c>
      <c r="D15" s="61">
        <v>13.19</v>
      </c>
      <c r="E15" s="61">
        <v>2.5299999999999998</v>
      </c>
      <c r="F15" s="61">
        <v>6.24</v>
      </c>
      <c r="G15" s="61">
        <v>29.28</v>
      </c>
      <c r="H15" s="61">
        <v>13.97</v>
      </c>
      <c r="I15" s="8" t="s">
        <v>8</v>
      </c>
      <c r="J15" s="61">
        <v>0.16</v>
      </c>
      <c r="K15" s="61">
        <v>42.24</v>
      </c>
      <c r="L15" s="61">
        <v>24.16</v>
      </c>
      <c r="M15" s="61">
        <v>90.49</v>
      </c>
      <c r="N15" s="61">
        <v>149.5</v>
      </c>
      <c r="O15" s="61">
        <v>0</v>
      </c>
      <c r="P15" s="61">
        <v>0.92</v>
      </c>
      <c r="Q15" s="61">
        <v>5.62</v>
      </c>
      <c r="R15" s="43"/>
      <c r="S15" s="43"/>
      <c r="T15" s="43"/>
      <c r="U15" s="43"/>
    </row>
    <row r="16" spans="1:21" s="11" customFormat="1" ht="15">
      <c r="A16" s="55" t="s">
        <v>406</v>
      </c>
      <c r="B16" s="61">
        <v>5.01</v>
      </c>
      <c r="C16" s="61">
        <v>14.73</v>
      </c>
      <c r="D16" s="61">
        <v>12.49</v>
      </c>
      <c r="E16" s="61">
        <v>2.72</v>
      </c>
      <c r="F16" s="61">
        <v>6.75</v>
      </c>
      <c r="G16" s="61">
        <v>29.42</v>
      </c>
      <c r="H16" s="61">
        <v>11.82</v>
      </c>
      <c r="I16" s="8" t="s">
        <v>8</v>
      </c>
      <c r="J16" s="61">
        <v>0.22</v>
      </c>
      <c r="K16" s="61">
        <v>33.81</v>
      </c>
      <c r="L16" s="61">
        <v>24.54</v>
      </c>
      <c r="M16" s="61">
        <v>89.22</v>
      </c>
      <c r="N16" s="61">
        <v>153.80000000000001</v>
      </c>
      <c r="O16" s="61">
        <v>0</v>
      </c>
      <c r="P16" s="61">
        <v>0.97</v>
      </c>
      <c r="Q16" s="61">
        <v>5.39</v>
      </c>
      <c r="R16" s="43"/>
      <c r="S16" s="43"/>
      <c r="T16" s="43"/>
      <c r="U16" s="43"/>
    </row>
    <row r="17" spans="1:21" s="11" customFormat="1" ht="15">
      <c r="A17" s="55" t="s">
        <v>407</v>
      </c>
      <c r="B17" s="61">
        <v>4.74</v>
      </c>
      <c r="C17" s="61">
        <v>15.15</v>
      </c>
      <c r="D17" s="61">
        <v>12.53</v>
      </c>
      <c r="E17" s="61">
        <v>2.0499999999999998</v>
      </c>
      <c r="F17" s="61">
        <v>4.16</v>
      </c>
      <c r="G17" s="61">
        <v>34.65</v>
      </c>
      <c r="H17" s="61">
        <v>11.82</v>
      </c>
      <c r="I17" s="8" t="s">
        <v>8</v>
      </c>
      <c r="J17" s="61">
        <v>0.23</v>
      </c>
      <c r="K17" s="61">
        <v>103.84</v>
      </c>
      <c r="L17" s="61">
        <v>25.84</v>
      </c>
      <c r="M17" s="61">
        <v>87.42</v>
      </c>
      <c r="N17" s="61">
        <v>359.80</v>
      </c>
      <c r="O17" s="61">
        <v>0</v>
      </c>
      <c r="P17" s="61">
        <v>1.02</v>
      </c>
      <c r="Q17" s="61">
        <v>2.90</v>
      </c>
      <c r="R17" s="43"/>
      <c r="S17" s="43"/>
      <c r="T17" s="43"/>
      <c r="U17" s="43"/>
    </row>
    <row r="18" spans="1:21" s="11" customFormat="1" ht="15">
      <c r="A18" s="55" t="s">
        <v>408</v>
      </c>
      <c r="B18" s="61">
        <v>3.71</v>
      </c>
      <c r="C18" s="61">
        <v>15.41</v>
      </c>
      <c r="D18" s="61">
        <v>12.11</v>
      </c>
      <c r="E18" s="61">
        <v>2.21</v>
      </c>
      <c r="F18" s="61">
        <v>6.89</v>
      </c>
      <c r="G18" s="61">
        <v>36.909999999999997</v>
      </c>
      <c r="H18" s="61">
        <v>11.80</v>
      </c>
      <c r="I18" s="8" t="s">
        <v>8</v>
      </c>
      <c r="J18" s="61">
        <v>0.22</v>
      </c>
      <c r="K18" s="61">
        <v>357.45</v>
      </c>
      <c r="L18" s="61">
        <v>25.90</v>
      </c>
      <c r="M18" s="61">
        <v>85.44</v>
      </c>
      <c r="N18" s="61">
        <v>266.60000000000002</v>
      </c>
      <c r="O18" s="61">
        <v>0</v>
      </c>
      <c r="P18" s="61">
        <v>1.01</v>
      </c>
      <c r="Q18" s="61">
        <v>3.20</v>
      </c>
      <c r="R18" s="43"/>
      <c r="S18" s="43"/>
      <c r="T18" s="43"/>
      <c r="U18" s="43"/>
    </row>
    <row r="19" spans="1:21" s="11" customFormat="1" ht="15">
      <c r="A19" s="55" t="s">
        <v>409</v>
      </c>
      <c r="B19" s="61">
        <v>4.0999999999999996</v>
      </c>
      <c r="C19" s="61">
        <v>15.12</v>
      </c>
      <c r="D19" s="61">
        <v>12.27</v>
      </c>
      <c r="E19" s="61">
        <v>2.33</v>
      </c>
      <c r="F19" s="61">
        <v>7.34</v>
      </c>
      <c r="G19" s="61">
        <v>36.979999999999997</v>
      </c>
      <c r="H19" s="61">
        <v>12.62</v>
      </c>
      <c r="I19" s="8" t="s">
        <v>8</v>
      </c>
      <c r="J19" s="61">
        <v>0.22</v>
      </c>
      <c r="K19" s="61">
        <v>221.46</v>
      </c>
      <c r="L19" s="61">
        <v>27.06</v>
      </c>
      <c r="M19" s="61">
        <v>84.11</v>
      </c>
      <c r="N19" s="61">
        <v>581.90</v>
      </c>
      <c r="O19" s="61">
        <v>0</v>
      </c>
      <c r="P19" s="61">
        <v>1.07</v>
      </c>
      <c r="Q19" s="61">
        <v>2.72</v>
      </c>
      <c r="R19" s="43"/>
      <c r="S19" s="43"/>
      <c r="T19" s="43"/>
      <c r="U19" s="43"/>
    </row>
    <row r="20" spans="1:21" s="11" customFormat="1" ht="15">
      <c r="A20" s="55" t="s">
        <v>410</v>
      </c>
      <c r="B20" s="61">
        <v>4.0199999999999996</v>
      </c>
      <c r="C20" s="61">
        <v>22.60</v>
      </c>
      <c r="D20" s="61">
        <v>16.16</v>
      </c>
      <c r="E20" s="61">
        <v>1.73</v>
      </c>
      <c r="F20" s="61">
        <v>6.97</v>
      </c>
      <c r="G20" s="61">
        <v>24.61</v>
      </c>
      <c r="H20" s="61">
        <v>13.67</v>
      </c>
      <c r="I20" s="8" t="s">
        <v>8</v>
      </c>
      <c r="J20" s="61">
        <v>0.44</v>
      </c>
      <c r="K20" s="61">
        <v>359.41</v>
      </c>
      <c r="L20" s="61">
        <v>29.89</v>
      </c>
      <c r="M20" s="61">
        <v>73.209999999999994</v>
      </c>
      <c r="N20" s="61">
        <v>972.60</v>
      </c>
      <c r="O20" s="61">
        <v>0</v>
      </c>
      <c r="P20" s="61">
        <v>1.54</v>
      </c>
      <c r="Q20" s="61">
        <v>2.78</v>
      </c>
      <c r="R20" s="43"/>
      <c r="S20" s="43"/>
      <c r="T20" s="43"/>
      <c r="U20" s="43"/>
    </row>
    <row r="21" spans="1:21" s="11" customFormat="1" ht="15">
      <c r="A21" s="55" t="s">
        <v>411</v>
      </c>
      <c r="B21" s="61">
        <v>5.04</v>
      </c>
      <c r="C21" s="61">
        <v>23.80</v>
      </c>
      <c r="D21" s="61">
        <v>17.670000000000002</v>
      </c>
      <c r="E21" s="61">
        <v>2.2799999999999998</v>
      </c>
      <c r="F21" s="61">
        <v>6.55</v>
      </c>
      <c r="G21" s="61">
        <v>53.86</v>
      </c>
      <c r="H21" s="61">
        <v>18.579999999999998</v>
      </c>
      <c r="I21" s="8" t="s">
        <v>8</v>
      </c>
      <c r="J21" s="61">
        <v>0.49</v>
      </c>
      <c r="K21" s="61">
        <v>31.49</v>
      </c>
      <c r="L21" s="61">
        <v>29.71</v>
      </c>
      <c r="M21" s="61">
        <v>71.09</v>
      </c>
      <c r="N21" s="61">
        <v>885</v>
      </c>
      <c r="O21" s="61">
        <v>0</v>
      </c>
      <c r="P21" s="61">
        <v>1.76</v>
      </c>
      <c r="Q21" s="61">
        <v>3.89</v>
      </c>
      <c r="R21" s="43"/>
      <c r="S21" s="43"/>
      <c r="T21" s="43"/>
      <c r="U21" s="43"/>
    </row>
    <row r="22" spans="1:21" s="11" customFormat="1" ht="15">
      <c r="A22" s="55" t="s">
        <v>412</v>
      </c>
      <c r="B22" s="61">
        <v>4.12</v>
      </c>
      <c r="C22" s="61">
        <v>22.14</v>
      </c>
      <c r="D22" s="61">
        <v>16.170000000000002</v>
      </c>
      <c r="E22" s="61">
        <v>2.31</v>
      </c>
      <c r="F22" s="61">
        <v>5.82</v>
      </c>
      <c r="G22" s="61">
        <v>54.87</v>
      </c>
      <c r="H22" s="61">
        <v>18.579999999999998</v>
      </c>
      <c r="I22" s="8" t="s">
        <v>8</v>
      </c>
      <c r="J22" s="61">
        <v>0.78</v>
      </c>
      <c r="K22" s="61">
        <v>342.07</v>
      </c>
      <c r="L22" s="61">
        <v>27.93</v>
      </c>
      <c r="M22" s="61">
        <v>96.85</v>
      </c>
      <c r="N22" s="61">
        <v>528</v>
      </c>
      <c r="O22" s="61">
        <v>0.80</v>
      </c>
      <c r="P22" s="61">
        <v>1.59</v>
      </c>
      <c r="Q22" s="61">
        <v>4.41</v>
      </c>
      <c r="R22" s="43"/>
      <c r="S22" s="43"/>
      <c r="T22" s="43"/>
      <c r="U22" s="43"/>
    </row>
    <row r="23" spans="1:21" s="11" customFormat="1" ht="15">
      <c r="A23" s="55" t="s">
        <v>413</v>
      </c>
      <c r="B23" s="61">
        <v>5.0999999999999996</v>
      </c>
      <c r="C23" s="61">
        <v>18.53</v>
      </c>
      <c r="D23" s="61">
        <v>14.89</v>
      </c>
      <c r="E23" s="61">
        <v>2</v>
      </c>
      <c r="F23" s="61">
        <v>6.28</v>
      </c>
      <c r="G23" s="61">
        <v>50.91</v>
      </c>
      <c r="H23" s="61">
        <v>17.71</v>
      </c>
      <c r="I23" s="8" t="s">
        <v>8</v>
      </c>
      <c r="J23" s="61">
        <v>0.25</v>
      </c>
      <c r="K23" s="61">
        <v>173.23</v>
      </c>
      <c r="L23" s="61">
        <v>23.22</v>
      </c>
      <c r="M23" s="61">
        <v>97.18</v>
      </c>
      <c r="N23" s="61">
        <v>75.099999999999994</v>
      </c>
      <c r="O23" s="61">
        <v>0.60</v>
      </c>
      <c r="P23" s="5" t="s">
        <v>14</v>
      </c>
      <c r="Q23" s="61">
        <v>1.92</v>
      </c>
      <c r="R23" s="43"/>
      <c r="S23" s="43"/>
      <c r="T23" s="43"/>
      <c r="U23" s="43"/>
    </row>
    <row r="24" spans="1:21" s="11" customFormat="1" ht="15">
      <c r="A24" s="55" t="s">
        <v>414</v>
      </c>
      <c r="B24" s="61">
        <v>12.63</v>
      </c>
      <c r="C24" s="61">
        <v>29.44</v>
      </c>
      <c r="D24" s="61">
        <v>27.02</v>
      </c>
      <c r="E24" s="61">
        <v>2.31</v>
      </c>
      <c r="F24" s="61">
        <v>9.11</v>
      </c>
      <c r="G24" s="61">
        <v>33.700000000000003</v>
      </c>
      <c r="H24" s="61">
        <v>13.5</v>
      </c>
      <c r="I24" s="8" t="s">
        <v>8</v>
      </c>
      <c r="J24" s="61">
        <v>0.16</v>
      </c>
      <c r="K24" s="61">
        <v>231.04</v>
      </c>
      <c r="L24" s="61">
        <v>23.02</v>
      </c>
      <c r="M24" s="61">
        <v>97.21</v>
      </c>
      <c r="N24" s="61">
        <v>55.10</v>
      </c>
      <c r="O24" s="61">
        <v>1.20</v>
      </c>
      <c r="P24" s="5" t="s">
        <v>14</v>
      </c>
      <c r="Q24" s="61">
        <v>6.45</v>
      </c>
      <c r="R24" s="43"/>
      <c r="S24" s="43"/>
      <c r="T24" s="43"/>
      <c r="U24" s="43"/>
    </row>
    <row r="25" spans="1:21" s="11" customFormat="1" ht="15">
      <c r="A25" s="55" t="s">
        <v>415</v>
      </c>
      <c r="B25" s="61">
        <v>7.08</v>
      </c>
      <c r="C25" s="61">
        <v>16.29</v>
      </c>
      <c r="D25" s="61">
        <v>14.33</v>
      </c>
      <c r="E25" s="61">
        <v>1.74</v>
      </c>
      <c r="F25" s="61">
        <v>8.61</v>
      </c>
      <c r="G25" s="61">
        <v>28.97</v>
      </c>
      <c r="H25" s="61">
        <v>13.5</v>
      </c>
      <c r="I25" s="8" t="s">
        <v>8</v>
      </c>
      <c r="J25" s="61">
        <v>0.15</v>
      </c>
      <c r="K25" s="61">
        <v>259.45999999999998</v>
      </c>
      <c r="L25" s="61">
        <v>22.66</v>
      </c>
      <c r="M25" s="61">
        <v>97.23</v>
      </c>
      <c r="N25" s="61">
        <v>49.70</v>
      </c>
      <c r="O25" s="61">
        <v>0.80</v>
      </c>
      <c r="P25" s="5" t="s">
        <v>14</v>
      </c>
      <c r="Q25" s="61">
        <v>7.19</v>
      </c>
      <c r="R25" s="43"/>
      <c r="S25" s="43"/>
      <c r="T25" s="43"/>
      <c r="U25" s="43"/>
    </row>
    <row r="26" spans="1:21" s="11" customFormat="1" ht="15">
      <c r="A26" s="55" t="s">
        <v>416</v>
      </c>
      <c r="B26" s="61">
        <v>7.93</v>
      </c>
      <c r="C26" s="61">
        <v>15.70</v>
      </c>
      <c r="D26" s="61">
        <v>15.30</v>
      </c>
      <c r="E26" s="61">
        <v>1.55</v>
      </c>
      <c r="F26" s="61">
        <v>4.76</v>
      </c>
      <c r="G26" s="61">
        <v>22.55</v>
      </c>
      <c r="H26" s="61">
        <v>12.01</v>
      </c>
      <c r="I26" s="8" t="s">
        <v>8</v>
      </c>
      <c r="J26" s="61">
        <v>1.38</v>
      </c>
      <c r="K26" s="61">
        <v>336.94</v>
      </c>
      <c r="L26" s="61">
        <v>22.68</v>
      </c>
      <c r="M26" s="61">
        <v>97.23</v>
      </c>
      <c r="N26" s="61">
        <v>40.5</v>
      </c>
      <c r="O26" s="61">
        <v>5.80</v>
      </c>
      <c r="P26" s="5" t="s">
        <v>14</v>
      </c>
      <c r="Q26" s="61">
        <v>5.31</v>
      </c>
      <c r="R26" s="43"/>
      <c r="S26" s="43"/>
      <c r="T26" s="43"/>
      <c r="U26" s="43"/>
    </row>
    <row r="27" spans="1:21" s="11" customFormat="1" ht="15">
      <c r="A27" s="55" t="s">
        <v>417</v>
      </c>
      <c r="B27" s="61">
        <v>7.97</v>
      </c>
      <c r="C27" s="61">
        <v>17.760000000000002</v>
      </c>
      <c r="D27" s="61">
        <v>16.84</v>
      </c>
      <c r="E27" s="61">
        <v>1.80</v>
      </c>
      <c r="F27" s="61">
        <v>5.71</v>
      </c>
      <c r="G27" s="61">
        <v>15.78</v>
      </c>
      <c r="H27" s="61">
        <v>11.88</v>
      </c>
      <c r="I27" s="8" t="s">
        <v>8</v>
      </c>
      <c r="J27" s="61">
        <v>1.34</v>
      </c>
      <c r="K27" s="61">
        <v>344.98</v>
      </c>
      <c r="L27" s="61">
        <v>20.94</v>
      </c>
      <c r="M27" s="61">
        <v>97.23</v>
      </c>
      <c r="N27" s="61">
        <v>38.5</v>
      </c>
      <c r="O27" s="61">
        <v>3</v>
      </c>
      <c r="P27" s="5" t="s">
        <v>14</v>
      </c>
      <c r="Q27" s="61">
        <v>6.01</v>
      </c>
      <c r="R27" s="43"/>
      <c r="S27" s="43"/>
      <c r="T27" s="43"/>
      <c r="U27" s="43"/>
    </row>
    <row r="28" spans="1:21" s="11" customFormat="1" ht="15">
      <c r="A28" s="55" t="s">
        <v>418</v>
      </c>
      <c r="B28" s="61">
        <v>8.7899999999999991</v>
      </c>
      <c r="C28" s="61">
        <v>20.14</v>
      </c>
      <c r="D28" s="61">
        <v>18.809999999999999</v>
      </c>
      <c r="E28" s="61">
        <v>2.2599999999999998</v>
      </c>
      <c r="F28" s="61">
        <v>5.12</v>
      </c>
      <c r="G28" s="61">
        <v>14.32</v>
      </c>
      <c r="H28" s="61">
        <v>11.88</v>
      </c>
      <c r="I28" s="8" t="s">
        <v>8</v>
      </c>
      <c r="J28" s="61">
        <v>0.13</v>
      </c>
      <c r="K28" s="61">
        <v>48.30</v>
      </c>
      <c r="L28" s="61">
        <v>21</v>
      </c>
      <c r="M28" s="61">
        <v>97.23</v>
      </c>
      <c r="N28" s="61">
        <v>37.700000000000003</v>
      </c>
      <c r="O28" s="61">
        <v>0.60</v>
      </c>
      <c r="P28" s="61">
        <v>0.99</v>
      </c>
      <c r="Q28" s="61">
        <v>6.63</v>
      </c>
      <c r="R28" s="43"/>
      <c r="S28" s="43"/>
      <c r="T28" s="43"/>
      <c r="U28" s="43"/>
    </row>
    <row r="29" spans="1:21" s="11" customFormat="1" ht="15">
      <c r="A29" s="55" t="s">
        <v>419</v>
      </c>
      <c r="B29" s="61">
        <v>7.27</v>
      </c>
      <c r="C29" s="61">
        <v>15.54</v>
      </c>
      <c r="D29" s="61">
        <v>14.88</v>
      </c>
      <c r="E29" s="61">
        <v>2.35</v>
      </c>
      <c r="F29" s="61">
        <v>4.1100000000000003</v>
      </c>
      <c r="G29" s="61">
        <v>10.46</v>
      </c>
      <c r="H29" s="61">
        <v>9.69</v>
      </c>
      <c r="I29" s="8" t="s">
        <v>8</v>
      </c>
      <c r="J29" s="61">
        <v>0.23</v>
      </c>
      <c r="K29" s="61">
        <v>215.62</v>
      </c>
      <c r="L29" s="61">
        <v>20.97</v>
      </c>
      <c r="M29" s="61">
        <v>97.23</v>
      </c>
      <c r="N29" s="61">
        <v>37.40</v>
      </c>
      <c r="O29" s="61">
        <v>0.20</v>
      </c>
      <c r="P29" s="5" t="s">
        <v>14</v>
      </c>
      <c r="Q29" s="61">
        <v>4.8499999999999996</v>
      </c>
      <c r="R29" s="43"/>
      <c r="S29" s="43"/>
      <c r="T29" s="43"/>
      <c r="U29" s="43"/>
    </row>
    <row r="30" spans="1:21" s="11" customFormat="1" ht="15">
      <c r="A30" s="55" t="s">
        <v>420</v>
      </c>
      <c r="B30" s="61">
        <v>7.88</v>
      </c>
      <c r="C30" s="61">
        <v>17.100000000000001</v>
      </c>
      <c r="D30" s="61">
        <v>16.399999999999999</v>
      </c>
      <c r="E30" s="61">
        <v>2.85</v>
      </c>
      <c r="F30" s="61">
        <v>5.90</v>
      </c>
      <c r="G30" s="62" t="s">
        <v>14</v>
      </c>
      <c r="H30" s="62" t="s">
        <v>14</v>
      </c>
      <c r="I30" s="8" t="s">
        <v>8</v>
      </c>
      <c r="J30" s="61">
        <v>0.25</v>
      </c>
      <c r="K30" s="61">
        <v>226.05</v>
      </c>
      <c r="L30" s="61">
        <v>21.27</v>
      </c>
      <c r="M30" s="61">
        <v>97.23</v>
      </c>
      <c r="N30" s="61">
        <v>37.60</v>
      </c>
      <c r="O30" s="61">
        <v>0</v>
      </c>
      <c r="P30" s="5" t="s">
        <v>14</v>
      </c>
      <c r="Q30" s="61">
        <v>6.27</v>
      </c>
      <c r="R30" s="43"/>
      <c r="S30" s="43"/>
      <c r="T30" s="43"/>
      <c r="U30" s="43"/>
    </row>
    <row r="31" spans="1:21" s="11" customFormat="1" ht="15">
      <c r="A31" s="55" t="s">
        <v>421</v>
      </c>
      <c r="B31" s="61">
        <v>6.91</v>
      </c>
      <c r="C31" s="61">
        <v>16</v>
      </c>
      <c r="D31" s="61">
        <v>15.02</v>
      </c>
      <c r="E31" s="61">
        <v>2.85</v>
      </c>
      <c r="F31" s="61">
        <v>4.4000000000000004</v>
      </c>
      <c r="G31" s="62" t="s">
        <v>14</v>
      </c>
      <c r="H31" s="62" t="s">
        <v>14</v>
      </c>
      <c r="I31" s="8" t="s">
        <v>8</v>
      </c>
      <c r="J31" s="61">
        <v>0.28000000000000003</v>
      </c>
      <c r="K31" s="61">
        <v>39.299999999999997</v>
      </c>
      <c r="L31" s="61">
        <v>21.46</v>
      </c>
      <c r="M31" s="61">
        <v>97.23</v>
      </c>
      <c r="N31" s="61">
        <v>37.5</v>
      </c>
      <c r="O31" s="61">
        <v>0.20</v>
      </c>
      <c r="P31" s="5" t="s">
        <v>14</v>
      </c>
      <c r="Q31" s="61">
        <v>6.91</v>
      </c>
      <c r="R31" s="43"/>
      <c r="S31" s="43"/>
      <c r="T31" s="43"/>
      <c r="U31" s="43"/>
    </row>
    <row r="32" spans="1:21" s="11" customFormat="1" ht="15">
      <c r="A32" s="55" t="s">
        <v>422</v>
      </c>
      <c r="B32" s="61">
        <v>4.96</v>
      </c>
      <c r="C32" s="61">
        <v>17.760000000000002</v>
      </c>
      <c r="D32" s="61">
        <v>14.24</v>
      </c>
      <c r="E32" s="61">
        <v>2.63</v>
      </c>
      <c r="F32" s="61">
        <v>7.14</v>
      </c>
      <c r="G32" s="62" t="s">
        <v>14</v>
      </c>
      <c r="H32" s="62" t="s">
        <v>14</v>
      </c>
      <c r="I32" s="8" t="s">
        <v>8</v>
      </c>
      <c r="J32" s="61">
        <v>0.20</v>
      </c>
      <c r="K32" s="61">
        <v>28.5</v>
      </c>
      <c r="L32" s="61">
        <v>21.55</v>
      </c>
      <c r="M32" s="61">
        <v>97.23</v>
      </c>
      <c r="N32" s="61">
        <v>37.299999999999997</v>
      </c>
      <c r="O32" s="61">
        <v>0</v>
      </c>
      <c r="P32" s="5" t="s">
        <v>14</v>
      </c>
      <c r="Q32" s="61">
        <v>3.86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3.1600000000000001</v>
      </c>
      <c r="C34" s="28">
        <f t="shared" si="0"/>
        <v>13.109999999999999</v>
      </c>
      <c r="D34" s="28">
        <f t="shared" si="0"/>
        <v>10.449999999999999</v>
      </c>
      <c r="E34" s="28">
        <f t="shared" si="0"/>
        <v>1.55</v>
      </c>
      <c r="F34" s="28">
        <f t="shared" si="0"/>
        <v>4.1100000000000003</v>
      </c>
      <c r="G34" s="28">
        <f t="shared" si="0"/>
        <v>10.460000000000001</v>
      </c>
      <c r="H34" s="28">
        <f t="shared" si="0"/>
        <v>9.6899999999999995</v>
      </c>
      <c r="I34" s="28">
        <f t="shared" si="0"/>
        <v>0</v>
      </c>
      <c r="J34" s="28">
        <f t="shared" si="0"/>
        <v>0.10000000000000001</v>
      </c>
      <c r="K34" s="28">
        <f t="shared" si="0"/>
        <v>28.5</v>
      </c>
      <c r="L34" s="28">
        <f t="shared" si="0"/>
        <v>20.940000000000001</v>
      </c>
      <c r="M34" s="28">
        <f t="shared" si="0"/>
        <v>71.090000000000003</v>
      </c>
      <c r="N34" s="28">
        <f t="shared" si="0"/>
        <v>37.299999999999997</v>
      </c>
      <c r="O34" s="28">
        <f t="shared" si="0"/>
        <v>0</v>
      </c>
      <c r="P34" s="28">
        <f t="shared" si="0"/>
        <v>0.89000000000000001</v>
      </c>
      <c r="Q34" s="28">
        <f t="shared" si="0"/>
        <v>1.9199999999999999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12.630000000000001</v>
      </c>
      <c r="C35" s="29">
        <f t="shared" si="1"/>
        <v>29.440000000000001</v>
      </c>
      <c r="D35" s="29">
        <f t="shared" si="1"/>
        <v>27.02</v>
      </c>
      <c r="E35" s="29">
        <f t="shared" si="1"/>
        <v>3.1299999999999999</v>
      </c>
      <c r="F35" s="29">
        <f t="shared" si="1"/>
        <v>11.039999999999999</v>
      </c>
      <c r="G35" s="29">
        <f t="shared" si="1"/>
        <v>54.869999999999997</v>
      </c>
      <c r="H35" s="29">
        <f t="shared" si="1"/>
        <v>18.579999999999998</v>
      </c>
      <c r="I35" s="29">
        <f t="shared" si="1"/>
        <v>0</v>
      </c>
      <c r="J35" s="29">
        <f t="shared" si="1"/>
        <v>1.3799999999999999</v>
      </c>
      <c r="K35" s="29">
        <f t="shared" si="1"/>
        <v>359.41000000000003</v>
      </c>
      <c r="L35" s="29">
        <f t="shared" si="1"/>
        <v>29.890000000000001</v>
      </c>
      <c r="M35" s="29">
        <f t="shared" si="1"/>
        <v>97.230000000000004</v>
      </c>
      <c r="N35" s="29">
        <f t="shared" si="1"/>
        <v>972.60000000000002</v>
      </c>
      <c r="O35" s="29">
        <f t="shared" si="1"/>
        <v>5.7999999999999998</v>
      </c>
      <c r="P35" s="29">
        <f t="shared" si="1"/>
        <v>1.76</v>
      </c>
      <c r="Q35" s="29">
        <f t="shared" si="1"/>
        <v>7.1900000000000004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5.5750000000000002</v>
      </c>
      <c r="C36" s="28">
        <f t="shared" si="2"/>
        <v>17.077500000000004</v>
      </c>
      <c r="D36" s="28">
        <f t="shared" si="2"/>
        <v>14.42</v>
      </c>
      <c r="E36" s="28">
        <f t="shared" si="2"/>
        <v>2.3579166666666671</v>
      </c>
      <c r="F36" s="28">
        <f t="shared" si="2"/>
        <v>6.6462500000000011</v>
      </c>
      <c r="G36" s="28">
        <f t="shared" si="2"/>
        <v>31.650952380952383</v>
      </c>
      <c r="H36" s="28">
        <f t="shared" si="2"/>
        <v>13.443809523809524</v>
      </c>
      <c r="I36" s="8" t="s">
        <v>8</v>
      </c>
      <c r="J36" s="28">
        <f t="shared" si="2"/>
        <v>0.34041666666666665</v>
      </c>
      <c r="K36" s="28">
        <f t="shared" si="2"/>
        <v>158.94375000000002</v>
      </c>
      <c r="L36" s="28">
        <f t="shared" si="2"/>
        <v>24.043333333333333</v>
      </c>
      <c r="M36" s="28">
        <f t="shared" si="2"/>
        <v>91.428749999999994</v>
      </c>
      <c r="N36" s="28">
        <f t="shared" si="2"/>
        <v>193.03750000000002</v>
      </c>
      <c r="O36" s="28">
        <f t="shared" si="2"/>
        <v>0.54999999999999993</v>
      </c>
      <c r="P36" s="28">
        <f t="shared" si="2"/>
        <v>1.1093333333333333</v>
      </c>
      <c r="Q36" s="28">
        <f t="shared" si="2"/>
        <v>4.8075000000000001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2.2920220804763849</v>
      </c>
      <c r="C37" s="28">
        <f t="shared" si="3" ref="C37:Q37">STDEV(C9:C32)</f>
        <v>3.9980345714841521</v>
      </c>
      <c r="D37" s="28">
        <f t="shared" si="3"/>
        <v>3.6001763241843343</v>
      </c>
      <c r="E37" s="28">
        <f t="shared" si="3"/>
        <v>0.40209212838620029</v>
      </c>
      <c r="F37" s="28">
        <f t="shared" si="3"/>
        <v>1.9159668066925886</v>
      </c>
      <c r="G37" s="28">
        <f t="shared" si="3"/>
        <v>11.895909761242237</v>
      </c>
      <c r="H37" s="28">
        <f t="shared" si="3"/>
        <v>2.6503178605413984</v>
      </c>
      <c r="I37" s="8" t="s">
        <v>8</v>
      </c>
      <c r="J37" s="28">
        <f t="shared" si="3"/>
        <v>0.34476809050705964</v>
      </c>
      <c r="K37" s="28">
        <f t="shared" si="3"/>
        <v>126.64818637237973</v>
      </c>
      <c r="L37" s="28">
        <f t="shared" si="3"/>
        <v>2.5733477885003935</v>
      </c>
      <c r="M37" s="28">
        <f t="shared" si="3"/>
        <v>7.3075882612290233</v>
      </c>
      <c r="N37" s="28">
        <f t="shared" si="3"/>
        <v>274.73585070580691</v>
      </c>
      <c r="O37" s="28">
        <f t="shared" si="3"/>
        <v>1.300501575480048</v>
      </c>
      <c r="P37" s="28">
        <f t="shared" si="3"/>
        <v>0.27983328370061039</v>
      </c>
      <c r="Q37" s="28">
        <f t="shared" si="3"/>
        <v>1.5711564558297981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COUNT(P9:P32)+9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074b46-2772-4a94-b9af-f24b50e338d7}">
  <sheetPr codeName=""/>
  <dimension ref="A1:U119"/>
  <sheetViews>
    <sheetView workbookViewId="0" topLeftCell="A1">
      <pane xSplit="1" ySplit="8" topLeftCell="B9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I38" sqref="I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423</v>
      </c>
      <c r="B9" s="61">
        <v>5.80</v>
      </c>
      <c r="C9" s="61">
        <v>18.329999999999998</v>
      </c>
      <c r="D9" s="61">
        <v>14.52</v>
      </c>
      <c r="E9" s="61">
        <v>2.17</v>
      </c>
      <c r="F9" s="61">
        <v>7.92</v>
      </c>
      <c r="G9" s="61">
        <v>10.93</v>
      </c>
      <c r="H9" s="61">
        <v>7.72</v>
      </c>
      <c r="I9" s="8" t="s">
        <v>8</v>
      </c>
      <c r="J9" s="61">
        <v>0.23</v>
      </c>
      <c r="K9" s="61">
        <v>358.72</v>
      </c>
      <c r="L9" s="61">
        <v>21.83</v>
      </c>
      <c r="M9" s="61">
        <v>97.23</v>
      </c>
      <c r="N9" s="61">
        <v>37.200000000000003</v>
      </c>
      <c r="O9" s="61">
        <v>0</v>
      </c>
      <c r="P9" s="5" t="s">
        <v>14</v>
      </c>
      <c r="Q9" s="61">
        <v>6.28</v>
      </c>
    </row>
    <row r="10" spans="1:17" s="11" customFormat="1" ht="15">
      <c r="A10" s="55" t="s">
        <v>424</v>
      </c>
      <c r="B10" s="61">
        <v>5.87</v>
      </c>
      <c r="C10" s="61">
        <v>14.81</v>
      </c>
      <c r="D10" s="61">
        <v>13.53</v>
      </c>
      <c r="E10" s="61">
        <v>2.06</v>
      </c>
      <c r="F10" s="61">
        <v>3.95</v>
      </c>
      <c r="G10" s="61">
        <v>13.22</v>
      </c>
      <c r="H10" s="61">
        <v>7.72</v>
      </c>
      <c r="I10" s="8" t="s">
        <v>8</v>
      </c>
      <c r="J10" s="61">
        <v>0.17</v>
      </c>
      <c r="K10" s="61">
        <v>36.71</v>
      </c>
      <c r="L10" s="61">
        <v>21.91</v>
      </c>
      <c r="M10" s="61">
        <v>97.23</v>
      </c>
      <c r="N10" s="61">
        <v>37.40</v>
      </c>
      <c r="O10" s="61">
        <v>0</v>
      </c>
      <c r="P10" s="61">
        <v>0.95</v>
      </c>
      <c r="Q10" s="61">
        <v>6.06</v>
      </c>
    </row>
    <row r="11" spans="1:17" s="11" customFormat="1" ht="15">
      <c r="A11" s="55" t="s">
        <v>425</v>
      </c>
      <c r="B11" s="61">
        <v>5.25</v>
      </c>
      <c r="C11" s="61">
        <v>13.84</v>
      </c>
      <c r="D11" s="61">
        <v>12.49</v>
      </c>
      <c r="E11" s="61">
        <v>2.23</v>
      </c>
      <c r="F11" s="61">
        <v>6.84</v>
      </c>
      <c r="G11" s="61">
        <v>13.29</v>
      </c>
      <c r="H11" s="61">
        <v>10.84</v>
      </c>
      <c r="I11" s="8" t="s">
        <v>8</v>
      </c>
      <c r="J11" s="61">
        <v>0.15</v>
      </c>
      <c r="K11" s="61">
        <v>37.97</v>
      </c>
      <c r="L11" s="61">
        <v>21.75</v>
      </c>
      <c r="M11" s="61">
        <v>97.23</v>
      </c>
      <c r="N11" s="61">
        <v>37.5</v>
      </c>
      <c r="O11" s="61">
        <v>0</v>
      </c>
      <c r="P11" s="5" t="s">
        <v>14</v>
      </c>
      <c r="Q11" s="61">
        <v>4.78</v>
      </c>
    </row>
    <row r="12" spans="1:17" s="11" customFormat="1" ht="15">
      <c r="A12" s="55" t="s">
        <v>426</v>
      </c>
      <c r="B12" s="61">
        <v>4.38</v>
      </c>
      <c r="C12" s="61">
        <v>12.88</v>
      </c>
      <c r="D12" s="61">
        <v>11.11</v>
      </c>
      <c r="E12" s="61">
        <v>2.88</v>
      </c>
      <c r="F12" s="61">
        <v>5.20</v>
      </c>
      <c r="G12" s="61">
        <v>10.93</v>
      </c>
      <c r="H12" s="61">
        <v>10.84</v>
      </c>
      <c r="I12" s="8" t="s">
        <v>8</v>
      </c>
      <c r="J12" s="61">
        <v>0.20</v>
      </c>
      <c r="K12" s="61">
        <v>43.23</v>
      </c>
      <c r="L12" s="61">
        <v>21.77</v>
      </c>
      <c r="M12" s="61">
        <v>97.23</v>
      </c>
      <c r="N12" s="61">
        <v>37.60</v>
      </c>
      <c r="O12" s="61">
        <v>0</v>
      </c>
      <c r="P12" s="5" t="s">
        <v>14</v>
      </c>
      <c r="Q12" s="61">
        <v>4.96</v>
      </c>
    </row>
    <row r="13" spans="1:17" s="11" customFormat="1" ht="15">
      <c r="A13" s="55" t="s">
        <v>427</v>
      </c>
      <c r="B13" s="61">
        <v>3.85</v>
      </c>
      <c r="C13" s="61">
        <v>13.26</v>
      </c>
      <c r="D13" s="61">
        <v>11.05</v>
      </c>
      <c r="E13" s="61">
        <v>2.95</v>
      </c>
      <c r="F13" s="61">
        <v>3.95</v>
      </c>
      <c r="G13" s="61">
        <v>10.61</v>
      </c>
      <c r="H13" s="61">
        <v>8.58</v>
      </c>
      <c r="I13" s="8" t="s">
        <v>8</v>
      </c>
      <c r="J13" s="61">
        <v>0.17</v>
      </c>
      <c r="K13" s="61">
        <v>42.08</v>
      </c>
      <c r="L13" s="61">
        <v>21.86</v>
      </c>
      <c r="M13" s="61">
        <v>97.23</v>
      </c>
      <c r="N13" s="61">
        <v>37.700000000000003</v>
      </c>
      <c r="O13" s="61">
        <v>0</v>
      </c>
      <c r="P13" s="5" t="s">
        <v>14</v>
      </c>
      <c r="Q13" s="61">
        <v>3.67</v>
      </c>
    </row>
    <row r="14" spans="1:17" s="11" customFormat="1" ht="15">
      <c r="A14" s="55" t="s">
        <v>428</v>
      </c>
      <c r="B14" s="61">
        <v>3.70</v>
      </c>
      <c r="C14" s="61">
        <v>13.75</v>
      </c>
      <c r="D14" s="61">
        <v>11.13</v>
      </c>
      <c r="E14" s="61">
        <v>2.80</v>
      </c>
      <c r="F14" s="61">
        <v>6.82</v>
      </c>
      <c r="G14" s="61">
        <v>11.98</v>
      </c>
      <c r="H14" s="61">
        <v>8.69</v>
      </c>
      <c r="I14" s="8" t="s">
        <v>8</v>
      </c>
      <c r="J14" s="61">
        <v>0.26</v>
      </c>
      <c r="K14" s="61">
        <v>45.81</v>
      </c>
      <c r="L14" s="61">
        <v>22</v>
      </c>
      <c r="M14" s="61">
        <v>97.23</v>
      </c>
      <c r="N14" s="61">
        <v>56.30</v>
      </c>
      <c r="O14" s="61">
        <v>0</v>
      </c>
      <c r="P14" s="5" t="s">
        <v>14</v>
      </c>
      <c r="Q14" s="61">
        <v>2.80</v>
      </c>
    </row>
    <row r="15" spans="1:17" s="11" customFormat="1" ht="15">
      <c r="A15" s="55" t="s">
        <v>429</v>
      </c>
      <c r="B15" s="61">
        <v>4.80</v>
      </c>
      <c r="C15" s="61">
        <v>14.02</v>
      </c>
      <c r="D15" s="61">
        <v>12.08</v>
      </c>
      <c r="E15" s="61">
        <v>3.05</v>
      </c>
      <c r="F15" s="61">
        <v>5.58</v>
      </c>
      <c r="G15" s="61">
        <v>13.09</v>
      </c>
      <c r="H15" s="61">
        <v>8.69</v>
      </c>
      <c r="I15" s="8" t="s">
        <v>8</v>
      </c>
      <c r="J15" s="61">
        <v>0.21</v>
      </c>
      <c r="K15" s="61">
        <v>38.799999999999997</v>
      </c>
      <c r="L15" s="61">
        <v>22.29</v>
      </c>
      <c r="M15" s="61">
        <v>97.23</v>
      </c>
      <c r="N15" s="61">
        <v>107.90</v>
      </c>
      <c r="O15" s="61">
        <v>0</v>
      </c>
      <c r="P15" s="5" t="s">
        <v>14</v>
      </c>
      <c r="Q15" s="61">
        <v>4.08</v>
      </c>
    </row>
    <row r="16" spans="1:17" s="11" customFormat="1" ht="15">
      <c r="A16" s="55" t="s">
        <v>430</v>
      </c>
      <c r="B16" s="61">
        <v>5.0999999999999996</v>
      </c>
      <c r="C16" s="61">
        <v>14.5</v>
      </c>
      <c r="D16" s="61">
        <v>12.69</v>
      </c>
      <c r="E16" s="61">
        <v>3</v>
      </c>
      <c r="F16" s="61">
        <v>3.88</v>
      </c>
      <c r="G16" s="61">
        <v>13.12</v>
      </c>
      <c r="H16" s="61">
        <v>8.2200000000000006</v>
      </c>
      <c r="I16" s="8" t="s">
        <v>8</v>
      </c>
      <c r="J16" s="61">
        <v>0.20</v>
      </c>
      <c r="K16" s="61">
        <v>36.979999999999997</v>
      </c>
      <c r="L16" s="61">
        <v>22.43</v>
      </c>
      <c r="M16" s="61">
        <v>97.20</v>
      </c>
      <c r="N16" s="61">
        <v>108.30</v>
      </c>
      <c r="O16" s="61">
        <v>0</v>
      </c>
      <c r="P16" s="61">
        <v>0.78</v>
      </c>
      <c r="Q16" s="61">
        <v>2.63</v>
      </c>
    </row>
    <row r="17" spans="1:17" s="11" customFormat="1" ht="15">
      <c r="A17" s="55" t="s">
        <v>431</v>
      </c>
      <c r="B17" s="61">
        <v>6.86</v>
      </c>
      <c r="C17" s="61">
        <v>15.65</v>
      </c>
      <c r="D17" s="61">
        <v>14.78</v>
      </c>
      <c r="E17" s="61">
        <v>3.85</v>
      </c>
      <c r="F17" s="61">
        <v>4.8600000000000003</v>
      </c>
      <c r="G17" s="61">
        <v>18.489999999999998</v>
      </c>
      <c r="H17" s="61">
        <v>17.18</v>
      </c>
      <c r="I17" s="8" t="s">
        <v>8</v>
      </c>
      <c r="J17" s="61">
        <v>0.24</v>
      </c>
      <c r="K17" s="61">
        <v>44.79</v>
      </c>
      <c r="L17" s="61">
        <v>23.62</v>
      </c>
      <c r="M17" s="61">
        <v>97.21</v>
      </c>
      <c r="N17" s="61">
        <v>325.89999999999998</v>
      </c>
      <c r="O17" s="61">
        <v>0</v>
      </c>
      <c r="P17" s="5" t="s">
        <v>14</v>
      </c>
      <c r="Q17" s="61">
        <v>4.22</v>
      </c>
    </row>
    <row r="18" spans="1:17" s="11" customFormat="1" ht="15">
      <c r="A18" s="55" t="s">
        <v>432</v>
      </c>
      <c r="B18" s="61">
        <v>7.78</v>
      </c>
      <c r="C18" s="61">
        <v>16.239999999999998</v>
      </c>
      <c r="D18" s="61">
        <v>15.85</v>
      </c>
      <c r="E18" s="61">
        <v>3.59</v>
      </c>
      <c r="F18" s="61">
        <v>5.03</v>
      </c>
      <c r="G18" s="61">
        <v>21.49</v>
      </c>
      <c r="H18" s="61">
        <v>17.18</v>
      </c>
      <c r="I18" s="8" t="s">
        <v>8</v>
      </c>
      <c r="J18" s="61">
        <v>0.21</v>
      </c>
      <c r="K18" s="61">
        <v>67.67</v>
      </c>
      <c r="L18" s="61">
        <v>24.54</v>
      </c>
      <c r="M18" s="61">
        <v>95.97</v>
      </c>
      <c r="N18" s="61">
        <v>303.5</v>
      </c>
      <c r="O18" s="61">
        <v>0</v>
      </c>
      <c r="P18" s="5" t="s">
        <v>14</v>
      </c>
      <c r="Q18" s="61">
        <v>5.21</v>
      </c>
    </row>
    <row r="19" spans="1:17" s="11" customFormat="1" ht="15">
      <c r="A19" s="55" t="s">
        <v>433</v>
      </c>
      <c r="B19" s="61">
        <v>7.51</v>
      </c>
      <c r="C19" s="61">
        <v>17.059999999999999</v>
      </c>
      <c r="D19" s="61">
        <v>15.54</v>
      </c>
      <c r="E19" s="61">
        <v>3.62</v>
      </c>
      <c r="F19" s="61">
        <v>4.1399999999999997</v>
      </c>
      <c r="G19" s="61">
        <v>34.79</v>
      </c>
      <c r="H19" s="61">
        <v>25.26</v>
      </c>
      <c r="I19" s="8" t="s">
        <v>8</v>
      </c>
      <c r="J19" s="61">
        <v>0.27</v>
      </c>
      <c r="K19" s="61">
        <v>33.950000000000003</v>
      </c>
      <c r="L19" s="61">
        <v>25.85</v>
      </c>
      <c r="M19" s="61">
        <v>93.26</v>
      </c>
      <c r="N19" s="61">
        <v>594.10</v>
      </c>
      <c r="O19" s="61">
        <v>0</v>
      </c>
      <c r="P19" s="5" t="s">
        <v>14</v>
      </c>
      <c r="Q19" s="61">
        <v>3.45</v>
      </c>
    </row>
    <row r="20" spans="1:17" s="11" customFormat="1" ht="15">
      <c r="A20" s="55" t="s">
        <v>434</v>
      </c>
      <c r="B20" s="61">
        <v>5.37</v>
      </c>
      <c r="C20" s="61">
        <v>20.079999999999998</v>
      </c>
      <c r="D20" s="61">
        <v>15.14</v>
      </c>
      <c r="E20" s="61">
        <v>3.30</v>
      </c>
      <c r="F20" s="61">
        <v>5.74</v>
      </c>
      <c r="G20" s="61">
        <v>39.94</v>
      </c>
      <c r="H20" s="61">
        <v>25.26</v>
      </c>
      <c r="I20" s="8" t="s">
        <v>8</v>
      </c>
      <c r="J20" s="61">
        <v>0.34</v>
      </c>
      <c r="K20" s="61">
        <v>27.82</v>
      </c>
      <c r="L20" s="61">
        <v>26.82</v>
      </c>
      <c r="M20" s="61">
        <v>83.25</v>
      </c>
      <c r="N20" s="61">
        <v>724.5</v>
      </c>
      <c r="O20" s="61">
        <v>0</v>
      </c>
      <c r="P20" s="5" t="s">
        <v>14</v>
      </c>
      <c r="Q20" s="61">
        <v>3.25</v>
      </c>
    </row>
    <row r="21" spans="1:17" s="11" customFormat="1" ht="15">
      <c r="A21" s="55" t="s">
        <v>435</v>
      </c>
      <c r="B21" s="61">
        <v>4.4800000000000004</v>
      </c>
      <c r="C21" s="61">
        <v>19.55</v>
      </c>
      <c r="D21" s="61">
        <v>15.03</v>
      </c>
      <c r="E21" s="61">
        <v>2.33</v>
      </c>
      <c r="F21" s="61">
        <v>6.19</v>
      </c>
      <c r="G21" s="61">
        <v>40.11</v>
      </c>
      <c r="H21" s="61">
        <v>20.71</v>
      </c>
      <c r="I21" s="8" t="s">
        <v>8</v>
      </c>
      <c r="J21" s="61">
        <v>0.34</v>
      </c>
      <c r="K21" s="61">
        <v>34.75</v>
      </c>
      <c r="L21" s="61">
        <v>27.45</v>
      </c>
      <c r="M21" s="61">
        <v>78.31</v>
      </c>
      <c r="N21" s="61">
        <v>643.60</v>
      </c>
      <c r="O21" s="61">
        <v>0</v>
      </c>
      <c r="P21" s="5" t="s">
        <v>14</v>
      </c>
      <c r="Q21" s="61">
        <v>3.59</v>
      </c>
    </row>
    <row r="22" spans="1:17" s="11" customFormat="1" ht="15">
      <c r="A22" s="55" t="s">
        <v>436</v>
      </c>
      <c r="B22" s="61">
        <v>3.5</v>
      </c>
      <c r="C22" s="61">
        <v>19.87</v>
      </c>
      <c r="D22" s="61">
        <v>14.42</v>
      </c>
      <c r="E22" s="61">
        <v>2.36</v>
      </c>
      <c r="F22" s="61">
        <v>4.91</v>
      </c>
      <c r="G22" s="61">
        <v>39.90</v>
      </c>
      <c r="H22" s="61">
        <v>19.079999999999998</v>
      </c>
      <c r="I22" s="8" t="s">
        <v>8</v>
      </c>
      <c r="J22" s="61">
        <v>0.33</v>
      </c>
      <c r="K22" s="61">
        <v>33.340000000000003</v>
      </c>
      <c r="L22" s="61">
        <v>26.35</v>
      </c>
      <c r="M22" s="61">
        <v>80.260000000000005</v>
      </c>
      <c r="N22" s="61">
        <v>368.5</v>
      </c>
      <c r="O22" s="61">
        <v>0</v>
      </c>
      <c r="P22" s="61">
        <v>1.47</v>
      </c>
      <c r="Q22" s="61">
        <v>1.22</v>
      </c>
    </row>
    <row r="23" spans="1:17" s="11" customFormat="1" ht="15">
      <c r="A23" s="55" t="s">
        <v>437</v>
      </c>
      <c r="B23" s="61">
        <v>5.57</v>
      </c>
      <c r="C23" s="61">
        <v>22.05</v>
      </c>
      <c r="D23" s="61">
        <v>17.29</v>
      </c>
      <c r="E23" s="61">
        <v>2.19</v>
      </c>
      <c r="F23" s="61">
        <v>9.32</v>
      </c>
      <c r="G23" s="61">
        <v>40</v>
      </c>
      <c r="H23" s="61">
        <v>18.22</v>
      </c>
      <c r="I23" s="8" t="s">
        <v>8</v>
      </c>
      <c r="J23" s="61">
        <v>0.30</v>
      </c>
      <c r="K23" s="61">
        <v>40.909999999999997</v>
      </c>
      <c r="L23" s="61">
        <v>26.19</v>
      </c>
      <c r="M23" s="61">
        <v>82.95</v>
      </c>
      <c r="N23" s="61">
        <v>268.80</v>
      </c>
      <c r="O23" s="61">
        <v>0.20</v>
      </c>
      <c r="P23" s="5" t="s">
        <v>14</v>
      </c>
      <c r="Q23" s="61">
        <v>2.97</v>
      </c>
    </row>
    <row r="24" spans="1:17" s="11" customFormat="1" ht="15">
      <c r="A24" s="55" t="s">
        <v>438</v>
      </c>
      <c r="B24" s="61">
        <v>5.23</v>
      </c>
      <c r="C24" s="61">
        <v>20.45</v>
      </c>
      <c r="D24" s="61">
        <v>15.99</v>
      </c>
      <c r="E24" s="61">
        <v>2.4300000000000002</v>
      </c>
      <c r="F24" s="61">
        <v>5.73</v>
      </c>
      <c r="G24" s="61">
        <v>33.08</v>
      </c>
      <c r="H24" s="61">
        <v>18.22</v>
      </c>
      <c r="I24" s="8" t="s">
        <v>8</v>
      </c>
      <c r="J24" s="61">
        <v>0.40</v>
      </c>
      <c r="K24" s="61">
        <v>32.04</v>
      </c>
      <c r="L24" s="61">
        <v>27.03</v>
      </c>
      <c r="M24" s="61">
        <v>80.17</v>
      </c>
      <c r="N24" s="61">
        <v>321.5</v>
      </c>
      <c r="O24" s="61">
        <v>0</v>
      </c>
      <c r="P24" s="5" t="s">
        <v>14</v>
      </c>
      <c r="Q24" s="61">
        <v>3.32</v>
      </c>
    </row>
    <row r="25" spans="1:17" s="11" customFormat="1" ht="15">
      <c r="A25" s="55" t="s">
        <v>439</v>
      </c>
      <c r="B25" s="61">
        <v>4.4000000000000004</v>
      </c>
      <c r="C25" s="61">
        <v>17.68</v>
      </c>
      <c r="D25" s="61">
        <v>13.72</v>
      </c>
      <c r="E25" s="61">
        <v>1.45</v>
      </c>
      <c r="F25" s="61">
        <v>5.29</v>
      </c>
      <c r="G25" s="61">
        <v>33.119999999999997</v>
      </c>
      <c r="H25" s="61">
        <v>13.82</v>
      </c>
      <c r="I25" s="8" t="s">
        <v>8</v>
      </c>
      <c r="J25" s="61">
        <v>0.27</v>
      </c>
      <c r="K25" s="61">
        <v>43.66</v>
      </c>
      <c r="L25" s="61">
        <v>26.02</v>
      </c>
      <c r="M25" s="61">
        <v>82.12</v>
      </c>
      <c r="N25" s="61">
        <v>182.90</v>
      </c>
      <c r="O25" s="61">
        <v>0</v>
      </c>
      <c r="P25" s="5" t="s">
        <v>14</v>
      </c>
      <c r="Q25" s="61">
        <v>0.46</v>
      </c>
    </row>
    <row r="26" spans="1:17" s="11" customFormat="1" ht="15">
      <c r="A26" s="55" t="s">
        <v>440</v>
      </c>
      <c r="B26" s="61">
        <v>3.25</v>
      </c>
      <c r="C26" s="61">
        <v>19.440000000000001</v>
      </c>
      <c r="D26" s="61">
        <v>13.82</v>
      </c>
      <c r="E26" s="61">
        <v>1.65</v>
      </c>
      <c r="F26" s="61">
        <v>7.19</v>
      </c>
      <c r="G26" s="61">
        <v>30.02</v>
      </c>
      <c r="H26" s="61">
        <v>11.65</v>
      </c>
      <c r="I26" s="8" t="s">
        <v>8</v>
      </c>
      <c r="J26" s="61">
        <v>0.35</v>
      </c>
      <c r="K26" s="61">
        <v>51.26</v>
      </c>
      <c r="L26" s="61">
        <v>25.55</v>
      </c>
      <c r="M26" s="61">
        <v>83.37</v>
      </c>
      <c r="N26" s="61">
        <v>149.5</v>
      </c>
      <c r="O26" s="61">
        <v>0.20</v>
      </c>
      <c r="P26" s="5" t="s">
        <v>14</v>
      </c>
      <c r="Q26" s="61">
        <v>1.62</v>
      </c>
    </row>
    <row r="27" spans="1:17" s="11" customFormat="1" ht="15">
      <c r="A27" s="55" t="s">
        <v>441</v>
      </c>
      <c r="B27" s="61">
        <v>4.01</v>
      </c>
      <c r="C27" s="61">
        <v>19.02</v>
      </c>
      <c r="D27" s="61">
        <v>14.36</v>
      </c>
      <c r="E27" s="61">
        <v>1.68</v>
      </c>
      <c r="F27" s="61">
        <v>5.83</v>
      </c>
      <c r="G27" s="61">
        <v>30.95</v>
      </c>
      <c r="H27" s="61">
        <v>14.58</v>
      </c>
      <c r="I27" s="8" t="s">
        <v>8</v>
      </c>
      <c r="J27" s="61">
        <v>0.35</v>
      </c>
      <c r="K27" s="61">
        <v>45.49</v>
      </c>
      <c r="L27" s="61">
        <v>25.17</v>
      </c>
      <c r="M27" s="61">
        <v>86.60</v>
      </c>
      <c r="N27" s="61">
        <v>63.30</v>
      </c>
      <c r="O27" s="61">
        <v>0</v>
      </c>
      <c r="P27" s="5" t="s">
        <v>14</v>
      </c>
      <c r="Q27" s="61">
        <v>2.2400000000000002</v>
      </c>
    </row>
    <row r="28" spans="1:17" s="11" customFormat="1" ht="15">
      <c r="A28" s="55" t="s">
        <v>442</v>
      </c>
      <c r="B28" s="61">
        <v>3.18</v>
      </c>
      <c r="C28" s="61">
        <v>17.82</v>
      </c>
      <c r="D28" s="61">
        <v>12.85</v>
      </c>
      <c r="E28" s="61">
        <v>1.05</v>
      </c>
      <c r="F28" s="61">
        <v>5.09</v>
      </c>
      <c r="G28" s="61">
        <v>30.98</v>
      </c>
      <c r="H28" s="61">
        <v>14.58</v>
      </c>
      <c r="I28" s="8" t="s">
        <v>8</v>
      </c>
      <c r="J28" s="61">
        <v>0.30</v>
      </c>
      <c r="K28" s="61">
        <v>42.79</v>
      </c>
      <c r="L28" s="61">
        <v>24.39</v>
      </c>
      <c r="M28" s="61">
        <v>94.53</v>
      </c>
      <c r="N28" s="61">
        <v>37</v>
      </c>
      <c r="O28" s="61">
        <v>0</v>
      </c>
      <c r="P28" s="61">
        <v>0.77</v>
      </c>
      <c r="Q28" s="61">
        <v>0.19</v>
      </c>
    </row>
    <row r="29" spans="1:17" s="11" customFormat="1" ht="15">
      <c r="A29" s="55" t="s">
        <v>443</v>
      </c>
      <c r="B29" s="61">
        <v>3.57</v>
      </c>
      <c r="C29" s="61">
        <v>17.16</v>
      </c>
      <c r="D29" s="61">
        <v>12.81</v>
      </c>
      <c r="E29" s="61">
        <v>1.07</v>
      </c>
      <c r="F29" s="61">
        <v>5.97</v>
      </c>
      <c r="G29" s="61">
        <v>27.91</v>
      </c>
      <c r="H29" s="61">
        <v>13.08</v>
      </c>
      <c r="I29" s="8" t="s">
        <v>8</v>
      </c>
      <c r="J29" s="61">
        <v>0.28000000000000003</v>
      </c>
      <c r="K29" s="61">
        <v>37.60</v>
      </c>
      <c r="L29" s="61">
        <v>23.5</v>
      </c>
      <c r="M29" s="61">
        <v>97.21</v>
      </c>
      <c r="N29" s="61">
        <v>37.5</v>
      </c>
      <c r="O29" s="61">
        <v>0.60</v>
      </c>
      <c r="P29" s="5" t="s">
        <v>14</v>
      </c>
      <c r="Q29" s="61">
        <v>1.02</v>
      </c>
    </row>
    <row r="30" spans="1:17" s="11" customFormat="1" ht="15">
      <c r="A30" s="55" t="s">
        <v>444</v>
      </c>
      <c r="B30" s="61">
        <v>4.33</v>
      </c>
      <c r="C30" s="61">
        <v>16.82</v>
      </c>
      <c r="D30" s="61">
        <v>13.09</v>
      </c>
      <c r="E30" s="61">
        <v>1.20</v>
      </c>
      <c r="F30" s="61">
        <v>8.64</v>
      </c>
      <c r="G30" s="61">
        <v>20.149999999999999</v>
      </c>
      <c r="H30" s="61">
        <v>13.08</v>
      </c>
      <c r="I30" s="8" t="s">
        <v>8</v>
      </c>
      <c r="J30" s="61">
        <v>0.25</v>
      </c>
      <c r="K30" s="61">
        <v>39.729999999999997</v>
      </c>
      <c r="L30" s="61">
        <v>22.96</v>
      </c>
      <c r="M30" s="61">
        <v>97.21</v>
      </c>
      <c r="N30" s="61">
        <v>37.200000000000003</v>
      </c>
      <c r="O30" s="61">
        <v>0.20</v>
      </c>
      <c r="P30" s="5" t="s">
        <v>14</v>
      </c>
      <c r="Q30" s="61">
        <v>1.68</v>
      </c>
    </row>
    <row r="31" spans="1:17" s="11" customFormat="1" ht="15">
      <c r="A31" s="55" t="s">
        <v>445</v>
      </c>
      <c r="B31" s="61">
        <v>4.1399999999999997</v>
      </c>
      <c r="C31" s="61">
        <v>16.20</v>
      </c>
      <c r="D31" s="61">
        <v>12.81</v>
      </c>
      <c r="E31" s="61">
        <v>1.42</v>
      </c>
      <c r="F31" s="61">
        <v>4.25</v>
      </c>
      <c r="G31" s="61">
        <v>18.13</v>
      </c>
      <c r="H31" s="61">
        <v>12.14</v>
      </c>
      <c r="I31" s="8" t="s">
        <v>8</v>
      </c>
      <c r="J31" s="61">
        <v>0.25</v>
      </c>
      <c r="K31" s="61">
        <v>42.58</v>
      </c>
      <c r="L31" s="61">
        <v>22.52</v>
      </c>
      <c r="M31" s="61">
        <v>97.23</v>
      </c>
      <c r="N31" s="61">
        <v>37.200000000000003</v>
      </c>
      <c r="O31" s="61">
        <v>0.20</v>
      </c>
      <c r="P31" s="5" t="s">
        <v>14</v>
      </c>
      <c r="Q31" s="61">
        <v>0.24</v>
      </c>
    </row>
    <row r="32" spans="1:17" s="11" customFormat="1" ht="15">
      <c r="A32" s="55" t="s">
        <v>446</v>
      </c>
      <c r="B32" s="61">
        <v>3.19</v>
      </c>
      <c r="C32" s="61">
        <v>15.48</v>
      </c>
      <c r="D32" s="61">
        <v>11.67</v>
      </c>
      <c r="E32" s="61">
        <v>1.66</v>
      </c>
      <c r="F32" s="61">
        <v>5.56</v>
      </c>
      <c r="G32" s="61">
        <v>18.170000000000002</v>
      </c>
      <c r="H32" s="61">
        <v>12.14</v>
      </c>
      <c r="I32" s="8" t="s">
        <v>8</v>
      </c>
      <c r="J32" s="61">
        <v>0.28000000000000003</v>
      </c>
      <c r="K32" s="61">
        <v>36.17</v>
      </c>
      <c r="L32" s="61">
        <v>22.31</v>
      </c>
      <c r="M32" s="61">
        <v>97.23</v>
      </c>
      <c r="N32" s="61">
        <v>37.299999999999997</v>
      </c>
      <c r="O32" s="61">
        <v>3.60</v>
      </c>
      <c r="P32" s="5" t="s">
        <v>14</v>
      </c>
      <c r="Q32" s="61">
        <v>0.83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3.1800000000000002</v>
      </c>
      <c r="C34" s="28">
        <f t="shared" si="0"/>
        <v>12.880000000000001</v>
      </c>
      <c r="D34" s="28">
        <f t="shared" si="0"/>
        <v>11.050000000000001</v>
      </c>
      <c r="E34" s="28">
        <f t="shared" si="0"/>
        <v>1.05</v>
      </c>
      <c r="F34" s="28">
        <f t="shared" si="0"/>
        <v>3.8799999999999999</v>
      </c>
      <c r="G34" s="28">
        <f t="shared" si="0"/>
        <v>10.609999999999999</v>
      </c>
      <c r="H34" s="28">
        <f t="shared" si="0"/>
        <v>7.7199999999999998</v>
      </c>
      <c r="I34" s="28">
        <f t="shared" si="0"/>
        <v>0</v>
      </c>
      <c r="J34" s="28">
        <f t="shared" si="0"/>
        <v>0.14999999999999999</v>
      </c>
      <c r="K34" s="28">
        <f t="shared" si="0"/>
        <v>27.82</v>
      </c>
      <c r="L34" s="28">
        <f t="shared" si="0"/>
        <v>21.75</v>
      </c>
      <c r="M34" s="28">
        <f t="shared" si="0"/>
        <v>78.310000000000002</v>
      </c>
      <c r="N34" s="28">
        <f t="shared" si="0"/>
        <v>37</v>
      </c>
      <c r="O34" s="28">
        <f t="shared" si="0"/>
        <v>0</v>
      </c>
      <c r="P34" s="28">
        <f t="shared" si="0"/>
        <v>0.77000000000000002</v>
      </c>
      <c r="Q34" s="28">
        <f t="shared" si="0"/>
        <v>0.19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7.7800000000000002</v>
      </c>
      <c r="C35" s="29">
        <f t="shared" si="1"/>
        <v>22.050000000000001</v>
      </c>
      <c r="D35" s="29">
        <f t="shared" si="1"/>
        <v>17.289999999999999</v>
      </c>
      <c r="E35" s="29">
        <f t="shared" si="1"/>
        <v>3.8500000000000001</v>
      </c>
      <c r="F35" s="29">
        <f t="shared" si="1"/>
        <v>9.3200000000000003</v>
      </c>
      <c r="G35" s="29">
        <f t="shared" si="1"/>
        <v>40.109999999999999</v>
      </c>
      <c r="H35" s="29">
        <f t="shared" si="1"/>
        <v>25.260000000000002</v>
      </c>
      <c r="I35" s="29">
        <f t="shared" si="1"/>
        <v>0</v>
      </c>
      <c r="J35" s="29">
        <f t="shared" si="1"/>
        <v>0.40000000000000002</v>
      </c>
      <c r="K35" s="29">
        <f t="shared" si="1"/>
        <v>358.72000000000003</v>
      </c>
      <c r="L35" s="29">
        <f t="shared" si="1"/>
        <v>27.449999999999999</v>
      </c>
      <c r="M35" s="29">
        <f t="shared" si="1"/>
        <v>97.230000000000004</v>
      </c>
      <c r="N35" s="29">
        <f t="shared" si="1"/>
        <v>724.5</v>
      </c>
      <c r="O35" s="29">
        <f t="shared" si="1"/>
        <v>3.6000000000000001</v>
      </c>
      <c r="P35" s="29">
        <f t="shared" si="1"/>
        <v>1.47</v>
      </c>
      <c r="Q35" s="29">
        <f t="shared" si="1"/>
        <v>6.2800000000000002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4.7966666666666669</v>
      </c>
      <c r="C36" s="28">
        <f t="shared" si="2"/>
        <v>16.915000000000003</v>
      </c>
      <c r="D36" s="28">
        <f t="shared" si="2"/>
        <v>13.657083333333333</v>
      </c>
      <c r="E36" s="28">
        <f t="shared" si="2"/>
        <v>2.3329166666666663</v>
      </c>
      <c r="F36" s="28">
        <f t="shared" si="2"/>
        <v>5.745000000000001</v>
      </c>
      <c r="G36" s="28">
        <f t="shared" si="2"/>
        <v>23.933333333333326</v>
      </c>
      <c r="H36" s="28">
        <f t="shared" si="2"/>
        <v>14.06166666666666</v>
      </c>
      <c r="I36" s="8" t="s">
        <v>8</v>
      </c>
      <c r="J36" s="28">
        <f t="shared" si="2"/>
        <v>0.26458333333333328</v>
      </c>
      <c r="K36" s="28">
        <f t="shared" si="2"/>
        <v>53.952083333333327</v>
      </c>
      <c r="L36" s="28">
        <f t="shared" si="2"/>
        <v>24.004583333333333</v>
      </c>
      <c r="M36" s="28">
        <f t="shared" si="2"/>
        <v>91.862083333333331</v>
      </c>
      <c r="N36" s="28">
        <f t="shared" si="2"/>
        <v>191.34166666666667</v>
      </c>
      <c r="O36" s="28">
        <f t="shared" si="2"/>
        <v>0.20833333333333334</v>
      </c>
      <c r="P36" s="28">
        <f t="shared" si="2"/>
        <v>0.99250000000000005</v>
      </c>
      <c r="Q36" s="28">
        <f t="shared" si="2"/>
        <v>2.94875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1.2965126021509521</v>
      </c>
      <c r="C37" s="28">
        <f t="shared" si="3" ref="C37:Q37">STDEV(C9:C32)</f>
        <v>2.5643356627602865</v>
      </c>
      <c r="D37" s="28">
        <f t="shared" si="3"/>
        <v>1.6813412843598448</v>
      </c>
      <c r="E37" s="28">
        <f t="shared" si="3"/>
        <v>0.83291253868665471</v>
      </c>
      <c r="F37" s="28">
        <f t="shared" si="3"/>
        <v>1.449296681002616</v>
      </c>
      <c r="G37" s="28">
        <f t="shared" si="3"/>
        <v>10.84792333028356</v>
      </c>
      <c r="H37" s="28">
        <f t="shared" si="3"/>
        <v>5.1626616548364908</v>
      </c>
      <c r="I37" s="8" t="s">
        <v>8</v>
      </c>
      <c r="J37" s="28">
        <f t="shared" si="3"/>
        <v>0.065672386273384412</v>
      </c>
      <c r="K37" s="28">
        <f t="shared" si="3"/>
        <v>65.37500699005146</v>
      </c>
      <c r="L37" s="28">
        <f t="shared" si="3"/>
        <v>1.9855499274741883</v>
      </c>
      <c r="M37" s="28">
        <f t="shared" si="3"/>
        <v>7.2317241790218514</v>
      </c>
      <c r="N37" s="28">
        <f t="shared" si="3"/>
        <v>210.94368487443703</v>
      </c>
      <c r="O37" s="28">
        <f t="shared" si="3"/>
        <v>0.73538908167668315</v>
      </c>
      <c r="P37" s="28">
        <f t="shared" si="3"/>
        <v>0.32887434277141941</v>
      </c>
      <c r="Q37" s="28">
        <f t="shared" si="3"/>
        <v>1.792950719514816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COUNT(P9:P32)+20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a11c33-01e2-43aa-830d-fe51080334db}">
  <sheetPr codeName=""/>
  <dimension ref="A1:U119"/>
  <sheetViews>
    <sheetView workbookViewId="0" topLeftCell="A1">
      <pane xSplit="1" ySplit="8" topLeftCell="B9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447</v>
      </c>
      <c r="B9" s="61">
        <v>3.21</v>
      </c>
      <c r="C9" s="61">
        <v>14.36</v>
      </c>
      <c r="D9" s="61">
        <v>11.03</v>
      </c>
      <c r="E9" s="61">
        <v>2.23</v>
      </c>
      <c r="F9" s="61">
        <v>5.56</v>
      </c>
      <c r="G9" s="61">
        <v>13.27</v>
      </c>
      <c r="H9" s="61">
        <v>9.65</v>
      </c>
      <c r="I9" s="8" t="s">
        <v>8</v>
      </c>
      <c r="J9" s="61">
        <v>0.30</v>
      </c>
      <c r="K9" s="61">
        <v>40.78</v>
      </c>
      <c r="L9" s="61">
        <v>21.75</v>
      </c>
      <c r="M9" s="61">
        <v>97.23</v>
      </c>
      <c r="N9" s="61">
        <v>37.299999999999997</v>
      </c>
      <c r="O9" s="61">
        <v>4</v>
      </c>
      <c r="P9" s="5" t="s">
        <v>14</v>
      </c>
      <c r="Q9" s="61">
        <v>0.66</v>
      </c>
    </row>
    <row r="10" spans="1:17" s="11" customFormat="1" ht="15">
      <c r="A10" s="55" t="s">
        <v>448</v>
      </c>
      <c r="B10" s="61">
        <v>2.68</v>
      </c>
      <c r="C10" s="61">
        <v>13.79</v>
      </c>
      <c r="D10" s="61">
        <v>10.41</v>
      </c>
      <c r="E10" s="61">
        <v>2.4300000000000002</v>
      </c>
      <c r="F10" s="61">
        <v>4.1399999999999997</v>
      </c>
      <c r="G10" s="61">
        <v>10.78</v>
      </c>
      <c r="H10" s="61">
        <v>7.83</v>
      </c>
      <c r="I10" s="8" t="s">
        <v>8</v>
      </c>
      <c r="J10" s="61">
        <v>0.34</v>
      </c>
      <c r="K10" s="61">
        <v>46.39</v>
      </c>
      <c r="L10" s="61">
        <v>21.77</v>
      </c>
      <c r="M10" s="61">
        <v>97.23</v>
      </c>
      <c r="N10" s="61">
        <v>37.299999999999997</v>
      </c>
      <c r="O10" s="61">
        <v>0.60</v>
      </c>
      <c r="P10" s="61">
        <v>0.68</v>
      </c>
      <c r="Q10" s="5" t="s">
        <v>14</v>
      </c>
    </row>
    <row r="11" spans="1:17" s="11" customFormat="1" ht="15">
      <c r="A11" s="55" t="s">
        <v>449</v>
      </c>
      <c r="B11" s="61">
        <v>2.91</v>
      </c>
      <c r="C11" s="61">
        <v>14.09</v>
      </c>
      <c r="D11" s="61">
        <v>10.76</v>
      </c>
      <c r="E11" s="61">
        <v>2.41</v>
      </c>
      <c r="F11" s="61">
        <v>4.32</v>
      </c>
      <c r="G11" s="61">
        <v>12.24</v>
      </c>
      <c r="H11" s="61">
        <v>7.06</v>
      </c>
      <c r="I11" s="8" t="s">
        <v>8</v>
      </c>
      <c r="J11" s="61">
        <v>0.35</v>
      </c>
      <c r="K11" s="61">
        <v>43.86</v>
      </c>
      <c r="L11" s="61">
        <v>21.79</v>
      </c>
      <c r="M11" s="61">
        <v>97.23</v>
      </c>
      <c r="N11" s="61">
        <v>37.200000000000003</v>
      </c>
      <c r="O11" s="61">
        <v>1.60</v>
      </c>
      <c r="P11" s="5" t="s">
        <v>14</v>
      </c>
      <c r="Q11" s="61">
        <v>0.67</v>
      </c>
    </row>
    <row r="12" spans="1:17" s="11" customFormat="1" ht="15">
      <c r="A12" s="55" t="s">
        <v>450</v>
      </c>
      <c r="B12" s="61">
        <v>3.63</v>
      </c>
      <c r="C12" s="61">
        <v>15.14</v>
      </c>
      <c r="D12" s="61">
        <v>11.91</v>
      </c>
      <c r="E12" s="61">
        <v>2.25</v>
      </c>
      <c r="F12" s="61">
        <v>3.74</v>
      </c>
      <c r="G12" s="61">
        <v>12.37</v>
      </c>
      <c r="H12" s="61">
        <v>8.27</v>
      </c>
      <c r="I12" s="8" t="s">
        <v>8</v>
      </c>
      <c r="J12" s="61">
        <v>0.54</v>
      </c>
      <c r="K12" s="61">
        <v>354.09</v>
      </c>
      <c r="L12" s="61">
        <v>21.78</v>
      </c>
      <c r="M12" s="61">
        <v>97.23</v>
      </c>
      <c r="N12" s="61">
        <v>37.40</v>
      </c>
      <c r="O12" s="61">
        <v>7.80</v>
      </c>
      <c r="P12" s="5" t="s">
        <v>14</v>
      </c>
      <c r="Q12" s="61">
        <v>0.95</v>
      </c>
    </row>
    <row r="13" spans="1:17" s="11" customFormat="1" ht="15">
      <c r="A13" s="55" t="s">
        <v>451</v>
      </c>
      <c r="B13" s="61">
        <v>3.86</v>
      </c>
      <c r="C13" s="61">
        <v>16.25</v>
      </c>
      <c r="D13" s="61">
        <v>12.61</v>
      </c>
      <c r="E13" s="61">
        <v>2.14</v>
      </c>
      <c r="F13" s="61">
        <v>3.83</v>
      </c>
      <c r="G13" s="61">
        <v>13.10</v>
      </c>
      <c r="H13" s="61">
        <v>10.38</v>
      </c>
      <c r="I13" s="8" t="s">
        <v>8</v>
      </c>
      <c r="J13" s="61">
        <v>0.33</v>
      </c>
      <c r="K13" s="61">
        <v>43.94</v>
      </c>
      <c r="L13" s="61">
        <v>21.48</v>
      </c>
      <c r="M13" s="61">
        <v>97.23</v>
      </c>
      <c r="N13" s="61">
        <v>37.299999999999997</v>
      </c>
      <c r="O13" s="61">
        <v>3.60</v>
      </c>
      <c r="P13" s="5" t="s">
        <v>14</v>
      </c>
      <c r="Q13" s="61">
        <v>0.01</v>
      </c>
    </row>
    <row r="14" spans="1:17" s="11" customFormat="1" ht="15">
      <c r="A14" s="55" t="s">
        <v>452</v>
      </c>
      <c r="B14" s="61">
        <v>4.96</v>
      </c>
      <c r="C14" s="61">
        <v>15</v>
      </c>
      <c r="D14" s="61">
        <v>12.53</v>
      </c>
      <c r="E14" s="61">
        <v>1.98</v>
      </c>
      <c r="F14" s="61">
        <v>3.72</v>
      </c>
      <c r="G14" s="61">
        <v>17.309999999999999</v>
      </c>
      <c r="H14" s="61">
        <v>10.38</v>
      </c>
      <c r="I14" s="8" t="s">
        <v>8</v>
      </c>
      <c r="J14" s="61">
        <v>0.83</v>
      </c>
      <c r="K14" s="61">
        <v>357.99</v>
      </c>
      <c r="L14" s="61">
        <v>21.53</v>
      </c>
      <c r="M14" s="61">
        <v>97.23</v>
      </c>
      <c r="N14" s="61">
        <v>49.5</v>
      </c>
      <c r="O14" s="61">
        <v>4.4000000000000004</v>
      </c>
      <c r="P14" s="5" t="s">
        <v>14</v>
      </c>
      <c r="Q14" s="61">
        <v>1</v>
      </c>
    </row>
    <row r="15" spans="1:17" s="11" customFormat="1" ht="15">
      <c r="A15" s="55" t="s">
        <v>453</v>
      </c>
      <c r="B15" s="61">
        <v>6.01</v>
      </c>
      <c r="C15" s="61">
        <v>14.31</v>
      </c>
      <c r="D15" s="61">
        <v>13.33</v>
      </c>
      <c r="E15" s="61">
        <v>1.89</v>
      </c>
      <c r="F15" s="61">
        <v>3.57</v>
      </c>
      <c r="G15" s="61">
        <v>17.46</v>
      </c>
      <c r="H15" s="61">
        <v>10.26</v>
      </c>
      <c r="I15" s="8" t="s">
        <v>8</v>
      </c>
      <c r="J15" s="61">
        <v>0.38</v>
      </c>
      <c r="K15" s="61">
        <v>38.08</v>
      </c>
      <c r="L15" s="61">
        <v>21.39</v>
      </c>
      <c r="M15" s="61">
        <v>97.23</v>
      </c>
      <c r="N15" s="61">
        <v>51.30</v>
      </c>
      <c r="O15" s="61">
        <v>3.20</v>
      </c>
      <c r="P15" s="5" t="s">
        <v>14</v>
      </c>
      <c r="Q15" s="61">
        <v>1.40</v>
      </c>
    </row>
    <row r="16" spans="1:17" s="11" customFormat="1" ht="15">
      <c r="A16" s="55" t="s">
        <v>454</v>
      </c>
      <c r="B16" s="61">
        <v>7.65</v>
      </c>
      <c r="C16" s="61">
        <v>14.82</v>
      </c>
      <c r="D16" s="61">
        <v>14.96</v>
      </c>
      <c r="E16" s="61">
        <v>1.77</v>
      </c>
      <c r="F16" s="61">
        <v>3.46</v>
      </c>
      <c r="G16" s="61">
        <v>12.90</v>
      </c>
      <c r="H16" s="61">
        <v>10.26</v>
      </c>
      <c r="I16" s="8" t="s">
        <v>8</v>
      </c>
      <c r="J16" s="61">
        <v>0.32</v>
      </c>
      <c r="K16" s="61">
        <v>42.25</v>
      </c>
      <c r="L16" s="61">
        <v>21.55</v>
      </c>
      <c r="M16" s="61">
        <v>97.23</v>
      </c>
      <c r="N16" s="61">
        <v>98.80</v>
      </c>
      <c r="O16" s="61">
        <v>0.80</v>
      </c>
      <c r="P16" s="61">
        <v>0.94</v>
      </c>
      <c r="Q16" s="61">
        <v>0.95</v>
      </c>
    </row>
    <row r="17" spans="1:17" s="11" customFormat="1" ht="15">
      <c r="A17" s="55" t="s">
        <v>455</v>
      </c>
      <c r="B17" s="61">
        <v>11.48</v>
      </c>
      <c r="C17" s="61">
        <v>15.82</v>
      </c>
      <c r="D17" s="61">
        <v>18.36</v>
      </c>
      <c r="E17" s="61">
        <v>2.31</v>
      </c>
      <c r="F17" s="61">
        <v>3.70</v>
      </c>
      <c r="G17" s="61">
        <v>15.55</v>
      </c>
      <c r="H17" s="61">
        <v>13.23</v>
      </c>
      <c r="I17" s="8" t="s">
        <v>8</v>
      </c>
      <c r="J17" s="61">
        <v>0.42</v>
      </c>
      <c r="K17" s="61">
        <v>42.44</v>
      </c>
      <c r="L17" s="61">
        <v>21.74</v>
      </c>
      <c r="M17" s="61">
        <v>97.20</v>
      </c>
      <c r="N17" s="61">
        <v>115.90</v>
      </c>
      <c r="O17" s="61">
        <v>0.80</v>
      </c>
      <c r="P17" s="5" t="s">
        <v>14</v>
      </c>
      <c r="Q17" s="61">
        <v>3.57</v>
      </c>
    </row>
    <row r="18" spans="1:17" s="11" customFormat="1" ht="15">
      <c r="A18" s="55" t="s">
        <v>456</v>
      </c>
      <c r="B18" s="61">
        <v>11.55</v>
      </c>
      <c r="C18" s="61">
        <v>16.27</v>
      </c>
      <c r="D18" s="61">
        <v>18.579999999999998</v>
      </c>
      <c r="E18" s="61">
        <v>2.74</v>
      </c>
      <c r="F18" s="61">
        <v>3.93</v>
      </c>
      <c r="G18" s="61">
        <v>15.64</v>
      </c>
      <c r="H18" s="61">
        <v>13.23</v>
      </c>
      <c r="I18" s="8" t="s">
        <v>8</v>
      </c>
      <c r="J18" s="61">
        <v>0.37</v>
      </c>
      <c r="K18" s="61">
        <v>36.06</v>
      </c>
      <c r="L18" s="61">
        <v>21.88</v>
      </c>
      <c r="M18" s="61">
        <v>97.19</v>
      </c>
      <c r="N18" s="61">
        <v>157.30000000000001</v>
      </c>
      <c r="O18" s="61">
        <v>0.80</v>
      </c>
      <c r="P18" s="5" t="s">
        <v>14</v>
      </c>
      <c r="Q18" s="61">
        <v>3.95</v>
      </c>
    </row>
    <row r="19" spans="1:17" s="11" customFormat="1" ht="15">
      <c r="A19" s="55" t="s">
        <v>457</v>
      </c>
      <c r="B19" s="61">
        <v>10.31</v>
      </c>
      <c r="C19" s="61">
        <v>16.36</v>
      </c>
      <c r="D19" s="61">
        <v>17.87</v>
      </c>
      <c r="E19" s="61">
        <v>2.35</v>
      </c>
      <c r="F19" s="61">
        <v>3.44</v>
      </c>
      <c r="G19" s="61">
        <v>19.170000000000002</v>
      </c>
      <c r="H19" s="61">
        <v>11.62</v>
      </c>
      <c r="I19" s="8" t="s">
        <v>8</v>
      </c>
      <c r="J19" s="61">
        <v>0.46</v>
      </c>
      <c r="K19" s="61">
        <v>359.37</v>
      </c>
      <c r="L19" s="61">
        <v>22.85</v>
      </c>
      <c r="M19" s="61">
        <v>97.16</v>
      </c>
      <c r="N19" s="61">
        <v>292.60000000000002</v>
      </c>
      <c r="O19" s="61">
        <v>0</v>
      </c>
      <c r="P19" s="5" t="s">
        <v>14</v>
      </c>
      <c r="Q19" s="61">
        <v>1.88</v>
      </c>
    </row>
    <row r="20" spans="1:17" s="11" customFormat="1" ht="15">
      <c r="A20" s="55" t="s">
        <v>458</v>
      </c>
      <c r="B20" s="61">
        <v>10.39</v>
      </c>
      <c r="C20" s="61">
        <v>16.34</v>
      </c>
      <c r="D20" s="61">
        <v>17.96</v>
      </c>
      <c r="E20" s="61">
        <v>2.44</v>
      </c>
      <c r="F20" s="61">
        <v>3.92</v>
      </c>
      <c r="G20" s="61">
        <v>20.49</v>
      </c>
      <c r="H20" s="61">
        <v>12.34</v>
      </c>
      <c r="I20" s="8" t="s">
        <v>8</v>
      </c>
      <c r="J20" s="61">
        <v>0.53</v>
      </c>
      <c r="K20" s="61">
        <v>359.68</v>
      </c>
      <c r="L20" s="61">
        <v>26.42</v>
      </c>
      <c r="M20" s="61">
        <v>96.76</v>
      </c>
      <c r="N20" s="61">
        <v>756.30</v>
      </c>
      <c r="O20" s="61">
        <v>0</v>
      </c>
      <c r="P20" s="5" t="s">
        <v>14</v>
      </c>
      <c r="Q20" s="61">
        <v>2.77</v>
      </c>
    </row>
    <row r="21" spans="1:17" s="11" customFormat="1" ht="15">
      <c r="A21" s="55" t="s">
        <v>459</v>
      </c>
      <c r="B21" s="61">
        <v>6.96</v>
      </c>
      <c r="C21" s="61">
        <v>17.36</v>
      </c>
      <c r="D21" s="61">
        <v>15.34</v>
      </c>
      <c r="E21" s="61">
        <v>2.08</v>
      </c>
      <c r="F21" s="61">
        <v>4.20</v>
      </c>
      <c r="G21" s="61">
        <v>26.92</v>
      </c>
      <c r="H21" s="61">
        <v>12.86</v>
      </c>
      <c r="I21" s="8" t="s">
        <v>8</v>
      </c>
      <c r="J21" s="61">
        <v>0.56000000000000005</v>
      </c>
      <c r="K21" s="61">
        <v>356.63</v>
      </c>
      <c r="L21" s="61">
        <v>26.11</v>
      </c>
      <c r="M21" s="61">
        <v>89.33</v>
      </c>
      <c r="N21" s="61">
        <v>509.60</v>
      </c>
      <c r="O21" s="61">
        <v>0</v>
      </c>
      <c r="P21" s="5" t="s">
        <v>14</v>
      </c>
      <c r="Q21" s="61">
        <v>1.54</v>
      </c>
    </row>
    <row r="22" spans="1:17" s="11" customFormat="1" ht="15">
      <c r="A22" s="55" t="s">
        <v>460</v>
      </c>
      <c r="B22" s="61">
        <v>4.63</v>
      </c>
      <c r="C22" s="61">
        <v>18.059999999999999</v>
      </c>
      <c r="D22" s="61">
        <v>14.05</v>
      </c>
      <c r="E22" s="61">
        <v>2.62</v>
      </c>
      <c r="F22" s="61">
        <v>4.93</v>
      </c>
      <c r="G22" s="61">
        <v>34.979999999999997</v>
      </c>
      <c r="H22" s="61">
        <v>17.670000000000002</v>
      </c>
      <c r="I22" s="8" t="s">
        <v>8</v>
      </c>
      <c r="J22" s="61">
        <v>0.42</v>
      </c>
      <c r="K22" s="61">
        <v>30.52</v>
      </c>
      <c r="L22" s="61">
        <v>26.22</v>
      </c>
      <c r="M22" s="61">
        <v>91.45</v>
      </c>
      <c r="N22" s="61">
        <v>575</v>
      </c>
      <c r="O22" s="61">
        <v>0</v>
      </c>
      <c r="P22" s="61">
        <v>1.36</v>
      </c>
      <c r="Q22" s="61">
        <v>0.070000000000000007</v>
      </c>
    </row>
    <row r="23" spans="1:17" s="11" customFormat="1" ht="15">
      <c r="A23" s="55" t="s">
        <v>461</v>
      </c>
      <c r="B23" s="61">
        <v>4.28</v>
      </c>
      <c r="C23" s="61">
        <v>18.73</v>
      </c>
      <c r="D23" s="61">
        <v>14.41</v>
      </c>
      <c r="E23" s="61">
        <v>3.29</v>
      </c>
      <c r="F23" s="61">
        <v>5.73</v>
      </c>
      <c r="G23" s="61">
        <v>35.64</v>
      </c>
      <c r="H23" s="61">
        <v>17.670000000000002</v>
      </c>
      <c r="I23" s="8" t="s">
        <v>8</v>
      </c>
      <c r="J23" s="61">
        <v>0.39</v>
      </c>
      <c r="K23" s="61">
        <v>41.81</v>
      </c>
      <c r="L23" s="61">
        <v>25.80</v>
      </c>
      <c r="M23" s="61">
        <v>89.47</v>
      </c>
      <c r="N23" s="61">
        <v>459.20</v>
      </c>
      <c r="O23" s="61">
        <v>0</v>
      </c>
      <c r="P23" s="5" t="s">
        <v>14</v>
      </c>
      <c r="Q23" s="61">
        <v>1.25</v>
      </c>
    </row>
    <row r="24" spans="1:17" s="11" customFormat="1" ht="15">
      <c r="A24" s="55" t="s">
        <v>462</v>
      </c>
      <c r="B24" s="61">
        <v>3.39</v>
      </c>
      <c r="C24" s="61">
        <v>18.12</v>
      </c>
      <c r="D24" s="61">
        <v>13.33</v>
      </c>
      <c r="E24" s="61">
        <v>3.03</v>
      </c>
      <c r="F24" s="61">
        <v>4.82</v>
      </c>
      <c r="G24" s="61">
        <v>35.659999999999997</v>
      </c>
      <c r="H24" s="61">
        <v>16.86</v>
      </c>
      <c r="I24" s="8" t="s">
        <v>8</v>
      </c>
      <c r="J24" s="61">
        <v>0.32</v>
      </c>
      <c r="K24" s="61">
        <v>42.70</v>
      </c>
      <c r="L24" s="61">
        <v>24.93</v>
      </c>
      <c r="M24" s="61">
        <v>92.76</v>
      </c>
      <c r="N24" s="61">
        <v>152</v>
      </c>
      <c r="O24" s="61">
        <v>0</v>
      </c>
      <c r="P24" s="5" t="s">
        <v>14</v>
      </c>
      <c r="Q24" s="61">
        <v>0.51</v>
      </c>
    </row>
    <row r="25" spans="1:17" s="11" customFormat="1" ht="15">
      <c r="A25" s="55" t="s">
        <v>463</v>
      </c>
      <c r="B25" s="61">
        <v>3.38</v>
      </c>
      <c r="C25" s="61">
        <v>17.34</v>
      </c>
      <c r="D25" s="61">
        <v>12.93</v>
      </c>
      <c r="E25" s="61">
        <v>1.85</v>
      </c>
      <c r="F25" s="61">
        <v>9.48</v>
      </c>
      <c r="G25" s="61">
        <v>31.53</v>
      </c>
      <c r="H25" s="61">
        <v>16.86</v>
      </c>
      <c r="I25" s="8" t="s">
        <v>8</v>
      </c>
      <c r="J25" s="61">
        <v>0.24</v>
      </c>
      <c r="K25" s="61">
        <v>34.01</v>
      </c>
      <c r="L25" s="61">
        <v>24.37</v>
      </c>
      <c r="M25" s="61">
        <v>97.23</v>
      </c>
      <c r="N25" s="61">
        <v>51.60</v>
      </c>
      <c r="O25" s="61">
        <v>1.20</v>
      </c>
      <c r="P25" s="5" t="s">
        <v>14</v>
      </c>
      <c r="Q25" s="61">
        <v>0.03</v>
      </c>
    </row>
    <row r="26" spans="1:17" s="11" customFormat="1" ht="15">
      <c r="A26" s="55" t="s">
        <v>464</v>
      </c>
      <c r="B26" s="61">
        <v>4.13</v>
      </c>
      <c r="C26" s="61">
        <v>17.37</v>
      </c>
      <c r="D26" s="61">
        <v>13.41</v>
      </c>
      <c r="E26" s="61">
        <v>2.33</v>
      </c>
      <c r="F26" s="61">
        <v>8.33</v>
      </c>
      <c r="G26" s="61">
        <v>28.46</v>
      </c>
      <c r="H26" s="61">
        <v>15.26</v>
      </c>
      <c r="I26" s="8" t="s">
        <v>8</v>
      </c>
      <c r="J26" s="61">
        <v>0.14000000000000001</v>
      </c>
      <c r="K26" s="61">
        <v>36.159999999999997</v>
      </c>
      <c r="L26" s="61">
        <v>23.05</v>
      </c>
      <c r="M26" s="61">
        <v>97.23</v>
      </c>
      <c r="N26" s="61">
        <v>47.20</v>
      </c>
      <c r="O26" s="61">
        <v>2</v>
      </c>
      <c r="P26" s="5" t="s">
        <v>14</v>
      </c>
      <c r="Q26" s="61">
        <v>1.74</v>
      </c>
    </row>
    <row r="27" spans="1:17" s="11" customFormat="1" ht="15">
      <c r="A27" s="55" t="s">
        <v>465</v>
      </c>
      <c r="B27" s="61">
        <v>6.29</v>
      </c>
      <c r="C27" s="61">
        <v>15.60</v>
      </c>
      <c r="D27" s="61">
        <v>14.09</v>
      </c>
      <c r="E27" s="61">
        <v>2.2799999999999998</v>
      </c>
      <c r="F27" s="61">
        <v>4.4800000000000004</v>
      </c>
      <c r="G27" s="61">
        <v>27.42</v>
      </c>
      <c r="H27" s="61">
        <v>15.79</v>
      </c>
      <c r="I27" s="8" t="s">
        <v>8</v>
      </c>
      <c r="J27" s="61">
        <v>0.28999999999999998</v>
      </c>
      <c r="K27" s="61">
        <v>37.75</v>
      </c>
      <c r="L27" s="61">
        <v>23.16</v>
      </c>
      <c r="M27" s="61">
        <v>97.23</v>
      </c>
      <c r="N27" s="61">
        <v>44</v>
      </c>
      <c r="O27" s="61">
        <v>0</v>
      </c>
      <c r="P27" s="5" t="s">
        <v>14</v>
      </c>
      <c r="Q27" s="61">
        <v>1.5</v>
      </c>
    </row>
    <row r="28" spans="1:17" s="11" customFormat="1" ht="15">
      <c r="A28" s="55" t="s">
        <v>466</v>
      </c>
      <c r="B28" s="61">
        <v>7</v>
      </c>
      <c r="C28" s="61">
        <v>17.190000000000001</v>
      </c>
      <c r="D28" s="61">
        <v>15.09</v>
      </c>
      <c r="E28" s="61">
        <v>2.0499999999999998</v>
      </c>
      <c r="F28" s="61">
        <v>4.97</v>
      </c>
      <c r="G28" s="61">
        <v>19.59</v>
      </c>
      <c r="H28" s="61">
        <v>15.79</v>
      </c>
      <c r="I28" s="8" t="s">
        <v>8</v>
      </c>
      <c r="J28" s="61">
        <v>0.28999999999999998</v>
      </c>
      <c r="K28" s="61">
        <v>46.51</v>
      </c>
      <c r="L28" s="61">
        <v>23.16</v>
      </c>
      <c r="M28" s="61">
        <v>97.23</v>
      </c>
      <c r="N28" s="61">
        <v>38</v>
      </c>
      <c r="O28" s="61">
        <v>0</v>
      </c>
      <c r="P28" s="61">
        <v>0.68</v>
      </c>
      <c r="Q28" s="61">
        <v>1.59</v>
      </c>
    </row>
    <row r="29" spans="1:17" s="11" customFormat="1" ht="15">
      <c r="A29" s="55" t="s">
        <v>467</v>
      </c>
      <c r="B29" s="61">
        <v>7.24</v>
      </c>
      <c r="C29" s="61">
        <v>18.18</v>
      </c>
      <c r="D29" s="61">
        <v>15.90</v>
      </c>
      <c r="E29" s="61">
        <v>2.37</v>
      </c>
      <c r="F29" s="61">
        <v>5.42</v>
      </c>
      <c r="G29" s="61">
        <v>16.579999999999998</v>
      </c>
      <c r="H29" s="61">
        <v>12.71</v>
      </c>
      <c r="I29" s="8" t="s">
        <v>8</v>
      </c>
      <c r="J29" s="61">
        <v>0.28000000000000003</v>
      </c>
      <c r="K29" s="61">
        <v>39.56</v>
      </c>
      <c r="L29" s="61">
        <v>23.07</v>
      </c>
      <c r="M29" s="61">
        <v>97.23</v>
      </c>
      <c r="N29" s="61">
        <v>38.10</v>
      </c>
      <c r="O29" s="61">
        <v>0</v>
      </c>
      <c r="P29" s="5" t="s">
        <v>14</v>
      </c>
      <c r="Q29" s="61">
        <v>2.2599999999999998</v>
      </c>
    </row>
    <row r="30" spans="1:17" s="11" customFormat="1" ht="15">
      <c r="A30" s="55" t="s">
        <v>468</v>
      </c>
      <c r="B30" s="61">
        <v>7.81</v>
      </c>
      <c r="C30" s="61">
        <v>16.38</v>
      </c>
      <c r="D30" s="61">
        <v>15.91</v>
      </c>
      <c r="E30" s="61">
        <v>2.4900000000000002</v>
      </c>
      <c r="F30" s="61">
        <v>3.97</v>
      </c>
      <c r="G30" s="61">
        <v>16.47</v>
      </c>
      <c r="H30" s="61">
        <v>12.71</v>
      </c>
      <c r="I30" s="8" t="s">
        <v>8</v>
      </c>
      <c r="J30" s="61">
        <v>0.30</v>
      </c>
      <c r="K30" s="61">
        <v>34.51</v>
      </c>
      <c r="L30" s="61">
        <v>22.99</v>
      </c>
      <c r="M30" s="61">
        <v>97.23</v>
      </c>
      <c r="N30" s="61">
        <v>38.60</v>
      </c>
      <c r="O30" s="61">
        <v>0</v>
      </c>
      <c r="P30" s="5" t="s">
        <v>14</v>
      </c>
      <c r="Q30" s="61">
        <v>1.92</v>
      </c>
    </row>
    <row r="31" spans="1:17" s="11" customFormat="1" ht="15">
      <c r="A31" s="55" t="s">
        <v>469</v>
      </c>
      <c r="B31" s="61">
        <v>7.17</v>
      </c>
      <c r="C31" s="61">
        <v>19.940000000000001</v>
      </c>
      <c r="D31" s="61">
        <v>16.46</v>
      </c>
      <c r="E31" s="61">
        <v>2.39</v>
      </c>
      <c r="F31" s="61">
        <v>4.1900000000000004</v>
      </c>
      <c r="G31" s="61">
        <v>13.30</v>
      </c>
      <c r="H31" s="61">
        <v>10.16</v>
      </c>
      <c r="I31" s="8" t="s">
        <v>8</v>
      </c>
      <c r="J31" s="61">
        <v>0.23</v>
      </c>
      <c r="K31" s="61">
        <v>43.01</v>
      </c>
      <c r="L31" s="61">
        <v>22.45</v>
      </c>
      <c r="M31" s="61">
        <v>97.23</v>
      </c>
      <c r="N31" s="61">
        <v>38.200000000000003</v>
      </c>
      <c r="O31" s="61">
        <v>0</v>
      </c>
      <c r="P31" s="5" t="s">
        <v>14</v>
      </c>
      <c r="Q31" s="61">
        <v>2.5499999999999998</v>
      </c>
    </row>
    <row r="32" spans="1:17" s="11" customFormat="1" ht="15">
      <c r="A32" s="55" t="s">
        <v>470</v>
      </c>
      <c r="B32" s="61">
        <v>6</v>
      </c>
      <c r="C32" s="61">
        <v>16.91</v>
      </c>
      <c r="D32" s="61">
        <v>14.79</v>
      </c>
      <c r="E32" s="61">
        <v>2.37</v>
      </c>
      <c r="F32" s="61">
        <v>7.97</v>
      </c>
      <c r="G32" s="61">
        <v>13.35</v>
      </c>
      <c r="H32" s="61">
        <v>30.44</v>
      </c>
      <c r="I32" s="8" t="s">
        <v>8</v>
      </c>
      <c r="J32" s="61">
        <v>0.17</v>
      </c>
      <c r="K32" s="61">
        <v>237.95</v>
      </c>
      <c r="L32" s="61">
        <v>22.73</v>
      </c>
      <c r="M32" s="61">
        <v>97.23</v>
      </c>
      <c r="N32" s="61">
        <v>37.700000000000003</v>
      </c>
      <c r="O32" s="61">
        <v>0</v>
      </c>
      <c r="P32" s="5" t="s">
        <v>14</v>
      </c>
      <c r="Q32" s="61">
        <v>2.86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2.6800000000000002</v>
      </c>
      <c r="C34" s="28">
        <f t="shared" si="0"/>
        <v>13.789999999999999</v>
      </c>
      <c r="D34" s="28">
        <f t="shared" si="0"/>
        <v>10.41</v>
      </c>
      <c r="E34" s="28">
        <f t="shared" si="0"/>
        <v>1.77</v>
      </c>
      <c r="F34" s="28">
        <f t="shared" si="0"/>
        <v>3.4399999999999999</v>
      </c>
      <c r="G34" s="28">
        <f t="shared" si="0"/>
        <v>10.779999999999999</v>
      </c>
      <c r="H34" s="28">
        <f t="shared" si="0"/>
        <v>7.0599999999999996</v>
      </c>
      <c r="I34" s="28">
        <f t="shared" si="0"/>
        <v>0</v>
      </c>
      <c r="J34" s="28">
        <f t="shared" si="0"/>
        <v>0.14000000000000001</v>
      </c>
      <c r="K34" s="28">
        <f t="shared" si="0"/>
        <v>30.52</v>
      </c>
      <c r="L34" s="28">
        <f t="shared" si="0"/>
        <v>21.390000000000001</v>
      </c>
      <c r="M34" s="28">
        <f t="shared" si="0"/>
        <v>89.329999999999998</v>
      </c>
      <c r="N34" s="28">
        <f t="shared" si="0"/>
        <v>37.200000000000003</v>
      </c>
      <c r="O34" s="28">
        <f t="shared" si="0"/>
        <v>0</v>
      </c>
      <c r="P34" s="28">
        <f t="shared" si="0"/>
        <v>0.68000000000000005</v>
      </c>
      <c r="Q34" s="28">
        <f t="shared" si="0"/>
        <v>0.01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11.550000000000001</v>
      </c>
      <c r="C35" s="29">
        <f t="shared" si="1"/>
        <v>19.940000000000001</v>
      </c>
      <c r="D35" s="29">
        <f t="shared" si="1"/>
        <v>18.579999999999998</v>
      </c>
      <c r="E35" s="29">
        <f t="shared" si="1"/>
        <v>3.29</v>
      </c>
      <c r="F35" s="29">
        <f t="shared" si="1"/>
        <v>9.4800000000000004</v>
      </c>
      <c r="G35" s="29">
        <f t="shared" si="1"/>
        <v>35.659999999999997</v>
      </c>
      <c r="H35" s="29">
        <f t="shared" si="1"/>
        <v>30.440000000000001</v>
      </c>
      <c r="I35" s="29">
        <f t="shared" si="1"/>
        <v>0</v>
      </c>
      <c r="J35" s="29">
        <f t="shared" si="1"/>
        <v>0.82999999999999996</v>
      </c>
      <c r="K35" s="29">
        <f t="shared" si="1"/>
        <v>359.68000000000001</v>
      </c>
      <c r="L35" s="29">
        <f t="shared" si="1"/>
        <v>26.420000000000002</v>
      </c>
      <c r="M35" s="29">
        <f t="shared" si="1"/>
        <v>97.230000000000004</v>
      </c>
      <c r="N35" s="29">
        <f t="shared" si="1"/>
        <v>756.29999999999995</v>
      </c>
      <c r="O35" s="29">
        <f t="shared" si="1"/>
        <v>7.7999999999999998</v>
      </c>
      <c r="P35" s="29">
        <f t="shared" si="1"/>
        <v>1.3600000000000001</v>
      </c>
      <c r="Q35" s="29">
        <f t="shared" si="1"/>
        <v>3.9500000000000002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6.1216666666666653</v>
      </c>
      <c r="C36" s="28">
        <f t="shared" si="2"/>
        <v>16.405416666666667</v>
      </c>
      <c r="D36" s="28">
        <f t="shared" si="2"/>
        <v>14.417499999999999</v>
      </c>
      <c r="E36" s="28">
        <f t="shared" si="2"/>
        <v>2.3370833333333336</v>
      </c>
      <c r="F36" s="28">
        <f t="shared" si="2"/>
        <v>4.8258333333333328</v>
      </c>
      <c r="G36" s="28">
        <f t="shared" si="2"/>
        <v>20.0075</v>
      </c>
      <c r="H36" s="28">
        <f t="shared" si="2"/>
        <v>13.303750000000001</v>
      </c>
      <c r="I36" s="8" t="s">
        <v>8</v>
      </c>
      <c r="J36" s="28">
        <f t="shared" si="2"/>
        <v>0.3666666666666667</v>
      </c>
      <c r="K36" s="28">
        <f t="shared" si="2"/>
        <v>114.41875</v>
      </c>
      <c r="L36" s="28">
        <f t="shared" si="2"/>
        <v>23.08208333333334</v>
      </c>
      <c r="M36" s="28">
        <f t="shared" si="2"/>
        <v>96.125</v>
      </c>
      <c r="N36" s="28">
        <f t="shared" si="2"/>
        <v>155.72499999999994</v>
      </c>
      <c r="O36" s="28">
        <f t="shared" si="2"/>
        <v>1.2833333333333334</v>
      </c>
      <c r="P36" s="28">
        <f t="shared" si="2"/>
        <v>0.91500000000000015</v>
      </c>
      <c r="Q36" s="28">
        <f t="shared" si="2"/>
        <v>1.5491304347826085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2.7257079920584011</v>
      </c>
      <c r="C37" s="28">
        <f t="shared" si="3" ref="C37:Q37">STDEV(C9:C32)</f>
        <v>1.5909498917222424</v>
      </c>
      <c r="D37" s="28">
        <f t="shared" si="3"/>
        <v>2.3548049859254081</v>
      </c>
      <c r="E37" s="28">
        <f t="shared" si="3"/>
        <v>0.34768150301135031</v>
      </c>
      <c r="F37" s="28">
        <f t="shared" si="3"/>
        <v>1.6096041011127054</v>
      </c>
      <c r="G37" s="28">
        <f t="shared" si="3"/>
        <v>8.1702590294736392</v>
      </c>
      <c r="H37" s="28">
        <f t="shared" si="3"/>
        <v>4.8052650585174446</v>
      </c>
      <c r="I37" s="8" t="s">
        <v>8</v>
      </c>
      <c r="J37" s="28">
        <f t="shared" si="3"/>
        <v>0.14499375298886868</v>
      </c>
      <c r="K37" s="28">
        <f t="shared" si="3"/>
        <v>133.64876206952835</v>
      </c>
      <c r="L37" s="28">
        <f t="shared" si="3"/>
        <v>1.6617093848534843</v>
      </c>
      <c r="M37" s="28">
        <f t="shared" si="3"/>
        <v>2.5275920832148597</v>
      </c>
      <c r="N37" s="28">
        <f t="shared" si="3"/>
        <v>205.78081258000461</v>
      </c>
      <c r="O37" s="28">
        <f t="shared" si="3"/>
        <v>1.9798257865093929</v>
      </c>
      <c r="P37" s="28">
        <f t="shared" si="3"/>
        <v>0.32098805792947083</v>
      </c>
      <c r="Q37" s="28">
        <f t="shared" si="3"/>
        <v>1.0764120242034658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O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COUNT(P9:P32)+20</f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53ec78-061b-45d9-8bd8-81d4d5d4f0ee}">
  <sheetPr codeName=""/>
  <dimension ref="A1:U119"/>
  <sheetViews>
    <sheetView workbookViewId="0" topLeftCell="A1">
      <pane xSplit="1" ySplit="8" topLeftCell="B9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17" s="11" customFormat="1" ht="15">
      <c r="A9" s="55" t="s">
        <v>471</v>
      </c>
      <c r="B9" s="61">
        <v>5.58</v>
      </c>
      <c r="C9" s="61">
        <v>14.39</v>
      </c>
      <c r="D9" s="61">
        <v>13.06</v>
      </c>
      <c r="E9" s="61">
        <v>1.99</v>
      </c>
      <c r="F9" s="61">
        <v>4.01</v>
      </c>
      <c r="G9" s="62" t="s">
        <v>14</v>
      </c>
      <c r="H9" s="62" t="s">
        <v>14</v>
      </c>
      <c r="I9" s="63" t="s">
        <v>8</v>
      </c>
      <c r="J9" s="61">
        <v>0.16</v>
      </c>
      <c r="K9" s="61">
        <v>46.11</v>
      </c>
      <c r="L9" s="61">
        <v>22.98</v>
      </c>
      <c r="M9" s="61">
        <v>97.23</v>
      </c>
      <c r="N9" s="61">
        <v>37.799999999999997</v>
      </c>
      <c r="O9" s="61">
        <v>0</v>
      </c>
      <c r="P9" s="62" t="s">
        <v>14</v>
      </c>
      <c r="Q9" s="61">
        <v>1.45</v>
      </c>
    </row>
    <row r="10" spans="1:17" s="11" customFormat="1" ht="15">
      <c r="A10" s="55" t="s">
        <v>472</v>
      </c>
      <c r="B10" s="61">
        <v>4.76</v>
      </c>
      <c r="C10" s="61">
        <v>13.82</v>
      </c>
      <c r="D10" s="61">
        <v>12.09</v>
      </c>
      <c r="E10" s="61">
        <v>1.87</v>
      </c>
      <c r="F10" s="61">
        <v>11.07</v>
      </c>
      <c r="G10" s="62" t="s">
        <v>14</v>
      </c>
      <c r="H10" s="62" t="s">
        <v>14</v>
      </c>
      <c r="I10" s="63" t="s">
        <v>8</v>
      </c>
      <c r="J10" s="61">
        <v>0.12</v>
      </c>
      <c r="K10" s="61">
        <v>32.60</v>
      </c>
      <c r="L10" s="61">
        <v>23.02</v>
      </c>
      <c r="M10" s="61">
        <v>97.23</v>
      </c>
      <c r="N10" s="61">
        <v>37.799999999999997</v>
      </c>
      <c r="O10" s="61">
        <v>0</v>
      </c>
      <c r="P10" s="61">
        <v>0.66</v>
      </c>
      <c r="Q10" s="61">
        <v>2.84</v>
      </c>
    </row>
    <row r="11" spans="1:17" s="11" customFormat="1" ht="15">
      <c r="A11" s="55" t="s">
        <v>473</v>
      </c>
      <c r="B11" s="61">
        <v>5.23</v>
      </c>
      <c r="C11" s="61">
        <v>14.83</v>
      </c>
      <c r="D11" s="61">
        <v>12.80</v>
      </c>
      <c r="E11" s="61">
        <v>2.12</v>
      </c>
      <c r="F11" s="61">
        <v>10.49</v>
      </c>
      <c r="G11" s="62" t="s">
        <v>14</v>
      </c>
      <c r="H11" s="62" t="s">
        <v>14</v>
      </c>
      <c r="I11" s="63" t="s">
        <v>8</v>
      </c>
      <c r="J11" s="61">
        <v>0.26</v>
      </c>
      <c r="K11" s="61">
        <v>344.16</v>
      </c>
      <c r="L11" s="61">
        <v>23.05</v>
      </c>
      <c r="M11" s="61">
        <v>97.23</v>
      </c>
      <c r="N11" s="61">
        <v>37.700000000000003</v>
      </c>
      <c r="O11" s="61">
        <v>0.40</v>
      </c>
      <c r="P11" s="62" t="s">
        <v>14</v>
      </c>
      <c r="Q11" s="61">
        <v>7.10</v>
      </c>
    </row>
    <row r="12" spans="1:17" s="11" customFormat="1" ht="15">
      <c r="A12" s="55" t="s">
        <v>474</v>
      </c>
      <c r="B12" s="61">
        <v>7.87</v>
      </c>
      <c r="C12" s="61">
        <v>13.47</v>
      </c>
      <c r="D12" s="61">
        <v>13.98</v>
      </c>
      <c r="E12" s="61">
        <v>2.31</v>
      </c>
      <c r="F12" s="61">
        <v>6.61</v>
      </c>
      <c r="G12" s="62" t="s">
        <v>14</v>
      </c>
      <c r="H12" s="62" t="s">
        <v>14</v>
      </c>
      <c r="I12" s="63" t="s">
        <v>8</v>
      </c>
      <c r="J12" s="61">
        <v>0.60</v>
      </c>
      <c r="K12" s="61">
        <v>357.27</v>
      </c>
      <c r="L12" s="61">
        <v>22.83</v>
      </c>
      <c r="M12" s="61">
        <v>97.23</v>
      </c>
      <c r="N12" s="61">
        <v>37.40</v>
      </c>
      <c r="O12" s="61">
        <v>0</v>
      </c>
      <c r="P12" s="62" t="s">
        <v>14</v>
      </c>
      <c r="Q12" s="61">
        <v>5.44</v>
      </c>
    </row>
    <row r="13" spans="1:17" s="11" customFormat="1" ht="15">
      <c r="A13" s="55" t="s">
        <v>475</v>
      </c>
      <c r="B13" s="61">
        <v>24.44</v>
      </c>
      <c r="C13" s="61">
        <v>20.329999999999998</v>
      </c>
      <c r="D13" s="61">
        <v>30.71</v>
      </c>
      <c r="E13" s="61">
        <v>2.81</v>
      </c>
      <c r="F13" s="61">
        <v>7.10</v>
      </c>
      <c r="G13" s="62" t="s">
        <v>14</v>
      </c>
      <c r="H13" s="62" t="s">
        <v>14</v>
      </c>
      <c r="I13" s="63" t="s">
        <v>8</v>
      </c>
      <c r="J13" s="61">
        <v>0.46</v>
      </c>
      <c r="K13" s="61">
        <v>351.75</v>
      </c>
      <c r="L13" s="61">
        <v>22.67</v>
      </c>
      <c r="M13" s="61">
        <v>97.23</v>
      </c>
      <c r="N13" s="61">
        <v>37.40</v>
      </c>
      <c r="O13" s="61">
        <v>0</v>
      </c>
      <c r="P13" s="62" t="s">
        <v>14</v>
      </c>
      <c r="Q13" s="61">
        <v>8.6199999999999992</v>
      </c>
    </row>
    <row r="14" spans="1:17" s="11" customFormat="1" ht="15">
      <c r="A14" s="55" t="s">
        <v>476</v>
      </c>
      <c r="B14" s="61">
        <v>23.85</v>
      </c>
      <c r="C14" s="61">
        <v>23.43</v>
      </c>
      <c r="D14" s="61">
        <v>31.93</v>
      </c>
      <c r="E14" s="61">
        <v>3.28</v>
      </c>
      <c r="F14" s="61">
        <v>6.60</v>
      </c>
      <c r="G14" s="61">
        <v>23.36</v>
      </c>
      <c r="H14" s="61">
        <v>12</v>
      </c>
      <c r="I14" s="63" t="s">
        <v>8</v>
      </c>
      <c r="J14" s="61">
        <v>0.49</v>
      </c>
      <c r="K14" s="61">
        <v>359.72</v>
      </c>
      <c r="L14" s="61">
        <v>22.86</v>
      </c>
      <c r="M14" s="61">
        <v>97.23</v>
      </c>
      <c r="N14" s="61">
        <v>52.90</v>
      </c>
      <c r="O14" s="61">
        <v>0</v>
      </c>
      <c r="P14" s="62" t="s">
        <v>14</v>
      </c>
      <c r="Q14" s="61">
        <v>14.11</v>
      </c>
    </row>
    <row r="15" spans="1:17" s="11" customFormat="1" ht="15">
      <c r="A15" s="55" t="s">
        <v>477</v>
      </c>
      <c r="B15" s="61">
        <v>18.05</v>
      </c>
      <c r="C15" s="61">
        <v>18.47</v>
      </c>
      <c r="D15" s="61">
        <v>25.32</v>
      </c>
      <c r="E15" s="61">
        <v>2.99</v>
      </c>
      <c r="F15" s="61">
        <v>4.72</v>
      </c>
      <c r="G15" s="61">
        <v>27.70</v>
      </c>
      <c r="H15" s="61">
        <v>14.39</v>
      </c>
      <c r="I15" s="63" t="s">
        <v>8</v>
      </c>
      <c r="J15" s="61">
        <v>0.68</v>
      </c>
      <c r="K15" s="61">
        <v>6.20</v>
      </c>
      <c r="L15" s="61">
        <v>23.40</v>
      </c>
      <c r="M15" s="61">
        <v>97.22</v>
      </c>
      <c r="N15" s="61">
        <v>139.69999999999999</v>
      </c>
      <c r="O15" s="61">
        <v>0</v>
      </c>
      <c r="P15" s="62" t="s">
        <v>14</v>
      </c>
      <c r="Q15" s="61">
        <v>13.51</v>
      </c>
    </row>
    <row r="16" spans="1:17" s="11" customFormat="1" ht="15">
      <c r="A16" s="55" t="s">
        <v>478</v>
      </c>
      <c r="B16" s="61">
        <v>18.739999999999998</v>
      </c>
      <c r="C16" s="61">
        <v>19.43</v>
      </c>
      <c r="D16" s="61">
        <v>25.19</v>
      </c>
      <c r="E16" s="61">
        <v>2.81</v>
      </c>
      <c r="F16" s="61">
        <v>7.27</v>
      </c>
      <c r="G16" s="61">
        <v>27.84</v>
      </c>
      <c r="H16" s="61">
        <v>14.39</v>
      </c>
      <c r="I16" s="63" t="s">
        <v>8</v>
      </c>
      <c r="J16" s="61">
        <v>0.56999999999999995</v>
      </c>
      <c r="K16" s="61">
        <v>79.849999999999994</v>
      </c>
      <c r="L16" s="61">
        <v>25.37</v>
      </c>
      <c r="M16" s="61">
        <v>96.79</v>
      </c>
      <c r="N16" s="61">
        <v>417.90</v>
      </c>
      <c r="O16" s="61">
        <v>0</v>
      </c>
      <c r="P16" s="61">
        <v>0.75</v>
      </c>
      <c r="Q16" s="61">
        <v>17.95</v>
      </c>
    </row>
    <row r="17" spans="1:17" s="11" customFormat="1" ht="15">
      <c r="A17" s="55" t="s">
        <v>479</v>
      </c>
      <c r="B17" s="61">
        <v>19.670000000000002</v>
      </c>
      <c r="C17" s="61">
        <v>15.32</v>
      </c>
      <c r="D17" s="61">
        <v>24.54</v>
      </c>
      <c r="E17" s="61">
        <v>2.4900000000000002</v>
      </c>
      <c r="F17" s="61">
        <v>6.36</v>
      </c>
      <c r="G17" s="61">
        <v>28.87</v>
      </c>
      <c r="H17" s="61">
        <v>12.5</v>
      </c>
      <c r="I17" s="63" t="s">
        <v>8</v>
      </c>
      <c r="J17" s="61">
        <v>1.23</v>
      </c>
      <c r="K17" s="61">
        <v>103.16</v>
      </c>
      <c r="L17" s="61">
        <v>25.56</v>
      </c>
      <c r="M17" s="61">
        <v>89.26</v>
      </c>
      <c r="N17" s="61">
        <v>516.60</v>
      </c>
      <c r="O17" s="61">
        <v>0</v>
      </c>
      <c r="P17" s="62" t="s">
        <v>14</v>
      </c>
      <c r="Q17" s="61">
        <v>22.47</v>
      </c>
    </row>
    <row r="18" spans="1:17" s="11" customFormat="1" ht="15">
      <c r="A18" s="55" t="s">
        <v>480</v>
      </c>
      <c r="B18" s="61">
        <v>17.97</v>
      </c>
      <c r="C18" s="61">
        <v>15.43</v>
      </c>
      <c r="D18" s="61">
        <v>23.57</v>
      </c>
      <c r="E18" s="61">
        <v>2.89</v>
      </c>
      <c r="F18" s="61">
        <v>4.6900000000000004</v>
      </c>
      <c r="G18" s="61">
        <v>32.40</v>
      </c>
      <c r="H18" s="61">
        <v>12.5</v>
      </c>
      <c r="I18" s="63" t="s">
        <v>8</v>
      </c>
      <c r="J18" s="61">
        <v>0.89</v>
      </c>
      <c r="K18" s="61">
        <v>91.20</v>
      </c>
      <c r="L18" s="61">
        <v>25.71</v>
      </c>
      <c r="M18" s="61">
        <v>87.65</v>
      </c>
      <c r="N18" s="61">
        <v>387.5</v>
      </c>
      <c r="O18" s="61">
        <v>0</v>
      </c>
      <c r="P18" s="62" t="s">
        <v>14</v>
      </c>
      <c r="Q18" s="61">
        <v>22.38</v>
      </c>
    </row>
    <row r="19" spans="1:17" s="11" customFormat="1" ht="15">
      <c r="A19" s="55" t="s">
        <v>481</v>
      </c>
      <c r="B19" s="61">
        <v>16.760000000000002</v>
      </c>
      <c r="C19" s="61">
        <v>28.29</v>
      </c>
      <c r="D19" s="61">
        <v>29.16</v>
      </c>
      <c r="E19" s="61">
        <v>2.41</v>
      </c>
      <c r="F19" s="61">
        <v>16.510000000000002</v>
      </c>
      <c r="G19" s="61">
        <v>32.520000000000003</v>
      </c>
      <c r="H19" s="61">
        <v>11.69</v>
      </c>
      <c r="I19" s="63" t="s">
        <v>8</v>
      </c>
      <c r="J19" s="61">
        <v>0.85</v>
      </c>
      <c r="K19" s="61">
        <v>100.80</v>
      </c>
      <c r="L19" s="61">
        <v>25.76</v>
      </c>
      <c r="M19" s="61">
        <v>86.04</v>
      </c>
      <c r="N19" s="61">
        <v>375.70</v>
      </c>
      <c r="O19" s="61">
        <v>0</v>
      </c>
      <c r="P19" s="61">
        <v>0.61</v>
      </c>
      <c r="Q19" s="61">
        <v>22.17</v>
      </c>
    </row>
    <row r="20" spans="1:17" s="11" customFormat="1" ht="15">
      <c r="A20" s="55" t="s">
        <v>482</v>
      </c>
      <c r="B20" s="61">
        <v>18.39</v>
      </c>
      <c r="C20" s="61">
        <v>37.14</v>
      </c>
      <c r="D20" s="61">
        <v>35.89</v>
      </c>
      <c r="E20" s="61">
        <v>2.41</v>
      </c>
      <c r="F20" s="61">
        <v>16.77</v>
      </c>
      <c r="G20" s="61">
        <v>30.40</v>
      </c>
      <c r="H20" s="61">
        <v>12.68</v>
      </c>
      <c r="I20" s="61">
        <v>9.5299999999999994</v>
      </c>
      <c r="J20" s="61">
        <v>1.17</v>
      </c>
      <c r="K20" s="61">
        <v>107.96</v>
      </c>
      <c r="L20" s="61">
        <v>26.17</v>
      </c>
      <c r="M20" s="61">
        <v>85.36</v>
      </c>
      <c r="N20" s="61">
        <v>569.40</v>
      </c>
      <c r="O20" s="61">
        <v>0</v>
      </c>
      <c r="P20" s="61">
        <v>0.49</v>
      </c>
      <c r="Q20" s="61">
        <v>10.64</v>
      </c>
    </row>
    <row r="21" spans="1:17" s="11" customFormat="1" ht="15">
      <c r="A21" s="55" t="s">
        <v>483</v>
      </c>
      <c r="B21" s="61">
        <v>14.05</v>
      </c>
      <c r="C21" s="61">
        <v>34.15</v>
      </c>
      <c r="D21" s="61">
        <v>30.01</v>
      </c>
      <c r="E21" s="61">
        <v>4.12</v>
      </c>
      <c r="F21" s="61">
        <v>11.48</v>
      </c>
      <c r="G21" s="61">
        <v>49.17</v>
      </c>
      <c r="H21" s="61">
        <v>14.01</v>
      </c>
      <c r="I21" s="61">
        <v>4.5</v>
      </c>
      <c r="J21" s="61">
        <v>1.42</v>
      </c>
      <c r="K21" s="61">
        <v>116.28</v>
      </c>
      <c r="L21" s="61">
        <v>27.08</v>
      </c>
      <c r="M21" s="61">
        <v>81.819999999999993</v>
      </c>
      <c r="N21" s="61">
        <v>748.70</v>
      </c>
      <c r="O21" s="61">
        <v>0</v>
      </c>
      <c r="P21" s="61">
        <v>0.65</v>
      </c>
      <c r="Q21" s="61">
        <v>10.35</v>
      </c>
    </row>
    <row r="22" spans="1:17" s="11" customFormat="1" ht="15">
      <c r="A22" s="55" t="s">
        <v>484</v>
      </c>
      <c r="B22" s="61">
        <v>5.80</v>
      </c>
      <c r="C22" s="61">
        <v>27.68</v>
      </c>
      <c r="D22" s="61">
        <v>20.57</v>
      </c>
      <c r="E22" s="61">
        <v>4.01</v>
      </c>
      <c r="F22" s="61">
        <v>6.54</v>
      </c>
      <c r="G22" s="61">
        <v>25.48</v>
      </c>
      <c r="H22" s="61">
        <v>14.01</v>
      </c>
      <c r="I22" s="61">
        <v>3.47</v>
      </c>
      <c r="J22" s="61">
        <v>1.40</v>
      </c>
      <c r="K22" s="61">
        <v>115.88</v>
      </c>
      <c r="L22" s="61">
        <v>26.87</v>
      </c>
      <c r="M22" s="61">
        <v>80.27</v>
      </c>
      <c r="N22" s="61">
        <v>859.90</v>
      </c>
      <c r="O22" s="61">
        <v>0</v>
      </c>
      <c r="P22" s="61">
        <v>0.30</v>
      </c>
      <c r="Q22" s="62" t="s">
        <v>14</v>
      </c>
    </row>
    <row r="23" spans="1:17" s="11" customFormat="1" ht="15">
      <c r="A23" s="55" t="s">
        <v>485</v>
      </c>
      <c r="B23" s="64" t="s">
        <v>4</v>
      </c>
      <c r="C23" s="64" t="s">
        <v>4</v>
      </c>
      <c r="D23" s="64" t="s">
        <v>4</v>
      </c>
      <c r="E23" s="64" t="s">
        <v>4</v>
      </c>
      <c r="F23" s="64" t="s">
        <v>4</v>
      </c>
      <c r="G23" s="64" t="s">
        <v>4</v>
      </c>
      <c r="H23" s="64" t="s">
        <v>4</v>
      </c>
      <c r="I23" s="64" t="s">
        <v>4</v>
      </c>
      <c r="J23" s="64" t="s">
        <v>4</v>
      </c>
      <c r="K23" s="64" t="s">
        <v>4</v>
      </c>
      <c r="L23" s="64" t="s">
        <v>4</v>
      </c>
      <c r="M23" s="64" t="s">
        <v>4</v>
      </c>
      <c r="N23" s="64" t="s">
        <v>4</v>
      </c>
      <c r="O23" s="64" t="s">
        <v>4</v>
      </c>
      <c r="P23" s="64" t="s">
        <v>4</v>
      </c>
      <c r="Q23" s="64" t="s">
        <v>4</v>
      </c>
    </row>
    <row r="24" spans="1:17" s="11" customFormat="1" ht="15">
      <c r="A24" s="55" t="s">
        <v>486</v>
      </c>
      <c r="B24" s="64" t="s">
        <v>4</v>
      </c>
      <c r="C24" s="64" t="s">
        <v>4</v>
      </c>
      <c r="D24" s="64" t="s">
        <v>4</v>
      </c>
      <c r="E24" s="64" t="s">
        <v>4</v>
      </c>
      <c r="F24" s="64" t="s">
        <v>4</v>
      </c>
      <c r="G24" s="64" t="s">
        <v>4</v>
      </c>
      <c r="H24" s="64" t="s">
        <v>4</v>
      </c>
      <c r="I24" s="64" t="s">
        <v>4</v>
      </c>
      <c r="J24" s="64" t="s">
        <v>4</v>
      </c>
      <c r="K24" s="64" t="s">
        <v>4</v>
      </c>
      <c r="L24" s="64" t="s">
        <v>4</v>
      </c>
      <c r="M24" s="64" t="s">
        <v>4</v>
      </c>
      <c r="N24" s="64" t="s">
        <v>4</v>
      </c>
      <c r="O24" s="64" t="s">
        <v>4</v>
      </c>
      <c r="P24" s="64" t="s">
        <v>4</v>
      </c>
      <c r="Q24" s="64" t="s">
        <v>4</v>
      </c>
    </row>
    <row r="25" spans="1:17" s="11" customFormat="1" ht="15">
      <c r="A25" s="55" t="s">
        <v>487</v>
      </c>
      <c r="B25" s="65" t="s">
        <v>20</v>
      </c>
      <c r="C25" s="65" t="s">
        <v>20</v>
      </c>
      <c r="D25" s="65" t="s">
        <v>20</v>
      </c>
      <c r="E25" s="65" t="s">
        <v>20</v>
      </c>
      <c r="F25" s="61">
        <v>10.54</v>
      </c>
      <c r="G25" s="61">
        <v>44.21</v>
      </c>
      <c r="H25" s="61">
        <v>11.37</v>
      </c>
      <c r="I25" s="61">
        <v>0</v>
      </c>
      <c r="J25" s="61">
        <v>1.07</v>
      </c>
      <c r="K25" s="61">
        <v>182.30</v>
      </c>
      <c r="L25" s="61">
        <v>26.97</v>
      </c>
      <c r="M25" s="61">
        <v>77.55</v>
      </c>
      <c r="N25" s="61">
        <v>100.10</v>
      </c>
      <c r="O25" s="61">
        <v>0</v>
      </c>
      <c r="P25" s="65" t="s">
        <v>20</v>
      </c>
      <c r="Q25" s="65" t="s">
        <v>20</v>
      </c>
    </row>
    <row r="26" spans="1:17" s="11" customFormat="1" ht="15">
      <c r="A26" s="55" t="s">
        <v>488</v>
      </c>
      <c r="B26" s="61">
        <v>3.55</v>
      </c>
      <c r="C26" s="61">
        <v>17.05</v>
      </c>
      <c r="D26" s="61">
        <v>12.90</v>
      </c>
      <c r="E26" s="61">
        <v>0.68</v>
      </c>
      <c r="F26" s="61">
        <v>16.100000000000001</v>
      </c>
      <c r="G26" s="61">
        <v>29.89</v>
      </c>
      <c r="H26" s="61">
        <v>11.32</v>
      </c>
      <c r="I26" s="61">
        <v>4.79</v>
      </c>
      <c r="J26" s="61">
        <v>0.97</v>
      </c>
      <c r="K26" s="61">
        <v>163.11000000000001</v>
      </c>
      <c r="L26" s="61">
        <v>26.89</v>
      </c>
      <c r="M26" s="61">
        <v>79.38</v>
      </c>
      <c r="N26" s="61">
        <v>111</v>
      </c>
      <c r="O26" s="61">
        <v>0</v>
      </c>
      <c r="P26" s="61">
        <v>0.16</v>
      </c>
      <c r="Q26" s="61">
        <v>38.340000000000003</v>
      </c>
    </row>
    <row r="27" spans="1:17" s="11" customFormat="1" ht="15">
      <c r="A27" s="55" t="s">
        <v>489</v>
      </c>
      <c r="B27" s="61">
        <v>3.68</v>
      </c>
      <c r="C27" s="61">
        <v>21.38</v>
      </c>
      <c r="D27" s="61">
        <v>14.94</v>
      </c>
      <c r="E27" s="61">
        <v>0</v>
      </c>
      <c r="F27" s="61">
        <v>17.010000000000002</v>
      </c>
      <c r="G27" s="61">
        <v>25.96</v>
      </c>
      <c r="H27" s="61">
        <v>12.91</v>
      </c>
      <c r="I27" s="61">
        <v>4.66</v>
      </c>
      <c r="J27" s="61">
        <v>0.62</v>
      </c>
      <c r="K27" s="61">
        <v>179.59</v>
      </c>
      <c r="L27" s="61">
        <v>26.51</v>
      </c>
      <c r="M27" s="61">
        <v>81.86</v>
      </c>
      <c r="N27" s="61">
        <v>53.60</v>
      </c>
      <c r="O27" s="61">
        <v>0</v>
      </c>
      <c r="P27" s="61">
        <v>0</v>
      </c>
      <c r="Q27" s="61">
        <v>26.99</v>
      </c>
    </row>
    <row r="28" spans="1:17" s="11" customFormat="1" ht="15">
      <c r="A28" s="55" t="s">
        <v>490</v>
      </c>
      <c r="B28" s="61">
        <v>7.92</v>
      </c>
      <c r="C28" s="61">
        <v>25.35</v>
      </c>
      <c r="D28" s="61">
        <v>19.52</v>
      </c>
      <c r="E28" s="61">
        <v>2.19</v>
      </c>
      <c r="F28" s="61">
        <v>11.27</v>
      </c>
      <c r="G28" s="61">
        <v>36.42</v>
      </c>
      <c r="H28" s="61">
        <v>15.40</v>
      </c>
      <c r="I28" s="61">
        <v>4.5599999999999996</v>
      </c>
      <c r="J28" s="61">
        <v>1.61</v>
      </c>
      <c r="K28" s="61">
        <v>137.75</v>
      </c>
      <c r="L28" s="61">
        <v>25.83</v>
      </c>
      <c r="M28" s="61">
        <v>94.45</v>
      </c>
      <c r="N28" s="61">
        <v>39.799999999999997</v>
      </c>
      <c r="O28" s="61">
        <v>0</v>
      </c>
      <c r="P28" s="61">
        <v>0.75</v>
      </c>
      <c r="Q28" s="61">
        <v>18.38</v>
      </c>
    </row>
    <row r="29" spans="1:17" s="11" customFormat="1" ht="15">
      <c r="A29" s="55" t="s">
        <v>491</v>
      </c>
      <c r="B29" s="61">
        <v>19.11</v>
      </c>
      <c r="C29" s="61">
        <v>36.19</v>
      </c>
      <c r="D29" s="61">
        <v>34.409999999999997</v>
      </c>
      <c r="E29" s="61">
        <v>2.91</v>
      </c>
      <c r="F29" s="61">
        <v>10.31</v>
      </c>
      <c r="G29" s="61">
        <v>58.95</v>
      </c>
      <c r="H29" s="61">
        <v>17.43</v>
      </c>
      <c r="I29" s="61">
        <v>4.88</v>
      </c>
      <c r="J29" s="61">
        <v>0.25</v>
      </c>
      <c r="K29" s="61">
        <v>101.15</v>
      </c>
      <c r="L29" s="61">
        <v>24.40</v>
      </c>
      <c r="M29" s="61">
        <v>96.89</v>
      </c>
      <c r="N29" s="61">
        <v>37.90</v>
      </c>
      <c r="O29" s="61">
        <v>0</v>
      </c>
      <c r="P29" s="61">
        <v>1.30</v>
      </c>
      <c r="Q29" s="61">
        <v>11.06</v>
      </c>
    </row>
    <row r="30" spans="1:17" s="11" customFormat="1" ht="15">
      <c r="A30" s="55" t="s">
        <v>492</v>
      </c>
      <c r="B30" s="61">
        <v>26.05</v>
      </c>
      <c r="C30" s="61">
        <v>37.40</v>
      </c>
      <c r="D30" s="61">
        <v>42.18</v>
      </c>
      <c r="E30" s="61">
        <v>2.52</v>
      </c>
      <c r="F30" s="61">
        <v>6.86</v>
      </c>
      <c r="G30" s="61">
        <v>88.97</v>
      </c>
      <c r="H30" s="61">
        <v>29.03</v>
      </c>
      <c r="I30" s="61">
        <v>5.94</v>
      </c>
      <c r="J30" s="61">
        <v>0.20</v>
      </c>
      <c r="K30" s="61">
        <v>355.87</v>
      </c>
      <c r="L30" s="61">
        <v>24.56</v>
      </c>
      <c r="M30" s="61">
        <v>96.85</v>
      </c>
      <c r="N30" s="61">
        <v>37.799999999999997</v>
      </c>
      <c r="O30" s="61">
        <v>0</v>
      </c>
      <c r="P30" s="61">
        <v>2</v>
      </c>
      <c r="Q30" s="61">
        <v>10.59</v>
      </c>
    </row>
    <row r="31" spans="1:17" s="11" customFormat="1" ht="15">
      <c r="A31" s="55" t="s">
        <v>493</v>
      </c>
      <c r="B31" s="61">
        <v>31.24</v>
      </c>
      <c r="C31" s="61">
        <v>39.44</v>
      </c>
      <c r="D31" s="61">
        <v>47.46</v>
      </c>
      <c r="E31" s="61">
        <v>2.38</v>
      </c>
      <c r="F31" s="61">
        <v>6.42</v>
      </c>
      <c r="G31" s="61">
        <v>114.08</v>
      </c>
      <c r="H31" s="61">
        <v>32.40</v>
      </c>
      <c r="I31" s="61">
        <v>7.33</v>
      </c>
      <c r="J31" s="61">
        <v>0.48</v>
      </c>
      <c r="K31" s="61">
        <v>72.540000000000006</v>
      </c>
      <c r="L31" s="61">
        <v>24.48</v>
      </c>
      <c r="M31" s="61">
        <v>97.20</v>
      </c>
      <c r="N31" s="61">
        <v>37.799999999999997</v>
      </c>
      <c r="O31" s="61">
        <v>0</v>
      </c>
      <c r="P31" s="61">
        <v>2.2000000000000002</v>
      </c>
      <c r="Q31" s="61">
        <v>13.53</v>
      </c>
    </row>
    <row r="32" spans="1:17" s="11" customFormat="1" ht="15">
      <c r="A32" s="55" t="s">
        <v>494</v>
      </c>
      <c r="B32" s="61">
        <v>21.70</v>
      </c>
      <c r="C32" s="61">
        <v>33.94</v>
      </c>
      <c r="D32" s="61">
        <v>34.90</v>
      </c>
      <c r="E32" s="61">
        <v>2.16</v>
      </c>
      <c r="F32" s="61">
        <v>5.33</v>
      </c>
      <c r="G32" s="61">
        <v>114.91</v>
      </c>
      <c r="H32" s="61">
        <v>32.40</v>
      </c>
      <c r="I32" s="61">
        <v>7.02</v>
      </c>
      <c r="J32" s="61">
        <v>0.27</v>
      </c>
      <c r="K32" s="61">
        <v>123.30</v>
      </c>
      <c r="L32" s="61">
        <v>24.33</v>
      </c>
      <c r="M32" s="61">
        <v>97.25</v>
      </c>
      <c r="N32" s="61">
        <v>37.799999999999997</v>
      </c>
      <c r="O32" s="61">
        <v>0</v>
      </c>
      <c r="P32" s="61">
        <v>1.71</v>
      </c>
      <c r="Q32" s="61">
        <v>10.95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3.5499999999999998</v>
      </c>
      <c r="C34" s="28">
        <f t="shared" si="0"/>
        <v>13.470000000000001</v>
      </c>
      <c r="D34" s="28">
        <f t="shared" si="0"/>
        <v>12.09</v>
      </c>
      <c r="E34" s="28">
        <f t="shared" si="0"/>
        <v>0</v>
      </c>
      <c r="F34" s="28">
        <f t="shared" si="0"/>
        <v>4.0099999999999998</v>
      </c>
      <c r="G34" s="28">
        <f t="shared" si="0"/>
        <v>23.359999999999999</v>
      </c>
      <c r="H34" s="28">
        <f t="shared" si="0"/>
        <v>11.32</v>
      </c>
      <c r="I34" s="28">
        <f t="shared" si="0"/>
        <v>0</v>
      </c>
      <c r="J34" s="28">
        <f t="shared" si="0"/>
        <v>0.12</v>
      </c>
      <c r="K34" s="28">
        <f t="shared" si="0"/>
        <v>6.2000000000000002</v>
      </c>
      <c r="L34" s="28">
        <f t="shared" si="0"/>
        <v>22.670000000000002</v>
      </c>
      <c r="M34" s="28">
        <f t="shared" si="0"/>
        <v>77.549999999999997</v>
      </c>
      <c r="N34" s="28">
        <f t="shared" si="0"/>
        <v>37.399999999999999</v>
      </c>
      <c r="O34" s="28">
        <f t="shared" si="0"/>
        <v>0</v>
      </c>
      <c r="P34" s="28">
        <f t="shared" si="0"/>
        <v>0</v>
      </c>
      <c r="Q34" s="28">
        <f t="shared" si="0"/>
        <v>1.45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31.239999999999998</v>
      </c>
      <c r="C35" s="29">
        <f t="shared" si="1"/>
        <v>39.439999999999998</v>
      </c>
      <c r="D35" s="29">
        <f t="shared" si="1"/>
        <v>47.460000000000001</v>
      </c>
      <c r="E35" s="29">
        <f t="shared" si="1"/>
        <v>4.1200000000000001</v>
      </c>
      <c r="F35" s="29">
        <f t="shared" si="1"/>
        <v>17.010000000000002</v>
      </c>
      <c r="G35" s="29">
        <f t="shared" si="1"/>
        <v>114.91</v>
      </c>
      <c r="H35" s="29">
        <f t="shared" si="1"/>
        <v>32.399999999999999</v>
      </c>
      <c r="I35" s="29">
        <f t="shared" si="1"/>
        <v>9.5299999999999994</v>
      </c>
      <c r="J35" s="29">
        <f t="shared" si="1"/>
        <v>1.6100000000000001</v>
      </c>
      <c r="K35" s="29">
        <f t="shared" si="1"/>
        <v>359.72000000000003</v>
      </c>
      <c r="L35" s="29">
        <f t="shared" si="1"/>
        <v>27.079999999999998</v>
      </c>
      <c r="M35" s="29">
        <f t="shared" si="1"/>
        <v>97.25</v>
      </c>
      <c r="N35" s="29">
        <f t="shared" si="1"/>
        <v>859.89999999999998</v>
      </c>
      <c r="O35" s="29">
        <f t="shared" si="1"/>
        <v>0.40000000000000002</v>
      </c>
      <c r="P35" s="29">
        <f t="shared" si="1"/>
        <v>2.2000000000000002</v>
      </c>
      <c r="Q35" s="29">
        <f t="shared" si="1"/>
        <v>38.340000000000003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14.971904761904764</v>
      </c>
      <c r="C36" s="28">
        <f t="shared" si="2"/>
        <v>24.139523809523808</v>
      </c>
      <c r="D36" s="28">
        <f t="shared" si="2"/>
        <v>25.482380952380947</v>
      </c>
      <c r="E36" s="28">
        <f t="shared" si="2"/>
        <v>2.445238095238095</v>
      </c>
      <c r="F36" s="28">
        <f t="shared" si="2"/>
        <v>9.2754545454545472</v>
      </c>
      <c r="G36" s="28">
        <f t="shared" si="2"/>
        <v>46.537058823529414</v>
      </c>
      <c r="H36" s="28">
        <f t="shared" si="2"/>
        <v>16.495882352941177</v>
      </c>
      <c r="I36" s="28">
        <f t="shared" si="2"/>
        <v>5.1527272727272724</v>
      </c>
      <c r="J36" s="28">
        <f t="shared" si="2"/>
        <v>0.71681818181818169</v>
      </c>
      <c r="K36" s="28">
        <f t="shared" si="2"/>
        <v>160.38863636363638</v>
      </c>
      <c r="L36" s="28">
        <f t="shared" si="2"/>
        <v>24.877272727272729</v>
      </c>
      <c r="M36" s="28">
        <f t="shared" si="2"/>
        <v>91.328181818181804</v>
      </c>
      <c r="N36" s="28">
        <f t="shared" si="2"/>
        <v>214.19090909090912</v>
      </c>
      <c r="O36" s="28">
        <f t="shared" si="2"/>
        <v>0.018181818181818184</v>
      </c>
      <c r="P36" s="28">
        <f t="shared" si="2"/>
        <v>0.89076923076923065</v>
      </c>
      <c r="Q36" s="28">
        <f t="shared" si="2"/>
        <v>14.443499999999997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8.4212496810435553</v>
      </c>
      <c r="C37" s="28">
        <f t="shared" si="3" ref="C37:Q37">STDEV(C9:C32)</f>
        <v>9.0403641940966448</v>
      </c>
      <c r="D37" s="28">
        <f t="shared" si="3"/>
        <v>10.252020242255643</v>
      </c>
      <c r="E37" s="28">
        <f t="shared" si="3"/>
        <v>0.91774516641396309</v>
      </c>
      <c r="F37" s="28">
        <f t="shared" si="3"/>
        <v>4.1927689762627827</v>
      </c>
      <c r="G37" s="28">
        <f t="shared" si="3"/>
        <v>30.270283027398722</v>
      </c>
      <c r="H37" s="28">
        <f t="shared" si="3"/>
        <v>7.2543771776282817</v>
      </c>
      <c r="I37" s="28">
        <f t="shared" si="3"/>
        <v>2.4210703868706132</v>
      </c>
      <c r="J37" s="28">
        <f t="shared" si="3"/>
        <v>0.44951176014740984</v>
      </c>
      <c r="K37" s="28">
        <f t="shared" si="3"/>
        <v>115.26546685990948</v>
      </c>
      <c r="L37" s="28">
        <f t="shared" si="3"/>
        <v>1.5609617969706151</v>
      </c>
      <c r="M37" s="28">
        <f t="shared" si="3"/>
        <v>7.3373575341818817</v>
      </c>
      <c r="N37" s="28">
        <f t="shared" si="3"/>
        <v>259.08449607009686</v>
      </c>
      <c r="O37" s="28">
        <f t="shared" si="3"/>
        <v>0.085280286542244177</v>
      </c>
      <c r="P37" s="28">
        <f t="shared" si="3"/>
        <v>0.6982055754869233</v>
      </c>
      <c r="Q37" s="28">
        <f t="shared" si="3"/>
        <v>8.8474749743106251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>COUNT(E9:E32)+3</f>
        <v>24</v>
      </c>
      <c r="F38" s="32">
        <f>COUNT(F9:F32)+2</f>
        <v>24</v>
      </c>
      <c r="G38" s="32">
        <f>COUNT(G9:G32)+7</f>
        <v>24</v>
      </c>
      <c r="H38" s="32">
        <f>COUNT(H9:H32)+7</f>
        <v>24</v>
      </c>
      <c r="I38" s="32">
        <f>COUNT(I9:I32)+13</f>
        <v>24</v>
      </c>
      <c r="J38" s="32">
        <f t="shared" si="4" ref="J38:O38">COUNT(J9:J32)+2</f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COUNT(P9:P32)+11</f>
        <v>24</v>
      </c>
      <c r="Q38" s="32">
        <f>COUNT(Q9:Q32)+4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5cd454-ebd9-4ae2-ac4a-9a6f5afb84c5}">
  <sheetPr codeName=""/>
  <dimension ref="A1:U119"/>
  <sheetViews>
    <sheetView workbookViewId="0" topLeftCell="A1">
      <pane xSplit="1" ySplit="8" topLeftCell="B27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B43" sqref="B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495</v>
      </c>
      <c r="B9" s="61">
        <v>19</v>
      </c>
      <c r="C9" s="61">
        <v>29.59</v>
      </c>
      <c r="D9" s="61">
        <v>32.21</v>
      </c>
      <c r="E9" s="61">
        <v>2.31</v>
      </c>
      <c r="F9" s="61">
        <v>7.96</v>
      </c>
      <c r="G9" s="61">
        <v>89.03</v>
      </c>
      <c r="H9" s="61">
        <v>32.840000000000003</v>
      </c>
      <c r="I9" s="61">
        <v>7.03</v>
      </c>
      <c r="J9" s="61">
        <v>0.67</v>
      </c>
      <c r="K9" s="61">
        <v>10.64</v>
      </c>
      <c r="L9" s="61">
        <v>24.44</v>
      </c>
      <c r="M9" s="61">
        <v>97.25</v>
      </c>
      <c r="N9" s="61">
        <v>37.90</v>
      </c>
      <c r="O9" s="61">
        <v>0</v>
      </c>
      <c r="P9" s="61">
        <v>1.87</v>
      </c>
      <c r="Q9" s="61">
        <v>8.64</v>
      </c>
    </row>
    <row r="10" spans="1:17" s="11" customFormat="1" ht="15">
      <c r="A10" s="55" t="s">
        <v>496</v>
      </c>
      <c r="B10" s="61">
        <v>13.49</v>
      </c>
      <c r="C10" s="61">
        <v>25.17</v>
      </c>
      <c r="D10" s="61">
        <v>23.59</v>
      </c>
      <c r="E10" s="61">
        <v>2.5</v>
      </c>
      <c r="F10" s="61">
        <v>11.11</v>
      </c>
      <c r="G10" s="61">
        <v>89.16</v>
      </c>
      <c r="H10" s="61">
        <v>41.61</v>
      </c>
      <c r="I10" s="61">
        <v>6.77</v>
      </c>
      <c r="J10" s="61">
        <v>0.60</v>
      </c>
      <c r="K10" s="61">
        <v>356.62</v>
      </c>
      <c r="L10" s="61">
        <v>24.40</v>
      </c>
      <c r="M10" s="61">
        <v>97.20</v>
      </c>
      <c r="N10" s="61">
        <v>38</v>
      </c>
      <c r="O10" s="61">
        <v>0</v>
      </c>
      <c r="P10" s="61">
        <v>1.29</v>
      </c>
      <c r="Q10" s="61">
        <v>10.15</v>
      </c>
    </row>
    <row r="11" spans="1:17" s="11" customFormat="1" ht="15">
      <c r="A11" s="55" t="s">
        <v>497</v>
      </c>
      <c r="B11" s="61">
        <v>13.23</v>
      </c>
      <c r="C11" s="61">
        <v>17</v>
      </c>
      <c r="D11" s="61">
        <v>19.80</v>
      </c>
      <c r="E11" s="61">
        <v>2.5299999999999998</v>
      </c>
      <c r="F11" s="61">
        <v>8</v>
      </c>
      <c r="G11" s="61">
        <v>87.38</v>
      </c>
      <c r="H11" s="61">
        <v>41.61</v>
      </c>
      <c r="I11" s="61">
        <v>6.42</v>
      </c>
      <c r="J11" s="61">
        <v>0.73</v>
      </c>
      <c r="K11" s="61">
        <v>354.30</v>
      </c>
      <c r="L11" s="61">
        <v>24.03</v>
      </c>
      <c r="M11" s="61">
        <v>97.25</v>
      </c>
      <c r="N11" s="61">
        <v>37.799999999999997</v>
      </c>
      <c r="O11" s="61">
        <v>0</v>
      </c>
      <c r="P11" s="61">
        <v>1.22</v>
      </c>
      <c r="Q11" s="61">
        <v>5.96</v>
      </c>
    </row>
    <row r="12" spans="1:17" s="11" customFormat="1" ht="15">
      <c r="A12" s="55" t="s">
        <v>498</v>
      </c>
      <c r="B12" s="61">
        <v>12.65</v>
      </c>
      <c r="C12" s="61">
        <v>16.329999999999998</v>
      </c>
      <c r="D12" s="61">
        <v>19.63</v>
      </c>
      <c r="E12" s="61">
        <v>2.39</v>
      </c>
      <c r="F12" s="61">
        <v>7.90</v>
      </c>
      <c r="G12" s="61">
        <v>73.61</v>
      </c>
      <c r="H12" s="61">
        <v>56.86</v>
      </c>
      <c r="I12" s="61">
        <v>5.39</v>
      </c>
      <c r="J12" s="61">
        <v>0.83</v>
      </c>
      <c r="K12" s="61">
        <v>18.329999999999998</v>
      </c>
      <c r="L12" s="61">
        <v>24.02</v>
      </c>
      <c r="M12" s="61">
        <v>97.25</v>
      </c>
      <c r="N12" s="61">
        <v>38</v>
      </c>
      <c r="O12" s="61">
        <v>0</v>
      </c>
      <c r="P12" s="61">
        <v>1.06</v>
      </c>
      <c r="Q12" s="61">
        <v>5.21</v>
      </c>
    </row>
    <row r="13" spans="1:17" s="11" customFormat="1" ht="15">
      <c r="A13" s="55" t="s">
        <v>499</v>
      </c>
      <c r="B13" s="61">
        <v>10.68</v>
      </c>
      <c r="C13" s="61">
        <v>17.38</v>
      </c>
      <c r="D13" s="61">
        <v>18.79</v>
      </c>
      <c r="E13" s="61">
        <v>3.03</v>
      </c>
      <c r="F13" s="61">
        <v>7.42</v>
      </c>
      <c r="G13" s="61">
        <v>70.28</v>
      </c>
      <c r="H13" s="61">
        <v>56.86</v>
      </c>
      <c r="I13" s="61">
        <v>5.09</v>
      </c>
      <c r="J13" s="61">
        <v>0.5</v>
      </c>
      <c r="K13" s="61">
        <v>35.36</v>
      </c>
      <c r="L13" s="61">
        <v>23.48</v>
      </c>
      <c r="M13" s="61">
        <v>97.20</v>
      </c>
      <c r="N13" s="61">
        <v>38.200000000000003</v>
      </c>
      <c r="O13" s="61">
        <v>0</v>
      </c>
      <c r="P13" s="61">
        <v>0.89</v>
      </c>
      <c r="Q13" s="61">
        <v>6.68</v>
      </c>
    </row>
    <row r="14" spans="1:17" s="11" customFormat="1" ht="15">
      <c r="A14" s="55" t="s">
        <v>500</v>
      </c>
      <c r="B14" s="61">
        <v>14.25</v>
      </c>
      <c r="C14" s="61">
        <v>16.670000000000002</v>
      </c>
      <c r="D14" s="61">
        <v>21.27</v>
      </c>
      <c r="E14" s="61">
        <v>3.38</v>
      </c>
      <c r="F14" s="61">
        <v>5.18</v>
      </c>
      <c r="G14" s="61">
        <v>50.16</v>
      </c>
      <c r="H14" s="61">
        <v>29.88</v>
      </c>
      <c r="I14" s="61">
        <v>4.58</v>
      </c>
      <c r="J14" s="61">
        <v>0.37</v>
      </c>
      <c r="K14" s="61">
        <v>11.70</v>
      </c>
      <c r="L14" s="61">
        <v>23.37</v>
      </c>
      <c r="M14" s="61">
        <v>97.25</v>
      </c>
      <c r="N14" s="61">
        <v>51.30</v>
      </c>
      <c r="O14" s="61">
        <v>0</v>
      </c>
      <c r="P14" s="61">
        <v>0.80</v>
      </c>
      <c r="Q14" s="61">
        <v>2.85</v>
      </c>
    </row>
    <row r="15" spans="1:17" s="11" customFormat="1" ht="15">
      <c r="A15" s="55" t="s">
        <v>501</v>
      </c>
      <c r="B15" s="61">
        <v>19.940000000000001</v>
      </c>
      <c r="C15" s="61">
        <v>20.11</v>
      </c>
      <c r="D15" s="61">
        <v>27.74</v>
      </c>
      <c r="E15" s="61">
        <v>3.15</v>
      </c>
      <c r="F15" s="61">
        <v>7.36</v>
      </c>
      <c r="G15" s="61">
        <v>45.18</v>
      </c>
      <c r="H15" s="61">
        <v>14.93</v>
      </c>
      <c r="I15" s="61">
        <v>4.2300000000000004</v>
      </c>
      <c r="J15" s="61">
        <v>0.30</v>
      </c>
      <c r="K15" s="61">
        <v>353.58</v>
      </c>
      <c r="L15" s="61">
        <v>24.05</v>
      </c>
      <c r="M15" s="61">
        <v>97.25</v>
      </c>
      <c r="N15" s="61">
        <v>161.80000000000001</v>
      </c>
      <c r="O15" s="61">
        <v>0</v>
      </c>
      <c r="P15" s="61">
        <v>0.64</v>
      </c>
      <c r="Q15" s="61">
        <v>7.47</v>
      </c>
    </row>
    <row r="16" spans="1:17" s="11" customFormat="1" ht="15">
      <c r="A16" s="55" t="s">
        <v>502</v>
      </c>
      <c r="B16" s="61">
        <v>17.14</v>
      </c>
      <c r="C16" s="61">
        <v>16.77</v>
      </c>
      <c r="D16" s="61">
        <v>22.71</v>
      </c>
      <c r="E16" s="61">
        <v>3.02</v>
      </c>
      <c r="F16" s="61">
        <v>6.16</v>
      </c>
      <c r="G16" s="61">
        <v>47.38</v>
      </c>
      <c r="H16" s="61">
        <v>15.5</v>
      </c>
      <c r="I16" s="61">
        <v>4.17</v>
      </c>
      <c r="J16" s="61">
        <v>0.68</v>
      </c>
      <c r="K16" s="61">
        <v>96.76</v>
      </c>
      <c r="L16" s="61">
        <v>25.23</v>
      </c>
      <c r="M16" s="61">
        <v>96.21</v>
      </c>
      <c r="N16" s="61">
        <v>309.80</v>
      </c>
      <c r="O16" s="61">
        <v>0</v>
      </c>
      <c r="P16" s="61">
        <v>0.66</v>
      </c>
      <c r="Q16" s="61">
        <v>10.79</v>
      </c>
    </row>
    <row r="17" spans="1:17" s="11" customFormat="1" ht="15">
      <c r="A17" s="55" t="s">
        <v>503</v>
      </c>
      <c r="B17" s="61">
        <v>18.149999999999999</v>
      </c>
      <c r="C17" s="61">
        <v>13.53</v>
      </c>
      <c r="D17" s="61">
        <v>22.03</v>
      </c>
      <c r="E17" s="61">
        <v>3.33</v>
      </c>
      <c r="F17" s="61">
        <v>5.0599999999999996</v>
      </c>
      <c r="G17" s="61">
        <v>49.16</v>
      </c>
      <c r="H17" s="61">
        <v>26.5</v>
      </c>
      <c r="I17" s="61">
        <v>4.07</v>
      </c>
      <c r="J17" s="61">
        <v>1.01</v>
      </c>
      <c r="K17" s="61">
        <v>102.56</v>
      </c>
      <c r="L17" s="61">
        <v>26.24</v>
      </c>
      <c r="M17" s="61">
        <v>91.56</v>
      </c>
      <c r="N17" s="61">
        <v>474.80</v>
      </c>
      <c r="O17" s="61">
        <v>0</v>
      </c>
      <c r="P17" s="61">
        <v>0.63</v>
      </c>
      <c r="Q17" s="61">
        <v>9.33</v>
      </c>
    </row>
    <row r="18" spans="1:17" s="11" customFormat="1" ht="15">
      <c r="A18" s="55" t="s">
        <v>504</v>
      </c>
      <c r="B18" s="61">
        <v>16.39</v>
      </c>
      <c r="C18" s="61">
        <v>13.55</v>
      </c>
      <c r="D18" s="61">
        <v>21.27</v>
      </c>
      <c r="E18" s="61">
        <v>3.72</v>
      </c>
      <c r="F18" s="61">
        <v>7.42</v>
      </c>
      <c r="G18" s="61">
        <v>49.22</v>
      </c>
      <c r="H18" s="61">
        <v>26.5</v>
      </c>
      <c r="I18" s="61">
        <v>3.75</v>
      </c>
      <c r="J18" s="61">
        <v>1.39</v>
      </c>
      <c r="K18" s="61">
        <v>111.47</v>
      </c>
      <c r="L18" s="61">
        <v>27.45</v>
      </c>
      <c r="M18" s="61">
        <v>87.04</v>
      </c>
      <c r="N18" s="61">
        <v>768.80</v>
      </c>
      <c r="O18" s="61">
        <v>0</v>
      </c>
      <c r="P18" s="61">
        <v>0.56999999999999995</v>
      </c>
      <c r="Q18" s="61">
        <v>13.90</v>
      </c>
    </row>
    <row r="19" spans="1:17" s="11" customFormat="1" ht="15">
      <c r="A19" s="55" t="s">
        <v>505</v>
      </c>
      <c r="B19" s="61">
        <v>13.89</v>
      </c>
      <c r="C19" s="61">
        <v>14.74</v>
      </c>
      <c r="D19" s="61">
        <v>19.920000000000002</v>
      </c>
      <c r="E19" s="61">
        <v>3.86</v>
      </c>
      <c r="F19" s="61">
        <v>7.26</v>
      </c>
      <c r="G19" s="61">
        <v>46.44</v>
      </c>
      <c r="H19" s="61">
        <v>20.329999999999998</v>
      </c>
      <c r="I19" s="61">
        <v>3.95</v>
      </c>
      <c r="J19" s="61">
        <v>1.46</v>
      </c>
      <c r="K19" s="61">
        <v>114.96</v>
      </c>
      <c r="L19" s="61">
        <v>27</v>
      </c>
      <c r="M19" s="61">
        <v>80.989999999999995</v>
      </c>
      <c r="N19" s="61">
        <v>490.70</v>
      </c>
      <c r="O19" s="61">
        <v>0</v>
      </c>
      <c r="P19" s="61">
        <v>0.52</v>
      </c>
      <c r="Q19" s="61">
        <v>14.88</v>
      </c>
    </row>
    <row r="20" spans="1:17" s="11" customFormat="1" ht="15">
      <c r="A20" s="55" t="s">
        <v>506</v>
      </c>
      <c r="B20" s="61">
        <v>12.90</v>
      </c>
      <c r="C20" s="61">
        <v>17.78</v>
      </c>
      <c r="D20" s="61">
        <v>20.81</v>
      </c>
      <c r="E20" s="61">
        <v>3.71</v>
      </c>
      <c r="F20" s="61">
        <v>7.33</v>
      </c>
      <c r="G20" s="61">
        <v>45.70</v>
      </c>
      <c r="H20" s="61">
        <v>19.68</v>
      </c>
      <c r="I20" s="61">
        <v>3.55</v>
      </c>
      <c r="J20" s="61">
        <v>1.02</v>
      </c>
      <c r="K20" s="61">
        <v>114.18</v>
      </c>
      <c r="L20" s="61">
        <v>27.19</v>
      </c>
      <c r="M20" s="61">
        <v>83.24</v>
      </c>
      <c r="N20" s="61">
        <v>428</v>
      </c>
      <c r="O20" s="61">
        <v>0</v>
      </c>
      <c r="P20" s="61">
        <v>0.56000000000000005</v>
      </c>
      <c r="Q20" s="61">
        <v>10.55</v>
      </c>
    </row>
    <row r="21" spans="1:17" s="11" customFormat="1" ht="15">
      <c r="A21" s="55" t="s">
        <v>507</v>
      </c>
      <c r="B21" s="61">
        <v>16.25</v>
      </c>
      <c r="C21" s="61">
        <v>20.16</v>
      </c>
      <c r="D21" s="61">
        <v>24.44</v>
      </c>
      <c r="E21" s="61">
        <v>3.89</v>
      </c>
      <c r="F21" s="61">
        <v>10.66</v>
      </c>
      <c r="G21" s="61">
        <v>56.73</v>
      </c>
      <c r="H21" s="61">
        <v>26.49</v>
      </c>
      <c r="I21" s="61">
        <v>3.55</v>
      </c>
      <c r="J21" s="61">
        <v>1.99</v>
      </c>
      <c r="K21" s="61">
        <v>113.51</v>
      </c>
      <c r="L21" s="61">
        <v>26.62</v>
      </c>
      <c r="M21" s="61">
        <v>95.38</v>
      </c>
      <c r="N21" s="61">
        <v>319.20</v>
      </c>
      <c r="O21" s="61">
        <v>1.80</v>
      </c>
      <c r="P21" s="61">
        <v>0.63</v>
      </c>
      <c r="Q21" s="61">
        <v>10.35</v>
      </c>
    </row>
    <row r="22" spans="1:17" s="11" customFormat="1" ht="15">
      <c r="A22" s="55" t="s">
        <v>508</v>
      </c>
      <c r="B22" s="61">
        <v>15.10</v>
      </c>
      <c r="C22" s="61">
        <v>16.84</v>
      </c>
      <c r="D22" s="61">
        <v>21.15</v>
      </c>
      <c r="E22" s="61">
        <v>3.80</v>
      </c>
      <c r="F22" s="61">
        <v>6.88</v>
      </c>
      <c r="G22" s="61">
        <v>57.11</v>
      </c>
      <c r="H22" s="61">
        <v>26.49</v>
      </c>
      <c r="I22" s="61">
        <v>3.60</v>
      </c>
      <c r="J22" s="61">
        <v>1.57</v>
      </c>
      <c r="K22" s="61">
        <v>119.56</v>
      </c>
      <c r="L22" s="61">
        <v>24.22</v>
      </c>
      <c r="M22" s="61">
        <v>97.21</v>
      </c>
      <c r="N22" s="61">
        <v>216.30</v>
      </c>
      <c r="O22" s="61">
        <v>0.20</v>
      </c>
      <c r="P22" s="61">
        <v>0.56999999999999995</v>
      </c>
      <c r="Q22" s="61">
        <v>12.58</v>
      </c>
    </row>
    <row r="23" spans="1:17" s="11" customFormat="1" ht="15">
      <c r="A23" s="55" t="s">
        <v>509</v>
      </c>
      <c r="B23" s="61">
        <v>17.02</v>
      </c>
      <c r="C23" s="61">
        <v>20.63</v>
      </c>
      <c r="D23" s="61">
        <v>24.52</v>
      </c>
      <c r="E23" s="61">
        <v>3.74</v>
      </c>
      <c r="F23" s="61">
        <v>5.83</v>
      </c>
      <c r="G23" s="61">
        <v>36.08</v>
      </c>
      <c r="H23" s="61">
        <v>22.83</v>
      </c>
      <c r="I23" s="61">
        <v>3.55</v>
      </c>
      <c r="J23" s="61">
        <v>0.65</v>
      </c>
      <c r="K23" s="61">
        <v>77.41</v>
      </c>
      <c r="L23" s="61">
        <v>26.27</v>
      </c>
      <c r="M23" s="61">
        <v>94.76</v>
      </c>
      <c r="N23" s="61">
        <v>536.60</v>
      </c>
      <c r="O23" s="61">
        <v>0</v>
      </c>
      <c r="P23" s="61">
        <v>0.65</v>
      </c>
      <c r="Q23" s="61">
        <v>9.43</v>
      </c>
    </row>
    <row r="24" spans="1:17" s="11" customFormat="1" ht="15">
      <c r="A24" s="55" t="s">
        <v>510</v>
      </c>
      <c r="B24" s="61">
        <v>13.99</v>
      </c>
      <c r="C24" s="61">
        <v>16.059999999999999</v>
      </c>
      <c r="D24" s="61">
        <v>20.149999999999999</v>
      </c>
      <c r="E24" s="61">
        <v>3.76</v>
      </c>
      <c r="F24" s="61">
        <v>10.52</v>
      </c>
      <c r="G24" s="61">
        <v>36.549999999999997</v>
      </c>
      <c r="H24" s="61">
        <v>17.48</v>
      </c>
      <c r="I24" s="61">
        <v>3.52</v>
      </c>
      <c r="J24" s="61">
        <v>1.35</v>
      </c>
      <c r="K24" s="61">
        <v>114.36</v>
      </c>
      <c r="L24" s="61">
        <v>26.70</v>
      </c>
      <c r="M24" s="61">
        <v>84.06</v>
      </c>
      <c r="N24" s="61">
        <v>465.40</v>
      </c>
      <c r="O24" s="61">
        <v>0</v>
      </c>
      <c r="P24" s="61">
        <v>0.56999999999999995</v>
      </c>
      <c r="Q24" s="61">
        <v>12.04</v>
      </c>
    </row>
    <row r="25" spans="1:17" s="11" customFormat="1" ht="15">
      <c r="A25" s="55" t="s">
        <v>511</v>
      </c>
      <c r="B25" s="61">
        <v>11.12</v>
      </c>
      <c r="C25" s="61">
        <v>15.31</v>
      </c>
      <c r="D25" s="61">
        <v>18.02</v>
      </c>
      <c r="E25" s="61">
        <v>3.39</v>
      </c>
      <c r="F25" s="61">
        <v>10.91</v>
      </c>
      <c r="G25" s="61">
        <v>36.83</v>
      </c>
      <c r="H25" s="61">
        <v>13.07</v>
      </c>
      <c r="I25" s="61">
        <v>3.53</v>
      </c>
      <c r="J25" s="61">
        <v>1.40</v>
      </c>
      <c r="K25" s="61">
        <v>119.25</v>
      </c>
      <c r="L25" s="61">
        <v>26.95</v>
      </c>
      <c r="M25" s="61">
        <v>82.11</v>
      </c>
      <c r="N25" s="61">
        <v>390.90</v>
      </c>
      <c r="O25" s="61">
        <v>0</v>
      </c>
      <c r="P25" s="61">
        <v>0.51</v>
      </c>
      <c r="Q25" s="61">
        <v>13.19</v>
      </c>
    </row>
    <row r="26" spans="1:17" s="11" customFormat="1" ht="15">
      <c r="A26" s="55" t="s">
        <v>512</v>
      </c>
      <c r="B26" s="61">
        <v>17.079999999999998</v>
      </c>
      <c r="C26" s="61">
        <v>28.04</v>
      </c>
      <c r="D26" s="61">
        <v>29.01</v>
      </c>
      <c r="E26" s="61">
        <v>3.82</v>
      </c>
      <c r="F26" s="61">
        <v>10.52</v>
      </c>
      <c r="G26" s="61">
        <v>50.63</v>
      </c>
      <c r="H26" s="61">
        <v>15.91</v>
      </c>
      <c r="I26" s="61">
        <v>3.69</v>
      </c>
      <c r="J26" s="61">
        <v>0.25</v>
      </c>
      <c r="K26" s="61">
        <v>82.63</v>
      </c>
      <c r="L26" s="61">
        <v>25.69</v>
      </c>
      <c r="M26" s="61">
        <v>86.33</v>
      </c>
      <c r="N26" s="61">
        <v>97.70</v>
      </c>
      <c r="O26" s="61">
        <v>0</v>
      </c>
      <c r="P26" s="61">
        <v>0.97</v>
      </c>
      <c r="Q26" s="61">
        <v>9.85</v>
      </c>
    </row>
    <row r="27" spans="1:17" s="11" customFormat="1" ht="15">
      <c r="A27" s="55" t="s">
        <v>513</v>
      </c>
      <c r="B27" s="61">
        <v>17.23</v>
      </c>
      <c r="C27" s="61">
        <v>39.700000000000003</v>
      </c>
      <c r="D27" s="61">
        <v>33.92</v>
      </c>
      <c r="E27" s="61">
        <v>3.40</v>
      </c>
      <c r="F27" s="61">
        <v>22.02</v>
      </c>
      <c r="G27" s="61">
        <v>60</v>
      </c>
      <c r="H27" s="61">
        <v>19.88</v>
      </c>
      <c r="I27" s="61">
        <v>4.1900000000000004</v>
      </c>
      <c r="J27" s="61">
        <v>0.44</v>
      </c>
      <c r="K27" s="61">
        <v>276.61</v>
      </c>
      <c r="L27" s="61">
        <v>25.63</v>
      </c>
      <c r="M27" s="61">
        <v>91.09</v>
      </c>
      <c r="N27" s="61">
        <v>72.599999999999994</v>
      </c>
      <c r="O27" s="61">
        <v>0</v>
      </c>
      <c r="P27" s="61">
        <v>0.97</v>
      </c>
      <c r="Q27" s="61">
        <v>10.82</v>
      </c>
    </row>
    <row r="28" spans="1:17" s="11" customFormat="1" ht="15">
      <c r="A28" s="55" t="s">
        <v>514</v>
      </c>
      <c r="B28" s="61">
        <v>35</v>
      </c>
      <c r="C28" s="61">
        <v>42.19</v>
      </c>
      <c r="D28" s="61">
        <v>48.04</v>
      </c>
      <c r="E28" s="61">
        <v>3.63</v>
      </c>
      <c r="F28" s="61">
        <v>6.21</v>
      </c>
      <c r="G28" s="61">
        <v>83.5</v>
      </c>
      <c r="H28" s="61">
        <v>33.03</v>
      </c>
      <c r="I28" s="61">
        <v>6.85</v>
      </c>
      <c r="J28" s="61">
        <v>0.10</v>
      </c>
      <c r="K28" s="61">
        <v>348.17</v>
      </c>
      <c r="L28" s="61">
        <v>25.08</v>
      </c>
      <c r="M28" s="61">
        <v>97.20</v>
      </c>
      <c r="N28" s="61">
        <v>38.299999999999997</v>
      </c>
      <c r="O28" s="61">
        <v>0</v>
      </c>
      <c r="P28" s="61">
        <v>2.04</v>
      </c>
      <c r="Q28" s="61">
        <v>11.43</v>
      </c>
    </row>
    <row r="29" spans="1:17" s="11" customFormat="1" ht="15">
      <c r="A29" s="55" t="s">
        <v>515</v>
      </c>
      <c r="B29" s="61">
        <v>57.23</v>
      </c>
      <c r="C29" s="61">
        <v>43.30</v>
      </c>
      <c r="D29" s="61">
        <v>66.09</v>
      </c>
      <c r="E29" s="61">
        <v>3.72</v>
      </c>
      <c r="F29" s="61">
        <v>5.46</v>
      </c>
      <c r="G29" s="61">
        <v>200.46</v>
      </c>
      <c r="H29" s="61">
        <v>36.840000000000003</v>
      </c>
      <c r="I29" s="61">
        <v>9.89</v>
      </c>
      <c r="J29" s="61">
        <v>0.13</v>
      </c>
      <c r="K29" s="61">
        <v>301.38</v>
      </c>
      <c r="L29" s="61">
        <v>24.88</v>
      </c>
      <c r="M29" s="61">
        <v>97.22</v>
      </c>
      <c r="N29" s="61">
        <v>38.10</v>
      </c>
      <c r="O29" s="61">
        <v>0</v>
      </c>
      <c r="P29" s="61">
        <v>3.33</v>
      </c>
      <c r="Q29" s="61">
        <v>11.59</v>
      </c>
    </row>
    <row r="30" spans="1:17" s="11" customFormat="1" ht="15">
      <c r="A30" s="55" t="s">
        <v>516</v>
      </c>
      <c r="B30" s="61">
        <v>77.900000000000006</v>
      </c>
      <c r="C30" s="61">
        <v>52.25</v>
      </c>
      <c r="D30" s="61">
        <v>86.72</v>
      </c>
      <c r="E30" s="61">
        <v>4.3600000000000003</v>
      </c>
      <c r="F30" s="61">
        <v>6.12</v>
      </c>
      <c r="G30" s="61">
        <v>204.47</v>
      </c>
      <c r="H30" s="61">
        <v>43.55</v>
      </c>
      <c r="I30" s="61">
        <v>14.32</v>
      </c>
      <c r="J30" s="61">
        <v>0.09</v>
      </c>
      <c r="K30" s="61">
        <v>343.06</v>
      </c>
      <c r="L30" s="61">
        <v>24.88</v>
      </c>
      <c r="M30" s="61">
        <v>97.23</v>
      </c>
      <c r="N30" s="61">
        <v>38.200000000000003</v>
      </c>
      <c r="O30" s="61">
        <v>0</v>
      </c>
      <c r="P30" s="61">
        <v>4.41</v>
      </c>
      <c r="Q30" s="61">
        <v>18.95</v>
      </c>
    </row>
    <row r="31" spans="1:17" s="11" customFormat="1" ht="15">
      <c r="A31" s="55" t="s">
        <v>517</v>
      </c>
      <c r="B31" s="61">
        <v>37.46</v>
      </c>
      <c r="C31" s="61">
        <v>37.840000000000003</v>
      </c>
      <c r="D31" s="61">
        <v>50.52</v>
      </c>
      <c r="E31" s="61">
        <v>3.29</v>
      </c>
      <c r="F31" s="61">
        <v>5.0999999999999996</v>
      </c>
      <c r="G31" s="61">
        <v>151.44999999999999</v>
      </c>
      <c r="H31" s="61">
        <v>48.05</v>
      </c>
      <c r="I31" s="61">
        <v>13.71</v>
      </c>
      <c r="J31" s="61">
        <v>0.25</v>
      </c>
      <c r="K31" s="61">
        <v>223.02</v>
      </c>
      <c r="L31" s="61">
        <v>24.75</v>
      </c>
      <c r="M31" s="61">
        <v>97.23</v>
      </c>
      <c r="N31" s="61">
        <v>38.40</v>
      </c>
      <c r="O31" s="61">
        <v>0</v>
      </c>
      <c r="P31" s="61">
        <v>2.37</v>
      </c>
      <c r="Q31" s="61">
        <v>19.850000000000001</v>
      </c>
    </row>
    <row r="32" spans="1:17" s="11" customFormat="1" ht="15">
      <c r="A32" s="55" t="s">
        <v>518</v>
      </c>
      <c r="B32" s="61">
        <v>33.770000000000003</v>
      </c>
      <c r="C32" s="61">
        <v>30.23</v>
      </c>
      <c r="D32" s="61">
        <v>42.91</v>
      </c>
      <c r="E32" s="61">
        <v>2.67</v>
      </c>
      <c r="F32" s="61">
        <v>6.69</v>
      </c>
      <c r="G32" s="61">
        <v>111.98</v>
      </c>
      <c r="H32" s="61">
        <v>48.05</v>
      </c>
      <c r="I32" s="61">
        <v>8.32</v>
      </c>
      <c r="J32" s="61">
        <v>0.22</v>
      </c>
      <c r="K32" s="61">
        <v>148.40</v>
      </c>
      <c r="L32" s="61">
        <v>24.71</v>
      </c>
      <c r="M32" s="61">
        <v>97.25</v>
      </c>
      <c r="N32" s="61">
        <v>38.40</v>
      </c>
      <c r="O32" s="61">
        <v>0</v>
      </c>
      <c r="P32" s="61">
        <v>2.14</v>
      </c>
      <c r="Q32" s="61">
        <v>13.61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10.68</v>
      </c>
      <c r="C34" s="28">
        <f t="shared" si="0"/>
        <v>13.529999999999999</v>
      </c>
      <c r="D34" s="28">
        <f t="shared" si="0"/>
        <v>18.02</v>
      </c>
      <c r="E34" s="28">
        <f t="shared" si="0"/>
        <v>2.3100000000000001</v>
      </c>
      <c r="F34" s="28">
        <f t="shared" si="0"/>
        <v>5.0599999999999996</v>
      </c>
      <c r="G34" s="28">
        <f t="shared" si="0"/>
        <v>36.079999999999998</v>
      </c>
      <c r="H34" s="28">
        <f t="shared" si="0"/>
        <v>13.07</v>
      </c>
      <c r="I34" s="28">
        <f t="shared" si="0"/>
        <v>3.52</v>
      </c>
      <c r="J34" s="28">
        <f t="shared" si="0"/>
        <v>0.089999999999999997</v>
      </c>
      <c r="K34" s="28">
        <f t="shared" si="0"/>
        <v>10.640000000000001</v>
      </c>
      <c r="L34" s="28">
        <f t="shared" si="0"/>
        <v>23.370000000000001</v>
      </c>
      <c r="M34" s="28">
        <f t="shared" si="0"/>
        <v>80.989999999999995</v>
      </c>
      <c r="N34" s="28">
        <f t="shared" si="0"/>
        <v>37.799999999999997</v>
      </c>
      <c r="O34" s="28">
        <f t="shared" si="0"/>
        <v>0</v>
      </c>
      <c r="P34" s="28">
        <f t="shared" si="0"/>
        <v>0.51000000000000001</v>
      </c>
      <c r="Q34" s="28">
        <f t="shared" si="0"/>
        <v>2.8500000000000001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77.900000000000006</v>
      </c>
      <c r="C35" s="29">
        <f t="shared" si="1"/>
        <v>52.25</v>
      </c>
      <c r="D35" s="29">
        <f t="shared" si="1"/>
        <v>86.719999999999999</v>
      </c>
      <c r="E35" s="29">
        <f t="shared" si="1"/>
        <v>4.3600000000000003</v>
      </c>
      <c r="F35" s="29">
        <f t="shared" si="1"/>
        <v>22.02</v>
      </c>
      <c r="G35" s="29">
        <f t="shared" si="1"/>
        <v>204.47</v>
      </c>
      <c r="H35" s="29">
        <f t="shared" si="1"/>
        <v>56.859999999999999</v>
      </c>
      <c r="I35" s="29">
        <f t="shared" si="1"/>
        <v>14.32</v>
      </c>
      <c r="J35" s="29">
        <f t="shared" si="1"/>
        <v>1.99</v>
      </c>
      <c r="K35" s="29">
        <f t="shared" si="1"/>
        <v>356.62</v>
      </c>
      <c r="L35" s="29">
        <f t="shared" si="1"/>
        <v>27.449999999999999</v>
      </c>
      <c r="M35" s="29">
        <f t="shared" si="1"/>
        <v>97.25</v>
      </c>
      <c r="N35" s="29">
        <f t="shared" si="1"/>
        <v>768.79999999999995</v>
      </c>
      <c r="O35" s="29">
        <f t="shared" si="1"/>
        <v>1.8</v>
      </c>
      <c r="P35" s="29">
        <f t="shared" si="1"/>
        <v>4.4100000000000001</v>
      </c>
      <c r="Q35" s="29">
        <f t="shared" si="1"/>
        <v>19.850000000000001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22.119166666666672</v>
      </c>
      <c r="C36" s="28">
        <f t="shared" si="2"/>
        <v>24.215416666666673</v>
      </c>
      <c r="D36" s="28">
        <f t="shared" si="2"/>
        <v>30.635833333333334</v>
      </c>
      <c r="E36" s="28">
        <f t="shared" si="2"/>
        <v>3.3500000000000001</v>
      </c>
      <c r="F36" s="28">
        <f t="shared" si="2"/>
        <v>8.1283333333333356</v>
      </c>
      <c r="G36" s="28">
        <f t="shared" si="2"/>
        <v>76.187083333333348</v>
      </c>
      <c r="H36" s="28">
        <f t="shared" si="2"/>
        <v>30.615416666666665</v>
      </c>
      <c r="I36" s="28">
        <f t="shared" si="2"/>
        <v>5.7383333333333333</v>
      </c>
      <c r="J36" s="28">
        <f t="shared" si="2"/>
        <v>0.75</v>
      </c>
      <c r="K36" s="28">
        <f t="shared" si="2"/>
        <v>164.49250000000004</v>
      </c>
      <c r="L36" s="28">
        <f t="shared" si="2"/>
        <v>25.303333333333331</v>
      </c>
      <c r="M36" s="28">
        <f t="shared" si="2"/>
        <v>93.198333333333323</v>
      </c>
      <c r="N36" s="28">
        <f t="shared" si="2"/>
        <v>215.21666666666661</v>
      </c>
      <c r="O36" s="28">
        <f t="shared" si="2"/>
        <v>0.083333333333333329</v>
      </c>
      <c r="P36" s="28">
        <f t="shared" si="2"/>
        <v>1.2445833333333336</v>
      </c>
      <c r="Q36" s="28">
        <f t="shared" si="2"/>
        <v>10.837499999999999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16.021498577432336</v>
      </c>
      <c r="C37" s="28">
        <f t="shared" si="3" ref="C37:Q37">STDEV(C9:C32)</f>
        <v>11.147384945501258</v>
      </c>
      <c r="D37" s="28">
        <f t="shared" si="3"/>
        <v>17.02013358059946</v>
      </c>
      <c r="E37" s="28">
        <f t="shared" si="3"/>
        <v>0.54843651291252249</v>
      </c>
      <c r="F37" s="28">
        <f t="shared" si="3"/>
        <v>3.5228035607362789</v>
      </c>
      <c r="G37" s="28">
        <f t="shared" si="3"/>
        <v>47.331635939278549</v>
      </c>
      <c r="H37" s="28">
        <f t="shared" si="3"/>
        <v>13.326829421416656</v>
      </c>
      <c r="I37" s="28">
        <f t="shared" si="3"/>
        <v>3.0745076193513139</v>
      </c>
      <c r="J37" s="28">
        <f t="shared" si="3"/>
        <v>0.53674542585280882</v>
      </c>
      <c r="K37" s="28">
        <f t="shared" si="3"/>
        <v>120.51486537389052</v>
      </c>
      <c r="L37" s="28">
        <f t="shared" si="3"/>
        <v>1.2374330606986967</v>
      </c>
      <c r="M37" s="28">
        <f t="shared" si="3"/>
        <v>5.8028513730726399</v>
      </c>
      <c r="N37" s="28">
        <f t="shared" si="3"/>
        <v>217.59336560112121</v>
      </c>
      <c r="O37" s="28">
        <f t="shared" si="3"/>
        <v>0.36791618453199326</v>
      </c>
      <c r="P37" s="28">
        <f t="shared" si="3"/>
        <v>0.99316349705577567</v>
      </c>
      <c r="Q37" s="28">
        <f t="shared" si="3"/>
        <v>3.9015952701650072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49deff-b9d5-4d91-b7b1-9e5e755f6659}">
  <sheetPr codeName=""/>
  <dimension ref="A1:U119"/>
  <sheetViews>
    <sheetView workbookViewId="0" topLeftCell="A1">
      <pane xSplit="1" ySplit="8" topLeftCell="B27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T32" sqref="T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17" s="11" customFormat="1" ht="15">
      <c r="A9" s="55" t="s">
        <v>519</v>
      </c>
      <c r="B9" s="61">
        <v>26.60</v>
      </c>
      <c r="C9" s="61">
        <v>37.340000000000003</v>
      </c>
      <c r="D9" s="61">
        <v>42.59</v>
      </c>
      <c r="E9" s="61">
        <v>3.41</v>
      </c>
      <c r="F9" s="61">
        <v>5.47</v>
      </c>
      <c r="G9" s="61">
        <v>94.32</v>
      </c>
      <c r="H9" s="61">
        <v>46.36</v>
      </c>
      <c r="I9" s="61">
        <v>8.4499999999999993</v>
      </c>
      <c r="J9" s="61">
        <v>0.17</v>
      </c>
      <c r="K9" s="61">
        <v>358.23</v>
      </c>
      <c r="L9" s="61">
        <v>24.61</v>
      </c>
      <c r="M9" s="61">
        <v>97.24</v>
      </c>
      <c r="N9" s="61">
        <v>38.299999999999997</v>
      </c>
      <c r="O9" s="61">
        <v>0</v>
      </c>
      <c r="P9" s="61">
        <v>2</v>
      </c>
      <c r="Q9" s="61">
        <v>16.62</v>
      </c>
    </row>
    <row r="10" spans="1:17" s="11" customFormat="1" ht="15">
      <c r="A10" s="55" t="s">
        <v>520</v>
      </c>
      <c r="B10" s="61">
        <v>23.55</v>
      </c>
      <c r="C10" s="61">
        <v>31.65</v>
      </c>
      <c r="D10" s="61">
        <v>33.89</v>
      </c>
      <c r="E10" s="61">
        <v>3.53</v>
      </c>
      <c r="F10" s="61">
        <v>4.9800000000000004</v>
      </c>
      <c r="G10" s="61">
        <v>91.72</v>
      </c>
      <c r="H10" s="61">
        <v>46.36</v>
      </c>
      <c r="I10" s="61">
        <v>6.85</v>
      </c>
      <c r="J10" s="61">
        <v>0.18</v>
      </c>
      <c r="K10" s="61">
        <v>227.38</v>
      </c>
      <c r="L10" s="61">
        <v>24.58</v>
      </c>
      <c r="M10" s="61">
        <v>97.21</v>
      </c>
      <c r="N10" s="61">
        <v>38.40</v>
      </c>
      <c r="O10" s="61">
        <v>0</v>
      </c>
      <c r="P10" s="61">
        <v>1.45</v>
      </c>
      <c r="Q10" s="61">
        <v>16.78</v>
      </c>
    </row>
    <row r="11" spans="1:17" s="11" customFormat="1" ht="15">
      <c r="A11" s="55" t="s">
        <v>521</v>
      </c>
      <c r="B11" s="61">
        <v>19.14</v>
      </c>
      <c r="C11" s="61">
        <v>28.35</v>
      </c>
      <c r="D11" s="61">
        <v>31.64</v>
      </c>
      <c r="E11" s="61">
        <v>3.23</v>
      </c>
      <c r="F11" s="61">
        <v>5.25</v>
      </c>
      <c r="G11" s="61">
        <v>63.78</v>
      </c>
      <c r="H11" s="61">
        <v>34.880000000000003</v>
      </c>
      <c r="I11" s="61">
        <v>6.33</v>
      </c>
      <c r="J11" s="61">
        <v>0.15</v>
      </c>
      <c r="K11" s="61">
        <v>334.80</v>
      </c>
      <c r="L11" s="61">
        <v>24.41</v>
      </c>
      <c r="M11" s="61">
        <v>97.24</v>
      </c>
      <c r="N11" s="61">
        <v>38.299999999999997</v>
      </c>
      <c r="O11" s="61">
        <v>0</v>
      </c>
      <c r="P11" s="61">
        <v>1.32</v>
      </c>
      <c r="Q11" s="61">
        <v>9.8800000000000008</v>
      </c>
    </row>
    <row r="12" spans="1:17" s="11" customFormat="1" ht="15">
      <c r="A12" s="55" t="s">
        <v>522</v>
      </c>
      <c r="B12" s="61">
        <v>24.11</v>
      </c>
      <c r="C12" s="61">
        <v>33.46</v>
      </c>
      <c r="D12" s="61">
        <v>38.44</v>
      </c>
      <c r="E12" s="61">
        <v>3.46</v>
      </c>
      <c r="F12" s="61">
        <v>5</v>
      </c>
      <c r="G12" s="61">
        <v>79.010000000000005</v>
      </c>
      <c r="H12" s="61">
        <v>33.159999999999997</v>
      </c>
      <c r="I12" s="61">
        <v>5.47</v>
      </c>
      <c r="J12" s="61">
        <v>0.65</v>
      </c>
      <c r="K12" s="61">
        <v>9.82</v>
      </c>
      <c r="L12" s="61">
        <v>24.44</v>
      </c>
      <c r="M12" s="61">
        <v>97.25</v>
      </c>
      <c r="N12" s="61">
        <v>38.40</v>
      </c>
      <c r="O12" s="61">
        <v>0</v>
      </c>
      <c r="P12" s="61">
        <v>1.1299999999999999</v>
      </c>
      <c r="Q12" s="61">
        <v>13.86</v>
      </c>
    </row>
    <row r="13" spans="1:17" s="11" customFormat="1" ht="15">
      <c r="A13" s="55" t="s">
        <v>523</v>
      </c>
      <c r="B13" s="61">
        <v>22.95</v>
      </c>
      <c r="C13" s="61">
        <v>19.739999999999998</v>
      </c>
      <c r="D13" s="61">
        <v>29.94</v>
      </c>
      <c r="E13" s="61">
        <v>2.70</v>
      </c>
      <c r="F13" s="61">
        <v>7.42</v>
      </c>
      <c r="G13" s="61">
        <v>79.53</v>
      </c>
      <c r="H13" s="61">
        <v>33.159999999999997</v>
      </c>
      <c r="I13" s="61">
        <v>6.32</v>
      </c>
      <c r="J13" s="61">
        <v>0.84</v>
      </c>
      <c r="K13" s="61">
        <v>356.02</v>
      </c>
      <c r="L13" s="61">
        <v>24.31</v>
      </c>
      <c r="M13" s="61">
        <v>97.20</v>
      </c>
      <c r="N13" s="61">
        <v>38.40</v>
      </c>
      <c r="O13" s="61">
        <v>0</v>
      </c>
      <c r="P13" s="61">
        <v>1.28</v>
      </c>
      <c r="Q13" s="61">
        <v>13.12</v>
      </c>
    </row>
    <row r="14" spans="1:17" s="11" customFormat="1" ht="15">
      <c r="A14" s="55" t="s">
        <v>524</v>
      </c>
      <c r="B14" s="61">
        <v>26.52</v>
      </c>
      <c r="C14" s="61">
        <v>19.12</v>
      </c>
      <c r="D14" s="61">
        <v>31.73</v>
      </c>
      <c r="E14" s="61">
        <v>2.58</v>
      </c>
      <c r="F14" s="61">
        <v>5.82</v>
      </c>
      <c r="G14" s="61">
        <v>56.04</v>
      </c>
      <c r="H14" s="61">
        <v>28.27</v>
      </c>
      <c r="I14" s="61">
        <v>5.96</v>
      </c>
      <c r="J14" s="61">
        <v>0.54</v>
      </c>
      <c r="K14" s="61">
        <v>358.97</v>
      </c>
      <c r="L14" s="61">
        <v>23.82</v>
      </c>
      <c r="M14" s="61">
        <v>97.22</v>
      </c>
      <c r="N14" s="61">
        <v>68.599999999999994</v>
      </c>
      <c r="O14" s="61">
        <v>0</v>
      </c>
      <c r="P14" s="61">
        <v>0.92</v>
      </c>
      <c r="Q14" s="61">
        <v>6.92</v>
      </c>
    </row>
    <row r="15" spans="1:17" s="11" customFormat="1" ht="15">
      <c r="A15" s="55" t="s">
        <v>525</v>
      </c>
      <c r="B15" s="61">
        <v>21.17</v>
      </c>
      <c r="C15" s="61">
        <v>22.60</v>
      </c>
      <c r="D15" s="61">
        <v>29.11</v>
      </c>
      <c r="E15" s="61">
        <v>2.61</v>
      </c>
      <c r="F15" s="61">
        <v>6.59</v>
      </c>
      <c r="G15" s="61">
        <v>53.22</v>
      </c>
      <c r="H15" s="61">
        <v>24.82</v>
      </c>
      <c r="I15" s="61">
        <v>4.82</v>
      </c>
      <c r="J15" s="61">
        <v>0.53</v>
      </c>
      <c r="K15" s="61">
        <v>352.55</v>
      </c>
      <c r="L15" s="61">
        <v>24.48</v>
      </c>
      <c r="M15" s="61">
        <v>97.20</v>
      </c>
      <c r="N15" s="61">
        <v>160.10</v>
      </c>
      <c r="O15" s="61">
        <v>0</v>
      </c>
      <c r="P15" s="61">
        <v>0.69</v>
      </c>
      <c r="Q15" s="61">
        <v>11.18</v>
      </c>
    </row>
    <row r="16" spans="1:17" s="11" customFormat="1" ht="15">
      <c r="A16" s="55" t="s">
        <v>526</v>
      </c>
      <c r="B16" s="61">
        <v>25.84</v>
      </c>
      <c r="C16" s="61">
        <v>16.11</v>
      </c>
      <c r="D16" s="61">
        <v>29.66</v>
      </c>
      <c r="E16" s="61">
        <v>3</v>
      </c>
      <c r="F16" s="61">
        <v>5.31</v>
      </c>
      <c r="G16" s="61">
        <v>54.53</v>
      </c>
      <c r="H16" s="61">
        <v>22.51</v>
      </c>
      <c r="I16" s="61">
        <v>4.8600000000000003</v>
      </c>
      <c r="J16" s="61">
        <v>0.69</v>
      </c>
      <c r="K16" s="61">
        <v>66.62</v>
      </c>
      <c r="L16" s="61">
        <v>25.64</v>
      </c>
      <c r="M16" s="61">
        <v>95.15</v>
      </c>
      <c r="N16" s="61">
        <v>282.89999999999998</v>
      </c>
      <c r="O16" s="61">
        <v>0</v>
      </c>
      <c r="P16" s="61">
        <v>0.83</v>
      </c>
      <c r="Q16" s="61">
        <v>10.32</v>
      </c>
    </row>
    <row r="17" spans="1:17" s="11" customFormat="1" ht="15">
      <c r="A17" s="55" t="s">
        <v>527</v>
      </c>
      <c r="B17" s="61">
        <v>26.80</v>
      </c>
      <c r="C17" s="61">
        <v>15.46</v>
      </c>
      <c r="D17" s="61">
        <v>29.86</v>
      </c>
      <c r="E17" s="61">
        <v>3.37</v>
      </c>
      <c r="F17" s="61">
        <v>7.03</v>
      </c>
      <c r="G17" s="61">
        <v>55.09</v>
      </c>
      <c r="H17" s="61">
        <v>16.43</v>
      </c>
      <c r="I17" s="61">
        <v>4.57</v>
      </c>
      <c r="J17" s="61">
        <v>0.80</v>
      </c>
      <c r="K17" s="61">
        <v>111.10</v>
      </c>
      <c r="L17" s="61">
        <v>26.53</v>
      </c>
      <c r="M17" s="61">
        <v>90.35</v>
      </c>
      <c r="N17" s="61">
        <v>522.60</v>
      </c>
      <c r="O17" s="61">
        <v>0</v>
      </c>
      <c r="P17" s="61">
        <v>0.77</v>
      </c>
      <c r="Q17" s="61">
        <v>10.99</v>
      </c>
    </row>
    <row r="18" spans="1:17" s="11" customFormat="1" ht="15">
      <c r="A18" s="55" t="s">
        <v>528</v>
      </c>
      <c r="B18" s="61">
        <v>18.62</v>
      </c>
      <c r="C18" s="61">
        <v>15.12</v>
      </c>
      <c r="D18" s="61">
        <v>23.49</v>
      </c>
      <c r="E18" s="61">
        <v>3.67</v>
      </c>
      <c r="F18" s="61">
        <v>13.21</v>
      </c>
      <c r="G18" s="61">
        <v>50.04</v>
      </c>
      <c r="H18" s="61">
        <v>13.54</v>
      </c>
      <c r="I18" s="61">
        <v>4.78</v>
      </c>
      <c r="J18" s="61">
        <v>1.77</v>
      </c>
      <c r="K18" s="61">
        <v>120.77</v>
      </c>
      <c r="L18" s="61">
        <v>27.67</v>
      </c>
      <c r="M18" s="61">
        <v>88.11</v>
      </c>
      <c r="N18" s="61">
        <v>650.29999999999995</v>
      </c>
      <c r="O18" s="61">
        <v>0</v>
      </c>
      <c r="P18" s="61">
        <v>0.67</v>
      </c>
      <c r="Q18" s="61">
        <v>15.92</v>
      </c>
    </row>
    <row r="19" spans="1:17" s="11" customFormat="1" ht="15">
      <c r="A19" s="55" t="s">
        <v>529</v>
      </c>
      <c r="B19" s="61">
        <v>14.59</v>
      </c>
      <c r="C19" s="61">
        <v>17.09</v>
      </c>
      <c r="D19" s="61">
        <v>20.28</v>
      </c>
      <c r="E19" s="61">
        <v>3.71</v>
      </c>
      <c r="F19" s="61">
        <v>10.57</v>
      </c>
      <c r="G19" s="61">
        <v>31.30</v>
      </c>
      <c r="H19" s="61">
        <v>13.54</v>
      </c>
      <c r="I19" s="61">
        <v>4.28</v>
      </c>
      <c r="J19" s="61">
        <v>1.79</v>
      </c>
      <c r="K19" s="61">
        <v>121.65</v>
      </c>
      <c r="L19" s="61">
        <v>27.94</v>
      </c>
      <c r="M19" s="61">
        <v>84.46</v>
      </c>
      <c r="N19" s="61">
        <v>914.70</v>
      </c>
      <c r="O19" s="61">
        <v>0</v>
      </c>
      <c r="P19" s="61">
        <v>0.57999999999999996</v>
      </c>
      <c r="Q19" s="61">
        <v>14.22</v>
      </c>
    </row>
    <row r="20" spans="1:17" s="11" customFormat="1" ht="15">
      <c r="A20" s="55" t="s">
        <v>530</v>
      </c>
      <c r="B20" s="61">
        <v>17.739999999999998</v>
      </c>
      <c r="C20" s="61">
        <v>25.68</v>
      </c>
      <c r="D20" s="61">
        <v>29.04</v>
      </c>
      <c r="E20" s="61">
        <v>3.64</v>
      </c>
      <c r="F20" s="61">
        <v>16.809999999999999</v>
      </c>
      <c r="G20" s="61">
        <v>42.55</v>
      </c>
      <c r="H20" s="61">
        <v>15.60</v>
      </c>
      <c r="I20" s="61">
        <v>3.83</v>
      </c>
      <c r="J20" s="61">
        <v>0.65</v>
      </c>
      <c r="K20" s="61">
        <v>110.24</v>
      </c>
      <c r="L20" s="61">
        <v>28.28</v>
      </c>
      <c r="M20" s="61">
        <v>87.20</v>
      </c>
      <c r="N20" s="61">
        <v>783.5</v>
      </c>
      <c r="O20" s="61">
        <v>0.20</v>
      </c>
      <c r="P20" s="61">
        <v>0.85</v>
      </c>
      <c r="Q20" s="61">
        <v>10.74</v>
      </c>
    </row>
    <row r="21" spans="1:17" s="11" customFormat="1" ht="15">
      <c r="A21" s="55" t="s">
        <v>531</v>
      </c>
      <c r="B21" s="61">
        <v>16.57</v>
      </c>
      <c r="C21" s="61">
        <v>23.57</v>
      </c>
      <c r="D21" s="61">
        <v>26.85</v>
      </c>
      <c r="E21" s="61">
        <v>3.45</v>
      </c>
      <c r="F21" s="61">
        <v>14.69</v>
      </c>
      <c r="G21" s="61">
        <v>58</v>
      </c>
      <c r="H21" s="61">
        <v>17.899999999999999</v>
      </c>
      <c r="I21" s="61">
        <v>3.65</v>
      </c>
      <c r="J21" s="61">
        <v>1.0900000000000001</v>
      </c>
      <c r="K21" s="61">
        <v>115</v>
      </c>
      <c r="L21" s="61">
        <v>30.07</v>
      </c>
      <c r="M21" s="61">
        <v>77.27</v>
      </c>
      <c r="N21" s="61">
        <v>1038.70</v>
      </c>
      <c r="O21" s="61">
        <v>0</v>
      </c>
      <c r="P21" s="61">
        <v>0.73</v>
      </c>
      <c r="Q21" s="61">
        <v>12.95</v>
      </c>
    </row>
    <row r="22" spans="1:17" s="11" customFormat="1" ht="15">
      <c r="A22" s="55" t="s">
        <v>532</v>
      </c>
      <c r="B22" s="61">
        <v>10.28</v>
      </c>
      <c r="C22" s="61">
        <v>17.399999999999999</v>
      </c>
      <c r="D22" s="61">
        <v>18.489999999999998</v>
      </c>
      <c r="E22" s="61">
        <v>3.16</v>
      </c>
      <c r="F22" s="61">
        <v>12.83</v>
      </c>
      <c r="G22" s="61">
        <v>58.70</v>
      </c>
      <c r="H22" s="61">
        <v>17.899999999999999</v>
      </c>
      <c r="I22" s="61">
        <v>3.90</v>
      </c>
      <c r="J22" s="61">
        <v>1.01</v>
      </c>
      <c r="K22" s="61">
        <v>117.77</v>
      </c>
      <c r="L22" s="61">
        <v>30.52</v>
      </c>
      <c r="M22" s="61">
        <v>70.040000000000006</v>
      </c>
      <c r="N22" s="61">
        <v>828.20</v>
      </c>
      <c r="O22" s="61">
        <v>0</v>
      </c>
      <c r="P22" s="61">
        <v>0.55000000000000004</v>
      </c>
      <c r="Q22" s="61">
        <v>11.48</v>
      </c>
    </row>
    <row r="23" spans="1:17" s="11" customFormat="1" ht="15">
      <c r="A23" s="55" t="s">
        <v>533</v>
      </c>
      <c r="B23" s="61">
        <v>9.5500000000000007</v>
      </c>
      <c r="C23" s="61">
        <v>20.43</v>
      </c>
      <c r="D23" s="61">
        <v>18.98</v>
      </c>
      <c r="E23" s="61">
        <v>3.40</v>
      </c>
      <c r="F23" s="61">
        <v>17.34</v>
      </c>
      <c r="G23" s="61">
        <v>55.13</v>
      </c>
      <c r="H23" s="61">
        <v>17.420000000000002</v>
      </c>
      <c r="I23" s="61">
        <v>0</v>
      </c>
      <c r="J23" s="61">
        <v>0.96</v>
      </c>
      <c r="K23" s="61">
        <v>103.11</v>
      </c>
      <c r="L23" s="61">
        <v>31.05</v>
      </c>
      <c r="M23" s="61">
        <v>67.25</v>
      </c>
      <c r="N23" s="61">
        <v>668.80</v>
      </c>
      <c r="O23" s="61">
        <v>0</v>
      </c>
      <c r="P23" s="61">
        <v>0.59</v>
      </c>
      <c r="Q23" s="61">
        <v>7.78</v>
      </c>
    </row>
    <row r="24" spans="1:17" s="11" customFormat="1" ht="15">
      <c r="A24" s="55" t="s">
        <v>534</v>
      </c>
      <c r="B24" s="61">
        <v>12.23</v>
      </c>
      <c r="C24" s="61">
        <v>29.04</v>
      </c>
      <c r="D24" s="61">
        <v>26.48</v>
      </c>
      <c r="E24" s="61">
        <v>3.26</v>
      </c>
      <c r="F24" s="61">
        <v>16.96</v>
      </c>
      <c r="G24" s="61">
        <v>58.29</v>
      </c>
      <c r="H24" s="61">
        <v>20.89</v>
      </c>
      <c r="I24" s="61">
        <v>0</v>
      </c>
      <c r="J24" s="61">
        <v>0.93</v>
      </c>
      <c r="K24" s="61">
        <v>100.44</v>
      </c>
      <c r="L24" s="61">
        <v>30.92</v>
      </c>
      <c r="M24" s="61">
        <v>65.260000000000005</v>
      </c>
      <c r="N24" s="61">
        <v>332.30</v>
      </c>
      <c r="O24" s="61">
        <v>0</v>
      </c>
      <c r="P24" s="61">
        <v>0.57999999999999996</v>
      </c>
      <c r="Q24" s="61">
        <v>9.24</v>
      </c>
    </row>
    <row r="25" spans="1:17" s="11" customFormat="1" ht="15">
      <c r="A25" s="55" t="s">
        <v>535</v>
      </c>
      <c r="B25" s="61">
        <v>11.38</v>
      </c>
      <c r="C25" s="61">
        <v>27.97</v>
      </c>
      <c r="D25" s="61">
        <v>24.85</v>
      </c>
      <c r="E25" s="61">
        <v>2.98</v>
      </c>
      <c r="F25" s="61">
        <v>14.41</v>
      </c>
      <c r="G25" s="61">
        <v>85.16</v>
      </c>
      <c r="H25" s="61">
        <v>23.93</v>
      </c>
      <c r="I25" s="8" t="s">
        <v>8</v>
      </c>
      <c r="J25" s="61">
        <v>0.59</v>
      </c>
      <c r="K25" s="61">
        <v>80.41</v>
      </c>
      <c r="L25" s="61">
        <v>30.38</v>
      </c>
      <c r="M25" s="61">
        <v>65.25</v>
      </c>
      <c r="N25" s="61">
        <v>310.89999999999998</v>
      </c>
      <c r="O25" s="61">
        <v>0</v>
      </c>
      <c r="P25" s="61">
        <v>0.59</v>
      </c>
      <c r="Q25" s="61">
        <v>6.84</v>
      </c>
    </row>
    <row r="26" spans="1:17" s="11" customFormat="1" ht="15">
      <c r="A26" s="55" t="s">
        <v>536</v>
      </c>
      <c r="B26" s="61">
        <v>10.44</v>
      </c>
      <c r="C26" s="61">
        <v>32.159999999999997</v>
      </c>
      <c r="D26" s="61">
        <v>24.52</v>
      </c>
      <c r="E26" s="61">
        <v>3.27</v>
      </c>
      <c r="F26" s="61">
        <v>32.85</v>
      </c>
      <c r="G26" s="61">
        <v>91.09</v>
      </c>
      <c r="H26" s="61">
        <v>26.78</v>
      </c>
      <c r="I26" s="8" t="s">
        <v>8</v>
      </c>
      <c r="J26" s="61">
        <v>0.81</v>
      </c>
      <c r="K26" s="61">
        <v>112.62</v>
      </c>
      <c r="L26" s="61">
        <v>30.30</v>
      </c>
      <c r="M26" s="61">
        <v>65.09</v>
      </c>
      <c r="N26" s="61">
        <v>172.70</v>
      </c>
      <c r="O26" s="61">
        <v>0</v>
      </c>
      <c r="P26" s="61">
        <v>0.62</v>
      </c>
      <c r="Q26" s="61">
        <v>6.76</v>
      </c>
    </row>
    <row r="27" spans="1:17" s="11" customFormat="1" ht="15">
      <c r="A27" s="55" t="s">
        <v>537</v>
      </c>
      <c r="B27" s="61">
        <v>13.24</v>
      </c>
      <c r="C27" s="61">
        <v>40.630000000000003</v>
      </c>
      <c r="D27" s="61">
        <v>33.69</v>
      </c>
      <c r="E27" s="61">
        <v>3.60</v>
      </c>
      <c r="F27" s="61">
        <v>34.71</v>
      </c>
      <c r="G27" s="61">
        <v>91.26</v>
      </c>
      <c r="H27" s="61">
        <v>26.78</v>
      </c>
      <c r="I27" s="8" t="s">
        <v>8</v>
      </c>
      <c r="J27" s="61">
        <v>0.48</v>
      </c>
      <c r="K27" s="61">
        <v>116.57</v>
      </c>
      <c r="L27" s="61">
        <v>29.13</v>
      </c>
      <c r="M27" s="61">
        <v>71.040000000000006</v>
      </c>
      <c r="N27" s="61">
        <v>61.90</v>
      </c>
      <c r="O27" s="61">
        <v>0</v>
      </c>
      <c r="P27" s="61">
        <v>1.34</v>
      </c>
      <c r="Q27" s="61">
        <v>7.67</v>
      </c>
    </row>
    <row r="28" spans="1:17" s="11" customFormat="1" ht="15">
      <c r="A28" s="55" t="s">
        <v>538</v>
      </c>
      <c r="B28" s="61">
        <v>14.49</v>
      </c>
      <c r="C28" s="61">
        <v>37.520000000000003</v>
      </c>
      <c r="D28" s="61">
        <v>32.97</v>
      </c>
      <c r="E28" s="61">
        <v>3.48</v>
      </c>
      <c r="F28" s="61">
        <v>25.09</v>
      </c>
      <c r="G28" s="61">
        <v>96.31</v>
      </c>
      <c r="H28" s="61">
        <v>28.69</v>
      </c>
      <c r="I28" s="8" t="s">
        <v>8</v>
      </c>
      <c r="J28" s="61">
        <v>0.34</v>
      </c>
      <c r="K28" s="61">
        <v>201.35</v>
      </c>
      <c r="L28" s="61">
        <v>28.06</v>
      </c>
      <c r="M28" s="61">
        <v>87.18</v>
      </c>
      <c r="N28" s="61">
        <v>21.60</v>
      </c>
      <c r="O28" s="61">
        <v>0</v>
      </c>
      <c r="P28" s="61">
        <v>1.34</v>
      </c>
      <c r="Q28" s="61">
        <v>3.93</v>
      </c>
    </row>
    <row r="29" spans="1:17" s="11" customFormat="1" ht="15">
      <c r="A29" s="55" t="s">
        <v>539</v>
      </c>
      <c r="B29" s="61">
        <v>9.27</v>
      </c>
      <c r="C29" s="61">
        <v>27.13</v>
      </c>
      <c r="D29" s="61">
        <v>20.399999999999999</v>
      </c>
      <c r="E29" s="61">
        <v>3.12</v>
      </c>
      <c r="F29" s="61">
        <v>16.09</v>
      </c>
      <c r="G29" s="61">
        <v>96.70</v>
      </c>
      <c r="H29" s="61">
        <v>28.69</v>
      </c>
      <c r="I29" s="8" t="s">
        <v>8</v>
      </c>
      <c r="J29" s="61">
        <v>1.1200000000000001</v>
      </c>
      <c r="K29" s="61">
        <v>211.49</v>
      </c>
      <c r="L29" s="61">
        <v>26.35</v>
      </c>
      <c r="M29" s="61">
        <v>96.84</v>
      </c>
      <c r="N29" s="61">
        <v>23</v>
      </c>
      <c r="O29" s="61">
        <v>0.40</v>
      </c>
      <c r="P29" s="61">
        <v>0.78</v>
      </c>
      <c r="Q29" s="61">
        <v>2.13</v>
      </c>
    </row>
    <row r="30" spans="1:17" s="11" customFormat="1" ht="15">
      <c r="A30" s="55" t="s">
        <v>540</v>
      </c>
      <c r="B30" s="61">
        <v>11.79</v>
      </c>
      <c r="C30" s="61">
        <v>25.16</v>
      </c>
      <c r="D30" s="61">
        <v>23.99</v>
      </c>
      <c r="E30" s="61">
        <v>3.58</v>
      </c>
      <c r="F30" s="61">
        <v>18.59</v>
      </c>
      <c r="G30" s="61">
        <v>58.22</v>
      </c>
      <c r="H30" s="61">
        <v>20.28</v>
      </c>
      <c r="I30" s="8" t="s">
        <v>8</v>
      </c>
      <c r="J30" s="61">
        <v>0.40</v>
      </c>
      <c r="K30" s="61">
        <v>339.64</v>
      </c>
      <c r="L30" s="61">
        <v>24.37</v>
      </c>
      <c r="M30" s="61">
        <v>97.21</v>
      </c>
      <c r="N30" s="61">
        <v>21.80</v>
      </c>
      <c r="O30" s="61">
        <v>0</v>
      </c>
      <c r="P30" s="61">
        <v>0.75</v>
      </c>
      <c r="Q30" s="61">
        <v>3.37</v>
      </c>
    </row>
    <row r="31" spans="1:17" s="11" customFormat="1" ht="15">
      <c r="A31" s="55" t="s">
        <v>541</v>
      </c>
      <c r="B31" s="61">
        <v>4.67</v>
      </c>
      <c r="C31" s="61">
        <v>16.47</v>
      </c>
      <c r="D31" s="61">
        <v>13.48</v>
      </c>
      <c r="E31" s="61">
        <v>3.03</v>
      </c>
      <c r="F31" s="61">
        <v>13.48</v>
      </c>
      <c r="G31" s="61">
        <v>37.729999999999997</v>
      </c>
      <c r="H31" s="61">
        <v>16.20</v>
      </c>
      <c r="I31" s="8" t="s">
        <v>8</v>
      </c>
      <c r="J31" s="61">
        <v>0.35</v>
      </c>
      <c r="K31" s="61">
        <v>207.96</v>
      </c>
      <c r="L31" s="61">
        <v>24.07</v>
      </c>
      <c r="M31" s="61">
        <v>97.12</v>
      </c>
      <c r="N31" s="61">
        <v>21.5</v>
      </c>
      <c r="O31" s="61">
        <v>0</v>
      </c>
      <c r="P31" s="61">
        <v>0.59</v>
      </c>
      <c r="Q31" s="62" t="s">
        <v>14</v>
      </c>
    </row>
    <row r="32" spans="1:17" s="11" customFormat="1" ht="15">
      <c r="A32" s="55" t="s">
        <v>542</v>
      </c>
      <c r="B32" s="61">
        <v>2.95</v>
      </c>
      <c r="C32" s="61">
        <v>15.43</v>
      </c>
      <c r="D32" s="61">
        <v>11.53</v>
      </c>
      <c r="E32" s="61">
        <v>3.20</v>
      </c>
      <c r="F32" s="61">
        <v>15.93</v>
      </c>
      <c r="G32" s="61">
        <v>23.96</v>
      </c>
      <c r="H32" s="61">
        <v>18.72</v>
      </c>
      <c r="I32" s="8" t="s">
        <v>8</v>
      </c>
      <c r="J32" s="61">
        <v>0.32</v>
      </c>
      <c r="K32" s="61">
        <v>335.38</v>
      </c>
      <c r="L32" s="61">
        <v>24.03</v>
      </c>
      <c r="M32" s="61">
        <v>96.98</v>
      </c>
      <c r="N32" s="61">
        <v>20.80</v>
      </c>
      <c r="O32" s="61">
        <v>0</v>
      </c>
      <c r="P32" s="61">
        <v>0.47</v>
      </c>
      <c r="Q32" s="62" t="s">
        <v>14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2.9500000000000002</v>
      </c>
      <c r="C34" s="28">
        <f t="shared" si="0"/>
        <v>15.119999999999999</v>
      </c>
      <c r="D34" s="28">
        <f t="shared" si="0"/>
        <v>11.529999999999999</v>
      </c>
      <c r="E34" s="28">
        <f t="shared" si="0"/>
        <v>2.5800000000000001</v>
      </c>
      <c r="F34" s="28">
        <f t="shared" si="0"/>
        <v>4.9800000000000004</v>
      </c>
      <c r="G34" s="28">
        <f t="shared" si="0"/>
        <v>23.960000000000001</v>
      </c>
      <c r="H34" s="28">
        <f t="shared" si="0"/>
        <v>13.539999999999999</v>
      </c>
      <c r="I34" s="28">
        <f t="shared" si="0"/>
        <v>0</v>
      </c>
      <c r="J34" s="28">
        <f t="shared" si="0"/>
        <v>0.14999999999999999</v>
      </c>
      <c r="K34" s="28">
        <f t="shared" si="0"/>
        <v>9.8200000000000003</v>
      </c>
      <c r="L34" s="28">
        <f t="shared" si="0"/>
        <v>23.82</v>
      </c>
      <c r="M34" s="28">
        <f t="shared" si="0"/>
        <v>65.090000000000003</v>
      </c>
      <c r="N34" s="28">
        <f t="shared" si="0"/>
        <v>20.800000000000001</v>
      </c>
      <c r="O34" s="28">
        <f t="shared" si="0"/>
        <v>0</v>
      </c>
      <c r="P34" s="28">
        <f t="shared" si="0"/>
        <v>0.46999999999999997</v>
      </c>
      <c r="Q34" s="28">
        <f t="shared" si="0"/>
        <v>2.1299999999999999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26.800000000000001</v>
      </c>
      <c r="C35" s="29">
        <f t="shared" si="1"/>
        <v>40.630000000000003</v>
      </c>
      <c r="D35" s="29">
        <f t="shared" si="1"/>
        <v>42.590000000000003</v>
      </c>
      <c r="E35" s="29">
        <f t="shared" si="1"/>
        <v>3.71</v>
      </c>
      <c r="F35" s="29">
        <f t="shared" si="1"/>
        <v>34.710000000000001</v>
      </c>
      <c r="G35" s="29">
        <f t="shared" si="1"/>
        <v>96.700000000000003</v>
      </c>
      <c r="H35" s="29">
        <f t="shared" si="1"/>
        <v>46.359999999999999</v>
      </c>
      <c r="I35" s="29">
        <f t="shared" si="1"/>
        <v>8.4499999999999993</v>
      </c>
      <c r="J35" s="29">
        <f t="shared" si="1"/>
        <v>1.79</v>
      </c>
      <c r="K35" s="29">
        <f t="shared" si="1"/>
        <v>358.97000000000003</v>
      </c>
      <c r="L35" s="29">
        <f t="shared" si="1"/>
        <v>31.050000000000001</v>
      </c>
      <c r="M35" s="29">
        <f t="shared" si="1"/>
        <v>97.25</v>
      </c>
      <c r="N35" s="29">
        <f t="shared" si="1"/>
        <v>1038.7</v>
      </c>
      <c r="O35" s="29">
        <f t="shared" si="1"/>
        <v>0.40000000000000002</v>
      </c>
      <c r="P35" s="29">
        <f t="shared" si="1"/>
        <v>2</v>
      </c>
      <c r="Q35" s="29">
        <f t="shared" si="1"/>
        <v>16.780000000000001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16.437083333333337</v>
      </c>
      <c r="C36" s="28">
        <f t="shared" si="2"/>
        <v>24.776249999999994</v>
      </c>
      <c r="D36" s="28">
        <f t="shared" si="2"/>
        <v>26.912500000000005</v>
      </c>
      <c r="E36" s="28">
        <f t="shared" si="2"/>
        <v>3.2683333333333331</v>
      </c>
      <c r="F36" s="28">
        <f t="shared" si="2"/>
        <v>13.601249999999999</v>
      </c>
      <c r="G36" s="28">
        <f t="shared" si="2"/>
        <v>65.069999999999993</v>
      </c>
      <c r="H36" s="28">
        <f t="shared" si="2"/>
        <v>24.700416666666669</v>
      </c>
      <c r="I36" s="28">
        <f t="shared" si="2"/>
        <v>4.6293750000000014</v>
      </c>
      <c r="J36" s="28">
        <f t="shared" si="2"/>
        <v>0.71499999999999997</v>
      </c>
      <c r="K36" s="28">
        <f t="shared" si="2"/>
        <v>190.4120833333333</v>
      </c>
      <c r="L36" s="28">
        <f t="shared" si="2"/>
        <v>26.914999999999996</v>
      </c>
      <c r="M36" s="28">
        <f t="shared" si="2"/>
        <v>86.765000000000001</v>
      </c>
      <c r="N36" s="28">
        <f t="shared" si="2"/>
        <v>295.69583333333333</v>
      </c>
      <c r="O36" s="28">
        <f t="shared" si="2"/>
        <v>0.025000000000000005</v>
      </c>
      <c r="P36" s="28">
        <f t="shared" si="2"/>
        <v>0.89250000000000007</v>
      </c>
      <c r="Q36" s="28">
        <f t="shared" si="2"/>
        <v>10.122727272727273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7.1144662662509743</v>
      </c>
      <c r="C37" s="28">
        <f t="shared" si="3" ref="C37:Q37">STDEV(C9:C32)</f>
        <v>7.8125728170519775</v>
      </c>
      <c r="D37" s="28">
        <f t="shared" si="3"/>
        <v>7.3957633289195517</v>
      </c>
      <c r="E37" s="28">
        <f t="shared" si="3"/>
        <v>0.32400572548170742</v>
      </c>
      <c r="F37" s="28">
        <f t="shared" si="3"/>
        <v>8.2776368779144178</v>
      </c>
      <c r="G37" s="28">
        <f t="shared" si="3"/>
        <v>21.608882030514614</v>
      </c>
      <c r="H37" s="28">
        <f t="shared" si="3"/>
        <v>9.1641159725295402</v>
      </c>
      <c r="I37" s="28">
        <f t="shared" si="3"/>
        <v>2.2058421483264197</v>
      </c>
      <c r="J37" s="28">
        <f t="shared" si="3"/>
        <v>0.43612921898466495</v>
      </c>
      <c r="K37" s="28">
        <f t="shared" si="3"/>
        <v>113.66994929941634</v>
      </c>
      <c r="L37" s="28">
        <f t="shared" si="3"/>
        <v>2.6350596066189436</v>
      </c>
      <c r="M37" s="28">
        <f t="shared" si="3"/>
        <v>12.634575060385759</v>
      </c>
      <c r="N37" s="28">
        <f t="shared" si="3"/>
        <v>337.57597982646377</v>
      </c>
      <c r="O37" s="28">
        <f t="shared" si="3"/>
        <v>0.089685440629288141</v>
      </c>
      <c r="P37" s="28">
        <f t="shared" si="3"/>
        <v>0.3809855640309745</v>
      </c>
      <c r="Q37" s="28">
        <f t="shared" si="3"/>
        <v>4.1663232412583397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COUNT(I9:I32)+8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22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c4fe31-9ab0-4d0b-a19d-b239fb633be4}">
  <sheetPr codeName=""/>
  <dimension ref="A1:U119"/>
  <sheetViews>
    <sheetView workbookViewId="0" topLeftCell="A1">
      <pane xSplit="1" ySplit="8" topLeftCell="B9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J65" sqref="J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543</v>
      </c>
      <c r="B9" s="61">
        <v>5.15</v>
      </c>
      <c r="C9" s="61">
        <v>15.52</v>
      </c>
      <c r="D9" s="61">
        <v>13.34</v>
      </c>
      <c r="E9" s="61">
        <v>1.79</v>
      </c>
      <c r="F9" s="61">
        <v>13.94</v>
      </c>
      <c r="G9" s="61">
        <v>21.44</v>
      </c>
      <c r="H9" s="61">
        <v>18.72</v>
      </c>
      <c r="I9" s="8" t="s">
        <v>8</v>
      </c>
      <c r="J9" s="61">
        <v>0.25</v>
      </c>
      <c r="K9" s="61">
        <v>353.18</v>
      </c>
      <c r="L9" s="61">
        <v>24.23</v>
      </c>
      <c r="M9" s="61">
        <v>97.25</v>
      </c>
      <c r="N9" s="61">
        <v>21</v>
      </c>
      <c r="O9" s="61">
        <v>0</v>
      </c>
      <c r="P9" s="61">
        <v>0.43</v>
      </c>
      <c r="Q9" s="61">
        <v>0.36</v>
      </c>
    </row>
    <row r="10" spans="1:17" s="11" customFormat="1" ht="15">
      <c r="A10" s="55" t="s">
        <v>544</v>
      </c>
      <c r="B10" s="61">
        <v>3.74</v>
      </c>
      <c r="C10" s="61">
        <v>13.07</v>
      </c>
      <c r="D10" s="61">
        <v>10.86</v>
      </c>
      <c r="E10" s="61">
        <v>1.79</v>
      </c>
      <c r="F10" s="61">
        <v>14.43</v>
      </c>
      <c r="G10" s="61">
        <v>19.440000000000001</v>
      </c>
      <c r="H10" s="61">
        <v>13.97</v>
      </c>
      <c r="I10" s="8" t="s">
        <v>8</v>
      </c>
      <c r="J10" s="61">
        <v>0.16</v>
      </c>
      <c r="K10" s="61">
        <v>161.82</v>
      </c>
      <c r="L10" s="61">
        <v>23.91</v>
      </c>
      <c r="M10" s="61">
        <v>97.23</v>
      </c>
      <c r="N10" s="61">
        <v>21</v>
      </c>
      <c r="O10" s="61">
        <v>0</v>
      </c>
      <c r="P10" s="61">
        <v>0.39</v>
      </c>
      <c r="Q10" s="62" t="s">
        <v>14</v>
      </c>
    </row>
    <row r="11" spans="1:17" s="11" customFormat="1" ht="15">
      <c r="A11" s="55" t="s">
        <v>545</v>
      </c>
      <c r="B11" s="61">
        <v>2.40</v>
      </c>
      <c r="C11" s="61">
        <v>11.92</v>
      </c>
      <c r="D11" s="61">
        <v>9.15</v>
      </c>
      <c r="E11" s="61">
        <v>1.99</v>
      </c>
      <c r="F11" s="61">
        <v>20.23</v>
      </c>
      <c r="G11" s="61">
        <v>12.14</v>
      </c>
      <c r="H11" s="61">
        <v>10.46</v>
      </c>
      <c r="I11" s="8" t="s">
        <v>8</v>
      </c>
      <c r="J11" s="61">
        <v>0.13</v>
      </c>
      <c r="K11" s="61">
        <v>232.21</v>
      </c>
      <c r="L11" s="61">
        <v>23.75</v>
      </c>
      <c r="M11" s="61">
        <v>97.20</v>
      </c>
      <c r="N11" s="61">
        <v>21.10</v>
      </c>
      <c r="O11" s="61">
        <v>0</v>
      </c>
      <c r="P11" s="61">
        <v>0.30</v>
      </c>
      <c r="Q11" s="62" t="s">
        <v>14</v>
      </c>
    </row>
    <row r="12" spans="1:17" s="11" customFormat="1" ht="15">
      <c r="A12" s="55" t="s">
        <v>546</v>
      </c>
      <c r="B12" s="61">
        <v>4.67</v>
      </c>
      <c r="C12" s="61">
        <v>14.07</v>
      </c>
      <c r="D12" s="61">
        <v>12.16</v>
      </c>
      <c r="E12" s="61">
        <v>2.25</v>
      </c>
      <c r="F12" s="61">
        <v>15.37</v>
      </c>
      <c r="G12" s="61">
        <v>12.68</v>
      </c>
      <c r="H12" s="61">
        <v>8.0299999999999994</v>
      </c>
      <c r="I12" s="8" t="s">
        <v>8</v>
      </c>
      <c r="J12" s="61">
        <v>0.28999999999999998</v>
      </c>
      <c r="K12" s="61">
        <v>358.68</v>
      </c>
      <c r="L12" s="61">
        <v>23.77</v>
      </c>
      <c r="M12" s="61">
        <v>97.22</v>
      </c>
      <c r="N12" s="61">
        <v>21.10</v>
      </c>
      <c r="O12" s="61">
        <v>0</v>
      </c>
      <c r="P12" s="61">
        <v>0.35</v>
      </c>
      <c r="Q12" s="61">
        <v>0.28000000000000003</v>
      </c>
    </row>
    <row r="13" spans="1:17" s="11" customFormat="1" ht="15">
      <c r="A13" s="55" t="s">
        <v>547</v>
      </c>
      <c r="B13" s="61">
        <v>6.51</v>
      </c>
      <c r="C13" s="61">
        <v>20.23</v>
      </c>
      <c r="D13" s="61">
        <v>17.03</v>
      </c>
      <c r="E13" s="61">
        <v>2.52</v>
      </c>
      <c r="F13" s="61">
        <v>8.7200000000000006</v>
      </c>
      <c r="G13" s="61">
        <v>26.47</v>
      </c>
      <c r="H13" s="61">
        <v>12.05</v>
      </c>
      <c r="I13" s="8" t="s">
        <v>8</v>
      </c>
      <c r="J13" s="61">
        <v>0.35</v>
      </c>
      <c r="K13" s="61">
        <v>359.70</v>
      </c>
      <c r="L13" s="61">
        <v>23.85</v>
      </c>
      <c r="M13" s="61">
        <v>97.21</v>
      </c>
      <c r="N13" s="61">
        <v>21.10</v>
      </c>
      <c r="O13" s="61">
        <v>0</v>
      </c>
      <c r="P13" s="61">
        <v>0.37</v>
      </c>
      <c r="Q13" s="62" t="s">
        <v>14</v>
      </c>
    </row>
    <row r="14" spans="1:17" s="11" customFormat="1" ht="15">
      <c r="A14" s="55" t="s">
        <v>548</v>
      </c>
      <c r="B14" s="61">
        <v>13.47</v>
      </c>
      <c r="C14" s="61">
        <v>21.72</v>
      </c>
      <c r="D14" s="61">
        <v>22.47</v>
      </c>
      <c r="E14" s="61">
        <v>2.52</v>
      </c>
      <c r="F14" s="61">
        <v>8.85</v>
      </c>
      <c r="G14" s="61">
        <v>40.869999999999997</v>
      </c>
      <c r="H14" s="61">
        <v>16.07</v>
      </c>
      <c r="I14" s="8" t="s">
        <v>8</v>
      </c>
      <c r="J14" s="61">
        <v>0.78</v>
      </c>
      <c r="K14" s="61">
        <v>11.46</v>
      </c>
      <c r="L14" s="61">
        <v>24.03</v>
      </c>
      <c r="M14" s="61">
        <v>97.25</v>
      </c>
      <c r="N14" s="61">
        <v>40.299999999999997</v>
      </c>
      <c r="O14" s="61">
        <v>0.20</v>
      </c>
      <c r="P14" s="61">
        <v>0.56999999999999995</v>
      </c>
      <c r="Q14" s="61">
        <v>2.38</v>
      </c>
    </row>
    <row r="15" spans="1:17" s="11" customFormat="1" ht="15">
      <c r="A15" s="55" t="s">
        <v>549</v>
      </c>
      <c r="B15" s="61">
        <v>25.91</v>
      </c>
      <c r="C15" s="61">
        <v>22.68</v>
      </c>
      <c r="D15" s="61">
        <v>33.840000000000003</v>
      </c>
      <c r="E15" s="61">
        <v>2.81</v>
      </c>
      <c r="F15" s="61">
        <v>6.94</v>
      </c>
      <c r="G15" s="61">
        <v>41.35</v>
      </c>
      <c r="H15" s="61">
        <v>21.33</v>
      </c>
      <c r="I15" s="8" t="s">
        <v>8</v>
      </c>
      <c r="J15" s="61">
        <v>0.52</v>
      </c>
      <c r="K15" s="61">
        <v>20.100000000000001</v>
      </c>
      <c r="L15" s="61">
        <v>24.48</v>
      </c>
      <c r="M15" s="61">
        <v>97.25</v>
      </c>
      <c r="N15" s="61">
        <v>50.90</v>
      </c>
      <c r="O15" s="61">
        <v>0</v>
      </c>
      <c r="P15" s="61">
        <v>0.71</v>
      </c>
      <c r="Q15" s="61">
        <v>4.09</v>
      </c>
    </row>
    <row r="16" spans="1:17" s="11" customFormat="1" ht="15">
      <c r="A16" s="55" t="s">
        <v>550</v>
      </c>
      <c r="B16" s="61">
        <v>20.11</v>
      </c>
      <c r="C16" s="61">
        <v>16.829999999999998</v>
      </c>
      <c r="D16" s="61">
        <v>26.06</v>
      </c>
      <c r="E16" s="61">
        <v>2.63</v>
      </c>
      <c r="F16" s="61">
        <v>5.33</v>
      </c>
      <c r="G16" s="61">
        <v>35.25</v>
      </c>
      <c r="H16" s="61">
        <v>22.24</v>
      </c>
      <c r="I16" s="8" t="s">
        <v>8</v>
      </c>
      <c r="J16" s="61">
        <v>0.71</v>
      </c>
      <c r="K16" s="61">
        <v>119.92</v>
      </c>
      <c r="L16" s="61">
        <v>24.22</v>
      </c>
      <c r="M16" s="61">
        <v>97.25</v>
      </c>
      <c r="N16" s="61">
        <v>234.20</v>
      </c>
      <c r="O16" s="61">
        <v>3.40</v>
      </c>
      <c r="P16" s="61">
        <v>0.57999999999999996</v>
      </c>
      <c r="Q16" s="61">
        <v>3.10</v>
      </c>
    </row>
    <row r="17" spans="1:17" s="11" customFormat="1" ht="15">
      <c r="A17" s="55" t="s">
        <v>551</v>
      </c>
      <c r="B17" s="61">
        <v>21.20</v>
      </c>
      <c r="C17" s="61">
        <v>15.94</v>
      </c>
      <c r="D17" s="61">
        <v>25.33</v>
      </c>
      <c r="E17" s="61">
        <v>2.46</v>
      </c>
      <c r="F17" s="61">
        <v>7.71</v>
      </c>
      <c r="G17" s="61">
        <v>23.18</v>
      </c>
      <c r="H17" s="61">
        <v>22.24</v>
      </c>
      <c r="I17" s="8" t="s">
        <v>8</v>
      </c>
      <c r="J17" s="61">
        <v>0.61</v>
      </c>
      <c r="K17" s="61">
        <v>213.22</v>
      </c>
      <c r="L17" s="61">
        <v>24.35</v>
      </c>
      <c r="M17" s="61">
        <v>97.24</v>
      </c>
      <c r="N17" s="61">
        <v>144.69999999999999</v>
      </c>
      <c r="O17" s="61">
        <v>0.20</v>
      </c>
      <c r="P17" s="61">
        <v>0.55000000000000004</v>
      </c>
      <c r="Q17" s="61">
        <v>10.08</v>
      </c>
    </row>
    <row r="18" spans="1:17" s="11" customFormat="1" ht="15">
      <c r="A18" s="55" t="s">
        <v>552</v>
      </c>
      <c r="B18" s="61">
        <v>18.98</v>
      </c>
      <c r="C18" s="61">
        <v>13.90</v>
      </c>
      <c r="D18" s="61">
        <v>22.33</v>
      </c>
      <c r="E18" s="61">
        <v>3.04</v>
      </c>
      <c r="F18" s="61">
        <v>6.77</v>
      </c>
      <c r="G18" s="61">
        <v>23.20</v>
      </c>
      <c r="H18" s="61">
        <v>18.170000000000002</v>
      </c>
      <c r="I18" s="8" t="s">
        <v>8</v>
      </c>
      <c r="J18" s="61">
        <v>1.06</v>
      </c>
      <c r="K18" s="61">
        <v>223.93</v>
      </c>
      <c r="L18" s="61">
        <v>27.22</v>
      </c>
      <c r="M18" s="61">
        <v>97.20</v>
      </c>
      <c r="N18" s="61">
        <v>716.80</v>
      </c>
      <c r="O18" s="61">
        <v>0</v>
      </c>
      <c r="P18" s="61">
        <v>0.52</v>
      </c>
      <c r="Q18" s="61">
        <v>10.09</v>
      </c>
    </row>
    <row r="19" spans="1:17" s="11" customFormat="1" ht="15">
      <c r="A19" s="55" t="s">
        <v>553</v>
      </c>
      <c r="B19" s="61">
        <v>22.75</v>
      </c>
      <c r="C19" s="61">
        <v>31.43</v>
      </c>
      <c r="D19" s="61">
        <v>36.24</v>
      </c>
      <c r="E19" s="61">
        <v>2.61</v>
      </c>
      <c r="F19" s="61">
        <v>9.4499999999999993</v>
      </c>
      <c r="G19" s="61">
        <v>27.14</v>
      </c>
      <c r="H19" s="61">
        <v>14.53</v>
      </c>
      <c r="I19" s="61">
        <v>2.60</v>
      </c>
      <c r="J19" s="61">
        <v>0.75</v>
      </c>
      <c r="K19" s="61">
        <v>112.31</v>
      </c>
      <c r="L19" s="61">
        <v>27.81</v>
      </c>
      <c r="M19" s="61">
        <v>81.239999999999995</v>
      </c>
      <c r="N19" s="61">
        <v>588.40</v>
      </c>
      <c r="O19" s="61">
        <v>0</v>
      </c>
      <c r="P19" s="61">
        <v>0.70</v>
      </c>
      <c r="Q19" s="61">
        <v>7.98</v>
      </c>
    </row>
    <row r="20" spans="1:17" s="11" customFormat="1" ht="15">
      <c r="A20" s="55" t="s">
        <v>554</v>
      </c>
      <c r="B20" s="61">
        <v>17.899999999999999</v>
      </c>
      <c r="C20" s="61">
        <v>23.51</v>
      </c>
      <c r="D20" s="61">
        <v>27.98</v>
      </c>
      <c r="E20" s="61">
        <v>2.80</v>
      </c>
      <c r="F20" s="61">
        <v>9.07</v>
      </c>
      <c r="G20" s="61">
        <v>31.98</v>
      </c>
      <c r="H20" s="61">
        <v>15.70</v>
      </c>
      <c r="I20" s="61">
        <v>4.3600000000000003</v>
      </c>
      <c r="J20" s="61">
        <v>1.1499999999999999</v>
      </c>
      <c r="K20" s="61">
        <v>108.26</v>
      </c>
      <c r="L20" s="61">
        <v>28.57</v>
      </c>
      <c r="M20" s="61">
        <v>77.89</v>
      </c>
      <c r="N20" s="61">
        <v>959.30</v>
      </c>
      <c r="O20" s="61">
        <v>0</v>
      </c>
      <c r="P20" s="61">
        <v>0.65</v>
      </c>
      <c r="Q20" s="61">
        <v>6.41</v>
      </c>
    </row>
    <row r="21" spans="1:17" s="11" customFormat="1" ht="15">
      <c r="A21" s="55" t="s">
        <v>555</v>
      </c>
      <c r="B21" s="61">
        <v>15.70</v>
      </c>
      <c r="C21" s="61">
        <v>20.23</v>
      </c>
      <c r="D21" s="61">
        <v>24.40</v>
      </c>
      <c r="E21" s="61">
        <v>3.81</v>
      </c>
      <c r="F21" s="61">
        <v>6.68</v>
      </c>
      <c r="G21" s="61">
        <v>38.25</v>
      </c>
      <c r="H21" s="61">
        <v>15.70</v>
      </c>
      <c r="I21" s="61">
        <v>4.8499999999999996</v>
      </c>
      <c r="J21" s="61">
        <v>2.0099999999999998</v>
      </c>
      <c r="K21" s="61">
        <v>116.84</v>
      </c>
      <c r="L21" s="61">
        <v>28.37</v>
      </c>
      <c r="M21" s="61">
        <v>76.66</v>
      </c>
      <c r="N21" s="61">
        <v>577.5</v>
      </c>
      <c r="O21" s="61">
        <v>0</v>
      </c>
      <c r="P21" s="61">
        <v>0.60</v>
      </c>
      <c r="Q21" s="61">
        <v>6.94</v>
      </c>
    </row>
    <row r="22" spans="1:17" s="11" customFormat="1" ht="15">
      <c r="A22" s="55" t="s">
        <v>556</v>
      </c>
      <c r="B22" s="61">
        <v>10.48</v>
      </c>
      <c r="C22" s="61">
        <v>18.09</v>
      </c>
      <c r="D22" s="61">
        <v>18.36</v>
      </c>
      <c r="E22" s="61">
        <v>3.81</v>
      </c>
      <c r="F22" s="61">
        <v>7.81</v>
      </c>
      <c r="G22" s="61">
        <v>38.46</v>
      </c>
      <c r="H22" s="61">
        <v>15.01</v>
      </c>
      <c r="I22" s="61">
        <v>4.18</v>
      </c>
      <c r="J22" s="61">
        <v>2.2000000000000002</v>
      </c>
      <c r="K22" s="61">
        <v>119.62</v>
      </c>
      <c r="L22" s="61">
        <v>28.19</v>
      </c>
      <c r="M22" s="61">
        <v>73.53</v>
      </c>
      <c r="N22" s="61">
        <v>724.90</v>
      </c>
      <c r="O22" s="61">
        <v>0</v>
      </c>
      <c r="P22" s="61">
        <v>0.55000000000000004</v>
      </c>
      <c r="Q22" s="61">
        <v>5.28</v>
      </c>
    </row>
    <row r="23" spans="1:17" s="11" customFormat="1" ht="15">
      <c r="A23" s="55" t="s">
        <v>557</v>
      </c>
      <c r="B23" s="61">
        <v>7.32</v>
      </c>
      <c r="C23" s="61">
        <v>18.739999999999998</v>
      </c>
      <c r="D23" s="61">
        <v>16.86</v>
      </c>
      <c r="E23" s="61">
        <v>4.0599999999999996</v>
      </c>
      <c r="F23" s="61">
        <v>13.75</v>
      </c>
      <c r="G23" s="61">
        <v>32.06</v>
      </c>
      <c r="H23" s="61">
        <v>11.62</v>
      </c>
      <c r="I23" s="61">
        <v>4.82</v>
      </c>
      <c r="J23" s="61">
        <v>1.66</v>
      </c>
      <c r="K23" s="61">
        <v>131.52000000000001</v>
      </c>
      <c r="L23" s="61">
        <v>28.35</v>
      </c>
      <c r="M23" s="61">
        <v>97.25</v>
      </c>
      <c r="N23" s="61">
        <v>589.5</v>
      </c>
      <c r="O23" s="61">
        <v>5.20</v>
      </c>
      <c r="P23" s="61">
        <v>0.47</v>
      </c>
      <c r="Q23" s="61">
        <v>6.04</v>
      </c>
    </row>
    <row r="24" spans="1:17" s="11" customFormat="1" ht="15">
      <c r="A24" s="55" t="s">
        <v>558</v>
      </c>
      <c r="B24" s="61">
        <v>7.64</v>
      </c>
      <c r="C24" s="61">
        <v>19.55</v>
      </c>
      <c r="D24" s="61">
        <v>17.57</v>
      </c>
      <c r="E24" s="61">
        <v>4.34</v>
      </c>
      <c r="F24" s="61">
        <v>7.70</v>
      </c>
      <c r="G24" s="61">
        <v>25.79</v>
      </c>
      <c r="H24" s="61">
        <v>9.5500000000000007</v>
      </c>
      <c r="I24" s="61">
        <v>5.0199999999999996</v>
      </c>
      <c r="J24" s="61">
        <v>2.04</v>
      </c>
      <c r="K24" s="61">
        <v>127.95</v>
      </c>
      <c r="L24" s="61">
        <v>25.20</v>
      </c>
      <c r="M24" s="61">
        <v>97.25</v>
      </c>
      <c r="N24" s="61">
        <v>332.20</v>
      </c>
      <c r="O24" s="61">
        <v>0</v>
      </c>
      <c r="P24" s="61">
        <v>0.41</v>
      </c>
      <c r="Q24" s="61">
        <v>5.80</v>
      </c>
    </row>
    <row r="25" spans="1:17" s="11" customFormat="1" ht="15">
      <c r="A25" s="55" t="s">
        <v>559</v>
      </c>
      <c r="B25" s="61">
        <v>7.29</v>
      </c>
      <c r="C25" s="61">
        <v>17.600000000000001</v>
      </c>
      <c r="D25" s="61">
        <v>16.20</v>
      </c>
      <c r="E25" s="61">
        <v>4.1399999999999997</v>
      </c>
      <c r="F25" s="61">
        <v>9.24</v>
      </c>
      <c r="G25" s="61">
        <v>23</v>
      </c>
      <c r="H25" s="61">
        <v>8.39</v>
      </c>
      <c r="I25" s="61">
        <v>4.49</v>
      </c>
      <c r="J25" s="61">
        <v>2.16</v>
      </c>
      <c r="K25" s="61">
        <v>126.19</v>
      </c>
      <c r="L25" s="61">
        <v>25.10</v>
      </c>
      <c r="M25" s="61">
        <v>94.30</v>
      </c>
      <c r="N25" s="61">
        <v>93.5</v>
      </c>
      <c r="O25" s="61">
        <v>0</v>
      </c>
      <c r="P25" s="61">
        <v>0.48</v>
      </c>
      <c r="Q25" s="61">
        <v>6.52</v>
      </c>
    </row>
    <row r="26" spans="1:17" s="11" customFormat="1" ht="15">
      <c r="A26" s="55" t="s">
        <v>560</v>
      </c>
      <c r="B26" s="61">
        <v>13.43</v>
      </c>
      <c r="C26" s="61">
        <v>26.30</v>
      </c>
      <c r="D26" s="61">
        <v>25.16</v>
      </c>
      <c r="E26" s="61">
        <v>4.0999999999999996</v>
      </c>
      <c r="F26" s="61">
        <v>13.37</v>
      </c>
      <c r="G26" s="61">
        <v>30.02</v>
      </c>
      <c r="H26" s="61">
        <v>10.38</v>
      </c>
      <c r="I26" s="61">
        <v>5.65</v>
      </c>
      <c r="J26" s="61">
        <v>1.03</v>
      </c>
      <c r="K26" s="61">
        <v>118.68</v>
      </c>
      <c r="L26" s="61">
        <v>24.27</v>
      </c>
      <c r="M26" s="61">
        <v>95.55</v>
      </c>
      <c r="N26" s="61">
        <v>58.10</v>
      </c>
      <c r="O26" s="61">
        <v>0</v>
      </c>
      <c r="P26" s="61">
        <v>0.72</v>
      </c>
      <c r="Q26" s="61">
        <v>8.18</v>
      </c>
    </row>
    <row r="27" spans="1:17" s="11" customFormat="1" ht="15">
      <c r="A27" s="55" t="s">
        <v>561</v>
      </c>
      <c r="B27" s="61">
        <v>14.11</v>
      </c>
      <c r="C27" s="61">
        <v>24.89</v>
      </c>
      <c r="D27" s="61">
        <v>25.70</v>
      </c>
      <c r="E27" s="61">
        <v>3.98</v>
      </c>
      <c r="F27" s="61">
        <v>9.27</v>
      </c>
      <c r="G27" s="61">
        <v>33.57</v>
      </c>
      <c r="H27" s="61">
        <v>10.62</v>
      </c>
      <c r="I27" s="8" t="s">
        <v>8</v>
      </c>
      <c r="J27" s="61">
        <v>0.48</v>
      </c>
      <c r="K27" s="61">
        <v>117.35</v>
      </c>
      <c r="L27" s="61">
        <v>24.14</v>
      </c>
      <c r="M27" s="61">
        <v>96.93</v>
      </c>
      <c r="N27" s="61">
        <v>41.90</v>
      </c>
      <c r="O27" s="61">
        <v>0</v>
      </c>
      <c r="P27" s="61">
        <v>0.81</v>
      </c>
      <c r="Q27" s="61">
        <v>7.51</v>
      </c>
    </row>
    <row r="28" spans="1:17" s="11" customFormat="1" ht="15">
      <c r="A28" s="55" t="s">
        <v>562</v>
      </c>
      <c r="B28" s="61">
        <v>11.78</v>
      </c>
      <c r="C28" s="61">
        <v>23.49</v>
      </c>
      <c r="D28" s="61">
        <v>23.06</v>
      </c>
      <c r="E28" s="61">
        <v>3.91</v>
      </c>
      <c r="F28" s="61">
        <v>9.69</v>
      </c>
      <c r="G28" s="61">
        <v>34.630000000000003</v>
      </c>
      <c r="H28" s="61">
        <v>10.89</v>
      </c>
      <c r="I28" s="8" t="s">
        <v>8</v>
      </c>
      <c r="J28" s="61">
        <v>1.21</v>
      </c>
      <c r="K28" s="61">
        <v>127.81</v>
      </c>
      <c r="L28" s="61">
        <v>24.30</v>
      </c>
      <c r="M28" s="61">
        <v>96.39</v>
      </c>
      <c r="N28" s="61">
        <v>26</v>
      </c>
      <c r="O28" s="61">
        <v>0</v>
      </c>
      <c r="P28" s="61">
        <v>0.67</v>
      </c>
      <c r="Q28" s="61">
        <v>6.79</v>
      </c>
    </row>
    <row r="29" spans="1:17" s="11" customFormat="1" ht="15">
      <c r="A29" s="55" t="s">
        <v>563</v>
      </c>
      <c r="B29" s="61">
        <v>8.83</v>
      </c>
      <c r="C29" s="61">
        <v>22.92</v>
      </c>
      <c r="D29" s="61">
        <v>19.61</v>
      </c>
      <c r="E29" s="61">
        <v>3.18</v>
      </c>
      <c r="F29" s="61">
        <v>12.26</v>
      </c>
      <c r="G29" s="61">
        <v>34.659999999999997</v>
      </c>
      <c r="H29" s="61">
        <v>29.37</v>
      </c>
      <c r="I29" s="8" t="s">
        <v>8</v>
      </c>
      <c r="J29" s="61">
        <v>1.46</v>
      </c>
      <c r="K29" s="61">
        <v>126.66</v>
      </c>
      <c r="L29" s="61">
        <v>24.47</v>
      </c>
      <c r="M29" s="61">
        <v>96.88</v>
      </c>
      <c r="N29" s="61">
        <v>26</v>
      </c>
      <c r="O29" s="61">
        <v>0</v>
      </c>
      <c r="P29" s="61">
        <v>0.66</v>
      </c>
      <c r="Q29" s="61">
        <v>10.99</v>
      </c>
    </row>
    <row r="30" spans="1:17" s="11" customFormat="1" ht="15">
      <c r="A30" s="55" t="s">
        <v>564</v>
      </c>
      <c r="B30" s="61">
        <v>7.04</v>
      </c>
      <c r="C30" s="61">
        <v>16.899999999999999</v>
      </c>
      <c r="D30" s="61">
        <v>15.43</v>
      </c>
      <c r="E30" s="61">
        <v>3.27</v>
      </c>
      <c r="F30" s="61">
        <v>7.15</v>
      </c>
      <c r="G30" s="61">
        <v>29.01</v>
      </c>
      <c r="H30" s="61">
        <v>29.37</v>
      </c>
      <c r="I30" s="8" t="s">
        <v>8</v>
      </c>
      <c r="J30" s="61">
        <v>1.51</v>
      </c>
      <c r="K30" s="61">
        <v>128.24</v>
      </c>
      <c r="L30" s="61">
        <v>24.54</v>
      </c>
      <c r="M30" s="61">
        <v>96.27</v>
      </c>
      <c r="N30" s="61">
        <v>26.10</v>
      </c>
      <c r="O30" s="61">
        <v>0</v>
      </c>
      <c r="P30" s="61">
        <v>0.57999999999999996</v>
      </c>
      <c r="Q30" s="61">
        <v>11.65</v>
      </c>
    </row>
    <row r="31" spans="1:17" s="11" customFormat="1" ht="15">
      <c r="A31" s="55" t="s">
        <v>565</v>
      </c>
      <c r="B31" s="61">
        <v>7.24</v>
      </c>
      <c r="C31" s="61">
        <v>16.690000000000001</v>
      </c>
      <c r="D31" s="61">
        <v>15.67</v>
      </c>
      <c r="E31" s="61">
        <v>3.44</v>
      </c>
      <c r="F31" s="61">
        <v>7.18</v>
      </c>
      <c r="G31" s="61">
        <v>28.61</v>
      </c>
      <c r="H31" s="61">
        <v>29.98</v>
      </c>
      <c r="I31" s="8" t="s">
        <v>8</v>
      </c>
      <c r="J31" s="61">
        <v>1.80</v>
      </c>
      <c r="K31" s="61">
        <v>126.28</v>
      </c>
      <c r="L31" s="61">
        <v>24.58</v>
      </c>
      <c r="M31" s="61">
        <v>95.45</v>
      </c>
      <c r="N31" s="61">
        <v>26.20</v>
      </c>
      <c r="O31" s="61">
        <v>0</v>
      </c>
      <c r="P31" s="61">
        <v>0.54</v>
      </c>
      <c r="Q31" s="61">
        <v>12.12</v>
      </c>
    </row>
    <row r="32" spans="1:17" s="11" customFormat="1" ht="15">
      <c r="A32" s="55" t="s">
        <v>566</v>
      </c>
      <c r="B32" s="61">
        <v>4.84</v>
      </c>
      <c r="C32" s="61">
        <v>15.13</v>
      </c>
      <c r="D32" s="61">
        <v>12.88</v>
      </c>
      <c r="E32" s="61">
        <v>3.23</v>
      </c>
      <c r="F32" s="61">
        <v>11.96</v>
      </c>
      <c r="G32" s="61">
        <v>23.28</v>
      </c>
      <c r="H32" s="61">
        <v>29.98</v>
      </c>
      <c r="I32" s="8" t="s">
        <v>8</v>
      </c>
      <c r="J32" s="61">
        <v>1.58</v>
      </c>
      <c r="K32" s="61">
        <v>134.19999999999999</v>
      </c>
      <c r="L32" s="61">
        <v>24.40</v>
      </c>
      <c r="M32" s="61">
        <v>97.17</v>
      </c>
      <c r="N32" s="61">
        <v>26</v>
      </c>
      <c r="O32" s="61">
        <v>0</v>
      </c>
      <c r="P32" s="61">
        <v>0.47</v>
      </c>
      <c r="Q32" s="61">
        <v>15.17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2.3999999999999999</v>
      </c>
      <c r="C34" s="28">
        <f t="shared" si="0"/>
        <v>11.92</v>
      </c>
      <c r="D34" s="28">
        <f t="shared" si="0"/>
        <v>9.1500000000000004</v>
      </c>
      <c r="E34" s="28">
        <f t="shared" si="0"/>
        <v>1.79</v>
      </c>
      <c r="F34" s="28">
        <f t="shared" si="0"/>
        <v>5.3300000000000001</v>
      </c>
      <c r="G34" s="28">
        <f t="shared" si="0"/>
        <v>12.140000000000001</v>
      </c>
      <c r="H34" s="28">
        <f t="shared" si="0"/>
        <v>8.0299999999999994</v>
      </c>
      <c r="I34" s="28">
        <f t="shared" si="0"/>
        <v>2.6000000000000001</v>
      </c>
      <c r="J34" s="28">
        <f t="shared" si="0"/>
        <v>0.13</v>
      </c>
      <c r="K34" s="28">
        <f t="shared" si="0"/>
        <v>11.460000000000001</v>
      </c>
      <c r="L34" s="28">
        <f t="shared" si="0"/>
        <v>23.75</v>
      </c>
      <c r="M34" s="28">
        <f t="shared" si="0"/>
        <v>73.530000000000001</v>
      </c>
      <c r="N34" s="28">
        <f t="shared" si="0"/>
        <v>21</v>
      </c>
      <c r="O34" s="28">
        <f t="shared" si="0"/>
        <v>0</v>
      </c>
      <c r="P34" s="28">
        <f t="shared" si="0"/>
        <v>0.29999999999999999</v>
      </c>
      <c r="Q34" s="28">
        <f t="shared" si="0"/>
        <v>0.28000000000000003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25.91</v>
      </c>
      <c r="C35" s="29">
        <f t="shared" si="1"/>
        <v>31.43</v>
      </c>
      <c r="D35" s="29">
        <f t="shared" si="1"/>
        <v>36.240000000000002</v>
      </c>
      <c r="E35" s="29">
        <f t="shared" si="1"/>
        <v>4.3399999999999999</v>
      </c>
      <c r="F35" s="29">
        <f t="shared" si="1"/>
        <v>20.23</v>
      </c>
      <c r="G35" s="29">
        <f t="shared" si="1"/>
        <v>41.350000000000001</v>
      </c>
      <c r="H35" s="29">
        <f t="shared" si="1"/>
        <v>29.98</v>
      </c>
      <c r="I35" s="29">
        <f t="shared" si="1"/>
        <v>5.6500000000000004</v>
      </c>
      <c r="J35" s="29">
        <f t="shared" si="1"/>
        <v>2.2000000000000002</v>
      </c>
      <c r="K35" s="29">
        <f t="shared" si="1"/>
        <v>359.69999999999999</v>
      </c>
      <c r="L35" s="29">
        <f t="shared" si="1"/>
        <v>28.57</v>
      </c>
      <c r="M35" s="29">
        <f t="shared" si="1"/>
        <v>97.25</v>
      </c>
      <c r="N35" s="29">
        <f t="shared" si="1"/>
        <v>959.29999999999995</v>
      </c>
      <c r="O35" s="29">
        <f t="shared" si="1"/>
        <v>5.2000000000000002</v>
      </c>
      <c r="P35" s="29">
        <f t="shared" si="1"/>
        <v>0.81000000000000005</v>
      </c>
      <c r="Q35" s="29">
        <f t="shared" si="1"/>
        <v>15.17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11.603749999999998</v>
      </c>
      <c r="C36" s="28">
        <f t="shared" si="2"/>
        <v>19.222916666666666</v>
      </c>
      <c r="D36" s="28">
        <f t="shared" si="2"/>
        <v>20.32041666666667</v>
      </c>
      <c r="E36" s="28">
        <f t="shared" si="2"/>
        <v>3.1033333333333335</v>
      </c>
      <c r="F36" s="28">
        <f t="shared" si="2"/>
        <v>10.119583333333333</v>
      </c>
      <c r="G36" s="28">
        <f t="shared" si="2"/>
        <v>28.603333333333328</v>
      </c>
      <c r="H36" s="28">
        <f t="shared" si="2"/>
        <v>16.848750000000003</v>
      </c>
      <c r="I36" s="28">
        <f t="shared" si="2"/>
        <v>4.4962499999999999</v>
      </c>
      <c r="J36" s="28">
        <f t="shared" si="2"/>
        <v>1.0791666666666668</v>
      </c>
      <c r="K36" s="28">
        <f t="shared" si="2"/>
        <v>157.33874999999998</v>
      </c>
      <c r="L36" s="28">
        <f t="shared" si="2"/>
        <v>25.254166666666663</v>
      </c>
      <c r="M36" s="28">
        <f t="shared" si="2"/>
        <v>93.544166666666669</v>
      </c>
      <c r="N36" s="28">
        <f t="shared" si="2"/>
        <v>224.49166666666665</v>
      </c>
      <c r="O36" s="28">
        <f t="shared" si="2"/>
        <v>0.375</v>
      </c>
      <c r="P36" s="28">
        <f t="shared" si="2"/>
        <v>0.54500000000000004</v>
      </c>
      <c r="Q36" s="28">
        <f t="shared" si="2"/>
        <v>7.0361904761904759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6.6815136351370068</v>
      </c>
      <c r="C37" s="28">
        <f t="shared" si="3" ref="C37:Q37">STDEV(C9:C32)</f>
        <v>4.7126005736394285</v>
      </c>
      <c r="D37" s="28">
        <f t="shared" si="3"/>
        <v>6.9790982843286233</v>
      </c>
      <c r="E37" s="28">
        <f t="shared" si="3"/>
        <v>0.78726089077568562</v>
      </c>
      <c r="F37" s="28">
        <f t="shared" si="3"/>
        <v>3.563288026243598</v>
      </c>
      <c r="G37" s="28">
        <f t="shared" si="3"/>
        <v>7.97648264351644</v>
      </c>
      <c r="H37" s="28">
        <f t="shared" si="3"/>
        <v>7.1386841513715442</v>
      </c>
      <c r="I37" s="28">
        <f t="shared" si="3"/>
        <v>0.89040821296430483</v>
      </c>
      <c r="J37" s="28">
        <f t="shared" si="3"/>
        <v>0.67538019351851064</v>
      </c>
      <c r="K37" s="28">
        <f t="shared" si="3"/>
        <v>91.317302485083232</v>
      </c>
      <c r="L37" s="28">
        <f t="shared" si="3"/>
        <v>1.7199214255729618</v>
      </c>
      <c r="M37" s="28">
        <f t="shared" si="3"/>
        <v>7.5322656194745843</v>
      </c>
      <c r="N37" s="28">
        <f t="shared" si="3"/>
        <v>293.93135980252646</v>
      </c>
      <c r="O37" s="28">
        <f t="shared" si="3"/>
        <v>1.2389511693363866</v>
      </c>
      <c r="P37" s="28">
        <f t="shared" si="3"/>
        <v>0.13161207820878312</v>
      </c>
      <c r="Q37" s="28">
        <f t="shared" si="3"/>
        <v>3.8232348557085487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COUNT(I9:I32)+16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6d555f-7994-41d3-a416-073c67f91d17}">
  <sheetPr codeName=""/>
  <dimension ref="A1:U119"/>
  <sheetViews>
    <sheetView workbookViewId="0" topLeftCell="A1">
      <pane xSplit="1" ySplit="8" topLeftCell="B18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567</v>
      </c>
      <c r="B9" s="61">
        <v>5.1100000000000003</v>
      </c>
      <c r="C9" s="61">
        <v>13.65</v>
      </c>
      <c r="D9" s="61">
        <v>12.27</v>
      </c>
      <c r="E9" s="61">
        <v>2.87</v>
      </c>
      <c r="F9" s="61">
        <v>8.73</v>
      </c>
      <c r="G9" s="61">
        <v>23.28</v>
      </c>
      <c r="H9" s="61">
        <v>20.16</v>
      </c>
      <c r="I9" s="8" t="s">
        <v>8</v>
      </c>
      <c r="J9" s="61">
        <v>1.31</v>
      </c>
      <c r="K9" s="61">
        <v>175.38</v>
      </c>
      <c r="L9" s="61">
        <v>24.25</v>
      </c>
      <c r="M9" s="61">
        <v>97.25</v>
      </c>
      <c r="N9" s="61">
        <v>27.80</v>
      </c>
      <c r="O9" s="61">
        <v>1</v>
      </c>
      <c r="P9" s="61">
        <v>0.45</v>
      </c>
      <c r="Q9" s="61">
        <v>14.02</v>
      </c>
    </row>
    <row r="10" spans="1:17" s="11" customFormat="1" ht="15">
      <c r="A10" s="55" t="s">
        <v>568</v>
      </c>
      <c r="B10" s="61">
        <v>4.3600000000000003</v>
      </c>
      <c r="C10" s="61">
        <v>13.41</v>
      </c>
      <c r="D10" s="61">
        <v>11.53</v>
      </c>
      <c r="E10" s="61">
        <v>2.91</v>
      </c>
      <c r="F10" s="61">
        <v>13.48</v>
      </c>
      <c r="G10" s="61">
        <v>18.97</v>
      </c>
      <c r="H10" s="61">
        <v>14.31</v>
      </c>
      <c r="I10" s="8" t="s">
        <v>8</v>
      </c>
      <c r="J10" s="61">
        <v>0.70</v>
      </c>
      <c r="K10" s="61">
        <v>168.03</v>
      </c>
      <c r="L10" s="61">
        <v>23.12</v>
      </c>
      <c r="M10" s="61">
        <v>97.25</v>
      </c>
      <c r="N10" s="61">
        <v>26.70</v>
      </c>
      <c r="O10" s="61">
        <v>0</v>
      </c>
      <c r="P10" s="61">
        <v>0.38</v>
      </c>
      <c r="Q10" s="61">
        <v>10.41</v>
      </c>
    </row>
    <row r="11" spans="1:17" s="11" customFormat="1" ht="15">
      <c r="A11" s="55" t="s">
        <v>569</v>
      </c>
      <c r="B11" s="61">
        <v>3.76</v>
      </c>
      <c r="C11" s="61">
        <v>12.18</v>
      </c>
      <c r="D11" s="61">
        <v>10.38</v>
      </c>
      <c r="E11" s="61">
        <v>2.95</v>
      </c>
      <c r="F11" s="61">
        <v>13.16</v>
      </c>
      <c r="G11" s="61">
        <v>18.989999999999998</v>
      </c>
      <c r="H11" s="61">
        <v>15.04</v>
      </c>
      <c r="I11" s="8" t="s">
        <v>8</v>
      </c>
      <c r="J11" s="61">
        <v>0.72</v>
      </c>
      <c r="K11" s="61">
        <v>137.80000000000001</v>
      </c>
      <c r="L11" s="61">
        <v>22.95</v>
      </c>
      <c r="M11" s="61">
        <v>97.25</v>
      </c>
      <c r="N11" s="61">
        <v>26.30</v>
      </c>
      <c r="O11" s="61">
        <v>0.20</v>
      </c>
      <c r="P11" s="61">
        <v>0.31</v>
      </c>
      <c r="Q11" s="61">
        <v>10.85</v>
      </c>
    </row>
    <row r="12" spans="1:17" s="11" customFormat="1" ht="15">
      <c r="A12" s="55" t="s">
        <v>570</v>
      </c>
      <c r="B12" s="61">
        <v>4.6500000000000004</v>
      </c>
      <c r="C12" s="61">
        <v>13.06</v>
      </c>
      <c r="D12" s="61">
        <v>11.58</v>
      </c>
      <c r="E12" s="61">
        <v>3.33</v>
      </c>
      <c r="F12" s="61">
        <v>7.05</v>
      </c>
      <c r="G12" s="62" t="s">
        <v>14</v>
      </c>
      <c r="H12" s="62" t="s">
        <v>14</v>
      </c>
      <c r="I12" s="8" t="s">
        <v>8</v>
      </c>
      <c r="J12" s="61">
        <v>1.04</v>
      </c>
      <c r="K12" s="61">
        <v>123.56</v>
      </c>
      <c r="L12" s="61">
        <v>22.96</v>
      </c>
      <c r="M12" s="61">
        <v>97.25</v>
      </c>
      <c r="N12" s="61">
        <v>26.20</v>
      </c>
      <c r="O12" s="61">
        <v>3</v>
      </c>
      <c r="P12" s="61">
        <v>0.32</v>
      </c>
      <c r="Q12" s="61">
        <v>8.8000000000000007</v>
      </c>
    </row>
    <row r="13" spans="1:17" s="11" customFormat="1" ht="15">
      <c r="A13" s="55" t="s">
        <v>571</v>
      </c>
      <c r="B13" s="61">
        <v>4.8600000000000003</v>
      </c>
      <c r="C13" s="61">
        <v>13.08</v>
      </c>
      <c r="D13" s="61">
        <v>11.68</v>
      </c>
      <c r="E13" s="61">
        <v>2.33</v>
      </c>
      <c r="F13" s="61">
        <v>12.32</v>
      </c>
      <c r="G13" s="62" t="s">
        <v>14</v>
      </c>
      <c r="H13" s="62" t="s">
        <v>14</v>
      </c>
      <c r="I13" s="8" t="s">
        <v>8</v>
      </c>
      <c r="J13" s="61">
        <v>0.56000000000000005</v>
      </c>
      <c r="K13" s="61">
        <v>123.80</v>
      </c>
      <c r="L13" s="61">
        <v>22.53</v>
      </c>
      <c r="M13" s="61">
        <v>97.28</v>
      </c>
      <c r="N13" s="61">
        <v>26.20</v>
      </c>
      <c r="O13" s="61">
        <v>1.80</v>
      </c>
      <c r="P13" s="61">
        <v>0.30</v>
      </c>
      <c r="Q13" s="61">
        <v>8.1999999999999993</v>
      </c>
    </row>
    <row r="14" spans="1:17" s="11" customFormat="1" ht="15">
      <c r="A14" s="55" t="s">
        <v>572</v>
      </c>
      <c r="B14" s="61">
        <v>5.30</v>
      </c>
      <c r="C14" s="61">
        <v>13.91</v>
      </c>
      <c r="D14" s="61">
        <v>12.57</v>
      </c>
      <c r="E14" s="61">
        <v>3</v>
      </c>
      <c r="F14" s="61">
        <v>10.18</v>
      </c>
      <c r="G14" s="62" t="s">
        <v>14</v>
      </c>
      <c r="H14" s="62" t="s">
        <v>14</v>
      </c>
      <c r="I14" s="8" t="s">
        <v>8</v>
      </c>
      <c r="J14" s="61">
        <v>1.47</v>
      </c>
      <c r="K14" s="61">
        <v>134.5</v>
      </c>
      <c r="L14" s="61">
        <v>22.55</v>
      </c>
      <c r="M14" s="61">
        <v>97.25</v>
      </c>
      <c r="N14" s="61">
        <v>48.70</v>
      </c>
      <c r="O14" s="61">
        <v>0.20</v>
      </c>
      <c r="P14" s="61">
        <v>0.30</v>
      </c>
      <c r="Q14" s="61">
        <v>11.35</v>
      </c>
    </row>
    <row r="15" spans="1:17" s="11" customFormat="1" ht="15">
      <c r="A15" s="55" t="s">
        <v>573</v>
      </c>
      <c r="B15" s="61">
        <v>5.53</v>
      </c>
      <c r="C15" s="61">
        <v>13.57</v>
      </c>
      <c r="D15" s="61">
        <v>12.57</v>
      </c>
      <c r="E15" s="61">
        <v>2.95</v>
      </c>
      <c r="F15" s="61">
        <v>4.22</v>
      </c>
      <c r="G15" s="62" t="s">
        <v>14</v>
      </c>
      <c r="H15" s="62" t="s">
        <v>14</v>
      </c>
      <c r="I15" s="8" t="s">
        <v>8</v>
      </c>
      <c r="J15" s="61">
        <v>2.06</v>
      </c>
      <c r="K15" s="61">
        <v>130.33000000000001</v>
      </c>
      <c r="L15" s="61">
        <v>22.78</v>
      </c>
      <c r="M15" s="61">
        <v>97.25</v>
      </c>
      <c r="N15" s="61">
        <v>126</v>
      </c>
      <c r="O15" s="61">
        <v>0.60</v>
      </c>
      <c r="P15" s="61">
        <v>0.28999999999999998</v>
      </c>
      <c r="Q15" s="61">
        <v>15.86</v>
      </c>
    </row>
    <row r="16" spans="1:17" s="11" customFormat="1" ht="15">
      <c r="A16" s="55" t="s">
        <v>574</v>
      </c>
      <c r="B16" s="61">
        <v>5.53</v>
      </c>
      <c r="C16" s="61">
        <v>13.92</v>
      </c>
      <c r="D16" s="61">
        <v>12.67</v>
      </c>
      <c r="E16" s="61">
        <v>2.74</v>
      </c>
      <c r="F16" s="61">
        <v>6.48</v>
      </c>
      <c r="G16" s="62" t="s">
        <v>14</v>
      </c>
      <c r="H16" s="62" t="s">
        <v>14</v>
      </c>
      <c r="I16" s="8" t="s">
        <v>8</v>
      </c>
      <c r="J16" s="61">
        <v>1.80</v>
      </c>
      <c r="K16" s="61">
        <v>125.78</v>
      </c>
      <c r="L16" s="61">
        <v>24.32</v>
      </c>
      <c r="M16" s="61">
        <v>97.25</v>
      </c>
      <c r="N16" s="61">
        <v>540.79999999999995</v>
      </c>
      <c r="O16" s="61">
        <v>0.20</v>
      </c>
      <c r="P16" s="61">
        <v>0.28999999999999998</v>
      </c>
      <c r="Q16" s="61">
        <v>20.149999999999999</v>
      </c>
    </row>
    <row r="17" spans="1:17" s="11" customFormat="1" ht="15">
      <c r="A17" s="55" t="s">
        <v>575</v>
      </c>
      <c r="B17" s="61">
        <v>5.23</v>
      </c>
      <c r="C17" s="61">
        <v>13.78</v>
      </c>
      <c r="D17" s="61">
        <v>12.44</v>
      </c>
      <c r="E17" s="61">
        <v>2.76</v>
      </c>
      <c r="F17" s="61">
        <v>6.02</v>
      </c>
      <c r="G17" s="62" t="s">
        <v>14</v>
      </c>
      <c r="H17" s="62" t="s">
        <v>14</v>
      </c>
      <c r="I17" s="8" t="s">
        <v>8</v>
      </c>
      <c r="J17" s="61">
        <v>2.4900000000000002</v>
      </c>
      <c r="K17" s="61">
        <v>122.27</v>
      </c>
      <c r="L17" s="61">
        <v>24.72</v>
      </c>
      <c r="M17" s="61">
        <v>96.18</v>
      </c>
      <c r="N17" s="61">
        <v>395.30</v>
      </c>
      <c r="O17" s="61">
        <v>0</v>
      </c>
      <c r="P17" s="61">
        <v>0.28999999999999998</v>
      </c>
      <c r="Q17" s="61">
        <v>21.03</v>
      </c>
    </row>
    <row r="18" spans="1:17" s="11" customFormat="1" ht="15">
      <c r="A18" s="55" t="s">
        <v>576</v>
      </c>
      <c r="B18" s="61">
        <v>4.7699999999999996</v>
      </c>
      <c r="C18" s="61">
        <v>13.98</v>
      </c>
      <c r="D18" s="61">
        <v>11.86</v>
      </c>
      <c r="E18" s="61">
        <v>2.70</v>
      </c>
      <c r="F18" s="61">
        <v>5.49</v>
      </c>
      <c r="G18" s="62" t="s">
        <v>14</v>
      </c>
      <c r="H18" s="62" t="s">
        <v>14</v>
      </c>
      <c r="I18" s="8" t="s">
        <v>8</v>
      </c>
      <c r="J18" s="61">
        <v>1.66</v>
      </c>
      <c r="K18" s="61">
        <v>127.93</v>
      </c>
      <c r="L18" s="61">
        <v>25.54</v>
      </c>
      <c r="M18" s="61">
        <v>92.51</v>
      </c>
      <c r="N18" s="61">
        <v>712</v>
      </c>
      <c r="O18" s="61">
        <v>0</v>
      </c>
      <c r="P18" s="61">
        <v>0.27</v>
      </c>
      <c r="Q18" s="61">
        <v>18.98</v>
      </c>
    </row>
    <row r="19" spans="1:17" s="11" customFormat="1" ht="15">
      <c r="A19" s="55" t="s">
        <v>577</v>
      </c>
      <c r="B19" s="61">
        <v>4.09</v>
      </c>
      <c r="C19" s="61">
        <v>13.82</v>
      </c>
      <c r="D19" s="61">
        <v>11.56</v>
      </c>
      <c r="E19" s="61">
        <v>2.87</v>
      </c>
      <c r="F19" s="61">
        <v>7.97</v>
      </c>
      <c r="G19" s="62" t="s">
        <v>14</v>
      </c>
      <c r="H19" s="62" t="s">
        <v>14</v>
      </c>
      <c r="I19" s="8" t="s">
        <v>8</v>
      </c>
      <c r="J19" s="61">
        <v>1.51</v>
      </c>
      <c r="K19" s="61">
        <v>129.04</v>
      </c>
      <c r="L19" s="61">
        <v>26.23</v>
      </c>
      <c r="M19" s="61">
        <v>85.59</v>
      </c>
      <c r="N19" s="61">
        <v>607.40</v>
      </c>
      <c r="O19" s="61">
        <v>0</v>
      </c>
      <c r="P19" s="61">
        <v>0.28999999999999998</v>
      </c>
      <c r="Q19" s="61">
        <v>15.26</v>
      </c>
    </row>
    <row r="20" spans="1:17" s="11" customFormat="1" ht="15">
      <c r="A20" s="55" t="s">
        <v>578</v>
      </c>
      <c r="B20" s="61">
        <v>4.53</v>
      </c>
      <c r="C20" s="61">
        <v>14.36</v>
      </c>
      <c r="D20" s="61">
        <v>12.12</v>
      </c>
      <c r="E20" s="61">
        <v>2.4300000000000002</v>
      </c>
      <c r="F20" s="61">
        <v>7.28</v>
      </c>
      <c r="G20" s="62" t="s">
        <v>14</v>
      </c>
      <c r="H20" s="62" t="s">
        <v>14</v>
      </c>
      <c r="I20" s="8" t="s">
        <v>8</v>
      </c>
      <c r="J20" s="61">
        <v>2.14</v>
      </c>
      <c r="K20" s="61">
        <v>117.26</v>
      </c>
      <c r="L20" s="61">
        <v>26.86</v>
      </c>
      <c r="M20" s="61">
        <v>84.54</v>
      </c>
      <c r="N20" s="61">
        <v>982.60</v>
      </c>
      <c r="O20" s="61">
        <v>0</v>
      </c>
      <c r="P20" s="61">
        <v>0.28999999999999998</v>
      </c>
      <c r="Q20" s="61">
        <v>15.74</v>
      </c>
    </row>
    <row r="21" spans="1:17" s="11" customFormat="1" ht="15">
      <c r="A21" s="55" t="s">
        <v>579</v>
      </c>
      <c r="B21" s="61">
        <v>4.04</v>
      </c>
      <c r="C21" s="61">
        <v>13.99</v>
      </c>
      <c r="D21" s="61">
        <v>11.45</v>
      </c>
      <c r="E21" s="61">
        <v>3.10</v>
      </c>
      <c r="F21" s="61">
        <v>5.93</v>
      </c>
      <c r="G21" s="62" t="s">
        <v>14</v>
      </c>
      <c r="H21" s="62" t="s">
        <v>14</v>
      </c>
      <c r="I21" s="8" t="s">
        <v>8</v>
      </c>
      <c r="J21" s="61">
        <v>2.0499999999999998</v>
      </c>
      <c r="K21" s="61">
        <v>119.90</v>
      </c>
      <c r="L21" s="61">
        <v>27.88</v>
      </c>
      <c r="M21" s="61">
        <v>81.22</v>
      </c>
      <c r="N21" s="61">
        <v>966.70</v>
      </c>
      <c r="O21" s="61">
        <v>0</v>
      </c>
      <c r="P21" s="61">
        <v>0.27</v>
      </c>
      <c r="Q21" s="61">
        <v>12.49</v>
      </c>
    </row>
    <row r="22" spans="1:17" s="11" customFormat="1" ht="15">
      <c r="A22" s="55" t="s">
        <v>580</v>
      </c>
      <c r="B22" s="61">
        <v>3.76</v>
      </c>
      <c r="C22" s="61">
        <v>15.51</v>
      </c>
      <c r="D22" s="61">
        <v>12.08</v>
      </c>
      <c r="E22" s="61">
        <v>3.38</v>
      </c>
      <c r="F22" s="61">
        <v>6.51</v>
      </c>
      <c r="G22" s="61">
        <v>8.09</v>
      </c>
      <c r="H22" s="61">
        <v>5.96</v>
      </c>
      <c r="I22" s="8" t="s">
        <v>8</v>
      </c>
      <c r="J22" s="61">
        <v>2.04</v>
      </c>
      <c r="K22" s="61">
        <v>164.85</v>
      </c>
      <c r="L22" s="61">
        <v>27.37</v>
      </c>
      <c r="M22" s="61">
        <v>80.86</v>
      </c>
      <c r="N22" s="61">
        <v>723.30</v>
      </c>
      <c r="O22" s="61">
        <v>0</v>
      </c>
      <c r="P22" s="61">
        <v>0.22</v>
      </c>
      <c r="Q22" s="61">
        <v>10.72</v>
      </c>
    </row>
    <row r="23" spans="1:17" s="11" customFormat="1" ht="15">
      <c r="A23" s="55" t="s">
        <v>581</v>
      </c>
      <c r="B23" s="61">
        <v>4.34</v>
      </c>
      <c r="C23" s="61">
        <v>14.34</v>
      </c>
      <c r="D23" s="61">
        <v>11.65</v>
      </c>
      <c r="E23" s="61">
        <v>3.55</v>
      </c>
      <c r="F23" s="61">
        <v>10.38</v>
      </c>
      <c r="G23" s="61">
        <v>10.78</v>
      </c>
      <c r="H23" s="61">
        <v>7.13</v>
      </c>
      <c r="I23" s="8" t="s">
        <v>8</v>
      </c>
      <c r="J23" s="61">
        <v>0.98</v>
      </c>
      <c r="K23" s="61">
        <v>148.77000000000001</v>
      </c>
      <c r="L23" s="61">
        <v>28.85</v>
      </c>
      <c r="M23" s="61">
        <v>75.83</v>
      </c>
      <c r="N23" s="61">
        <v>888.20</v>
      </c>
      <c r="O23" s="61">
        <v>0</v>
      </c>
      <c r="P23" s="61">
        <v>0.22</v>
      </c>
      <c r="Q23" s="61">
        <v>9.40</v>
      </c>
    </row>
    <row r="24" spans="1:17" s="11" customFormat="1" ht="15">
      <c r="A24" s="55" t="s">
        <v>582</v>
      </c>
      <c r="B24" s="61">
        <v>6.31</v>
      </c>
      <c r="C24" s="61">
        <v>15.61</v>
      </c>
      <c r="D24" s="61">
        <v>14.30</v>
      </c>
      <c r="E24" s="61">
        <v>3.34</v>
      </c>
      <c r="F24" s="61">
        <v>7.93</v>
      </c>
      <c r="G24" s="61">
        <v>10.87</v>
      </c>
      <c r="H24" s="61">
        <v>7.13</v>
      </c>
      <c r="I24" s="8" t="s">
        <v>8</v>
      </c>
      <c r="J24" s="61">
        <v>1.1100000000000001</v>
      </c>
      <c r="K24" s="61">
        <v>118.41</v>
      </c>
      <c r="L24" s="61">
        <v>28.90</v>
      </c>
      <c r="M24" s="61">
        <v>73.5</v>
      </c>
      <c r="N24" s="61">
        <v>351.70</v>
      </c>
      <c r="O24" s="61">
        <v>0</v>
      </c>
      <c r="P24" s="61">
        <v>0.25</v>
      </c>
      <c r="Q24" s="61">
        <v>6.99</v>
      </c>
    </row>
    <row r="25" spans="1:17" s="11" customFormat="1" ht="15">
      <c r="A25" s="55" t="s">
        <v>583</v>
      </c>
      <c r="B25" s="61">
        <v>5.72</v>
      </c>
      <c r="C25" s="61">
        <v>15.05</v>
      </c>
      <c r="D25" s="61">
        <v>13.39</v>
      </c>
      <c r="E25" s="61">
        <v>2.41</v>
      </c>
      <c r="F25" s="61">
        <v>19.82</v>
      </c>
      <c r="G25" s="61">
        <v>27.36</v>
      </c>
      <c r="H25" s="61">
        <v>5.85</v>
      </c>
      <c r="I25" s="8" t="s">
        <v>8</v>
      </c>
      <c r="J25" s="61">
        <v>1.49</v>
      </c>
      <c r="K25" s="61">
        <v>167.47</v>
      </c>
      <c r="L25" s="61">
        <v>28.63</v>
      </c>
      <c r="M25" s="61">
        <v>73.30</v>
      </c>
      <c r="N25" s="61">
        <v>357.20</v>
      </c>
      <c r="O25" s="61">
        <v>0</v>
      </c>
      <c r="P25" s="61">
        <v>0.25</v>
      </c>
      <c r="Q25" s="61">
        <v>10.26</v>
      </c>
    </row>
    <row r="26" spans="1:17" s="11" customFormat="1" ht="15">
      <c r="A26" s="55" t="s">
        <v>584</v>
      </c>
      <c r="B26" s="61">
        <v>4.6900000000000004</v>
      </c>
      <c r="C26" s="61">
        <v>14.81</v>
      </c>
      <c r="D26" s="61">
        <v>12.58</v>
      </c>
      <c r="E26" s="61">
        <v>2.77</v>
      </c>
      <c r="F26" s="61">
        <v>10.08</v>
      </c>
      <c r="G26" s="61">
        <v>14.54</v>
      </c>
      <c r="H26" s="61">
        <v>4.9400000000000004</v>
      </c>
      <c r="I26" s="8" t="s">
        <v>8</v>
      </c>
      <c r="J26" s="61">
        <v>0.71</v>
      </c>
      <c r="K26" s="61">
        <v>197.94</v>
      </c>
      <c r="L26" s="61">
        <v>25.63</v>
      </c>
      <c r="M26" s="61">
        <v>89.78</v>
      </c>
      <c r="N26" s="61">
        <v>115.60</v>
      </c>
      <c r="O26" s="61">
        <v>0</v>
      </c>
      <c r="P26" s="61">
        <v>0.21</v>
      </c>
      <c r="Q26" s="61">
        <v>30.47</v>
      </c>
    </row>
    <row r="27" spans="1:17" s="11" customFormat="1" ht="15">
      <c r="A27" s="55" t="s">
        <v>585</v>
      </c>
      <c r="B27" s="61">
        <v>10.210000000000001</v>
      </c>
      <c r="C27" s="61">
        <v>17.54</v>
      </c>
      <c r="D27" s="61">
        <v>18.510000000000002</v>
      </c>
      <c r="E27" s="61">
        <v>0.01</v>
      </c>
      <c r="F27" s="61">
        <v>6.62</v>
      </c>
      <c r="G27" s="61">
        <v>19.38</v>
      </c>
      <c r="H27" s="61">
        <v>4.7300000000000004</v>
      </c>
      <c r="I27" s="8" t="s">
        <v>8</v>
      </c>
      <c r="J27" s="61">
        <v>0.45</v>
      </c>
      <c r="K27" s="61">
        <v>358.67</v>
      </c>
      <c r="L27" s="61">
        <v>24.87</v>
      </c>
      <c r="M27" s="61">
        <v>92.49</v>
      </c>
      <c r="N27" s="61">
        <v>54.80</v>
      </c>
      <c r="O27" s="61">
        <v>0</v>
      </c>
      <c r="P27" s="61">
        <v>0.36</v>
      </c>
      <c r="Q27" s="61">
        <v>26.98</v>
      </c>
    </row>
    <row r="28" spans="1:17" s="11" customFormat="1" ht="15">
      <c r="A28" s="55" t="s">
        <v>586</v>
      </c>
      <c r="B28" s="61">
        <v>13.74</v>
      </c>
      <c r="C28" s="61">
        <v>18.940000000000001</v>
      </c>
      <c r="D28" s="61">
        <v>22.12</v>
      </c>
      <c r="E28" s="61">
        <v>1.39</v>
      </c>
      <c r="F28" s="61">
        <v>8.5299999999999994</v>
      </c>
      <c r="G28" s="61">
        <v>26.20</v>
      </c>
      <c r="H28" s="61">
        <v>5.39</v>
      </c>
      <c r="I28" s="8" t="s">
        <v>8</v>
      </c>
      <c r="J28" s="61">
        <v>0.56999999999999995</v>
      </c>
      <c r="K28" s="61">
        <v>340.52</v>
      </c>
      <c r="L28" s="61">
        <v>24.75</v>
      </c>
      <c r="M28" s="61">
        <v>97.27</v>
      </c>
      <c r="N28" s="61">
        <v>42.20</v>
      </c>
      <c r="O28" s="61">
        <v>16.20</v>
      </c>
      <c r="P28" s="61">
        <v>0.74</v>
      </c>
      <c r="Q28" s="61">
        <v>20.45</v>
      </c>
    </row>
    <row r="29" spans="1:17" s="11" customFormat="1" ht="15">
      <c r="A29" s="55" t="s">
        <v>587</v>
      </c>
      <c r="B29" s="61">
        <v>12.65</v>
      </c>
      <c r="C29" s="61">
        <v>17.5</v>
      </c>
      <c r="D29" s="61">
        <v>19.59</v>
      </c>
      <c r="E29" s="61">
        <v>2.66</v>
      </c>
      <c r="F29" s="61">
        <v>5.94</v>
      </c>
      <c r="G29" s="61">
        <v>26.43</v>
      </c>
      <c r="H29" s="61">
        <v>6.03</v>
      </c>
      <c r="I29" s="8" t="s">
        <v>8</v>
      </c>
      <c r="J29" s="61">
        <v>0.22</v>
      </c>
      <c r="K29" s="61">
        <v>343.99</v>
      </c>
      <c r="L29" s="61">
        <v>23.08</v>
      </c>
      <c r="M29" s="61">
        <v>97.27</v>
      </c>
      <c r="N29" s="61">
        <v>40.60</v>
      </c>
      <c r="O29" s="61">
        <v>0.20</v>
      </c>
      <c r="P29" s="61">
        <v>0.62</v>
      </c>
      <c r="Q29" s="61">
        <v>20.23</v>
      </c>
    </row>
    <row r="30" spans="1:17" s="11" customFormat="1" ht="15">
      <c r="A30" s="55" t="s">
        <v>588</v>
      </c>
      <c r="B30" s="61">
        <v>13.99</v>
      </c>
      <c r="C30" s="61">
        <v>18.399999999999999</v>
      </c>
      <c r="D30" s="61">
        <v>21.89</v>
      </c>
      <c r="E30" s="61">
        <v>2.3199999999999998</v>
      </c>
      <c r="F30" s="61">
        <v>8.66</v>
      </c>
      <c r="G30" s="61">
        <v>18.579999999999998</v>
      </c>
      <c r="H30" s="61">
        <v>6.04</v>
      </c>
      <c r="I30" s="8" t="s">
        <v>8</v>
      </c>
      <c r="J30" s="61">
        <v>0.46</v>
      </c>
      <c r="K30" s="61">
        <v>177.15</v>
      </c>
      <c r="L30" s="61">
        <v>22.99</v>
      </c>
      <c r="M30" s="61">
        <v>97.25</v>
      </c>
      <c r="N30" s="61">
        <v>40.700000000000003</v>
      </c>
      <c r="O30" s="61">
        <v>0</v>
      </c>
      <c r="P30" s="61">
        <v>0.61</v>
      </c>
      <c r="Q30" s="61">
        <v>16.32</v>
      </c>
    </row>
    <row r="31" spans="1:17" s="11" customFormat="1" ht="15">
      <c r="A31" s="55" t="s">
        <v>589</v>
      </c>
      <c r="B31" s="61">
        <v>8.75</v>
      </c>
      <c r="C31" s="61">
        <v>17.87</v>
      </c>
      <c r="D31" s="61">
        <v>17.5</v>
      </c>
      <c r="E31" s="61">
        <v>2.57</v>
      </c>
      <c r="F31" s="61">
        <v>10.5</v>
      </c>
      <c r="G31" s="61">
        <v>15.17</v>
      </c>
      <c r="H31" s="61">
        <v>6.04</v>
      </c>
      <c r="I31" s="8" t="s">
        <v>8</v>
      </c>
      <c r="J31" s="61">
        <v>0.66</v>
      </c>
      <c r="K31" s="61">
        <v>180.35</v>
      </c>
      <c r="L31" s="61">
        <v>22.97</v>
      </c>
      <c r="M31" s="61">
        <v>97.27</v>
      </c>
      <c r="N31" s="61">
        <v>40.799999999999997</v>
      </c>
      <c r="O31" s="61">
        <v>0.40</v>
      </c>
      <c r="P31" s="61">
        <v>0.5</v>
      </c>
      <c r="Q31" s="61">
        <v>18.14</v>
      </c>
    </row>
    <row r="32" spans="1:17" s="11" customFormat="1" ht="15">
      <c r="A32" s="55" t="s">
        <v>590</v>
      </c>
      <c r="B32" s="61">
        <v>8.0299999999999994</v>
      </c>
      <c r="C32" s="61">
        <v>13.40</v>
      </c>
      <c r="D32" s="61">
        <v>14.42</v>
      </c>
      <c r="E32" s="61">
        <v>2.2999999999999998</v>
      </c>
      <c r="F32" s="61">
        <v>9.27</v>
      </c>
      <c r="G32" s="61">
        <v>11.07</v>
      </c>
      <c r="H32" s="61">
        <v>4.9000000000000004</v>
      </c>
      <c r="I32" s="8" t="s">
        <v>8</v>
      </c>
      <c r="J32" s="61">
        <v>0.33</v>
      </c>
      <c r="K32" s="61">
        <v>184.13</v>
      </c>
      <c r="L32" s="61">
        <v>22.93</v>
      </c>
      <c r="M32" s="61">
        <v>97.27</v>
      </c>
      <c r="N32" s="61">
        <v>40.40</v>
      </c>
      <c r="O32" s="61">
        <v>0</v>
      </c>
      <c r="P32" s="61">
        <v>0.47</v>
      </c>
      <c r="Q32" s="61">
        <v>17.75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3.7599999999999998</v>
      </c>
      <c r="C34" s="28">
        <f t="shared" si="0"/>
        <v>12.18</v>
      </c>
      <c r="D34" s="28">
        <f t="shared" si="0"/>
        <v>10.380000000000001</v>
      </c>
      <c r="E34" s="28">
        <f t="shared" si="0"/>
        <v>0.01</v>
      </c>
      <c r="F34" s="28">
        <f t="shared" si="0"/>
        <v>4.2199999999999998</v>
      </c>
      <c r="G34" s="28">
        <f t="shared" si="0"/>
        <v>8.0899999999999999</v>
      </c>
      <c r="H34" s="28">
        <f t="shared" si="0"/>
        <v>4.7300000000000004</v>
      </c>
      <c r="I34" s="28">
        <f t="shared" si="0"/>
        <v>0</v>
      </c>
      <c r="J34" s="28">
        <f t="shared" si="0"/>
        <v>0.22</v>
      </c>
      <c r="K34" s="28">
        <f t="shared" si="0"/>
        <v>117.26000000000001</v>
      </c>
      <c r="L34" s="28">
        <f t="shared" si="0"/>
        <v>22.530000000000001</v>
      </c>
      <c r="M34" s="28">
        <f t="shared" si="0"/>
        <v>73.299999999999997</v>
      </c>
      <c r="N34" s="28">
        <f t="shared" si="0"/>
        <v>26.199999999999999</v>
      </c>
      <c r="O34" s="28">
        <f t="shared" si="0"/>
        <v>0</v>
      </c>
      <c r="P34" s="28">
        <f t="shared" si="0"/>
        <v>0.20999999999999999</v>
      </c>
      <c r="Q34" s="28">
        <f t="shared" si="0"/>
        <v>6.9900000000000002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13.99</v>
      </c>
      <c r="C35" s="29">
        <f t="shared" si="1"/>
        <v>18.940000000000001</v>
      </c>
      <c r="D35" s="29">
        <f t="shared" si="1"/>
        <v>22.120000000000001</v>
      </c>
      <c r="E35" s="29">
        <f t="shared" si="1"/>
        <v>3.5499999999999998</v>
      </c>
      <c r="F35" s="29">
        <f t="shared" si="1"/>
        <v>19.82</v>
      </c>
      <c r="G35" s="29">
        <f t="shared" si="1"/>
        <v>27.359999999999999</v>
      </c>
      <c r="H35" s="29">
        <f t="shared" si="1"/>
        <v>20.16</v>
      </c>
      <c r="I35" s="29">
        <f t="shared" si="1"/>
        <v>0</v>
      </c>
      <c r="J35" s="29">
        <f t="shared" si="1"/>
        <v>2.4900000000000002</v>
      </c>
      <c r="K35" s="29">
        <f t="shared" si="1"/>
        <v>358.67000000000002</v>
      </c>
      <c r="L35" s="29">
        <f t="shared" si="1"/>
        <v>28.899999999999999</v>
      </c>
      <c r="M35" s="29">
        <f t="shared" si="1"/>
        <v>97.280000000000001</v>
      </c>
      <c r="N35" s="29">
        <f t="shared" si="1"/>
        <v>982.60000000000002</v>
      </c>
      <c r="O35" s="29">
        <f t="shared" si="1"/>
        <v>16.199999999999999</v>
      </c>
      <c r="P35" s="29">
        <f t="shared" si="1"/>
        <v>0.73999999999999999</v>
      </c>
      <c r="Q35" s="29">
        <f t="shared" si="1"/>
        <v>30.469999999999999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6.4145833333333329</v>
      </c>
      <c r="C36" s="28">
        <f t="shared" si="2"/>
        <v>14.82</v>
      </c>
      <c r="D36" s="28">
        <f t="shared" si="2"/>
        <v>13.862916666666665</v>
      </c>
      <c r="E36" s="28">
        <f t="shared" si="2"/>
        <v>2.651666666666666</v>
      </c>
      <c r="F36" s="28">
        <f t="shared" si="2"/>
        <v>8.8562500000000011</v>
      </c>
      <c r="G36" s="28">
        <f t="shared" si="2"/>
        <v>17.836428571428566</v>
      </c>
      <c r="H36" s="28">
        <f t="shared" si="2"/>
        <v>8.1178571428571438</v>
      </c>
      <c r="I36" s="8" t="s">
        <v>8</v>
      </c>
      <c r="J36" s="28">
        <f t="shared" si="2"/>
        <v>1.18875</v>
      </c>
      <c r="K36" s="28">
        <f t="shared" si="2"/>
        <v>171.57624999999999</v>
      </c>
      <c r="L36" s="28">
        <f t="shared" si="2"/>
        <v>24.9025</v>
      </c>
      <c r="M36" s="28">
        <f t="shared" si="2"/>
        <v>91.256666666666661</v>
      </c>
      <c r="N36" s="28">
        <f t="shared" si="2"/>
        <v>300.34166666666664</v>
      </c>
      <c r="O36" s="28">
        <f t="shared" si="2"/>
        <v>0.99166666666666659</v>
      </c>
      <c r="P36" s="28">
        <f t="shared" si="2"/>
        <v>0.35416666666666674</v>
      </c>
      <c r="Q36" s="28">
        <f t="shared" si="2"/>
        <v>15.452083333333334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3.143149872848638</v>
      </c>
      <c r="C37" s="28">
        <f t="shared" si="3" ref="C37:Q37">STDEV(C9:C32)</f>
        <v>1.8698314269520229</v>
      </c>
      <c r="D37" s="28">
        <f t="shared" si="3"/>
        <v>3.3990848885707692</v>
      </c>
      <c r="E37" s="28">
        <f t="shared" si="3"/>
        <v>0.72205423538719082</v>
      </c>
      <c r="F37" s="28">
        <f t="shared" si="3"/>
        <v>3.3763201121931523</v>
      </c>
      <c r="G37" s="28">
        <f t="shared" si="3"/>
        <v>6.365525668235672</v>
      </c>
      <c r="H37" s="28">
        <f t="shared" si="3"/>
        <v>4.7667876275028522</v>
      </c>
      <c r="I37" s="8" t="s">
        <v>8</v>
      </c>
      <c r="J37" s="28">
        <f t="shared" si="3"/>
        <v>0.6684590488578942</v>
      </c>
      <c r="K37" s="28">
        <f t="shared" si="3"/>
        <v>72.333004963607209</v>
      </c>
      <c r="L37" s="28">
        <f t="shared" si="3"/>
        <v>2.1749447769101389</v>
      </c>
      <c r="M37" s="28">
        <f t="shared" si="3"/>
        <v>8.4944138506824984</v>
      </c>
      <c r="N37" s="28">
        <f t="shared" si="3"/>
        <v>340.6890765552339</v>
      </c>
      <c r="O37" s="28">
        <f t="shared" si="3"/>
        <v>3.3150403849158745</v>
      </c>
      <c r="P37" s="28">
        <f t="shared" si="3"/>
        <v>0.14015260833530122</v>
      </c>
      <c r="Q37" s="28">
        <f t="shared" si="3"/>
        <v>5.9494040470027594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COUNT(G9:G32)+10</f>
        <v>24</v>
      </c>
      <c r="H38" s="32">
        <f>COUNT(H9:H32)+10</f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067f73-e08d-4796-b7d9-bad537945178}">
  <sheetPr codeName=""/>
  <dimension ref="A1:U119"/>
  <sheetViews>
    <sheetView workbookViewId="0" topLeftCell="A1">
      <pane xSplit="1" ySplit="8" topLeftCell="B9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591</v>
      </c>
      <c r="B9" s="61">
        <v>6.23</v>
      </c>
      <c r="C9" s="61">
        <v>12.80</v>
      </c>
      <c r="D9" s="61">
        <v>12.71</v>
      </c>
      <c r="E9" s="61">
        <v>2.61</v>
      </c>
      <c r="F9" s="61">
        <v>11.03</v>
      </c>
      <c r="G9" s="61">
        <v>8.3800000000000008</v>
      </c>
      <c r="H9" s="61">
        <v>4.32</v>
      </c>
      <c r="I9" s="8" t="s">
        <v>8</v>
      </c>
      <c r="J9" s="61">
        <v>0.43</v>
      </c>
      <c r="K9" s="61">
        <v>192.76</v>
      </c>
      <c r="L9" s="61">
        <v>23.22</v>
      </c>
      <c r="M9" s="61">
        <v>97.28</v>
      </c>
      <c r="N9" s="61">
        <v>40.299999999999997</v>
      </c>
      <c r="O9" s="61">
        <v>0</v>
      </c>
      <c r="P9" s="61">
        <v>0.40</v>
      </c>
      <c r="Q9" s="61">
        <v>14.23</v>
      </c>
    </row>
    <row r="10" spans="1:17" s="11" customFormat="1" ht="15">
      <c r="A10" s="55" t="s">
        <v>592</v>
      </c>
      <c r="B10" s="61">
        <v>3.64</v>
      </c>
      <c r="C10" s="61">
        <v>10.45</v>
      </c>
      <c r="D10" s="61">
        <v>9.31</v>
      </c>
      <c r="E10" s="61">
        <v>2.71</v>
      </c>
      <c r="F10" s="61">
        <v>14.23</v>
      </c>
      <c r="G10" s="61">
        <v>5.90</v>
      </c>
      <c r="H10" s="61">
        <v>4.22</v>
      </c>
      <c r="I10" s="8" t="s">
        <v>8</v>
      </c>
      <c r="J10" s="61">
        <v>0.070000000000000007</v>
      </c>
      <c r="K10" s="61">
        <v>239.60</v>
      </c>
      <c r="L10" s="61">
        <v>23.22</v>
      </c>
      <c r="M10" s="61">
        <v>97.28</v>
      </c>
      <c r="N10" s="61">
        <v>41.10</v>
      </c>
      <c r="O10" s="61">
        <v>0</v>
      </c>
      <c r="P10" s="61">
        <v>0.28000000000000003</v>
      </c>
      <c r="Q10" s="61">
        <v>16.66</v>
      </c>
    </row>
    <row r="11" spans="1:17" s="11" customFormat="1" ht="15">
      <c r="A11" s="55" t="s">
        <v>593</v>
      </c>
      <c r="B11" s="61">
        <v>4.5199999999999996</v>
      </c>
      <c r="C11" s="61">
        <v>11.93</v>
      </c>
      <c r="D11" s="61">
        <v>10.85</v>
      </c>
      <c r="E11" s="61">
        <v>2.73</v>
      </c>
      <c r="F11" s="61">
        <v>11.23</v>
      </c>
      <c r="G11" s="62" t="s">
        <v>14</v>
      </c>
      <c r="H11" s="62" t="s">
        <v>14</v>
      </c>
      <c r="I11" s="8" t="s">
        <v>8</v>
      </c>
      <c r="J11" s="61">
        <v>0.08</v>
      </c>
      <c r="K11" s="61">
        <v>228.75</v>
      </c>
      <c r="L11" s="61">
        <v>22.97</v>
      </c>
      <c r="M11" s="61">
        <v>97.27</v>
      </c>
      <c r="N11" s="61">
        <v>40.60</v>
      </c>
      <c r="O11" s="61">
        <v>0</v>
      </c>
      <c r="P11" s="61">
        <v>0.27</v>
      </c>
      <c r="Q11" s="61">
        <v>16.82</v>
      </c>
    </row>
    <row r="12" spans="1:17" s="11" customFormat="1" ht="15">
      <c r="A12" s="55" t="s">
        <v>594</v>
      </c>
      <c r="B12" s="61">
        <v>4.57</v>
      </c>
      <c r="C12" s="61">
        <v>12.49</v>
      </c>
      <c r="D12" s="61">
        <v>11.20</v>
      </c>
      <c r="E12" s="61">
        <v>2.4300000000000002</v>
      </c>
      <c r="F12" s="61">
        <v>11.21</v>
      </c>
      <c r="G12" s="62" t="s">
        <v>14</v>
      </c>
      <c r="H12" s="62" t="s">
        <v>14</v>
      </c>
      <c r="I12" s="8" t="s">
        <v>8</v>
      </c>
      <c r="J12" s="61">
        <v>0.10</v>
      </c>
      <c r="K12" s="61">
        <v>252.59</v>
      </c>
      <c r="L12" s="61">
        <v>23</v>
      </c>
      <c r="M12" s="61">
        <v>97.26</v>
      </c>
      <c r="N12" s="61">
        <v>41.10</v>
      </c>
      <c r="O12" s="61">
        <v>0</v>
      </c>
      <c r="P12" s="61">
        <v>0.26</v>
      </c>
      <c r="Q12" s="61">
        <v>12.62</v>
      </c>
    </row>
    <row r="13" spans="1:17" s="11" customFormat="1" ht="15">
      <c r="A13" s="55" t="s">
        <v>595</v>
      </c>
      <c r="B13" s="61">
        <v>3.99</v>
      </c>
      <c r="C13" s="61">
        <v>12.74</v>
      </c>
      <c r="D13" s="61">
        <v>10.84</v>
      </c>
      <c r="E13" s="61">
        <v>2.93</v>
      </c>
      <c r="F13" s="61">
        <v>12.86</v>
      </c>
      <c r="G13" s="62" t="s">
        <v>14</v>
      </c>
      <c r="H13" s="62" t="s">
        <v>14</v>
      </c>
      <c r="I13" s="8" t="s">
        <v>8</v>
      </c>
      <c r="J13" s="61">
        <v>0.19</v>
      </c>
      <c r="K13" s="61">
        <v>260.99</v>
      </c>
      <c r="L13" s="61">
        <v>22.96</v>
      </c>
      <c r="M13" s="61">
        <v>97.27</v>
      </c>
      <c r="N13" s="61">
        <v>40.799999999999997</v>
      </c>
      <c r="O13" s="61">
        <v>0</v>
      </c>
      <c r="P13" s="61">
        <v>0.25</v>
      </c>
      <c r="Q13" s="61">
        <v>16.63</v>
      </c>
    </row>
    <row r="14" spans="1:17" s="11" customFormat="1" ht="15">
      <c r="A14" s="55" t="s">
        <v>596</v>
      </c>
      <c r="B14" s="61">
        <v>5.13</v>
      </c>
      <c r="C14" s="61">
        <v>13.99</v>
      </c>
      <c r="D14" s="61">
        <v>12.44</v>
      </c>
      <c r="E14" s="61">
        <v>3.23</v>
      </c>
      <c r="F14" s="61">
        <v>7.63</v>
      </c>
      <c r="G14" s="61">
        <v>5.78</v>
      </c>
      <c r="H14" s="61">
        <v>4.34</v>
      </c>
      <c r="I14" s="8" t="s">
        <v>8</v>
      </c>
      <c r="J14" s="61">
        <v>0.070000000000000007</v>
      </c>
      <c r="K14" s="61">
        <v>293.36</v>
      </c>
      <c r="L14" s="61">
        <v>22.83</v>
      </c>
      <c r="M14" s="61">
        <v>97.25</v>
      </c>
      <c r="N14" s="61">
        <v>55.60</v>
      </c>
      <c r="O14" s="61">
        <v>0</v>
      </c>
      <c r="P14" s="61">
        <v>0.24</v>
      </c>
      <c r="Q14" s="61">
        <v>16.16</v>
      </c>
    </row>
    <row r="15" spans="1:17" s="11" customFormat="1" ht="15">
      <c r="A15" s="55" t="s">
        <v>597</v>
      </c>
      <c r="B15" s="61">
        <v>7.22</v>
      </c>
      <c r="C15" s="61">
        <v>14.06</v>
      </c>
      <c r="D15" s="61">
        <v>13.90</v>
      </c>
      <c r="E15" s="61">
        <v>3.75</v>
      </c>
      <c r="F15" s="61">
        <v>7.75</v>
      </c>
      <c r="G15" s="61">
        <v>7.82</v>
      </c>
      <c r="H15" s="61">
        <v>4.88</v>
      </c>
      <c r="I15" s="8" t="s">
        <v>8</v>
      </c>
      <c r="J15" s="61">
        <v>0.25</v>
      </c>
      <c r="K15" s="61">
        <v>228.67</v>
      </c>
      <c r="L15" s="61">
        <v>23.44</v>
      </c>
      <c r="M15" s="61">
        <v>97.25</v>
      </c>
      <c r="N15" s="61">
        <v>149.5</v>
      </c>
      <c r="O15" s="61">
        <v>0</v>
      </c>
      <c r="P15" s="61">
        <v>0.25</v>
      </c>
      <c r="Q15" s="61">
        <v>13.68</v>
      </c>
    </row>
    <row r="16" spans="1:17" s="11" customFormat="1" ht="15">
      <c r="A16" s="55" t="s">
        <v>598</v>
      </c>
      <c r="B16" s="61">
        <v>8.65</v>
      </c>
      <c r="C16" s="61">
        <v>13.90</v>
      </c>
      <c r="D16" s="61">
        <v>14.51</v>
      </c>
      <c r="E16" s="61">
        <v>3.95</v>
      </c>
      <c r="F16" s="61">
        <v>8.64</v>
      </c>
      <c r="G16" s="61">
        <v>12.95</v>
      </c>
      <c r="H16" s="61">
        <v>6</v>
      </c>
      <c r="I16" s="8" t="s">
        <v>8</v>
      </c>
      <c r="J16" s="61">
        <v>0.57999999999999996</v>
      </c>
      <c r="K16" s="61">
        <v>160.57</v>
      </c>
      <c r="L16" s="61">
        <v>24.32</v>
      </c>
      <c r="M16" s="61">
        <v>97.20</v>
      </c>
      <c r="N16" s="61">
        <v>239.10</v>
      </c>
      <c r="O16" s="61">
        <v>0</v>
      </c>
      <c r="P16" s="61">
        <v>0.19</v>
      </c>
      <c r="Q16" s="61">
        <v>17.41</v>
      </c>
    </row>
    <row r="17" spans="1:17" s="11" customFormat="1" ht="15">
      <c r="A17" s="55" t="s">
        <v>599</v>
      </c>
      <c r="B17" s="61">
        <v>7.06</v>
      </c>
      <c r="C17" s="61">
        <v>14.29</v>
      </c>
      <c r="D17" s="61">
        <v>13.87</v>
      </c>
      <c r="E17" s="61">
        <v>3.02</v>
      </c>
      <c r="F17" s="61">
        <v>5.20</v>
      </c>
      <c r="G17" s="61">
        <v>13.12</v>
      </c>
      <c r="H17" s="61">
        <v>6</v>
      </c>
      <c r="I17" s="8" t="s">
        <v>8</v>
      </c>
      <c r="J17" s="61">
        <v>0.49</v>
      </c>
      <c r="K17" s="61">
        <v>192.35</v>
      </c>
      <c r="L17" s="61">
        <v>24.81</v>
      </c>
      <c r="M17" s="61">
        <v>93.32</v>
      </c>
      <c r="N17" s="61">
        <v>267</v>
      </c>
      <c r="O17" s="61">
        <v>0</v>
      </c>
      <c r="P17" s="61">
        <v>0.17</v>
      </c>
      <c r="Q17" s="61">
        <v>15.81</v>
      </c>
    </row>
    <row r="18" spans="1:17" s="11" customFormat="1" ht="15">
      <c r="A18" s="55" t="s">
        <v>600</v>
      </c>
      <c r="B18" s="61">
        <v>5.81</v>
      </c>
      <c r="C18" s="61">
        <v>14.85</v>
      </c>
      <c r="D18" s="61">
        <v>13.13</v>
      </c>
      <c r="E18" s="61">
        <v>2.80</v>
      </c>
      <c r="F18" s="61">
        <v>8</v>
      </c>
      <c r="G18" s="61">
        <v>11.57</v>
      </c>
      <c r="H18" s="61">
        <v>5.71</v>
      </c>
      <c r="I18" s="8" t="s">
        <v>8</v>
      </c>
      <c r="J18" s="61">
        <v>0.27</v>
      </c>
      <c r="K18" s="61">
        <v>212.74</v>
      </c>
      <c r="L18" s="61">
        <v>24.95</v>
      </c>
      <c r="M18" s="61">
        <v>89.15</v>
      </c>
      <c r="N18" s="61">
        <v>257.70</v>
      </c>
      <c r="O18" s="61">
        <v>0</v>
      </c>
      <c r="P18" s="61">
        <v>0.18</v>
      </c>
      <c r="Q18" s="61">
        <v>11.46</v>
      </c>
    </row>
    <row r="19" spans="1:17" s="11" customFormat="1" ht="15">
      <c r="A19" s="55" t="s">
        <v>601</v>
      </c>
      <c r="B19" s="61">
        <v>5.26</v>
      </c>
      <c r="C19" s="61">
        <v>14.62</v>
      </c>
      <c r="D19" s="61">
        <v>12.93</v>
      </c>
      <c r="E19" s="61">
        <v>3.10</v>
      </c>
      <c r="F19" s="61">
        <v>7.30</v>
      </c>
      <c r="G19" s="61">
        <v>14.16</v>
      </c>
      <c r="H19" s="61">
        <v>7.91</v>
      </c>
      <c r="I19" s="8" t="s">
        <v>8</v>
      </c>
      <c r="J19" s="61">
        <v>0.78</v>
      </c>
      <c r="K19" s="61">
        <v>212.69</v>
      </c>
      <c r="L19" s="61">
        <v>27.01</v>
      </c>
      <c r="M19" s="61">
        <v>87.21</v>
      </c>
      <c r="N19" s="61">
        <v>1042.70</v>
      </c>
      <c r="O19" s="61">
        <v>0</v>
      </c>
      <c r="P19" s="61">
        <v>0.20</v>
      </c>
      <c r="Q19" s="61">
        <v>12.49</v>
      </c>
    </row>
    <row r="20" spans="1:17" s="11" customFormat="1" ht="15">
      <c r="A20" s="55" t="s">
        <v>602</v>
      </c>
      <c r="B20" s="61">
        <v>4.8099999999999996</v>
      </c>
      <c r="C20" s="61">
        <v>15.35</v>
      </c>
      <c r="D20" s="61">
        <v>12.84</v>
      </c>
      <c r="E20" s="61">
        <v>3.01</v>
      </c>
      <c r="F20" s="61">
        <v>6.45</v>
      </c>
      <c r="G20" s="61">
        <v>14.25</v>
      </c>
      <c r="H20" s="61">
        <v>9.2200000000000006</v>
      </c>
      <c r="I20" s="8" t="s">
        <v>8</v>
      </c>
      <c r="J20" s="61">
        <v>1.30</v>
      </c>
      <c r="K20" s="61">
        <v>183.95</v>
      </c>
      <c r="L20" s="61">
        <v>27.22</v>
      </c>
      <c r="M20" s="61">
        <v>79.900000000000006</v>
      </c>
      <c r="N20" s="61">
        <v>767.30</v>
      </c>
      <c r="O20" s="61">
        <v>0</v>
      </c>
      <c r="P20" s="61">
        <v>0.16</v>
      </c>
      <c r="Q20" s="61">
        <v>12</v>
      </c>
    </row>
    <row r="21" spans="1:17" s="11" customFormat="1" ht="15">
      <c r="A21" s="55" t="s">
        <v>603</v>
      </c>
      <c r="B21" s="61">
        <v>3.77</v>
      </c>
      <c r="C21" s="61">
        <v>16.02</v>
      </c>
      <c r="D21" s="61">
        <v>12.25</v>
      </c>
      <c r="E21" s="61">
        <v>2.27</v>
      </c>
      <c r="F21" s="61">
        <v>12.15</v>
      </c>
      <c r="G21" s="61">
        <v>12.79</v>
      </c>
      <c r="H21" s="61">
        <v>9.2200000000000006</v>
      </c>
      <c r="I21" s="8" t="s">
        <v>8</v>
      </c>
      <c r="J21" s="61">
        <v>0.74</v>
      </c>
      <c r="K21" s="61">
        <v>171.21</v>
      </c>
      <c r="L21" s="61">
        <v>27.29</v>
      </c>
      <c r="M21" s="61">
        <v>77.739999999999995</v>
      </c>
      <c r="N21" s="61">
        <v>514.29999999999995</v>
      </c>
      <c r="O21" s="61">
        <v>0</v>
      </c>
      <c r="P21" s="61">
        <v>0.16</v>
      </c>
      <c r="Q21" s="61">
        <v>11.15</v>
      </c>
    </row>
    <row r="22" spans="1:17" s="11" customFormat="1" ht="15">
      <c r="A22" s="55" t="s">
        <v>604</v>
      </c>
      <c r="B22" s="61">
        <v>6.60</v>
      </c>
      <c r="C22" s="61">
        <v>15.71</v>
      </c>
      <c r="D22" s="61">
        <v>13.95</v>
      </c>
      <c r="E22" s="61">
        <v>2.44</v>
      </c>
      <c r="F22" s="61">
        <v>15.76</v>
      </c>
      <c r="G22" s="61">
        <v>14.23</v>
      </c>
      <c r="H22" s="61">
        <v>9.10</v>
      </c>
      <c r="I22" s="8" t="s">
        <v>8</v>
      </c>
      <c r="J22" s="61">
        <v>0.26</v>
      </c>
      <c r="K22" s="61">
        <v>263.77</v>
      </c>
      <c r="L22" s="61">
        <v>28.05</v>
      </c>
      <c r="M22" s="61">
        <v>74.599999999999994</v>
      </c>
      <c r="N22" s="61">
        <v>386.5</v>
      </c>
      <c r="O22" s="61">
        <v>0</v>
      </c>
      <c r="P22" s="61">
        <v>0.28999999999999998</v>
      </c>
      <c r="Q22" s="61">
        <v>12.71</v>
      </c>
    </row>
    <row r="23" spans="1:17" s="11" customFormat="1" ht="15">
      <c r="A23" s="55" t="s">
        <v>605</v>
      </c>
      <c r="B23" s="61">
        <v>10.01</v>
      </c>
      <c r="C23" s="61">
        <v>21.82</v>
      </c>
      <c r="D23" s="61">
        <v>20.72</v>
      </c>
      <c r="E23" s="61">
        <v>2.94</v>
      </c>
      <c r="F23" s="61">
        <v>8.35</v>
      </c>
      <c r="G23" s="61">
        <v>30.65</v>
      </c>
      <c r="H23" s="61">
        <v>10.38</v>
      </c>
      <c r="I23" s="8" t="s">
        <v>8</v>
      </c>
      <c r="J23" s="61">
        <v>0.75</v>
      </c>
      <c r="K23" s="61">
        <v>359.28</v>
      </c>
      <c r="L23" s="61">
        <v>28.94</v>
      </c>
      <c r="M23" s="61">
        <v>88.62</v>
      </c>
      <c r="N23" s="61">
        <v>830.40</v>
      </c>
      <c r="O23" s="61">
        <v>0</v>
      </c>
      <c r="P23" s="61">
        <v>0.44</v>
      </c>
      <c r="Q23" s="61">
        <v>10.42</v>
      </c>
    </row>
    <row r="24" spans="1:17" s="11" customFormat="1" ht="15">
      <c r="A24" s="55" t="s">
        <v>606</v>
      </c>
      <c r="B24" s="61">
        <v>6.76</v>
      </c>
      <c r="C24" s="61">
        <v>18.70</v>
      </c>
      <c r="D24" s="61">
        <v>16.309999999999999</v>
      </c>
      <c r="E24" s="61">
        <v>2.36</v>
      </c>
      <c r="F24" s="61">
        <v>4.71</v>
      </c>
      <c r="G24" s="61">
        <v>31.22</v>
      </c>
      <c r="H24" s="61">
        <v>10.38</v>
      </c>
      <c r="I24" s="8" t="s">
        <v>8</v>
      </c>
      <c r="J24" s="61">
        <v>1.57</v>
      </c>
      <c r="K24" s="61">
        <v>345.71</v>
      </c>
      <c r="L24" s="61">
        <v>25.58</v>
      </c>
      <c r="M24" s="61">
        <v>97.23</v>
      </c>
      <c r="N24" s="61">
        <v>167.5</v>
      </c>
      <c r="O24" s="61">
        <v>0.20</v>
      </c>
      <c r="P24" s="61">
        <v>0.40</v>
      </c>
      <c r="Q24" s="61">
        <v>7.83</v>
      </c>
    </row>
    <row r="25" spans="1:17" s="11" customFormat="1" ht="15">
      <c r="A25" s="55" t="s">
        <v>607</v>
      </c>
      <c r="B25" s="61">
        <v>13.12</v>
      </c>
      <c r="C25" s="61">
        <v>20.86</v>
      </c>
      <c r="D25" s="61">
        <v>22.31</v>
      </c>
      <c r="E25" s="61">
        <v>3.64</v>
      </c>
      <c r="F25" s="61">
        <v>10.210000000000001</v>
      </c>
      <c r="G25" s="61">
        <v>29.24</v>
      </c>
      <c r="H25" s="61">
        <v>17.27</v>
      </c>
      <c r="I25" s="8" t="s">
        <v>8</v>
      </c>
      <c r="J25" s="61">
        <v>1.30</v>
      </c>
      <c r="K25" s="61">
        <v>359.49</v>
      </c>
      <c r="L25" s="61">
        <v>25.33</v>
      </c>
      <c r="M25" s="61">
        <v>96.81</v>
      </c>
      <c r="N25" s="61">
        <v>261.10000000000002</v>
      </c>
      <c r="O25" s="61">
        <v>0</v>
      </c>
      <c r="P25" s="61">
        <v>0.60</v>
      </c>
      <c r="Q25" s="61">
        <v>6.85</v>
      </c>
    </row>
    <row r="26" spans="1:17" s="11" customFormat="1" ht="15">
      <c r="A26" s="55" t="s">
        <v>608</v>
      </c>
      <c r="B26" s="61">
        <v>14.85</v>
      </c>
      <c r="C26" s="61">
        <v>23.05</v>
      </c>
      <c r="D26" s="61">
        <v>25.27</v>
      </c>
      <c r="E26" s="61">
        <v>3.42</v>
      </c>
      <c r="F26" s="61">
        <v>6.41</v>
      </c>
      <c r="G26" s="61">
        <v>29.34</v>
      </c>
      <c r="H26" s="61">
        <v>19.87</v>
      </c>
      <c r="I26" s="8" t="s">
        <v>8</v>
      </c>
      <c r="J26" s="61">
        <v>1.1200000000000001</v>
      </c>
      <c r="K26" s="61">
        <v>117.77</v>
      </c>
      <c r="L26" s="61">
        <v>24.23</v>
      </c>
      <c r="M26" s="61">
        <v>97.25</v>
      </c>
      <c r="N26" s="61">
        <v>57.20</v>
      </c>
      <c r="O26" s="61">
        <v>1</v>
      </c>
      <c r="P26" s="61">
        <v>0.68</v>
      </c>
      <c r="Q26" s="61">
        <v>8.4700000000000006</v>
      </c>
    </row>
    <row r="27" spans="1:17" s="11" customFormat="1" ht="15">
      <c r="A27" s="55" t="s">
        <v>609</v>
      </c>
      <c r="B27" s="61">
        <v>24.68</v>
      </c>
      <c r="C27" s="61">
        <v>30.09</v>
      </c>
      <c r="D27" s="61">
        <v>37.04</v>
      </c>
      <c r="E27" s="61">
        <v>3.43</v>
      </c>
      <c r="F27" s="61">
        <v>9.26</v>
      </c>
      <c r="G27" s="61">
        <v>27.26</v>
      </c>
      <c r="H27" s="61">
        <v>19.87</v>
      </c>
      <c r="I27" s="8" t="s">
        <v>8</v>
      </c>
      <c r="J27" s="61">
        <v>1.30</v>
      </c>
      <c r="K27" s="61">
        <v>119.05</v>
      </c>
      <c r="L27" s="61">
        <v>23.05</v>
      </c>
      <c r="M27" s="61">
        <v>97.26</v>
      </c>
      <c r="N27" s="61">
        <v>68.900000000000006</v>
      </c>
      <c r="O27" s="61">
        <v>0.20</v>
      </c>
      <c r="P27" s="61">
        <v>1.1299999999999999</v>
      </c>
      <c r="Q27" s="61">
        <v>15.28</v>
      </c>
    </row>
    <row r="28" spans="1:17" s="11" customFormat="1" ht="15">
      <c r="A28" s="55" t="s">
        <v>610</v>
      </c>
      <c r="B28" s="61">
        <v>10.65</v>
      </c>
      <c r="C28" s="61">
        <v>27.22</v>
      </c>
      <c r="D28" s="61">
        <v>24.21</v>
      </c>
      <c r="E28" s="61">
        <v>3.52</v>
      </c>
      <c r="F28" s="61">
        <v>8.56</v>
      </c>
      <c r="G28" s="61">
        <v>22.33</v>
      </c>
      <c r="H28" s="61">
        <v>17.78</v>
      </c>
      <c r="I28" s="8" t="s">
        <v>8</v>
      </c>
      <c r="J28" s="61">
        <v>0.38</v>
      </c>
      <c r="K28" s="61">
        <v>164.85</v>
      </c>
      <c r="L28" s="61">
        <v>23.27</v>
      </c>
      <c r="M28" s="61">
        <v>97.25</v>
      </c>
      <c r="N28" s="61">
        <v>25.5</v>
      </c>
      <c r="O28" s="61">
        <v>0</v>
      </c>
      <c r="P28" s="61">
        <v>0.65</v>
      </c>
      <c r="Q28" s="61">
        <v>17.04</v>
      </c>
    </row>
    <row r="29" spans="1:17" s="11" customFormat="1" ht="15">
      <c r="A29" s="55" t="s">
        <v>611</v>
      </c>
      <c r="B29" s="61">
        <v>15.81</v>
      </c>
      <c r="C29" s="61">
        <v>25.80</v>
      </c>
      <c r="D29" s="61">
        <v>26.91</v>
      </c>
      <c r="E29" s="61">
        <v>2.56</v>
      </c>
      <c r="F29" s="61">
        <v>7.47</v>
      </c>
      <c r="G29" s="61">
        <v>19.78</v>
      </c>
      <c r="H29" s="61">
        <v>17.579999999999998</v>
      </c>
      <c r="I29" s="8" t="s">
        <v>8</v>
      </c>
      <c r="J29" s="61">
        <v>0.70</v>
      </c>
      <c r="K29" s="61">
        <v>204.11</v>
      </c>
      <c r="L29" s="61">
        <v>23.66</v>
      </c>
      <c r="M29" s="61">
        <v>97.25</v>
      </c>
      <c r="N29" s="61">
        <v>25.80</v>
      </c>
      <c r="O29" s="61">
        <v>0</v>
      </c>
      <c r="P29" s="61">
        <v>0.70</v>
      </c>
      <c r="Q29" s="61">
        <v>15.67</v>
      </c>
    </row>
    <row r="30" spans="1:17" s="11" customFormat="1" ht="15">
      <c r="A30" s="55" t="s">
        <v>612</v>
      </c>
      <c r="B30" s="61">
        <v>15.02</v>
      </c>
      <c r="C30" s="61">
        <v>27.92</v>
      </c>
      <c r="D30" s="61">
        <v>28.10</v>
      </c>
      <c r="E30" s="61">
        <v>2.41</v>
      </c>
      <c r="F30" s="61">
        <v>10.97</v>
      </c>
      <c r="G30" s="62" t="s">
        <v>14</v>
      </c>
      <c r="H30" s="62" t="s">
        <v>14</v>
      </c>
      <c r="I30" s="8" t="s">
        <v>8</v>
      </c>
      <c r="J30" s="61">
        <v>0.28999999999999998</v>
      </c>
      <c r="K30" s="61">
        <v>196.17</v>
      </c>
      <c r="L30" s="61">
        <v>23.49</v>
      </c>
      <c r="M30" s="61">
        <v>97.25</v>
      </c>
      <c r="N30" s="61">
        <v>26</v>
      </c>
      <c r="O30" s="61">
        <v>0</v>
      </c>
      <c r="P30" s="61">
        <v>0.59</v>
      </c>
      <c r="Q30" s="61">
        <v>15.53</v>
      </c>
    </row>
    <row r="31" spans="1:17" s="11" customFormat="1" ht="15">
      <c r="A31" s="55" t="s">
        <v>613</v>
      </c>
      <c r="B31" s="61">
        <v>16.260000000000002</v>
      </c>
      <c r="C31" s="61">
        <v>32.03</v>
      </c>
      <c r="D31" s="61">
        <v>31.36</v>
      </c>
      <c r="E31" s="61">
        <v>2.3199999999999998</v>
      </c>
      <c r="F31" s="61">
        <v>10.11</v>
      </c>
      <c r="G31" s="62" t="s">
        <v>14</v>
      </c>
      <c r="H31" s="62" t="s">
        <v>14</v>
      </c>
      <c r="I31" s="8" t="s">
        <v>8</v>
      </c>
      <c r="J31" s="61">
        <v>0.15</v>
      </c>
      <c r="K31" s="61">
        <v>289.87</v>
      </c>
      <c r="L31" s="61">
        <v>23.37</v>
      </c>
      <c r="M31" s="61">
        <v>97.25</v>
      </c>
      <c r="N31" s="61">
        <v>26.60</v>
      </c>
      <c r="O31" s="61">
        <v>0</v>
      </c>
      <c r="P31" s="61">
        <v>0.56000000000000005</v>
      </c>
      <c r="Q31" s="61">
        <v>17.11</v>
      </c>
    </row>
    <row r="32" spans="1:17" s="11" customFormat="1" ht="15">
      <c r="A32" s="55" t="s">
        <v>614</v>
      </c>
      <c r="B32" s="61">
        <v>13.24</v>
      </c>
      <c r="C32" s="61">
        <v>26.38</v>
      </c>
      <c r="D32" s="61">
        <v>24.70</v>
      </c>
      <c r="E32" s="61">
        <v>1.94</v>
      </c>
      <c r="F32" s="61">
        <v>7.59</v>
      </c>
      <c r="G32" s="62" t="s">
        <v>14</v>
      </c>
      <c r="H32" s="62" t="s">
        <v>14</v>
      </c>
      <c r="I32" s="8" t="s">
        <v>8</v>
      </c>
      <c r="J32" s="61">
        <v>0.34</v>
      </c>
      <c r="K32" s="61">
        <v>237.27</v>
      </c>
      <c r="L32" s="61">
        <v>23.28</v>
      </c>
      <c r="M32" s="61">
        <v>97.25</v>
      </c>
      <c r="N32" s="61">
        <v>26.40</v>
      </c>
      <c r="O32" s="61">
        <v>0</v>
      </c>
      <c r="P32" s="61">
        <v>0.54</v>
      </c>
      <c r="Q32" s="61">
        <v>15.30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3.6400000000000001</v>
      </c>
      <c r="C34" s="28">
        <f t="shared" si="0"/>
        <v>10.449999999999999</v>
      </c>
      <c r="D34" s="28">
        <f t="shared" si="0"/>
        <v>9.3100000000000005</v>
      </c>
      <c r="E34" s="28">
        <f t="shared" si="0"/>
        <v>1.9399999999999999</v>
      </c>
      <c r="F34" s="28">
        <f t="shared" si="0"/>
        <v>4.71</v>
      </c>
      <c r="G34" s="28">
        <f t="shared" si="0"/>
        <v>5.7800000000000002</v>
      </c>
      <c r="H34" s="28">
        <f t="shared" si="0"/>
        <v>4.2199999999999998</v>
      </c>
      <c r="I34" s="28">
        <f t="shared" si="0"/>
        <v>0</v>
      </c>
      <c r="J34" s="28">
        <f t="shared" si="0"/>
        <v>0.070000000000000007</v>
      </c>
      <c r="K34" s="28">
        <f t="shared" si="0"/>
        <v>117.77</v>
      </c>
      <c r="L34" s="28">
        <f t="shared" si="0"/>
        <v>22.829999999999998</v>
      </c>
      <c r="M34" s="28">
        <f t="shared" si="0"/>
        <v>74.599999999999994</v>
      </c>
      <c r="N34" s="28">
        <f t="shared" si="0"/>
        <v>25.5</v>
      </c>
      <c r="O34" s="28">
        <f t="shared" si="0"/>
        <v>0</v>
      </c>
      <c r="P34" s="28">
        <f t="shared" si="0"/>
        <v>0.16</v>
      </c>
      <c r="Q34" s="28">
        <f t="shared" si="0"/>
        <v>6.8499999999999996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24.68</v>
      </c>
      <c r="C35" s="29">
        <f t="shared" si="1"/>
        <v>32.030000000000001</v>
      </c>
      <c r="D35" s="29">
        <f t="shared" si="1"/>
        <v>37.039999999999999</v>
      </c>
      <c r="E35" s="29">
        <f t="shared" si="1"/>
        <v>3.9500000000000002</v>
      </c>
      <c r="F35" s="29">
        <f t="shared" si="1"/>
        <v>15.76</v>
      </c>
      <c r="G35" s="29">
        <f t="shared" si="1"/>
        <v>31.219999999999999</v>
      </c>
      <c r="H35" s="29">
        <f t="shared" si="1"/>
        <v>19.870000000000001</v>
      </c>
      <c r="I35" s="29">
        <f t="shared" si="1"/>
        <v>0</v>
      </c>
      <c r="J35" s="29">
        <f t="shared" si="1"/>
        <v>1.5700000000000001</v>
      </c>
      <c r="K35" s="29">
        <f t="shared" si="1"/>
        <v>359.49000000000001</v>
      </c>
      <c r="L35" s="29">
        <f t="shared" si="1"/>
        <v>28.940000000000001</v>
      </c>
      <c r="M35" s="29">
        <f t="shared" si="1"/>
        <v>97.280000000000001</v>
      </c>
      <c r="N35" s="29">
        <f t="shared" si="1"/>
        <v>1042.7</v>
      </c>
      <c r="O35" s="29">
        <f t="shared" si="1"/>
        <v>1</v>
      </c>
      <c r="P35" s="29">
        <f t="shared" si="1"/>
        <v>1.1299999999999999</v>
      </c>
      <c r="Q35" s="29">
        <f t="shared" si="1"/>
        <v>17.41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9.0691666666666677</v>
      </c>
      <c r="C36" s="28">
        <f t="shared" si="2"/>
        <v>18.627916666666664</v>
      </c>
      <c r="D36" s="28">
        <f t="shared" si="2"/>
        <v>17.985833333333336</v>
      </c>
      <c r="E36" s="28">
        <f t="shared" si="2"/>
        <v>2.8966666666666665</v>
      </c>
      <c r="F36" s="28">
        <f t="shared" si="2"/>
        <v>9.2949999999999999</v>
      </c>
      <c r="G36" s="28">
        <f t="shared" si="2"/>
        <v>17.265000000000001</v>
      </c>
      <c r="H36" s="28">
        <f t="shared" si="2"/>
        <v>10.224999999999998</v>
      </c>
      <c r="I36" s="8" t="s">
        <v>8</v>
      </c>
      <c r="J36" s="28">
        <f t="shared" si="2"/>
        <v>0.56291666666666673</v>
      </c>
      <c r="K36" s="28">
        <f t="shared" si="2"/>
        <v>228.64875000000004</v>
      </c>
      <c r="L36" s="28">
        <f t="shared" si="2"/>
        <v>24.56208333333333</v>
      </c>
      <c r="M36" s="28">
        <f t="shared" si="2"/>
        <v>93.47499999999998</v>
      </c>
      <c r="N36" s="28">
        <f t="shared" si="2"/>
        <v>224.95833333333334</v>
      </c>
      <c r="O36" s="28">
        <f t="shared" si="2"/>
        <v>0.058333333333333327</v>
      </c>
      <c r="P36" s="28">
        <f t="shared" si="2"/>
        <v>0.39958333333333335</v>
      </c>
      <c r="Q36" s="28">
        <f t="shared" si="2"/>
        <v>13.722083333333336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5.3449219432757031</v>
      </c>
      <c r="C37" s="28">
        <f t="shared" si="3" ref="C37:Q37">STDEV(C9:C32)</f>
        <v>6.5122519842061726</v>
      </c>
      <c r="D37" s="28">
        <f t="shared" si="3"/>
        <v>7.6389829260790609</v>
      </c>
      <c r="E37" s="28">
        <f t="shared" si="3"/>
        <v>0.52666850118924846</v>
      </c>
      <c r="F37" s="28">
        <f t="shared" si="3"/>
        <v>2.7573254211755378</v>
      </c>
      <c r="G37" s="28">
        <f t="shared" si="3"/>
        <v>8.879609987460702</v>
      </c>
      <c r="H37" s="28">
        <f t="shared" si="3"/>
        <v>5.6660435931962319</v>
      </c>
      <c r="I37" s="8" t="s">
        <v>8</v>
      </c>
      <c r="J37" s="28">
        <f t="shared" si="3"/>
        <v>0.45617005950457307</v>
      </c>
      <c r="K37" s="28">
        <f t="shared" si="3"/>
        <v>66.577299846804308</v>
      </c>
      <c r="L37" s="28">
        <f t="shared" si="3"/>
        <v>1.8441870582446622</v>
      </c>
      <c r="M37" s="28">
        <f t="shared" si="3"/>
        <v>6.9445092480068151</v>
      </c>
      <c r="N37" s="28">
        <f t="shared" si="3"/>
        <v>287.50369209979624</v>
      </c>
      <c r="O37" s="28">
        <f t="shared" si="3"/>
        <v>0.20834057958412536</v>
      </c>
      <c r="P37" s="28">
        <f t="shared" si="3"/>
        <v>0.23964610078861784</v>
      </c>
      <c r="Q37" s="28">
        <f t="shared" si="3"/>
        <v>3.1221480609498213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COUNT(H9:H32)+6</f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b6cc82-6753-412c-b2e5-c24bc5af3b3e}">
  <sheetPr codeName=""/>
  <dimension ref="A1:U119"/>
  <sheetViews>
    <sheetView workbookViewId="0" topLeftCell="A1">
      <pane xSplit="1" ySplit="8" topLeftCell="B10" activePane="bottomRight" state="frozen"/>
      <selection pane="topLeft" activeCell="B43" sqref="B43"/>
      <selection pane="topRight" activeCell="B43" sqref="B43"/>
      <selection pane="bottomLeft" activeCell="B43" sqref="B43"/>
      <selection pane="bottomRight" activeCell="S29" sqref="S2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17" s="11" customFormat="1" ht="15">
      <c r="A9" s="55" t="s">
        <v>615</v>
      </c>
      <c r="B9" s="61">
        <v>8.6199999999999992</v>
      </c>
      <c r="C9" s="61">
        <v>17.98</v>
      </c>
      <c r="D9" s="61">
        <v>17.48</v>
      </c>
      <c r="E9" s="61">
        <v>1.88</v>
      </c>
      <c r="F9" s="61">
        <v>13.54</v>
      </c>
      <c r="G9" s="62" t="s">
        <v>14</v>
      </c>
      <c r="H9" s="62" t="s">
        <v>14</v>
      </c>
      <c r="I9" s="8" t="s">
        <v>8</v>
      </c>
      <c r="J9" s="61">
        <v>0.48</v>
      </c>
      <c r="K9" s="61">
        <v>287.83</v>
      </c>
      <c r="L9" s="61">
        <v>23.36</v>
      </c>
      <c r="M9" s="61">
        <v>97.25</v>
      </c>
      <c r="N9" s="61">
        <v>26.40</v>
      </c>
      <c r="O9" s="61">
        <v>0</v>
      </c>
      <c r="P9" s="61">
        <v>0.41</v>
      </c>
      <c r="Q9" s="61">
        <v>14.96</v>
      </c>
    </row>
    <row r="10" spans="1:17" s="11" customFormat="1" ht="15">
      <c r="A10" s="55" t="s">
        <v>616</v>
      </c>
      <c r="B10" s="61">
        <v>6.63</v>
      </c>
      <c r="C10" s="61">
        <v>12.90</v>
      </c>
      <c r="D10" s="61">
        <v>12.87</v>
      </c>
      <c r="E10" s="61">
        <v>2.34</v>
      </c>
      <c r="F10" s="61">
        <v>13.79</v>
      </c>
      <c r="G10" s="62" t="s">
        <v>14</v>
      </c>
      <c r="H10" s="62" t="s">
        <v>14</v>
      </c>
      <c r="I10" s="8" t="s">
        <v>8</v>
      </c>
      <c r="J10" s="61">
        <v>0.11</v>
      </c>
      <c r="K10" s="61">
        <v>333.5</v>
      </c>
      <c r="L10" s="61">
        <v>23.45</v>
      </c>
      <c r="M10" s="61">
        <v>97.25</v>
      </c>
      <c r="N10" s="61">
        <v>26.90</v>
      </c>
      <c r="O10" s="61">
        <v>0</v>
      </c>
      <c r="P10" s="61">
        <v>0.34</v>
      </c>
      <c r="Q10" s="61">
        <v>16.52</v>
      </c>
    </row>
    <row r="11" spans="1:17" s="11" customFormat="1" ht="15">
      <c r="A11" s="55" t="s">
        <v>617</v>
      </c>
      <c r="B11" s="61">
        <v>7.45</v>
      </c>
      <c r="C11" s="61">
        <v>13.02</v>
      </c>
      <c r="D11" s="61">
        <v>13.81</v>
      </c>
      <c r="E11" s="61">
        <v>2.35</v>
      </c>
      <c r="F11" s="61">
        <v>8.56</v>
      </c>
      <c r="G11" s="62" t="s">
        <v>14</v>
      </c>
      <c r="H11" s="62" t="s">
        <v>14</v>
      </c>
      <c r="I11" s="8" t="s">
        <v>8</v>
      </c>
      <c r="J11" s="61">
        <v>0.68</v>
      </c>
      <c r="K11" s="61">
        <v>299.33999999999997</v>
      </c>
      <c r="L11" s="61">
        <v>23.52</v>
      </c>
      <c r="M11" s="61">
        <v>97.25</v>
      </c>
      <c r="N11" s="61">
        <v>27</v>
      </c>
      <c r="O11" s="61">
        <v>0</v>
      </c>
      <c r="P11" s="61">
        <v>0.34</v>
      </c>
      <c r="Q11" s="61">
        <v>13.78</v>
      </c>
    </row>
    <row r="12" spans="1:17" s="11" customFormat="1" ht="15">
      <c r="A12" s="55" t="s">
        <v>618</v>
      </c>
      <c r="B12" s="61">
        <v>5.44</v>
      </c>
      <c r="C12" s="61">
        <v>12.31</v>
      </c>
      <c r="D12" s="61">
        <v>11.80</v>
      </c>
      <c r="E12" s="61">
        <v>1.99</v>
      </c>
      <c r="F12" s="61">
        <v>13.15</v>
      </c>
      <c r="G12" s="62" t="s">
        <v>14</v>
      </c>
      <c r="H12" s="62" t="s">
        <v>14</v>
      </c>
      <c r="I12" s="8" t="s">
        <v>8</v>
      </c>
      <c r="J12" s="61">
        <v>0.28000000000000003</v>
      </c>
      <c r="K12" s="61">
        <v>339.95</v>
      </c>
      <c r="L12" s="61">
        <v>23.43</v>
      </c>
      <c r="M12" s="61">
        <v>97.25</v>
      </c>
      <c r="N12" s="61">
        <v>26.70</v>
      </c>
      <c r="O12" s="61">
        <v>0</v>
      </c>
      <c r="P12" s="61">
        <v>0.26</v>
      </c>
      <c r="Q12" s="61">
        <v>14.72</v>
      </c>
    </row>
    <row r="13" spans="1:17" s="11" customFormat="1" ht="15">
      <c r="A13" s="55" t="s">
        <v>619</v>
      </c>
      <c r="B13" s="61">
        <v>18.05</v>
      </c>
      <c r="C13" s="61">
        <v>17.600000000000001</v>
      </c>
      <c r="D13" s="61">
        <v>23.73</v>
      </c>
      <c r="E13" s="61">
        <v>2.65</v>
      </c>
      <c r="F13" s="61">
        <v>8.7100000000000009</v>
      </c>
      <c r="G13" s="61">
        <v>20.61</v>
      </c>
      <c r="H13" s="61">
        <v>12.43</v>
      </c>
      <c r="I13" s="8" t="s">
        <v>8</v>
      </c>
      <c r="J13" s="61">
        <v>0.11</v>
      </c>
      <c r="K13" s="61">
        <v>279.56</v>
      </c>
      <c r="L13" s="61">
        <v>22.98</v>
      </c>
      <c r="M13" s="61">
        <v>97.29</v>
      </c>
      <c r="N13" s="61">
        <v>26.40</v>
      </c>
      <c r="O13" s="61">
        <v>0</v>
      </c>
      <c r="P13" s="61">
        <v>0.38</v>
      </c>
      <c r="Q13" s="61">
        <v>16.399999999999999</v>
      </c>
    </row>
    <row r="14" spans="1:17" s="11" customFormat="1" ht="15">
      <c r="A14" s="55" t="s">
        <v>620</v>
      </c>
      <c r="B14" s="61">
        <v>14.89</v>
      </c>
      <c r="C14" s="61">
        <v>19.13</v>
      </c>
      <c r="D14" s="61">
        <v>23.12</v>
      </c>
      <c r="E14" s="61">
        <v>2.57</v>
      </c>
      <c r="F14" s="61">
        <v>6.38</v>
      </c>
      <c r="G14" s="61">
        <v>20.78</v>
      </c>
      <c r="H14" s="61">
        <v>12.32</v>
      </c>
      <c r="I14" s="8" t="s">
        <v>8</v>
      </c>
      <c r="J14" s="61">
        <v>0.12</v>
      </c>
      <c r="K14" s="61">
        <v>310.62</v>
      </c>
      <c r="L14" s="61">
        <v>22.93</v>
      </c>
      <c r="M14" s="61">
        <v>97.28</v>
      </c>
      <c r="N14" s="61">
        <v>61.80</v>
      </c>
      <c r="O14" s="61">
        <v>0</v>
      </c>
      <c r="P14" s="61">
        <v>0.31</v>
      </c>
      <c r="Q14" s="61">
        <v>13.78</v>
      </c>
    </row>
    <row r="15" spans="1:17" s="11" customFormat="1" ht="15">
      <c r="A15" s="55" t="s">
        <v>621</v>
      </c>
      <c r="B15" s="61">
        <v>14.05</v>
      </c>
      <c r="C15" s="61">
        <v>22.34</v>
      </c>
      <c r="D15" s="61">
        <v>23.42</v>
      </c>
      <c r="E15" s="61">
        <v>2.57</v>
      </c>
      <c r="F15" s="61">
        <v>9.0399999999999991</v>
      </c>
      <c r="G15" s="61">
        <v>23.45</v>
      </c>
      <c r="H15" s="61">
        <v>17.22</v>
      </c>
      <c r="I15" s="8" t="s">
        <v>8</v>
      </c>
      <c r="J15" s="61">
        <v>0.33</v>
      </c>
      <c r="K15" s="61">
        <v>225.51</v>
      </c>
      <c r="L15" s="61">
        <v>23.70</v>
      </c>
      <c r="M15" s="61">
        <v>97.25</v>
      </c>
      <c r="N15" s="61">
        <v>90.30</v>
      </c>
      <c r="O15" s="61">
        <v>0</v>
      </c>
      <c r="P15" s="61">
        <v>0.28999999999999998</v>
      </c>
      <c r="Q15" s="61">
        <v>16.739999999999998</v>
      </c>
    </row>
    <row r="16" spans="1:17" s="11" customFormat="1" ht="15">
      <c r="A16" s="55" t="s">
        <v>622</v>
      </c>
      <c r="B16" s="61">
        <v>11.44</v>
      </c>
      <c r="C16" s="61">
        <v>15.29</v>
      </c>
      <c r="D16" s="61">
        <v>17.52</v>
      </c>
      <c r="E16" s="61">
        <v>2.74</v>
      </c>
      <c r="F16" s="61">
        <v>6.31</v>
      </c>
      <c r="G16" s="61">
        <v>24.12</v>
      </c>
      <c r="H16" s="61">
        <v>17.22</v>
      </c>
      <c r="I16" s="8" t="s">
        <v>8</v>
      </c>
      <c r="J16" s="61">
        <v>0.87</v>
      </c>
      <c r="K16" s="61">
        <v>194.78</v>
      </c>
      <c r="L16" s="61">
        <v>25.17</v>
      </c>
      <c r="M16" s="61">
        <v>97.22</v>
      </c>
      <c r="N16" s="61">
        <v>417.60</v>
      </c>
      <c r="O16" s="61">
        <v>0</v>
      </c>
      <c r="P16" s="61">
        <v>0.37</v>
      </c>
      <c r="Q16" s="61">
        <v>17.70</v>
      </c>
    </row>
    <row r="17" spans="1:17" s="11" customFormat="1" ht="15">
      <c r="A17" s="55" t="s">
        <v>623</v>
      </c>
      <c r="B17" s="61">
        <v>10.73</v>
      </c>
      <c r="C17" s="61">
        <v>15.69</v>
      </c>
      <c r="D17" s="61">
        <v>16.86</v>
      </c>
      <c r="E17" s="61">
        <v>3.11</v>
      </c>
      <c r="F17" s="61">
        <v>5.22</v>
      </c>
      <c r="G17" s="61">
        <v>25.88</v>
      </c>
      <c r="H17" s="61">
        <v>13.76</v>
      </c>
      <c r="I17" s="8" t="s">
        <v>8</v>
      </c>
      <c r="J17" s="61">
        <v>0.18</v>
      </c>
      <c r="K17" s="61">
        <v>203.76</v>
      </c>
      <c r="L17" s="61">
        <v>25.41</v>
      </c>
      <c r="M17" s="61">
        <v>91.29</v>
      </c>
      <c r="N17" s="61">
        <v>298.30</v>
      </c>
      <c r="O17" s="61">
        <v>0</v>
      </c>
      <c r="P17" s="61">
        <v>0.34</v>
      </c>
      <c r="Q17" s="61">
        <v>14.41</v>
      </c>
    </row>
    <row r="18" spans="1:17" s="11" customFormat="1" ht="15">
      <c r="A18" s="55" t="s">
        <v>624</v>
      </c>
      <c r="B18" s="61">
        <v>10.32</v>
      </c>
      <c r="C18" s="61">
        <v>16.27</v>
      </c>
      <c r="D18" s="61">
        <v>17.91</v>
      </c>
      <c r="E18" s="61">
        <v>3.02</v>
      </c>
      <c r="F18" s="61">
        <v>13.74</v>
      </c>
      <c r="G18" s="61">
        <v>25.94</v>
      </c>
      <c r="H18" s="61">
        <v>12.04</v>
      </c>
      <c r="I18" s="8" t="s">
        <v>8</v>
      </c>
      <c r="J18" s="61">
        <v>0.41</v>
      </c>
      <c r="K18" s="61">
        <v>354.70</v>
      </c>
      <c r="L18" s="61">
        <v>27.41</v>
      </c>
      <c r="M18" s="61">
        <v>90.02</v>
      </c>
      <c r="N18" s="61">
        <v>667.90</v>
      </c>
      <c r="O18" s="61">
        <v>0</v>
      </c>
      <c r="P18" s="61">
        <v>0.43</v>
      </c>
      <c r="Q18" s="61">
        <v>11.09</v>
      </c>
    </row>
    <row r="19" spans="1:17" s="11" customFormat="1" ht="15">
      <c r="A19" s="55" t="s">
        <v>625</v>
      </c>
      <c r="B19" s="61">
        <v>15.61</v>
      </c>
      <c r="C19" s="61">
        <v>18.04</v>
      </c>
      <c r="D19" s="61">
        <v>23.12</v>
      </c>
      <c r="E19" s="61">
        <v>3.37</v>
      </c>
      <c r="F19" s="61">
        <v>13.03</v>
      </c>
      <c r="G19" s="61">
        <v>41.79</v>
      </c>
      <c r="H19" s="61">
        <v>12.04</v>
      </c>
      <c r="I19" s="8" t="s">
        <v>8</v>
      </c>
      <c r="J19" s="61">
        <v>1.1599999999999999</v>
      </c>
      <c r="K19" s="61">
        <v>357.71</v>
      </c>
      <c r="L19" s="61">
        <v>32.450000000000003</v>
      </c>
      <c r="M19" s="61">
        <v>76.150000000000006</v>
      </c>
      <c r="N19" s="61">
        <v>932.60</v>
      </c>
      <c r="O19" s="61">
        <v>0</v>
      </c>
      <c r="P19" s="61">
        <v>0.60</v>
      </c>
      <c r="Q19" s="61">
        <v>12.40</v>
      </c>
    </row>
    <row r="20" spans="1:17" s="11" customFormat="1" ht="15">
      <c r="A20" s="55" t="s">
        <v>626</v>
      </c>
      <c r="B20" s="61">
        <v>14.70</v>
      </c>
      <c r="C20" s="61">
        <v>21.28</v>
      </c>
      <c r="D20" s="61">
        <v>22.57</v>
      </c>
      <c r="E20" s="61">
        <v>3.01</v>
      </c>
      <c r="F20" s="61">
        <v>12.91</v>
      </c>
      <c r="G20" s="61">
        <v>58.51</v>
      </c>
      <c r="H20" s="61">
        <v>9.10</v>
      </c>
      <c r="I20" s="8" t="s">
        <v>8</v>
      </c>
      <c r="J20" s="61">
        <v>1.29</v>
      </c>
      <c r="K20" s="61">
        <v>356.5</v>
      </c>
      <c r="L20" s="61">
        <v>31.30</v>
      </c>
      <c r="M20" s="61">
        <v>82.38</v>
      </c>
      <c r="N20" s="61">
        <v>983.70</v>
      </c>
      <c r="O20" s="61">
        <v>0</v>
      </c>
      <c r="P20" s="61">
        <v>0.68</v>
      </c>
      <c r="Q20" s="61">
        <v>9.73</v>
      </c>
    </row>
    <row r="21" spans="1:17" s="11" customFormat="1" ht="15">
      <c r="A21" s="55" t="s">
        <v>627</v>
      </c>
      <c r="B21" s="61">
        <v>11.16</v>
      </c>
      <c r="C21" s="61">
        <v>25.28</v>
      </c>
      <c r="D21" s="61">
        <v>23.55</v>
      </c>
      <c r="E21" s="61">
        <v>2.68</v>
      </c>
      <c r="F21" s="61">
        <v>25.81</v>
      </c>
      <c r="G21" s="61">
        <v>60.19</v>
      </c>
      <c r="H21" s="61">
        <v>7.05</v>
      </c>
      <c r="I21" s="8" t="s">
        <v>8</v>
      </c>
      <c r="J21" s="61">
        <v>0.49</v>
      </c>
      <c r="K21" s="61">
        <v>348.64</v>
      </c>
      <c r="L21" s="61">
        <v>32.47</v>
      </c>
      <c r="M21" s="61">
        <v>63.5</v>
      </c>
      <c r="N21" s="61">
        <v>1060.20</v>
      </c>
      <c r="O21" s="61">
        <v>0</v>
      </c>
      <c r="P21" s="61">
        <v>0.73</v>
      </c>
      <c r="Q21" s="61">
        <v>10.68</v>
      </c>
    </row>
    <row r="22" spans="1:17" s="11" customFormat="1" ht="15">
      <c r="A22" s="55" t="s">
        <v>628</v>
      </c>
      <c r="B22" s="61">
        <v>9.76</v>
      </c>
      <c r="C22" s="61">
        <v>29.60</v>
      </c>
      <c r="D22" s="61">
        <v>23.91</v>
      </c>
      <c r="E22" s="61">
        <v>3.16</v>
      </c>
      <c r="F22" s="61">
        <v>15.46</v>
      </c>
      <c r="G22" s="61">
        <v>68.63</v>
      </c>
      <c r="H22" s="61">
        <v>5.61</v>
      </c>
      <c r="I22" s="8" t="s">
        <v>8</v>
      </c>
      <c r="J22" s="61">
        <v>1.1599999999999999</v>
      </c>
      <c r="K22" s="61">
        <v>359.83</v>
      </c>
      <c r="L22" s="61">
        <v>32.49</v>
      </c>
      <c r="M22" s="61">
        <v>84.70</v>
      </c>
      <c r="N22" s="61">
        <v>433</v>
      </c>
      <c r="O22" s="61">
        <v>0</v>
      </c>
      <c r="P22" s="61">
        <v>0.81</v>
      </c>
      <c r="Q22" s="61">
        <v>11.09</v>
      </c>
    </row>
    <row r="23" spans="1:17" s="11" customFormat="1" ht="15">
      <c r="A23" s="55" t="s">
        <v>629</v>
      </c>
      <c r="B23" s="61">
        <v>6.25</v>
      </c>
      <c r="C23" s="61">
        <v>24.42</v>
      </c>
      <c r="D23" s="61">
        <v>18.96</v>
      </c>
      <c r="E23" s="61">
        <v>2.67</v>
      </c>
      <c r="F23" s="61">
        <v>6.53</v>
      </c>
      <c r="G23" s="61">
        <v>68.92</v>
      </c>
      <c r="H23" s="61">
        <v>22.85</v>
      </c>
      <c r="I23" s="8" t="s">
        <v>8</v>
      </c>
      <c r="J23" s="61">
        <v>1.73</v>
      </c>
      <c r="K23" s="61">
        <v>119.80</v>
      </c>
      <c r="L23" s="61">
        <v>23.74</v>
      </c>
      <c r="M23" s="61">
        <v>97.25</v>
      </c>
      <c r="N23" s="61">
        <v>62.90</v>
      </c>
      <c r="O23" s="61">
        <v>1</v>
      </c>
      <c r="P23" s="61">
        <v>0.72</v>
      </c>
      <c r="Q23" s="61">
        <v>12.41</v>
      </c>
    </row>
    <row r="24" spans="1:17" s="11" customFormat="1" ht="15">
      <c r="A24" s="55" t="s">
        <v>630</v>
      </c>
      <c r="B24" s="61">
        <v>12.06</v>
      </c>
      <c r="C24" s="61">
        <v>24.47</v>
      </c>
      <c r="D24" s="61">
        <v>23.82</v>
      </c>
      <c r="E24" s="61">
        <v>2.5</v>
      </c>
      <c r="F24" s="61">
        <v>12.86</v>
      </c>
      <c r="G24" s="61">
        <v>50.98</v>
      </c>
      <c r="H24" s="61">
        <v>22.85</v>
      </c>
      <c r="I24" s="8" t="s">
        <v>8</v>
      </c>
      <c r="J24" s="61">
        <v>0.87</v>
      </c>
      <c r="K24" s="61">
        <v>113.65</v>
      </c>
      <c r="L24" s="61">
        <v>24.51</v>
      </c>
      <c r="M24" s="61">
        <v>97.25</v>
      </c>
      <c r="N24" s="61">
        <v>276.89999999999998</v>
      </c>
      <c r="O24" s="61">
        <v>0</v>
      </c>
      <c r="P24" s="61">
        <v>0.62</v>
      </c>
      <c r="Q24" s="61">
        <v>17.27</v>
      </c>
    </row>
    <row r="25" spans="1:17" s="11" customFormat="1" ht="15">
      <c r="A25" s="55" t="s">
        <v>631</v>
      </c>
      <c r="B25" s="61">
        <v>9.2100000000000009</v>
      </c>
      <c r="C25" s="61">
        <v>26.63</v>
      </c>
      <c r="D25" s="61">
        <v>22.73</v>
      </c>
      <c r="E25" s="61">
        <v>3.23</v>
      </c>
      <c r="F25" s="61">
        <v>11.66</v>
      </c>
      <c r="G25" s="61">
        <v>33.909999999999997</v>
      </c>
      <c r="H25" s="61">
        <v>11.11</v>
      </c>
      <c r="I25" s="8" t="s">
        <v>8</v>
      </c>
      <c r="J25" s="61">
        <v>0.89</v>
      </c>
      <c r="K25" s="61">
        <v>123.68</v>
      </c>
      <c r="L25" s="61">
        <v>25.53</v>
      </c>
      <c r="M25" s="61">
        <v>94.83</v>
      </c>
      <c r="N25" s="61">
        <v>230.70</v>
      </c>
      <c r="O25" s="61">
        <v>0</v>
      </c>
      <c r="P25" s="61">
        <v>0.62</v>
      </c>
      <c r="Q25" s="61">
        <v>18.059999999999999</v>
      </c>
    </row>
    <row r="26" spans="1:17" s="11" customFormat="1" ht="15">
      <c r="A26" s="55" t="s">
        <v>632</v>
      </c>
      <c r="B26" s="61">
        <v>10.92</v>
      </c>
      <c r="C26" s="61">
        <v>26.08</v>
      </c>
      <c r="D26" s="61">
        <v>23.80</v>
      </c>
      <c r="E26" s="61">
        <v>3.06</v>
      </c>
      <c r="F26" s="61">
        <v>13.84</v>
      </c>
      <c r="G26" s="61">
        <v>30.52</v>
      </c>
      <c r="H26" s="61">
        <v>11.11</v>
      </c>
      <c r="I26" s="8" t="s">
        <v>8</v>
      </c>
      <c r="J26" s="61">
        <v>0.98</v>
      </c>
      <c r="K26" s="61">
        <v>118.11</v>
      </c>
      <c r="L26" s="61">
        <v>25.51</v>
      </c>
      <c r="M26" s="61">
        <v>88.45</v>
      </c>
      <c r="N26" s="61">
        <v>134.90</v>
      </c>
      <c r="O26" s="61">
        <v>0</v>
      </c>
      <c r="P26" s="61">
        <v>0.63</v>
      </c>
      <c r="Q26" s="61">
        <v>16.670000000000002</v>
      </c>
    </row>
    <row r="27" spans="1:17" s="11" customFormat="1" ht="15">
      <c r="A27" s="55" t="s">
        <v>633</v>
      </c>
      <c r="B27" s="61">
        <v>18.95</v>
      </c>
      <c r="C27" s="61">
        <v>39.020000000000003</v>
      </c>
      <c r="D27" s="61">
        <v>37.090000000000003</v>
      </c>
      <c r="E27" s="61">
        <v>3.12</v>
      </c>
      <c r="F27" s="61">
        <v>9.3800000000000008</v>
      </c>
      <c r="G27" s="61">
        <v>30.53</v>
      </c>
      <c r="H27" s="61">
        <v>18.96</v>
      </c>
      <c r="I27" s="8" t="s">
        <v>8</v>
      </c>
      <c r="J27" s="61">
        <v>0.69</v>
      </c>
      <c r="K27" s="61">
        <v>117.68</v>
      </c>
      <c r="L27" s="61">
        <v>25.16</v>
      </c>
      <c r="M27" s="61">
        <v>90.27</v>
      </c>
      <c r="N27" s="61">
        <v>75.900000000000006</v>
      </c>
      <c r="O27" s="61">
        <v>0</v>
      </c>
      <c r="P27" s="61">
        <v>0.97</v>
      </c>
      <c r="Q27" s="61">
        <v>20.69</v>
      </c>
    </row>
    <row r="28" spans="1:17" s="11" customFormat="1" ht="15">
      <c r="A28" s="55" t="s">
        <v>634</v>
      </c>
      <c r="B28" s="61">
        <v>12.92</v>
      </c>
      <c r="C28" s="61">
        <v>33.17</v>
      </c>
      <c r="D28" s="61">
        <v>29.31</v>
      </c>
      <c r="E28" s="61">
        <v>3.05</v>
      </c>
      <c r="F28" s="61">
        <v>11.69</v>
      </c>
      <c r="G28" s="61">
        <v>31.24</v>
      </c>
      <c r="H28" s="61">
        <v>18.96</v>
      </c>
      <c r="I28" s="8" t="s">
        <v>8</v>
      </c>
      <c r="J28" s="61">
        <v>0.30</v>
      </c>
      <c r="K28" s="61">
        <v>183.60</v>
      </c>
      <c r="L28" s="61">
        <v>24.83</v>
      </c>
      <c r="M28" s="61">
        <v>93.07</v>
      </c>
      <c r="N28" s="61">
        <v>42.5</v>
      </c>
      <c r="O28" s="61">
        <v>0</v>
      </c>
      <c r="P28" s="61">
        <v>0.74</v>
      </c>
      <c r="Q28" s="61">
        <v>20.61</v>
      </c>
    </row>
    <row r="29" spans="1:17" s="11" customFormat="1" ht="15">
      <c r="A29" s="55" t="s">
        <v>635</v>
      </c>
      <c r="B29" s="61">
        <v>35.380000000000003</v>
      </c>
      <c r="C29" s="61">
        <v>32.770000000000003</v>
      </c>
      <c r="D29" s="61">
        <v>46.99</v>
      </c>
      <c r="E29" s="61">
        <v>2.39</v>
      </c>
      <c r="F29" s="61">
        <v>9.5500000000000007</v>
      </c>
      <c r="G29" s="61">
        <v>31.27</v>
      </c>
      <c r="H29" s="61">
        <v>16.559999999999999</v>
      </c>
      <c r="I29" s="8" t="s">
        <v>8</v>
      </c>
      <c r="J29" s="61">
        <v>0.17</v>
      </c>
      <c r="K29" s="61">
        <v>337.26</v>
      </c>
      <c r="L29" s="61">
        <v>24.66</v>
      </c>
      <c r="M29" s="61">
        <v>97.02</v>
      </c>
      <c r="N29" s="61">
        <v>42.5</v>
      </c>
      <c r="O29" s="61">
        <v>0</v>
      </c>
      <c r="P29" s="61">
        <v>1.75</v>
      </c>
      <c r="Q29" s="61">
        <v>16.47</v>
      </c>
    </row>
    <row r="30" spans="1:17" s="11" customFormat="1" ht="15">
      <c r="A30" s="55" t="s">
        <v>636</v>
      </c>
      <c r="B30" s="61">
        <v>99.74</v>
      </c>
      <c r="C30" s="61">
        <v>37.799999999999997</v>
      </c>
      <c r="D30" s="61">
        <v>95.03</v>
      </c>
      <c r="E30" s="61">
        <v>2.69</v>
      </c>
      <c r="F30" s="61">
        <v>6.63</v>
      </c>
      <c r="G30" s="61">
        <v>55.05</v>
      </c>
      <c r="H30" s="61">
        <v>22.82</v>
      </c>
      <c r="I30" s="8" t="s">
        <v>8</v>
      </c>
      <c r="J30" s="61">
        <v>0.10</v>
      </c>
      <c r="K30" s="61">
        <v>320.39999999999998</v>
      </c>
      <c r="L30" s="61">
        <v>23.96</v>
      </c>
      <c r="M30" s="61">
        <v>97.25</v>
      </c>
      <c r="N30" s="61">
        <v>42.30</v>
      </c>
      <c r="O30" s="61">
        <v>0</v>
      </c>
      <c r="P30" s="61">
        <v>2.10</v>
      </c>
      <c r="Q30" s="61">
        <v>18.23</v>
      </c>
    </row>
    <row r="31" spans="1:17" s="11" customFormat="1" ht="15">
      <c r="A31" s="55" t="s">
        <v>637</v>
      </c>
      <c r="B31" s="61">
        <v>31.48</v>
      </c>
      <c r="C31" s="61">
        <v>32.5</v>
      </c>
      <c r="D31" s="61">
        <v>41.91</v>
      </c>
      <c r="E31" s="61">
        <v>2.79</v>
      </c>
      <c r="F31" s="61">
        <v>6.95</v>
      </c>
      <c r="G31" s="61">
        <v>78.64</v>
      </c>
      <c r="H31" s="61">
        <v>29.91</v>
      </c>
      <c r="I31" s="8" t="s">
        <v>8</v>
      </c>
      <c r="J31" s="61">
        <v>0.09</v>
      </c>
      <c r="K31" s="61">
        <v>340.90</v>
      </c>
      <c r="L31" s="61">
        <v>23.90</v>
      </c>
      <c r="M31" s="61">
        <v>97.25</v>
      </c>
      <c r="N31" s="61">
        <v>42.40</v>
      </c>
      <c r="O31" s="61">
        <v>0</v>
      </c>
      <c r="P31" s="61">
        <v>1.29</v>
      </c>
      <c r="Q31" s="61">
        <v>20.82</v>
      </c>
    </row>
    <row r="32" spans="1:17" s="11" customFormat="1" ht="15">
      <c r="A32" s="55" t="s">
        <v>638</v>
      </c>
      <c r="B32" s="61">
        <v>23.25</v>
      </c>
      <c r="C32" s="61">
        <v>27.72</v>
      </c>
      <c r="D32" s="61">
        <v>33.26</v>
      </c>
      <c r="E32" s="61">
        <v>2.61</v>
      </c>
      <c r="F32" s="61">
        <v>12.53</v>
      </c>
      <c r="G32" s="61">
        <v>79.430000000000007</v>
      </c>
      <c r="H32" s="61">
        <v>29.91</v>
      </c>
      <c r="I32" s="8" t="s">
        <v>8</v>
      </c>
      <c r="J32" s="61">
        <v>0.08</v>
      </c>
      <c r="K32" s="61">
        <v>315.66000000000003</v>
      </c>
      <c r="L32" s="61">
        <v>24.03</v>
      </c>
      <c r="M32" s="61">
        <v>97.25</v>
      </c>
      <c r="N32" s="61">
        <v>42.30</v>
      </c>
      <c r="O32" s="61">
        <v>0</v>
      </c>
      <c r="P32" s="61">
        <v>0.99</v>
      </c>
      <c r="Q32" s="61">
        <v>19.260000000000002</v>
      </c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5.4400000000000004</v>
      </c>
      <c r="C34" s="28">
        <f t="shared" si="0"/>
        <v>12.31</v>
      </c>
      <c r="D34" s="28">
        <f t="shared" si="0"/>
        <v>11.800000000000001</v>
      </c>
      <c r="E34" s="28">
        <f t="shared" si="0"/>
        <v>1.8799999999999999</v>
      </c>
      <c r="F34" s="28">
        <f t="shared" si="0"/>
        <v>5.2199999999999998</v>
      </c>
      <c r="G34" s="28">
        <f t="shared" si="0"/>
        <v>20.609999999999999</v>
      </c>
      <c r="H34" s="28">
        <f t="shared" si="0"/>
        <v>5.6100000000000003</v>
      </c>
      <c r="I34" s="28">
        <f t="shared" si="0"/>
        <v>0</v>
      </c>
      <c r="J34" s="28">
        <f t="shared" si="0"/>
        <v>0.080000000000000002</v>
      </c>
      <c r="K34" s="28">
        <f t="shared" si="0"/>
        <v>113.65000000000001</v>
      </c>
      <c r="L34" s="28">
        <f t="shared" si="0"/>
        <v>22.93</v>
      </c>
      <c r="M34" s="28">
        <f t="shared" si="0"/>
        <v>63.5</v>
      </c>
      <c r="N34" s="28">
        <f t="shared" si="0"/>
        <v>26.399999999999999</v>
      </c>
      <c r="O34" s="28">
        <f t="shared" si="0"/>
        <v>0</v>
      </c>
      <c r="P34" s="28">
        <f t="shared" si="0"/>
        <v>0.26000000000000001</v>
      </c>
      <c r="Q34" s="28">
        <f t="shared" si="0"/>
        <v>9.7300000000000004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99.739999999999995</v>
      </c>
      <c r="C35" s="29">
        <f t="shared" si="1"/>
        <v>39.020000000000003</v>
      </c>
      <c r="D35" s="29">
        <f t="shared" si="1"/>
        <v>95.030000000000001</v>
      </c>
      <c r="E35" s="29">
        <f t="shared" si="1"/>
        <v>3.3700000000000001</v>
      </c>
      <c r="F35" s="29">
        <f t="shared" si="1"/>
        <v>25.809999999999999</v>
      </c>
      <c r="G35" s="29">
        <f t="shared" si="1"/>
        <v>79.430000000000007</v>
      </c>
      <c r="H35" s="29">
        <f t="shared" si="1"/>
        <v>29.91</v>
      </c>
      <c r="I35" s="29">
        <f t="shared" si="1"/>
        <v>0</v>
      </c>
      <c r="J35" s="29">
        <f t="shared" si="1"/>
        <v>1.73</v>
      </c>
      <c r="K35" s="29">
        <f t="shared" si="1"/>
        <v>359.82999999999998</v>
      </c>
      <c r="L35" s="29">
        <f t="shared" si="1"/>
        <v>32.490000000000002</v>
      </c>
      <c r="M35" s="29">
        <f t="shared" si="1"/>
        <v>97.290000000000006</v>
      </c>
      <c r="N35" s="29">
        <f t="shared" si="1"/>
        <v>1060.2</v>
      </c>
      <c r="O35" s="29">
        <f t="shared" si="1"/>
        <v>1</v>
      </c>
      <c r="P35" s="29">
        <f t="shared" si="1"/>
        <v>2.1000000000000001</v>
      </c>
      <c r="Q35" s="29">
        <f t="shared" si="1"/>
        <v>20.82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17.458749999999998</v>
      </c>
      <c r="C36" s="28">
        <f t="shared" si="2"/>
        <v>23.387916666666666</v>
      </c>
      <c r="D36" s="28">
        <f t="shared" si="2"/>
        <v>26.857083333333335</v>
      </c>
      <c r="E36" s="28">
        <f t="shared" si="2"/>
        <v>2.7312499999999997</v>
      </c>
      <c r="F36" s="28">
        <f t="shared" si="2"/>
        <v>11.136249999999997</v>
      </c>
      <c r="G36" s="28">
        <f t="shared" si="2"/>
        <v>43.019499999999994</v>
      </c>
      <c r="H36" s="28">
        <f t="shared" si="2"/>
        <v>16.191500000000001</v>
      </c>
      <c r="I36" s="8" t="s">
        <v>8</v>
      </c>
      <c r="J36" s="28">
        <f t="shared" si="2"/>
        <v>0.56541666666666668</v>
      </c>
      <c r="K36" s="28">
        <f t="shared" si="2"/>
        <v>264.29041666666666</v>
      </c>
      <c r="L36" s="28">
        <f t="shared" si="2"/>
        <v>25.662499999999994</v>
      </c>
      <c r="M36" s="28">
        <f t="shared" si="2"/>
        <v>92.332083333333344</v>
      </c>
      <c r="N36" s="28">
        <f t="shared" si="2"/>
        <v>253.00416666666661</v>
      </c>
      <c r="O36" s="28">
        <f t="shared" si="2"/>
        <v>0.041666666666666664</v>
      </c>
      <c r="P36" s="28">
        <f t="shared" si="2"/>
        <v>0.69666666666666666</v>
      </c>
      <c r="Q36" s="28">
        <f t="shared" si="2"/>
        <v>15.603750000000003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19.009069074134519</v>
      </c>
      <c r="C37" s="28">
        <f t="shared" si="3" ref="C37:Q37">STDEV(C9:C32)</f>
        <v>7.8863409596519638</v>
      </c>
      <c r="D37" s="28">
        <f t="shared" si="3"/>
        <v>16.894008065420493</v>
      </c>
      <c r="E37" s="28">
        <f t="shared" si="3"/>
        <v>0.38068944892357953</v>
      </c>
      <c r="F37" s="28">
        <f t="shared" si="3"/>
        <v>4.3722950022792997</v>
      </c>
      <c r="G37" s="28">
        <f t="shared" si="3"/>
        <v>20.078921515124438</v>
      </c>
      <c r="H37" s="28">
        <f t="shared" si="3"/>
        <v>6.8578447396892992</v>
      </c>
      <c r="I37" s="8" t="s">
        <v>8</v>
      </c>
      <c r="J37" s="28">
        <f t="shared" si="3"/>
        <v>0.4625353492170759</v>
      </c>
      <c r="K37" s="28">
        <f t="shared" si="3"/>
        <v>92.317677447951695</v>
      </c>
      <c r="L37" s="28">
        <f t="shared" si="3"/>
        <v>3.1494571650973278</v>
      </c>
      <c r="M37" s="28">
        <f t="shared" si="3"/>
        <v>8.3919479933557977</v>
      </c>
      <c r="N37" s="28">
        <f t="shared" si="3"/>
        <v>329.98358783847669</v>
      </c>
      <c r="O37" s="28">
        <f t="shared" si="3"/>
        <v>0.20412414523193151</v>
      </c>
      <c r="P37" s="28">
        <f t="shared" si="3"/>
        <v>0.46068631850530473</v>
      </c>
      <c r="Q37" s="28">
        <f t="shared" si="3"/>
        <v>3.2670393624277181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639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a79053-1e04-4af8-8934-23d80a515fa0}">
  <sheetPr codeName=""/>
  <dimension ref="A1:U119"/>
  <sheetViews>
    <sheetView workbookViewId="0" topLeftCell="A1">
      <pane xSplit="1" ySplit="8" topLeftCell="B9" activePane="bottomRight" state="frozen"/>
      <selection pane="topLeft" activeCell="P29" sqref="P29:P32"/>
      <selection pane="topRight" activeCell="P29" sqref="P29:P32"/>
      <selection pane="bottomLeft" activeCell="P29" sqref="P29:P32"/>
      <selection pane="bottomRight" activeCell="K57" sqref="K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6"/>
      <c r="B8" s="67" t="s">
        <v>22</v>
      </c>
      <c r="C8" s="67" t="s">
        <v>22</v>
      </c>
      <c r="D8" s="29" t="s">
        <v>61</v>
      </c>
      <c r="E8" s="67" t="s">
        <v>22</v>
      </c>
      <c r="F8" s="67" t="s">
        <v>22</v>
      </c>
      <c r="G8" s="67" t="s">
        <v>23</v>
      </c>
      <c r="H8" s="67" t="s">
        <v>22</v>
      </c>
      <c r="I8" s="67" t="s">
        <v>22</v>
      </c>
      <c r="J8" s="67" t="s">
        <v>24</v>
      </c>
      <c r="K8" s="67" t="s">
        <v>25</v>
      </c>
      <c r="L8" s="66" t="s">
        <v>27</v>
      </c>
      <c r="M8" s="67" t="s">
        <v>26</v>
      </c>
      <c r="N8" s="67" t="s">
        <v>28</v>
      </c>
      <c r="O8" s="66" t="s">
        <v>29</v>
      </c>
      <c r="P8" s="67" t="s">
        <v>22</v>
      </c>
      <c r="Q8" s="67" t="s">
        <v>22</v>
      </c>
      <c r="R8" s="27"/>
      <c r="S8" s="29"/>
      <c r="T8" s="27"/>
      <c r="U8" s="27"/>
    </row>
    <row r="9" spans="1:21" s="11" customFormat="1" ht="15">
      <c r="A9" s="54" t="s">
        <v>640</v>
      </c>
      <c r="B9" s="55">
        <v>9.18</v>
      </c>
      <c r="C9" s="55">
        <v>15.57</v>
      </c>
      <c r="D9" s="55">
        <v>16.239999999999998</v>
      </c>
      <c r="E9" s="55">
        <v>2.97</v>
      </c>
      <c r="F9" s="55">
        <v>13.44</v>
      </c>
      <c r="G9" s="55">
        <v>59.81</v>
      </c>
      <c r="H9" s="55">
        <v>7.64</v>
      </c>
      <c r="I9" s="56" t="s">
        <v>15</v>
      </c>
      <c r="J9" s="55">
        <v>0.10</v>
      </c>
      <c r="K9" s="55">
        <v>295.45</v>
      </c>
      <c r="L9" s="55">
        <v>23.76</v>
      </c>
      <c r="M9" s="55">
        <v>97.25</v>
      </c>
      <c r="N9" s="55">
        <v>42.20</v>
      </c>
      <c r="O9" s="55">
        <v>0</v>
      </c>
      <c r="P9" s="55">
        <v>0.57999999999999996</v>
      </c>
      <c r="Q9" s="55">
        <v>19.809999999999999</v>
      </c>
      <c r="R9" s="43"/>
      <c r="S9" s="43"/>
      <c r="T9" s="43"/>
      <c r="U9" s="43"/>
    </row>
    <row r="10" spans="1:21" s="11" customFormat="1" ht="15">
      <c r="A10" s="54" t="s">
        <v>641</v>
      </c>
      <c r="B10" s="55">
        <v>11.53</v>
      </c>
      <c r="C10" s="55">
        <v>14.48</v>
      </c>
      <c r="D10" s="55">
        <v>17.88</v>
      </c>
      <c r="E10" s="55">
        <v>3.10</v>
      </c>
      <c r="F10" s="55">
        <v>9.0399999999999991</v>
      </c>
      <c r="G10" s="55">
        <v>49.39</v>
      </c>
      <c r="H10" s="55">
        <v>3.33</v>
      </c>
      <c r="I10" s="56" t="s">
        <v>15</v>
      </c>
      <c r="J10" s="55">
        <v>0.28000000000000003</v>
      </c>
      <c r="K10" s="55">
        <v>358.38</v>
      </c>
      <c r="L10" s="55">
        <v>23.66</v>
      </c>
      <c r="M10" s="55">
        <v>97.25</v>
      </c>
      <c r="N10" s="55">
        <v>42.30</v>
      </c>
      <c r="O10" s="55">
        <v>0</v>
      </c>
      <c r="P10" s="55">
        <v>0.66</v>
      </c>
      <c r="Q10" s="55">
        <v>18.46</v>
      </c>
      <c r="R10" s="43"/>
      <c r="S10" s="43"/>
      <c r="T10" s="43"/>
      <c r="U10" s="43"/>
    </row>
    <row r="11" spans="1:21" s="11" customFormat="1" ht="15">
      <c r="A11" s="54" t="s">
        <v>642</v>
      </c>
      <c r="B11" s="55">
        <v>12.27</v>
      </c>
      <c r="C11" s="55">
        <v>21.77</v>
      </c>
      <c r="D11" s="55">
        <v>19.420000000000002</v>
      </c>
      <c r="E11" s="55">
        <v>2.92</v>
      </c>
      <c r="F11" s="55">
        <v>8.81</v>
      </c>
      <c r="G11" s="55">
        <v>38.90</v>
      </c>
      <c r="H11" s="55">
        <v>2.4900000000000002</v>
      </c>
      <c r="I11" s="56" t="s">
        <v>15</v>
      </c>
      <c r="J11" s="55">
        <v>0.16</v>
      </c>
      <c r="K11" s="55">
        <v>98.42</v>
      </c>
      <c r="L11" s="55">
        <v>23.22</v>
      </c>
      <c r="M11" s="55">
        <v>97.25</v>
      </c>
      <c r="N11" s="55">
        <v>42</v>
      </c>
      <c r="O11" s="55">
        <v>0</v>
      </c>
      <c r="P11" s="55">
        <v>0.64</v>
      </c>
      <c r="Q11" s="55">
        <v>16.57</v>
      </c>
      <c r="R11" s="43"/>
      <c r="S11" s="43"/>
      <c r="T11" s="43"/>
      <c r="U11" s="43"/>
    </row>
    <row r="12" spans="1:21" s="11" customFormat="1" ht="15">
      <c r="A12" s="54" t="s">
        <v>643</v>
      </c>
      <c r="B12" s="55">
        <v>13.91</v>
      </c>
      <c r="C12" s="55">
        <v>31.27</v>
      </c>
      <c r="D12" s="55">
        <v>29.06</v>
      </c>
      <c r="E12" s="55">
        <v>3.22</v>
      </c>
      <c r="F12" s="55">
        <v>6.01</v>
      </c>
      <c r="G12" s="55">
        <v>51.37</v>
      </c>
      <c r="H12" s="55">
        <v>2.31</v>
      </c>
      <c r="I12" s="56" t="s">
        <v>15</v>
      </c>
      <c r="J12" s="55">
        <v>0.16</v>
      </c>
      <c r="K12" s="55">
        <v>356.68</v>
      </c>
      <c r="L12" s="55">
        <v>23.18</v>
      </c>
      <c r="M12" s="55">
        <v>97.26</v>
      </c>
      <c r="N12" s="55">
        <v>42.10</v>
      </c>
      <c r="O12" s="55">
        <v>0</v>
      </c>
      <c r="P12" s="55">
        <v>0.77</v>
      </c>
      <c r="Q12" s="55">
        <v>20.36</v>
      </c>
      <c r="R12" s="43"/>
      <c r="S12" s="43"/>
      <c r="T12" s="43"/>
      <c r="U12" s="43"/>
    </row>
    <row r="13" spans="1:21" s="11" customFormat="1" ht="15">
      <c r="A13" s="54" t="s">
        <v>644</v>
      </c>
      <c r="B13" s="55">
        <v>16.68</v>
      </c>
      <c r="C13" s="55">
        <v>25.68</v>
      </c>
      <c r="D13" s="55">
        <v>27.48</v>
      </c>
      <c r="E13" s="55">
        <v>2.82</v>
      </c>
      <c r="F13" s="55">
        <v>5.28</v>
      </c>
      <c r="G13" s="55">
        <v>61.10</v>
      </c>
      <c r="H13" s="55">
        <v>2.2599999999999998</v>
      </c>
      <c r="I13" s="56" t="s">
        <v>15</v>
      </c>
      <c r="J13" s="55">
        <v>0.38</v>
      </c>
      <c r="K13" s="55">
        <v>84.77</v>
      </c>
      <c r="L13" s="55">
        <v>23.20</v>
      </c>
      <c r="M13" s="55">
        <v>97.27</v>
      </c>
      <c r="N13" s="55">
        <v>42.20</v>
      </c>
      <c r="O13" s="55">
        <v>0</v>
      </c>
      <c r="P13" s="55">
        <v>0.92</v>
      </c>
      <c r="Q13" s="55">
        <v>19.23</v>
      </c>
      <c r="R13" s="43"/>
      <c r="S13" s="43"/>
      <c r="T13" s="43"/>
      <c r="U13" s="43"/>
    </row>
    <row r="14" spans="1:21" s="11" customFormat="1" ht="15">
      <c r="A14" s="54" t="s">
        <v>645</v>
      </c>
      <c r="B14" s="55">
        <v>24.37</v>
      </c>
      <c r="C14" s="55">
        <v>25.03</v>
      </c>
      <c r="D14" s="55">
        <v>33.729999999999997</v>
      </c>
      <c r="E14" s="55">
        <v>2.61</v>
      </c>
      <c r="F14" s="55">
        <v>6.91</v>
      </c>
      <c r="G14" s="55">
        <v>69.11</v>
      </c>
      <c r="H14" s="55">
        <v>55.39</v>
      </c>
      <c r="I14" s="56" t="s">
        <v>15</v>
      </c>
      <c r="J14" s="55">
        <v>0.18</v>
      </c>
      <c r="K14" s="55">
        <v>92.79</v>
      </c>
      <c r="L14" s="55">
        <v>23.28</v>
      </c>
      <c r="M14" s="55">
        <v>97.27</v>
      </c>
      <c r="N14" s="55">
        <v>70.599999999999994</v>
      </c>
      <c r="O14" s="55">
        <v>0</v>
      </c>
      <c r="P14" s="55">
        <v>0.92</v>
      </c>
      <c r="Q14" s="55">
        <v>19.579999999999998</v>
      </c>
      <c r="R14" s="43"/>
      <c r="S14" s="43"/>
      <c r="T14" s="43"/>
      <c r="U14" s="43"/>
    </row>
    <row r="15" spans="1:21" s="11" customFormat="1" ht="15">
      <c r="A15" s="54" t="s">
        <v>646</v>
      </c>
      <c r="B15" s="55">
        <v>22.64</v>
      </c>
      <c r="C15" s="55">
        <v>26.11</v>
      </c>
      <c r="D15" s="55">
        <v>31.31</v>
      </c>
      <c r="E15" s="55">
        <v>2.60</v>
      </c>
      <c r="F15" s="55">
        <v>8.19</v>
      </c>
      <c r="G15" s="55">
        <v>69.47</v>
      </c>
      <c r="H15" s="55">
        <v>55.39</v>
      </c>
      <c r="I15" s="56" t="s">
        <v>15</v>
      </c>
      <c r="J15" s="55">
        <v>0.85</v>
      </c>
      <c r="K15" s="55">
        <v>111.88</v>
      </c>
      <c r="L15" s="55">
        <v>24.60</v>
      </c>
      <c r="M15" s="55">
        <v>97.25</v>
      </c>
      <c r="N15" s="55">
        <v>271.70</v>
      </c>
      <c r="O15" s="55">
        <v>0</v>
      </c>
      <c r="P15" s="55">
        <v>0.73</v>
      </c>
      <c r="Q15" s="55">
        <v>24.40</v>
      </c>
      <c r="R15" s="43"/>
      <c r="S15" s="43"/>
      <c r="T15" s="43"/>
      <c r="U15" s="43"/>
    </row>
    <row r="16" spans="1:21" s="11" customFormat="1" ht="15">
      <c r="A16" s="54" t="s">
        <v>647</v>
      </c>
      <c r="B16" s="55">
        <v>19.72</v>
      </c>
      <c r="C16" s="55">
        <v>19.899999999999999</v>
      </c>
      <c r="D16" s="55">
        <v>27.19</v>
      </c>
      <c r="E16" s="55">
        <v>2.91</v>
      </c>
      <c r="F16" s="55">
        <v>6.85</v>
      </c>
      <c r="G16" s="55">
        <v>66.45</v>
      </c>
      <c r="H16" s="55">
        <v>19.25</v>
      </c>
      <c r="I16" s="56" t="s">
        <v>15</v>
      </c>
      <c r="J16" s="55">
        <v>1.49</v>
      </c>
      <c r="K16" s="55">
        <v>120.63</v>
      </c>
      <c r="L16" s="55">
        <v>26.27</v>
      </c>
      <c r="M16" s="55">
        <v>94.35</v>
      </c>
      <c r="N16" s="55">
        <v>564.10</v>
      </c>
      <c r="O16" s="55">
        <v>0</v>
      </c>
      <c r="P16" s="55">
        <v>0.71</v>
      </c>
      <c r="Q16" s="55">
        <v>26.15</v>
      </c>
      <c r="R16" s="43"/>
      <c r="S16" s="43"/>
      <c r="T16" s="43"/>
      <c r="U16" s="43"/>
    </row>
    <row r="17" spans="1:21" s="11" customFormat="1" ht="15">
      <c r="A17" s="54" t="s">
        <v>648</v>
      </c>
      <c r="B17" s="55">
        <v>15.81</v>
      </c>
      <c r="C17" s="55">
        <v>19.71</v>
      </c>
      <c r="D17" s="55">
        <v>23.72</v>
      </c>
      <c r="E17" s="55">
        <v>3.53</v>
      </c>
      <c r="F17" s="55">
        <v>10.28</v>
      </c>
      <c r="G17" s="55">
        <v>53.61</v>
      </c>
      <c r="H17" s="55">
        <v>45.17</v>
      </c>
      <c r="I17" s="56" t="s">
        <v>15</v>
      </c>
      <c r="J17" s="55">
        <v>1.79</v>
      </c>
      <c r="K17" s="55">
        <v>121.66</v>
      </c>
      <c r="L17" s="55">
        <v>27.28</v>
      </c>
      <c r="M17" s="55">
        <v>84.01</v>
      </c>
      <c r="N17" s="55">
        <v>713.20</v>
      </c>
      <c r="O17" s="55">
        <v>0</v>
      </c>
      <c r="P17" s="55">
        <v>0.64</v>
      </c>
      <c r="Q17" s="55">
        <v>29.63</v>
      </c>
      <c r="R17" s="43"/>
      <c r="S17" s="43"/>
      <c r="T17" s="43"/>
      <c r="U17" s="43"/>
    </row>
    <row r="18" spans="1:21" s="11" customFormat="1" ht="15">
      <c r="A18" s="54" t="s">
        <v>649</v>
      </c>
      <c r="B18" s="55">
        <v>13.11</v>
      </c>
      <c r="C18" s="55">
        <v>18.86</v>
      </c>
      <c r="D18" s="55">
        <v>21.44</v>
      </c>
      <c r="E18" s="55">
        <v>3.65</v>
      </c>
      <c r="F18" s="55">
        <v>6.52</v>
      </c>
      <c r="G18" s="58" t="s">
        <v>14</v>
      </c>
      <c r="H18" s="58" t="s">
        <v>14</v>
      </c>
      <c r="I18" s="56" t="s">
        <v>15</v>
      </c>
      <c r="J18" s="55">
        <v>2.15</v>
      </c>
      <c r="K18" s="55">
        <v>118.95</v>
      </c>
      <c r="L18" s="55">
        <v>27.38</v>
      </c>
      <c r="M18" s="55">
        <v>75.64</v>
      </c>
      <c r="N18" s="55">
        <v>963.70</v>
      </c>
      <c r="O18" s="55">
        <v>0</v>
      </c>
      <c r="P18" s="55">
        <v>0.54</v>
      </c>
      <c r="Q18" s="55">
        <v>29.78</v>
      </c>
      <c r="R18" s="43"/>
      <c r="S18" s="43"/>
      <c r="T18" s="43"/>
      <c r="U18" s="43"/>
    </row>
    <row r="19" spans="1:21" s="11" customFormat="1" ht="15">
      <c r="A19" s="54" t="s">
        <v>650</v>
      </c>
      <c r="B19" s="55">
        <v>11.51</v>
      </c>
      <c r="C19" s="55">
        <v>19.600000000000001</v>
      </c>
      <c r="D19" s="55">
        <v>19.79</v>
      </c>
      <c r="E19" s="55">
        <v>3.71</v>
      </c>
      <c r="F19" s="55">
        <v>19.47</v>
      </c>
      <c r="G19" s="55">
        <v>23.26</v>
      </c>
      <c r="H19" s="55">
        <v>3.11</v>
      </c>
      <c r="I19" s="56" t="s">
        <v>15</v>
      </c>
      <c r="J19" s="55">
        <v>1.1599999999999999</v>
      </c>
      <c r="K19" s="55">
        <v>111.39</v>
      </c>
      <c r="L19" s="55">
        <v>28.29</v>
      </c>
      <c r="M19" s="55">
        <v>71.95</v>
      </c>
      <c r="N19" s="55">
        <v>893.60</v>
      </c>
      <c r="O19" s="55">
        <v>0</v>
      </c>
      <c r="P19" s="55">
        <v>0.44</v>
      </c>
      <c r="Q19" s="55">
        <v>27.68</v>
      </c>
      <c r="R19" s="43"/>
      <c r="S19" s="43"/>
      <c r="T19" s="43"/>
      <c r="U19" s="43"/>
    </row>
    <row r="20" spans="1:21" s="11" customFormat="1" ht="15">
      <c r="A20" s="54" t="s">
        <v>651</v>
      </c>
      <c r="B20" s="55">
        <v>7.16</v>
      </c>
      <c r="C20" s="55">
        <v>25.87</v>
      </c>
      <c r="D20" s="55">
        <v>20.66</v>
      </c>
      <c r="E20" s="55">
        <v>3.16</v>
      </c>
      <c r="F20" s="55">
        <v>18.22</v>
      </c>
      <c r="G20" s="58" t="s">
        <v>14</v>
      </c>
      <c r="H20" s="58" t="s">
        <v>14</v>
      </c>
      <c r="I20" s="56" t="s">
        <v>15</v>
      </c>
      <c r="J20" s="55">
        <v>0.87</v>
      </c>
      <c r="K20" s="55">
        <v>107.88</v>
      </c>
      <c r="L20" s="55">
        <v>30.17</v>
      </c>
      <c r="M20" s="55">
        <v>66.62</v>
      </c>
      <c r="N20" s="55">
        <v>1005.40</v>
      </c>
      <c r="O20" s="55">
        <v>0</v>
      </c>
      <c r="P20" s="55">
        <v>0.37</v>
      </c>
      <c r="Q20" s="55">
        <v>0.01</v>
      </c>
      <c r="R20" s="43"/>
      <c r="S20" s="43"/>
      <c r="T20" s="43"/>
      <c r="U20" s="43"/>
    </row>
    <row r="21" spans="1:21" s="11" customFormat="1" ht="15">
      <c r="A21" s="54" t="s">
        <v>652</v>
      </c>
      <c r="B21" s="55">
        <v>7.18</v>
      </c>
      <c r="C21" s="55">
        <v>22.81</v>
      </c>
      <c r="D21" s="55">
        <v>18.989999999999998</v>
      </c>
      <c r="E21" s="55">
        <v>2.34</v>
      </c>
      <c r="F21" s="55">
        <v>12.10</v>
      </c>
      <c r="G21" s="58" t="s">
        <v>14</v>
      </c>
      <c r="H21" s="58" t="s">
        <v>14</v>
      </c>
      <c r="I21" s="56" t="s">
        <v>15</v>
      </c>
      <c r="J21" s="55">
        <v>1.68</v>
      </c>
      <c r="K21" s="55">
        <v>121.81</v>
      </c>
      <c r="L21" s="55">
        <v>30.78</v>
      </c>
      <c r="M21" s="55">
        <v>66.010000000000005</v>
      </c>
      <c r="N21" s="55">
        <v>1013.5</v>
      </c>
      <c r="O21" s="55">
        <v>0</v>
      </c>
      <c r="P21" s="55">
        <v>0.48</v>
      </c>
      <c r="Q21" s="55">
        <v>5.48</v>
      </c>
      <c r="R21" s="43"/>
      <c r="S21" s="43"/>
      <c r="T21" s="43"/>
      <c r="U21" s="43"/>
    </row>
    <row r="22" spans="1:21" s="11" customFormat="1" ht="15">
      <c r="A22" s="54" t="s">
        <v>653</v>
      </c>
      <c r="B22" s="55">
        <v>6.94</v>
      </c>
      <c r="C22" s="55">
        <v>24.55</v>
      </c>
      <c r="D22" s="55">
        <v>19.329999999999998</v>
      </c>
      <c r="E22" s="55">
        <v>2.41</v>
      </c>
      <c r="F22" s="55">
        <v>8.0299999999999994</v>
      </c>
      <c r="G22" s="55">
        <v>9.82</v>
      </c>
      <c r="H22" s="55">
        <v>8.4499999999999993</v>
      </c>
      <c r="I22" s="56" t="s">
        <v>15</v>
      </c>
      <c r="J22" s="55">
        <v>1.64</v>
      </c>
      <c r="K22" s="55">
        <v>48.59</v>
      </c>
      <c r="L22" s="55">
        <v>31.78</v>
      </c>
      <c r="M22" s="55">
        <v>61.49</v>
      </c>
      <c r="N22" s="55">
        <v>759.40</v>
      </c>
      <c r="O22" s="55">
        <v>0</v>
      </c>
      <c r="P22" s="55">
        <v>0.41</v>
      </c>
      <c r="Q22" s="55">
        <v>5.62</v>
      </c>
      <c r="R22" s="43"/>
      <c r="S22" s="43"/>
      <c r="T22" s="43"/>
      <c r="U22" s="43"/>
    </row>
    <row r="23" spans="1:21" s="11" customFormat="1" ht="15">
      <c r="A23" s="54" t="s">
        <v>654</v>
      </c>
      <c r="B23" s="55">
        <v>9.4499999999999993</v>
      </c>
      <c r="C23" s="55">
        <v>27.56</v>
      </c>
      <c r="D23" s="55">
        <v>23.44</v>
      </c>
      <c r="E23" s="55">
        <v>1.94</v>
      </c>
      <c r="F23" s="55">
        <v>21.85</v>
      </c>
      <c r="G23" s="55">
        <v>39.71</v>
      </c>
      <c r="H23" s="55">
        <v>8.4499999999999993</v>
      </c>
      <c r="I23" s="56" t="s">
        <v>15</v>
      </c>
      <c r="J23" s="55">
        <v>1.67</v>
      </c>
      <c r="K23" s="55">
        <v>44.79</v>
      </c>
      <c r="L23" s="55">
        <v>32.40</v>
      </c>
      <c r="M23" s="55">
        <v>58.51</v>
      </c>
      <c r="N23" s="55">
        <v>778.10</v>
      </c>
      <c r="O23" s="55">
        <v>0</v>
      </c>
      <c r="P23" s="55">
        <v>0.39</v>
      </c>
      <c r="Q23" s="55">
        <v>7.11</v>
      </c>
      <c r="R23" s="43"/>
      <c r="S23" s="43"/>
      <c r="T23" s="43"/>
      <c r="U23" s="43"/>
    </row>
    <row r="24" spans="1:21" s="11" customFormat="1" ht="15">
      <c r="A24" s="54" t="s">
        <v>655</v>
      </c>
      <c r="B24" s="55">
        <v>8.2799999999999994</v>
      </c>
      <c r="C24" s="55">
        <v>27.25</v>
      </c>
      <c r="D24" s="55">
        <v>22.04</v>
      </c>
      <c r="E24" s="55">
        <v>2.66</v>
      </c>
      <c r="F24" s="55">
        <v>16.18</v>
      </c>
      <c r="G24" s="55">
        <v>44.65</v>
      </c>
      <c r="H24" s="55">
        <v>6.59</v>
      </c>
      <c r="I24" s="56" t="s">
        <v>15</v>
      </c>
      <c r="J24" s="55">
        <v>0.95</v>
      </c>
      <c r="K24" s="55">
        <v>101.82</v>
      </c>
      <c r="L24" s="55">
        <v>30.17</v>
      </c>
      <c r="M24" s="55">
        <v>62.08</v>
      </c>
      <c r="N24" s="55">
        <v>388.80</v>
      </c>
      <c r="O24" s="55">
        <v>0</v>
      </c>
      <c r="P24" s="55">
        <v>0.39</v>
      </c>
      <c r="Q24" s="55">
        <v>8.8800000000000008</v>
      </c>
      <c r="R24" s="43"/>
      <c r="S24" s="43"/>
      <c r="T24" s="43"/>
      <c r="U24" s="43"/>
    </row>
    <row r="25" spans="1:21" s="11" customFormat="1" ht="15">
      <c r="A25" s="54" t="s">
        <v>656</v>
      </c>
      <c r="B25" s="55">
        <v>12.07</v>
      </c>
      <c r="C25" s="55">
        <v>30.70</v>
      </c>
      <c r="D25" s="55">
        <v>24.74</v>
      </c>
      <c r="E25" s="55">
        <v>2.19</v>
      </c>
      <c r="F25" s="55">
        <v>14.67</v>
      </c>
      <c r="G25" s="55">
        <v>52.26</v>
      </c>
      <c r="H25" s="55">
        <v>28.56</v>
      </c>
      <c r="I25" s="56" t="s">
        <v>15</v>
      </c>
      <c r="J25" s="55">
        <v>1</v>
      </c>
      <c r="K25" s="55">
        <v>80.510000000000005</v>
      </c>
      <c r="L25" s="55">
        <v>30.15</v>
      </c>
      <c r="M25" s="55">
        <v>62.10</v>
      </c>
      <c r="N25" s="55">
        <v>400</v>
      </c>
      <c r="O25" s="55">
        <v>0</v>
      </c>
      <c r="P25" s="55">
        <v>0.42</v>
      </c>
      <c r="Q25" s="55">
        <v>8.69</v>
      </c>
      <c r="R25" s="43"/>
      <c r="S25" s="43"/>
      <c r="T25" s="43"/>
      <c r="U25" s="43"/>
    </row>
    <row r="26" spans="1:21" s="11" customFormat="1" ht="15">
      <c r="A26" s="54" t="s">
        <v>657</v>
      </c>
      <c r="B26" s="55">
        <v>12.10</v>
      </c>
      <c r="C26" s="55">
        <v>41.27</v>
      </c>
      <c r="D26" s="55">
        <v>33.130000000000003</v>
      </c>
      <c r="E26" s="55">
        <v>2.4500000000000002</v>
      </c>
      <c r="F26" s="55">
        <v>27.25</v>
      </c>
      <c r="G26" s="55">
        <v>60.10</v>
      </c>
      <c r="H26" s="55">
        <v>28.56</v>
      </c>
      <c r="I26" s="56" t="s">
        <v>15</v>
      </c>
      <c r="J26" s="55">
        <v>0.83</v>
      </c>
      <c r="K26" s="55">
        <v>114.54</v>
      </c>
      <c r="L26" s="55">
        <v>29.66</v>
      </c>
      <c r="M26" s="55">
        <v>64.87</v>
      </c>
      <c r="N26" s="55">
        <v>104.30</v>
      </c>
      <c r="O26" s="55">
        <v>0</v>
      </c>
      <c r="P26" s="55">
        <v>0.48</v>
      </c>
      <c r="Q26" s="55">
        <v>13.02</v>
      </c>
      <c r="R26" s="43"/>
      <c r="S26" s="43"/>
      <c r="T26" s="43"/>
      <c r="U26" s="43"/>
    </row>
    <row r="27" spans="1:21" s="11" customFormat="1" ht="15">
      <c r="A27" s="54" t="s">
        <v>658</v>
      </c>
      <c r="B27" s="55">
        <v>10.220000000000001</v>
      </c>
      <c r="C27" s="55">
        <v>41.06</v>
      </c>
      <c r="D27" s="55">
        <v>31.40</v>
      </c>
      <c r="E27" s="55">
        <v>2.66</v>
      </c>
      <c r="F27" s="55">
        <v>27.26</v>
      </c>
      <c r="G27" s="55">
        <v>64.89</v>
      </c>
      <c r="H27" s="55">
        <v>27.35</v>
      </c>
      <c r="I27" s="56" t="s">
        <v>15</v>
      </c>
      <c r="J27" s="55">
        <v>0.81</v>
      </c>
      <c r="K27" s="55">
        <v>110.74</v>
      </c>
      <c r="L27" s="55">
        <v>28.78</v>
      </c>
      <c r="M27" s="55">
        <v>67.30</v>
      </c>
      <c r="N27" s="55">
        <v>47</v>
      </c>
      <c r="O27" s="55">
        <v>0</v>
      </c>
      <c r="P27" s="55">
        <v>0.63</v>
      </c>
      <c r="Q27" s="55">
        <v>14.60</v>
      </c>
      <c r="R27" s="43"/>
      <c r="S27" s="43"/>
      <c r="T27" s="43"/>
      <c r="U27" s="43"/>
    </row>
    <row r="28" spans="1:21" s="11" customFormat="1" ht="15">
      <c r="A28" s="54" t="s">
        <v>659</v>
      </c>
      <c r="B28" s="55">
        <v>10.18</v>
      </c>
      <c r="C28" s="55">
        <v>39.450000000000003</v>
      </c>
      <c r="D28" s="55">
        <v>30.58</v>
      </c>
      <c r="E28" s="55">
        <v>2.08</v>
      </c>
      <c r="F28" s="55">
        <v>18.649999999999999</v>
      </c>
      <c r="G28" s="55">
        <v>64.89</v>
      </c>
      <c r="H28" s="55">
        <v>21.35</v>
      </c>
      <c r="I28" s="56" t="s">
        <v>15</v>
      </c>
      <c r="J28" s="55">
        <v>0.49</v>
      </c>
      <c r="K28" s="55">
        <v>190.12</v>
      </c>
      <c r="L28" s="55">
        <v>28.24</v>
      </c>
      <c r="M28" s="55">
        <v>73.14</v>
      </c>
      <c r="N28" s="55">
        <v>23.70</v>
      </c>
      <c r="O28" s="55">
        <v>0</v>
      </c>
      <c r="P28" s="55">
        <v>0.57999999999999996</v>
      </c>
      <c r="Q28" s="55">
        <v>12.82</v>
      </c>
      <c r="R28" s="43"/>
      <c r="S28" s="43"/>
      <c r="T28" s="43"/>
      <c r="U28" s="43"/>
    </row>
    <row r="29" spans="1:21" s="11" customFormat="1" ht="15">
      <c r="A29" s="54" t="s">
        <v>660</v>
      </c>
      <c r="B29" s="55">
        <v>50.85</v>
      </c>
      <c r="C29" s="55">
        <v>51.68</v>
      </c>
      <c r="D29" s="55">
        <v>69.95</v>
      </c>
      <c r="E29" s="55">
        <v>3.37</v>
      </c>
      <c r="F29" s="55">
        <v>17.670000000000002</v>
      </c>
      <c r="G29" s="58" t="s">
        <v>14</v>
      </c>
      <c r="H29" s="58" t="s">
        <v>14</v>
      </c>
      <c r="I29" s="56" t="s">
        <v>15</v>
      </c>
      <c r="J29" s="55">
        <v>0.22</v>
      </c>
      <c r="K29" s="55">
        <v>355.62</v>
      </c>
      <c r="L29" s="55">
        <v>27.64</v>
      </c>
      <c r="M29" s="55">
        <v>82.94</v>
      </c>
      <c r="N29" s="55">
        <v>23.80</v>
      </c>
      <c r="O29" s="55">
        <v>0</v>
      </c>
      <c r="P29" s="55">
        <v>2.09</v>
      </c>
      <c r="Q29" s="55">
        <v>14.76</v>
      </c>
      <c r="R29" s="43"/>
      <c r="S29" s="43"/>
      <c r="T29" s="43"/>
      <c r="U29" s="43"/>
    </row>
    <row r="30" spans="1:21" s="11" customFormat="1" ht="15">
      <c r="A30" s="54" t="s">
        <v>661</v>
      </c>
      <c r="B30" s="55">
        <v>123.81</v>
      </c>
      <c r="C30" s="55">
        <v>56.63</v>
      </c>
      <c r="D30" s="55">
        <v>125.38</v>
      </c>
      <c r="E30" s="55">
        <v>4.63</v>
      </c>
      <c r="F30" s="55">
        <v>5.27</v>
      </c>
      <c r="G30" s="55">
        <v>174.07</v>
      </c>
      <c r="H30" s="55">
        <v>112.21</v>
      </c>
      <c r="I30" s="56" t="s">
        <v>15</v>
      </c>
      <c r="J30" s="55">
        <v>0.19</v>
      </c>
      <c r="K30" s="55">
        <v>201.93</v>
      </c>
      <c r="L30" s="55">
        <v>26.85</v>
      </c>
      <c r="M30" s="55">
        <v>86.23</v>
      </c>
      <c r="N30" s="55">
        <v>23.80</v>
      </c>
      <c r="O30" s="55">
        <v>0</v>
      </c>
      <c r="P30" s="55">
        <v>3.05</v>
      </c>
      <c r="Q30" s="55">
        <v>16.36</v>
      </c>
      <c r="R30" s="43"/>
      <c r="S30" s="43"/>
      <c r="T30" s="43"/>
      <c r="U30" s="43"/>
    </row>
    <row r="31" spans="1:21" s="11" customFormat="1" ht="15">
      <c r="A31" s="54" t="s">
        <v>662</v>
      </c>
      <c r="B31" s="55">
        <v>43.44</v>
      </c>
      <c r="C31" s="55">
        <v>51.40</v>
      </c>
      <c r="D31" s="55">
        <v>53.96</v>
      </c>
      <c r="E31" s="55">
        <v>2.91</v>
      </c>
      <c r="F31" s="55">
        <v>12.38</v>
      </c>
      <c r="G31" s="55">
        <v>174.07</v>
      </c>
      <c r="H31" s="55">
        <v>12.78</v>
      </c>
      <c r="I31" s="56" t="s">
        <v>15</v>
      </c>
      <c r="J31" s="55">
        <v>0.18</v>
      </c>
      <c r="K31" s="55">
        <v>349.80</v>
      </c>
      <c r="L31" s="55">
        <v>27.11</v>
      </c>
      <c r="M31" s="55">
        <v>84.62</v>
      </c>
      <c r="N31" s="55">
        <v>23.90</v>
      </c>
      <c r="O31" s="55">
        <v>0</v>
      </c>
      <c r="P31" s="55">
        <v>1.48</v>
      </c>
      <c r="Q31" s="55">
        <v>21.26</v>
      </c>
      <c r="R31" s="43"/>
      <c r="S31" s="43"/>
      <c r="T31" s="43"/>
      <c r="U31" s="43"/>
    </row>
    <row r="32" spans="1:21" s="11" customFormat="1" ht="15">
      <c r="A32" s="54" t="s">
        <v>663</v>
      </c>
      <c r="B32" s="55">
        <v>28.90</v>
      </c>
      <c r="C32" s="55">
        <v>30.81</v>
      </c>
      <c r="D32" s="55">
        <v>37.880000000000003</v>
      </c>
      <c r="E32" s="55">
        <v>2.72</v>
      </c>
      <c r="F32" s="55">
        <v>11.52</v>
      </c>
      <c r="G32" s="55">
        <v>133.47999999999999</v>
      </c>
      <c r="H32" s="55">
        <v>52</v>
      </c>
      <c r="I32" s="56" t="s">
        <v>15</v>
      </c>
      <c r="J32" s="55">
        <v>0.10</v>
      </c>
      <c r="K32" s="55">
        <v>356.96</v>
      </c>
      <c r="L32" s="55">
        <v>26.61</v>
      </c>
      <c r="M32" s="55">
        <v>90.63</v>
      </c>
      <c r="N32" s="55">
        <v>23.80</v>
      </c>
      <c r="O32" s="55">
        <v>0</v>
      </c>
      <c r="P32" s="55">
        <v>1.08</v>
      </c>
      <c r="Q32" s="55">
        <v>21.46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6.9400000000000004</v>
      </c>
      <c r="C34" s="28">
        <f t="shared" si="0"/>
        <v>14.48</v>
      </c>
      <c r="D34" s="28">
        <f t="shared" si="0"/>
        <v>16.239999999999998</v>
      </c>
      <c r="E34" s="28">
        <f t="shared" si="0"/>
        <v>1.9399999999999999</v>
      </c>
      <c r="F34" s="28">
        <f t="shared" si="0"/>
        <v>5.2699999999999996</v>
      </c>
      <c r="G34" s="28">
        <f t="shared" si="0"/>
        <v>9.8200000000000003</v>
      </c>
      <c r="H34" s="28">
        <f t="shared" si="0"/>
        <v>2.2599999999999998</v>
      </c>
      <c r="I34" s="28">
        <f t="shared" si="0"/>
        <v>0</v>
      </c>
      <c r="J34" s="28">
        <f t="shared" si="0"/>
        <v>0.10000000000000001</v>
      </c>
      <c r="K34" s="28">
        <f t="shared" si="0"/>
        <v>44.789999999999999</v>
      </c>
      <c r="L34" s="28">
        <f t="shared" si="0"/>
        <v>23.18</v>
      </c>
      <c r="M34" s="28">
        <f t="shared" si="0"/>
        <v>58.509999999999998</v>
      </c>
      <c r="N34" s="28">
        <f t="shared" si="0"/>
        <v>23.699999999999999</v>
      </c>
      <c r="O34" s="28">
        <f t="shared" si="0"/>
        <v>0</v>
      </c>
      <c r="P34" s="28">
        <f t="shared" si="0"/>
        <v>0.37</v>
      </c>
      <c r="Q34" s="28">
        <f t="shared" si="0"/>
        <v>0.01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123.81</v>
      </c>
      <c r="C35" s="29">
        <f t="shared" si="1"/>
        <v>56.630000000000003</v>
      </c>
      <c r="D35" s="29">
        <f t="shared" si="1"/>
        <v>125.38</v>
      </c>
      <c r="E35" s="29">
        <f t="shared" si="1"/>
        <v>4.6299999999999999</v>
      </c>
      <c r="F35" s="29">
        <f t="shared" si="1"/>
        <v>27.260000000000002</v>
      </c>
      <c r="G35" s="29">
        <f t="shared" si="1"/>
        <v>174.06999999999999</v>
      </c>
      <c r="H35" s="29">
        <f t="shared" si="1"/>
        <v>112.20999999999999</v>
      </c>
      <c r="I35" s="29">
        <f t="shared" si="1"/>
        <v>0</v>
      </c>
      <c r="J35" s="29">
        <f t="shared" si="1"/>
        <v>2.1499999999999999</v>
      </c>
      <c r="K35" s="29">
        <f t="shared" si="1"/>
        <v>358.38</v>
      </c>
      <c r="L35" s="29">
        <f t="shared" si="1"/>
        <v>32.399999999999999</v>
      </c>
      <c r="M35" s="29">
        <f t="shared" si="1"/>
        <v>97.269999999999996</v>
      </c>
      <c r="N35" s="29">
        <f t="shared" si="1"/>
        <v>1013.5</v>
      </c>
      <c r="O35" s="29">
        <f t="shared" si="1"/>
        <v>0</v>
      </c>
      <c r="P35" s="29">
        <f t="shared" si="1"/>
        <v>3.0499999999999998</v>
      </c>
      <c r="Q35" s="29">
        <f t="shared" si="1"/>
        <v>29.780000000000001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20.887916666666666</v>
      </c>
      <c r="C36" s="28">
        <f t="shared" si="2"/>
        <v>29.542499999999993</v>
      </c>
      <c r="D36" s="28">
        <f t="shared" si="2"/>
        <v>32.447499999999998</v>
      </c>
      <c r="E36" s="28">
        <f t="shared" si="2"/>
        <v>2.898333333333333</v>
      </c>
      <c r="F36" s="28">
        <f t="shared" si="2"/>
        <v>12.993749999999997</v>
      </c>
      <c r="G36" s="28">
        <f t="shared" si="2"/>
        <v>68.020499999999998</v>
      </c>
      <c r="H36" s="28">
        <f t="shared" si="2"/>
        <v>25.131999999999998</v>
      </c>
      <c r="I36" s="28" t="e">
        <f t="shared" si="2"/>
        <v>#DIV/0!</v>
      </c>
      <c r="J36" s="28">
        <f t="shared" si="2"/>
        <v>0.80541666666666645</v>
      </c>
      <c r="K36" s="28">
        <f t="shared" si="2"/>
        <v>169.00458333333333</v>
      </c>
      <c r="L36" s="28">
        <f t="shared" si="2"/>
        <v>27.269166666666667</v>
      </c>
      <c r="M36" s="28">
        <f t="shared" si="2"/>
        <v>80.553749999999994</v>
      </c>
      <c r="N36" s="28">
        <f t="shared" si="2"/>
        <v>345.96666666666653</v>
      </c>
      <c r="O36" s="28">
        <f t="shared" si="2"/>
        <v>0</v>
      </c>
      <c r="P36" s="28">
        <f t="shared" si="2"/>
        <v>0.80833333333333357</v>
      </c>
      <c r="Q36" s="28">
        <f t="shared" si="2"/>
        <v>16.738333333333333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24.551373640693253</v>
      </c>
      <c r="C37" s="28">
        <f t="shared" si="3" ref="C37:Q37">STDEV(C9:C32)</f>
        <v>11.611394048051713</v>
      </c>
      <c r="D37" s="28">
        <f t="shared" si="3"/>
        <v>23.172417120736263</v>
      </c>
      <c r="E37" s="28">
        <f t="shared" si="3"/>
        <v>0.59808147377708198</v>
      </c>
      <c r="F37" s="28">
        <f t="shared" si="3"/>
        <v>6.5860114026360677</v>
      </c>
      <c r="G37" s="28">
        <f t="shared" si="3"/>
        <v>43.315363079214876</v>
      </c>
      <c r="H37" s="28">
        <f t="shared" si="3"/>
        <v>27.61603207139688</v>
      </c>
      <c r="I37" s="28" t="e">
        <f t="shared" si="3"/>
        <v>#DIV/0!</v>
      </c>
      <c r="J37" s="28">
        <f t="shared" si="3"/>
        <v>0.64386049776307175</v>
      </c>
      <c r="K37" s="28">
        <f t="shared" si="3"/>
        <v>109.86113040439685</v>
      </c>
      <c r="L37" s="28">
        <f t="shared" si="3"/>
        <v>2.9038833319878852</v>
      </c>
      <c r="M37" s="28">
        <f t="shared" si="3"/>
        <v>14.480728066160443</v>
      </c>
      <c r="N37" s="28">
        <f t="shared" si="3"/>
        <v>379.72463898103268</v>
      </c>
      <c r="O37" s="28">
        <f t="shared" si="3"/>
        <v>0</v>
      </c>
      <c r="P37" s="28">
        <f t="shared" si="3"/>
        <v>0.61589571863415604</v>
      </c>
      <c r="Q37" s="28">
        <f t="shared" si="3"/>
        <v>8.0029753525019469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d35ed7-df1d-4747-aea7-ba707cc2a5f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4" sqref="H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2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8"/>
      <c r="B8" s="69" t="s">
        <v>22</v>
      </c>
      <c r="C8" s="69" t="s">
        <v>22</v>
      </c>
      <c r="D8" s="29" t="s">
        <v>61</v>
      </c>
      <c r="E8" s="69" t="s">
        <v>22</v>
      </c>
      <c r="F8" s="69" t="s">
        <v>22</v>
      </c>
      <c r="G8" s="69" t="s">
        <v>23</v>
      </c>
      <c r="H8" s="69" t="s">
        <v>22</v>
      </c>
      <c r="I8" s="69" t="s">
        <v>22</v>
      </c>
      <c r="J8" s="69" t="s">
        <v>24</v>
      </c>
      <c r="K8" s="69" t="s">
        <v>25</v>
      </c>
      <c r="L8" s="68" t="s">
        <v>27</v>
      </c>
      <c r="M8" s="69" t="s">
        <v>26</v>
      </c>
      <c r="N8" s="69" t="s">
        <v>28</v>
      </c>
      <c r="O8" s="68" t="s">
        <v>29</v>
      </c>
      <c r="P8" s="6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664</v>
      </c>
      <c r="B9" s="55">
        <v>21.43</v>
      </c>
      <c r="C9" s="55">
        <v>52.67</v>
      </c>
      <c r="D9" s="55">
        <v>42.51</v>
      </c>
      <c r="E9" s="55">
        <v>2.33</v>
      </c>
      <c r="F9" s="55">
        <v>10.25</v>
      </c>
      <c r="G9" s="55">
        <v>64.36</v>
      </c>
      <c r="H9" s="55">
        <v>52</v>
      </c>
      <c r="I9" s="56" t="s">
        <v>15</v>
      </c>
      <c r="J9" s="55">
        <v>0.60</v>
      </c>
      <c r="K9" s="55">
        <v>359.48</v>
      </c>
      <c r="L9" s="55">
        <v>26.24</v>
      </c>
      <c r="M9" s="55">
        <v>97.23</v>
      </c>
      <c r="N9" s="55">
        <v>27.60</v>
      </c>
      <c r="O9" s="55">
        <v>1.40</v>
      </c>
      <c r="P9" s="55">
        <v>0.85</v>
      </c>
      <c r="Q9" s="55">
        <v>21.51</v>
      </c>
      <c r="R9" s="43"/>
      <c r="S9" s="43"/>
      <c r="T9" s="43"/>
      <c r="U9" s="43"/>
    </row>
    <row r="10" spans="1:21" s="11" customFormat="1" ht="15">
      <c r="A10" s="54" t="s">
        <v>665</v>
      </c>
      <c r="B10" s="55">
        <v>14.91</v>
      </c>
      <c r="C10" s="55">
        <v>23.99</v>
      </c>
      <c r="D10" s="55">
        <v>25.85</v>
      </c>
      <c r="E10" s="55">
        <v>2.5299999999999998</v>
      </c>
      <c r="F10" s="55">
        <v>10.73</v>
      </c>
      <c r="G10" s="55">
        <v>64.36</v>
      </c>
      <c r="H10" s="55">
        <v>33.14</v>
      </c>
      <c r="I10" s="56" t="s">
        <v>15</v>
      </c>
      <c r="J10" s="55">
        <v>0.21</v>
      </c>
      <c r="K10" s="55">
        <v>334.81</v>
      </c>
      <c r="L10" s="55">
        <v>23.82</v>
      </c>
      <c r="M10" s="55">
        <v>97.25</v>
      </c>
      <c r="N10" s="55">
        <v>27.40</v>
      </c>
      <c r="O10" s="55">
        <v>0</v>
      </c>
      <c r="P10" s="55">
        <v>0.71</v>
      </c>
      <c r="Q10" s="55">
        <v>16.63</v>
      </c>
      <c r="R10" s="43"/>
      <c r="S10" s="43"/>
      <c r="T10" s="43"/>
      <c r="U10" s="43"/>
    </row>
    <row r="11" spans="1:21" s="11" customFormat="1" ht="15">
      <c r="A11" s="54" t="s">
        <v>666</v>
      </c>
      <c r="B11" s="55">
        <v>9.39</v>
      </c>
      <c r="C11" s="55">
        <v>21.44</v>
      </c>
      <c r="D11" s="55">
        <v>19.91</v>
      </c>
      <c r="E11" s="55">
        <v>2.2200000000000002</v>
      </c>
      <c r="F11" s="55">
        <v>13.69</v>
      </c>
      <c r="G11" s="55">
        <v>37.32</v>
      </c>
      <c r="H11" s="55">
        <v>12.71</v>
      </c>
      <c r="I11" s="56" t="s">
        <v>15</v>
      </c>
      <c r="J11" s="55">
        <v>0.61</v>
      </c>
      <c r="K11" s="55">
        <v>261.58</v>
      </c>
      <c r="L11" s="55">
        <v>23.63</v>
      </c>
      <c r="M11" s="55">
        <v>97.25</v>
      </c>
      <c r="N11" s="55">
        <v>27.10</v>
      </c>
      <c r="O11" s="55">
        <v>0</v>
      </c>
      <c r="P11" s="55">
        <v>0.38</v>
      </c>
      <c r="Q11" s="55">
        <v>15.20</v>
      </c>
      <c r="R11" s="43"/>
      <c r="S11" s="43"/>
      <c r="T11" s="43"/>
      <c r="U11" s="43"/>
    </row>
    <row r="12" spans="1:21" s="11" customFormat="1" ht="15">
      <c r="A12" s="54" t="s">
        <v>667</v>
      </c>
      <c r="B12" s="55">
        <v>13.5</v>
      </c>
      <c r="C12" s="55">
        <v>20.85</v>
      </c>
      <c r="D12" s="55">
        <v>22.77</v>
      </c>
      <c r="E12" s="55">
        <v>2.36</v>
      </c>
      <c r="F12" s="55">
        <v>10.49</v>
      </c>
      <c r="G12" s="55">
        <v>19.02</v>
      </c>
      <c r="H12" s="55">
        <v>5.55</v>
      </c>
      <c r="I12" s="56" t="s">
        <v>15</v>
      </c>
      <c r="J12" s="55">
        <v>1.0900000000000001</v>
      </c>
      <c r="K12" s="55">
        <v>358.14</v>
      </c>
      <c r="L12" s="55">
        <v>24.02</v>
      </c>
      <c r="M12" s="55">
        <v>97.24</v>
      </c>
      <c r="N12" s="55">
        <v>26.80</v>
      </c>
      <c r="O12" s="55">
        <v>0</v>
      </c>
      <c r="P12" s="55">
        <v>0.57999999999999996</v>
      </c>
      <c r="Q12" s="55">
        <v>15.81</v>
      </c>
      <c r="R12" s="43"/>
      <c r="S12" s="43"/>
      <c r="T12" s="43"/>
      <c r="U12" s="43"/>
    </row>
    <row r="13" spans="1:21" s="11" customFormat="1" ht="15">
      <c r="A13" s="54" t="s">
        <v>668</v>
      </c>
      <c r="B13" s="55">
        <v>12.12</v>
      </c>
      <c r="C13" s="55">
        <v>22.51</v>
      </c>
      <c r="D13" s="55">
        <v>22.40</v>
      </c>
      <c r="E13" s="55">
        <v>2.39</v>
      </c>
      <c r="F13" s="55">
        <v>10.28</v>
      </c>
      <c r="G13" s="55">
        <v>19.02</v>
      </c>
      <c r="H13" s="55">
        <v>23.80</v>
      </c>
      <c r="I13" s="56" t="s">
        <v>15</v>
      </c>
      <c r="J13" s="55">
        <v>0.94</v>
      </c>
      <c r="K13" s="55">
        <v>358.78</v>
      </c>
      <c r="L13" s="55">
        <v>24.07</v>
      </c>
      <c r="M13" s="55">
        <v>97.23</v>
      </c>
      <c r="N13" s="55">
        <v>27.30</v>
      </c>
      <c r="O13" s="55">
        <v>0</v>
      </c>
      <c r="P13" s="55">
        <v>0.51</v>
      </c>
      <c r="Q13" s="55">
        <v>10.28</v>
      </c>
      <c r="R13" s="43"/>
      <c r="S13" s="43"/>
      <c r="T13" s="43"/>
      <c r="U13" s="43"/>
    </row>
    <row r="14" spans="1:21" s="11" customFormat="1" ht="15">
      <c r="A14" s="54" t="s">
        <v>669</v>
      </c>
      <c r="B14" s="55">
        <v>16.96</v>
      </c>
      <c r="C14" s="55">
        <v>41.30</v>
      </c>
      <c r="D14" s="55">
        <v>37.04</v>
      </c>
      <c r="E14" s="55">
        <v>2.74</v>
      </c>
      <c r="F14" s="55">
        <v>15.62</v>
      </c>
      <c r="G14" s="55">
        <v>51.03</v>
      </c>
      <c r="H14" s="55">
        <v>23.80</v>
      </c>
      <c r="I14" s="56" t="s">
        <v>15</v>
      </c>
      <c r="J14" s="55">
        <v>0.59</v>
      </c>
      <c r="K14" s="55">
        <v>50.39</v>
      </c>
      <c r="L14" s="55">
        <v>24.42</v>
      </c>
      <c r="M14" s="55">
        <v>97.18</v>
      </c>
      <c r="N14" s="55">
        <v>58.60</v>
      </c>
      <c r="O14" s="55">
        <v>0</v>
      </c>
      <c r="P14" s="55">
        <v>0.75</v>
      </c>
      <c r="Q14" s="55">
        <v>13.54</v>
      </c>
      <c r="R14" s="43"/>
      <c r="S14" s="43"/>
      <c r="T14" s="43"/>
      <c r="U14" s="43"/>
    </row>
    <row r="15" spans="1:21" s="11" customFormat="1" ht="15">
      <c r="A15" s="54" t="s">
        <v>670</v>
      </c>
      <c r="B15" s="55">
        <v>13.60</v>
      </c>
      <c r="C15" s="55">
        <v>32.97</v>
      </c>
      <c r="D15" s="55">
        <v>28.64</v>
      </c>
      <c r="E15" s="55">
        <v>2.73</v>
      </c>
      <c r="F15" s="55">
        <v>8.69</v>
      </c>
      <c r="G15" s="55">
        <v>100.81</v>
      </c>
      <c r="H15" s="55">
        <v>46.23</v>
      </c>
      <c r="I15" s="56" t="s">
        <v>15</v>
      </c>
      <c r="J15" s="55">
        <v>1.08</v>
      </c>
      <c r="K15" s="55">
        <v>113.47</v>
      </c>
      <c r="L15" s="55">
        <v>26.10</v>
      </c>
      <c r="M15" s="55">
        <v>94.17</v>
      </c>
      <c r="N15" s="55">
        <v>219</v>
      </c>
      <c r="O15" s="55">
        <v>0</v>
      </c>
      <c r="P15" s="55">
        <v>0.60</v>
      </c>
      <c r="Q15" s="55">
        <v>15.40</v>
      </c>
      <c r="R15" s="43"/>
      <c r="S15" s="43"/>
      <c r="T15" s="43"/>
      <c r="U15" s="43"/>
    </row>
    <row r="16" spans="1:21" s="11" customFormat="1" ht="15">
      <c r="A16" s="54" t="s">
        <v>671</v>
      </c>
      <c r="B16" s="55">
        <v>13.73</v>
      </c>
      <c r="C16" s="55">
        <v>23.97</v>
      </c>
      <c r="D16" s="55">
        <v>24.88</v>
      </c>
      <c r="E16" s="55">
        <v>2.75</v>
      </c>
      <c r="F16" s="55">
        <v>6.18</v>
      </c>
      <c r="G16" s="55">
        <v>100.81</v>
      </c>
      <c r="H16" s="55">
        <v>46.23</v>
      </c>
      <c r="I16" s="56" t="s">
        <v>15</v>
      </c>
      <c r="J16" s="55">
        <v>2.21</v>
      </c>
      <c r="K16" s="55">
        <v>119.98</v>
      </c>
      <c r="L16" s="55">
        <v>26.80</v>
      </c>
      <c r="M16" s="55">
        <v>81.67</v>
      </c>
      <c r="N16" s="55">
        <v>386.70</v>
      </c>
      <c r="O16" s="55">
        <v>0</v>
      </c>
      <c r="P16" s="55">
        <v>0.5</v>
      </c>
      <c r="Q16" s="55">
        <v>21.04</v>
      </c>
      <c r="R16" s="43"/>
      <c r="S16" s="43"/>
      <c r="T16" s="43"/>
      <c r="U16" s="43"/>
    </row>
    <row r="17" spans="1:21" s="11" customFormat="1" ht="15">
      <c r="A17" s="54" t="s">
        <v>672</v>
      </c>
      <c r="B17" s="55">
        <v>16.61</v>
      </c>
      <c r="C17" s="55">
        <v>24.03</v>
      </c>
      <c r="D17" s="55">
        <v>27.20</v>
      </c>
      <c r="E17" s="55">
        <v>2.15</v>
      </c>
      <c r="F17" s="55">
        <v>8.76</v>
      </c>
      <c r="G17" s="55">
        <v>39.83</v>
      </c>
      <c r="H17" s="55">
        <v>21.14</v>
      </c>
      <c r="I17" s="56" t="s">
        <v>15</v>
      </c>
      <c r="J17" s="55">
        <v>0.94</v>
      </c>
      <c r="K17" s="55">
        <v>101.61</v>
      </c>
      <c r="L17" s="55">
        <v>28.82</v>
      </c>
      <c r="M17" s="55">
        <v>78.84</v>
      </c>
      <c r="N17" s="55">
        <v>744.40</v>
      </c>
      <c r="O17" s="55">
        <v>0</v>
      </c>
      <c r="P17" s="55">
        <v>0.45</v>
      </c>
      <c r="Q17" s="55">
        <v>24.66</v>
      </c>
      <c r="R17" s="43"/>
      <c r="S17" s="43"/>
      <c r="T17" s="43"/>
      <c r="U17" s="43"/>
    </row>
    <row r="18" spans="1:21" s="11" customFormat="1" ht="15">
      <c r="A18" s="54" t="s">
        <v>673</v>
      </c>
      <c r="B18" s="55">
        <v>18.59</v>
      </c>
      <c r="C18" s="55">
        <v>23.07</v>
      </c>
      <c r="D18" s="55">
        <v>27.62</v>
      </c>
      <c r="E18" s="55">
        <v>2.91</v>
      </c>
      <c r="F18" s="55">
        <v>6.71</v>
      </c>
      <c r="G18" s="55">
        <v>40.130000000000003</v>
      </c>
      <c r="H18" s="55">
        <v>13.08</v>
      </c>
      <c r="I18" s="56" t="s">
        <v>15</v>
      </c>
      <c r="J18" s="55">
        <v>0.85</v>
      </c>
      <c r="K18" s="55">
        <v>96.11</v>
      </c>
      <c r="L18" s="55">
        <v>29.25</v>
      </c>
      <c r="M18" s="55">
        <v>70.78</v>
      </c>
      <c r="N18" s="55">
        <v>832.20</v>
      </c>
      <c r="O18" s="55">
        <v>0</v>
      </c>
      <c r="P18" s="55">
        <v>0.46</v>
      </c>
      <c r="Q18" s="55">
        <v>23.25</v>
      </c>
      <c r="R18" s="43"/>
      <c r="S18" s="43"/>
      <c r="T18" s="43"/>
      <c r="U18" s="43"/>
    </row>
    <row r="19" spans="1:21" s="11" customFormat="1" ht="15">
      <c r="A19" s="54" t="s">
        <v>674</v>
      </c>
      <c r="B19" s="55">
        <v>21.15</v>
      </c>
      <c r="C19" s="55">
        <v>24.03</v>
      </c>
      <c r="D19" s="55">
        <v>30.65</v>
      </c>
      <c r="E19" s="55">
        <v>2.5099999999999998</v>
      </c>
      <c r="F19" s="55">
        <v>6.49</v>
      </c>
      <c r="G19" s="55">
        <v>40.130000000000003</v>
      </c>
      <c r="H19" s="55">
        <v>4.8499999999999996</v>
      </c>
      <c r="I19" s="56" t="s">
        <v>15</v>
      </c>
      <c r="J19" s="55">
        <v>0.66</v>
      </c>
      <c r="K19" s="55">
        <v>69.02</v>
      </c>
      <c r="L19" s="55">
        <v>30.82</v>
      </c>
      <c r="M19" s="55">
        <v>65.78</v>
      </c>
      <c r="N19" s="55">
        <v>1117.5999999999999</v>
      </c>
      <c r="O19" s="55">
        <v>0</v>
      </c>
      <c r="P19" s="55">
        <v>0.44</v>
      </c>
      <c r="Q19" s="55">
        <v>21.54</v>
      </c>
      <c r="R19" s="43"/>
      <c r="S19" s="43"/>
      <c r="T19" s="43"/>
      <c r="U19" s="43"/>
    </row>
    <row r="20" spans="1:21" s="11" customFormat="1" ht="15">
      <c r="A20" s="54" t="s">
        <v>675</v>
      </c>
      <c r="B20" s="55">
        <v>24.73</v>
      </c>
      <c r="C20" s="55">
        <v>29.68</v>
      </c>
      <c r="D20" s="55">
        <v>36.86</v>
      </c>
      <c r="E20" s="55">
        <v>2.78</v>
      </c>
      <c r="F20" s="55">
        <v>9.11</v>
      </c>
      <c r="G20" s="55">
        <v>36.99</v>
      </c>
      <c r="H20" s="55">
        <v>2.93</v>
      </c>
      <c r="I20" s="56" t="s">
        <v>15</v>
      </c>
      <c r="J20" s="55">
        <v>1.1200000000000001</v>
      </c>
      <c r="K20" s="55">
        <v>59.82</v>
      </c>
      <c r="L20" s="55">
        <v>31.98</v>
      </c>
      <c r="M20" s="55">
        <v>62.81</v>
      </c>
      <c r="N20" s="55">
        <v>1075.80</v>
      </c>
      <c r="O20" s="55">
        <v>0</v>
      </c>
      <c r="P20" s="55">
        <v>0.48</v>
      </c>
      <c r="Q20" s="55">
        <v>21.71</v>
      </c>
      <c r="R20" s="43"/>
      <c r="S20" s="43"/>
      <c r="T20" s="43"/>
      <c r="U20" s="43"/>
    </row>
    <row r="21" spans="1:21" s="11" customFormat="1" ht="15">
      <c r="A21" s="54" t="s">
        <v>676</v>
      </c>
      <c r="B21" s="55">
        <v>22.37</v>
      </c>
      <c r="C21" s="55">
        <v>26.68</v>
      </c>
      <c r="D21" s="55">
        <v>33.31</v>
      </c>
      <c r="E21" s="55">
        <v>3.75</v>
      </c>
      <c r="F21" s="55">
        <v>7.35</v>
      </c>
      <c r="G21" s="55">
        <v>34.54</v>
      </c>
      <c r="H21" s="55">
        <v>2.4900000000000002</v>
      </c>
      <c r="I21" s="56" t="s">
        <v>15</v>
      </c>
      <c r="J21" s="55">
        <v>0.71</v>
      </c>
      <c r="K21" s="55">
        <v>28.04</v>
      </c>
      <c r="L21" s="55">
        <v>31.39</v>
      </c>
      <c r="M21" s="55">
        <v>60.02</v>
      </c>
      <c r="N21" s="55">
        <v>981.20</v>
      </c>
      <c r="O21" s="55">
        <v>0</v>
      </c>
      <c r="P21" s="55">
        <v>0.46</v>
      </c>
      <c r="Q21" s="55">
        <v>18.239999999999998</v>
      </c>
      <c r="R21" s="43"/>
      <c r="S21" s="43"/>
      <c r="T21" s="43"/>
      <c r="U21" s="43"/>
    </row>
    <row r="22" spans="1:21" s="11" customFormat="1" ht="15">
      <c r="A22" s="54" t="s">
        <v>677</v>
      </c>
      <c r="B22" s="55">
        <v>24.87</v>
      </c>
      <c r="C22" s="55">
        <v>27.58</v>
      </c>
      <c r="D22" s="55">
        <v>33.96</v>
      </c>
      <c r="E22" s="55">
        <v>3.95</v>
      </c>
      <c r="F22" s="55">
        <v>10.52</v>
      </c>
      <c r="G22" s="55">
        <v>35.71</v>
      </c>
      <c r="H22" s="55">
        <v>10.95</v>
      </c>
      <c r="I22" s="56" t="s">
        <v>15</v>
      </c>
      <c r="J22" s="55">
        <v>1.24</v>
      </c>
      <c r="K22" s="55">
        <v>65.19</v>
      </c>
      <c r="L22" s="55">
        <v>32.450000000000003</v>
      </c>
      <c r="M22" s="55">
        <v>60.58</v>
      </c>
      <c r="N22" s="55">
        <v>1073</v>
      </c>
      <c r="O22" s="55">
        <v>0</v>
      </c>
      <c r="P22" s="55">
        <v>0.45</v>
      </c>
      <c r="Q22" s="55">
        <v>14.87</v>
      </c>
      <c r="R22" s="43"/>
      <c r="S22" s="43"/>
      <c r="T22" s="43"/>
      <c r="U22" s="43"/>
    </row>
    <row r="23" spans="1:21" s="11" customFormat="1" ht="15">
      <c r="A23" s="54" t="s">
        <v>678</v>
      </c>
      <c r="B23" s="55">
        <v>22.77</v>
      </c>
      <c r="C23" s="55">
        <v>29.29</v>
      </c>
      <c r="D23" s="55">
        <v>34.229999999999997</v>
      </c>
      <c r="E23" s="55">
        <v>4.59</v>
      </c>
      <c r="F23" s="55">
        <v>13.02</v>
      </c>
      <c r="G23" s="55">
        <v>41.85</v>
      </c>
      <c r="H23" s="55">
        <v>14.17</v>
      </c>
      <c r="I23" s="56" t="s">
        <v>15</v>
      </c>
      <c r="J23" s="55">
        <v>1.1399999999999999</v>
      </c>
      <c r="K23" s="55">
        <v>85.88</v>
      </c>
      <c r="L23" s="55">
        <v>31.08</v>
      </c>
      <c r="M23" s="55">
        <v>60.82</v>
      </c>
      <c r="N23" s="55">
        <v>692.40</v>
      </c>
      <c r="O23" s="55">
        <v>0</v>
      </c>
      <c r="P23" s="55">
        <v>0.45</v>
      </c>
      <c r="Q23" s="55">
        <v>16.68</v>
      </c>
      <c r="R23" s="43"/>
      <c r="S23" s="43"/>
      <c r="T23" s="43"/>
      <c r="U23" s="43"/>
    </row>
    <row r="24" spans="1:21" s="11" customFormat="1" ht="15">
      <c r="A24" s="54" t="s">
        <v>679</v>
      </c>
      <c r="B24" s="55">
        <v>17.420000000000002</v>
      </c>
      <c r="C24" s="55">
        <v>26.79</v>
      </c>
      <c r="D24" s="55">
        <v>29.10</v>
      </c>
      <c r="E24" s="55">
        <v>5.0599999999999996</v>
      </c>
      <c r="F24" s="55">
        <v>11.39</v>
      </c>
      <c r="G24" s="55">
        <v>53.02</v>
      </c>
      <c r="H24" s="55">
        <v>24.26</v>
      </c>
      <c r="I24" s="56" t="s">
        <v>15</v>
      </c>
      <c r="J24" s="55">
        <v>0.91</v>
      </c>
      <c r="K24" s="55">
        <v>75.67</v>
      </c>
      <c r="L24" s="55">
        <v>31.31</v>
      </c>
      <c r="M24" s="55">
        <v>60.05</v>
      </c>
      <c r="N24" s="55">
        <v>471.30</v>
      </c>
      <c r="O24" s="55">
        <v>0</v>
      </c>
      <c r="P24" s="55">
        <v>0.43</v>
      </c>
      <c r="Q24" s="55">
        <v>14.44</v>
      </c>
      <c r="R24" s="43"/>
      <c r="S24" s="43"/>
      <c r="T24" s="43"/>
      <c r="U24" s="43"/>
    </row>
    <row r="25" spans="1:21" s="11" customFormat="1" ht="15">
      <c r="A25" s="54" t="s">
        <v>680</v>
      </c>
      <c r="B25" s="55">
        <v>12.26</v>
      </c>
      <c r="C25" s="55">
        <v>27.60</v>
      </c>
      <c r="D25" s="55">
        <v>25.42</v>
      </c>
      <c r="E25" s="55">
        <v>4.21</v>
      </c>
      <c r="F25" s="55">
        <v>17.78</v>
      </c>
      <c r="G25" s="55">
        <v>53.02</v>
      </c>
      <c r="H25" s="55">
        <v>24.26</v>
      </c>
      <c r="I25" s="56" t="s">
        <v>15</v>
      </c>
      <c r="J25" s="55">
        <v>0.59</v>
      </c>
      <c r="K25" s="55">
        <v>67.98</v>
      </c>
      <c r="L25" s="55">
        <v>30.54</v>
      </c>
      <c r="M25" s="55">
        <v>60.14</v>
      </c>
      <c r="N25" s="55">
        <v>446</v>
      </c>
      <c r="O25" s="55">
        <v>0</v>
      </c>
      <c r="P25" s="55">
        <v>0.44</v>
      </c>
      <c r="Q25" s="55">
        <v>11.56</v>
      </c>
      <c r="R25" s="43"/>
      <c r="S25" s="43"/>
      <c r="T25" s="43"/>
      <c r="U25" s="43"/>
    </row>
    <row r="26" spans="1:21" s="11" customFormat="1" ht="15">
      <c r="A26" s="54" t="s">
        <v>681</v>
      </c>
      <c r="B26" s="55">
        <v>14.26</v>
      </c>
      <c r="C26" s="55">
        <v>31.80</v>
      </c>
      <c r="D26" s="55">
        <v>29.63</v>
      </c>
      <c r="E26" s="55">
        <v>4.68</v>
      </c>
      <c r="F26" s="55">
        <v>13.91</v>
      </c>
      <c r="G26" s="55">
        <v>40.03</v>
      </c>
      <c r="H26" s="55">
        <v>14.05</v>
      </c>
      <c r="I26" s="56" t="s">
        <v>15</v>
      </c>
      <c r="J26" s="55">
        <v>0.93</v>
      </c>
      <c r="K26" s="55">
        <v>25.98</v>
      </c>
      <c r="L26" s="55">
        <v>30.64</v>
      </c>
      <c r="M26" s="55">
        <v>58.21</v>
      </c>
      <c r="N26" s="55">
        <v>167.5</v>
      </c>
      <c r="O26" s="55">
        <v>0</v>
      </c>
      <c r="P26" s="55">
        <v>0.60</v>
      </c>
      <c r="Q26" s="55">
        <v>12.20</v>
      </c>
      <c r="R26" s="43"/>
      <c r="S26" s="43"/>
      <c r="T26" s="43"/>
      <c r="U26" s="43"/>
    </row>
    <row r="27" spans="1:21" s="11" customFormat="1" ht="15">
      <c r="A27" s="54" t="s">
        <v>682</v>
      </c>
      <c r="B27" s="55">
        <v>19.68</v>
      </c>
      <c r="C27" s="55">
        <v>33.119999999999997</v>
      </c>
      <c r="D27" s="55">
        <v>33.07</v>
      </c>
      <c r="E27" s="55">
        <v>4.30</v>
      </c>
      <c r="F27" s="55">
        <v>12.97</v>
      </c>
      <c r="G27" s="55">
        <v>43.52</v>
      </c>
      <c r="H27" s="55">
        <v>11.89</v>
      </c>
      <c r="I27" s="56" t="s">
        <v>15</v>
      </c>
      <c r="J27" s="55">
        <v>1.62</v>
      </c>
      <c r="K27" s="55">
        <v>106.58</v>
      </c>
      <c r="L27" s="55">
        <v>30.07</v>
      </c>
      <c r="M27" s="55">
        <v>85.46</v>
      </c>
      <c r="N27" s="55">
        <v>78.70</v>
      </c>
      <c r="O27" s="55">
        <v>4.20</v>
      </c>
      <c r="P27" s="55">
        <v>0.74</v>
      </c>
      <c r="Q27" s="55">
        <v>10.64</v>
      </c>
      <c r="R27" s="43"/>
      <c r="S27" s="43"/>
      <c r="T27" s="43"/>
      <c r="U27" s="43"/>
    </row>
    <row r="28" spans="1:21" s="11" customFormat="1" ht="15">
      <c r="A28" s="54" t="s">
        <v>683</v>
      </c>
      <c r="B28" s="55">
        <v>11.98</v>
      </c>
      <c r="C28" s="55">
        <v>25.83</v>
      </c>
      <c r="D28" s="55">
        <v>23.67</v>
      </c>
      <c r="E28" s="55">
        <v>3.78</v>
      </c>
      <c r="F28" s="55">
        <v>11.63</v>
      </c>
      <c r="G28" s="55">
        <v>44.72</v>
      </c>
      <c r="H28" s="55">
        <v>20.079999999999998</v>
      </c>
      <c r="I28" s="56" t="s">
        <v>15</v>
      </c>
      <c r="J28" s="55">
        <v>3.40</v>
      </c>
      <c r="K28" s="55">
        <v>359.43</v>
      </c>
      <c r="L28" s="55">
        <v>23.07</v>
      </c>
      <c r="M28" s="55">
        <v>97.25</v>
      </c>
      <c r="N28" s="55">
        <v>37</v>
      </c>
      <c r="O28" s="55">
        <v>14.60</v>
      </c>
      <c r="P28" s="55">
        <v>0.56999999999999995</v>
      </c>
      <c r="Q28" s="55">
        <v>12.77</v>
      </c>
      <c r="R28" s="43"/>
      <c r="S28" s="43"/>
      <c r="T28" s="43"/>
      <c r="U28" s="43"/>
    </row>
    <row r="29" spans="1:21" s="11" customFormat="1" ht="15">
      <c r="A29" s="54" t="s">
        <v>684</v>
      </c>
      <c r="B29" s="55">
        <v>14.32</v>
      </c>
      <c r="C29" s="55">
        <v>36.229999999999997</v>
      </c>
      <c r="D29" s="55">
        <v>28.02</v>
      </c>
      <c r="E29" s="55">
        <v>2.96</v>
      </c>
      <c r="F29" s="55">
        <v>8.98</v>
      </c>
      <c r="G29" s="55">
        <v>44.72</v>
      </c>
      <c r="H29" s="55">
        <v>20.079999999999998</v>
      </c>
      <c r="I29" s="56" t="s">
        <v>15</v>
      </c>
      <c r="J29" s="55">
        <v>0.77</v>
      </c>
      <c r="K29" s="55">
        <v>103.06</v>
      </c>
      <c r="L29" s="55">
        <v>23.44</v>
      </c>
      <c r="M29" s="55">
        <v>97.28</v>
      </c>
      <c r="N29" s="55">
        <v>34.200000000000003</v>
      </c>
      <c r="O29" s="55">
        <v>0</v>
      </c>
      <c r="P29" s="55">
        <v>0.92</v>
      </c>
      <c r="Q29" s="55">
        <v>13.74</v>
      </c>
      <c r="R29" s="43"/>
      <c r="S29" s="43"/>
      <c r="T29" s="43"/>
      <c r="U29" s="43"/>
    </row>
    <row r="30" spans="1:21" s="11" customFormat="1" ht="15">
      <c r="A30" s="54" t="s">
        <v>685</v>
      </c>
      <c r="B30" s="55">
        <v>19.30</v>
      </c>
      <c r="C30" s="55">
        <v>24.51</v>
      </c>
      <c r="D30" s="55">
        <v>29.22</v>
      </c>
      <c r="E30" s="55">
        <v>3.04</v>
      </c>
      <c r="F30" s="55">
        <v>6.21</v>
      </c>
      <c r="G30" s="55">
        <v>26.37</v>
      </c>
      <c r="H30" s="55">
        <v>13.29</v>
      </c>
      <c r="I30" s="56" t="s">
        <v>15</v>
      </c>
      <c r="J30" s="55">
        <v>0.52</v>
      </c>
      <c r="K30" s="55">
        <v>346.93</v>
      </c>
      <c r="L30" s="55">
        <v>23.31</v>
      </c>
      <c r="M30" s="55">
        <v>97.27</v>
      </c>
      <c r="N30" s="55">
        <v>34.200000000000003</v>
      </c>
      <c r="O30" s="55">
        <v>0</v>
      </c>
      <c r="P30" s="55">
        <v>0.80</v>
      </c>
      <c r="Q30" s="55">
        <v>12.32</v>
      </c>
      <c r="R30" s="43"/>
      <c r="S30" s="43"/>
      <c r="T30" s="43"/>
      <c r="U30" s="43"/>
    </row>
    <row r="31" spans="1:21" s="11" customFormat="1" ht="15">
      <c r="A31" s="54" t="s">
        <v>686</v>
      </c>
      <c r="B31" s="55">
        <v>20.03</v>
      </c>
      <c r="C31" s="55">
        <v>26.27</v>
      </c>
      <c r="D31" s="55">
        <v>29.77</v>
      </c>
      <c r="E31" s="55">
        <v>3.26</v>
      </c>
      <c r="F31" s="55">
        <v>6.33</v>
      </c>
      <c r="G31" s="55">
        <v>15</v>
      </c>
      <c r="H31" s="55">
        <v>3</v>
      </c>
      <c r="I31" s="56" t="s">
        <v>15</v>
      </c>
      <c r="J31" s="55">
        <v>0.96</v>
      </c>
      <c r="K31" s="55">
        <v>16.39</v>
      </c>
      <c r="L31" s="55">
        <v>23.59</v>
      </c>
      <c r="M31" s="55">
        <v>97.25</v>
      </c>
      <c r="N31" s="55">
        <v>34.200000000000003</v>
      </c>
      <c r="O31" s="55">
        <v>0</v>
      </c>
      <c r="P31" s="55">
        <v>0.77</v>
      </c>
      <c r="Q31" s="55">
        <v>12.17</v>
      </c>
      <c r="R31" s="43"/>
      <c r="S31" s="43"/>
      <c r="T31" s="43"/>
      <c r="U31" s="43"/>
    </row>
    <row r="32" spans="1:21" s="11" customFormat="1" ht="15">
      <c r="A32" s="54" t="s">
        <v>687</v>
      </c>
      <c r="B32" s="55">
        <v>15.73</v>
      </c>
      <c r="C32" s="55">
        <v>21.82</v>
      </c>
      <c r="D32" s="55">
        <v>24.79</v>
      </c>
      <c r="E32" s="55">
        <v>2.74</v>
      </c>
      <c r="F32" s="55">
        <v>10.29</v>
      </c>
      <c r="G32" s="55">
        <v>20.25</v>
      </c>
      <c r="H32" s="55">
        <v>17.329999999999998</v>
      </c>
      <c r="I32" s="56" t="s">
        <v>15</v>
      </c>
      <c r="J32" s="55">
        <v>0.37</v>
      </c>
      <c r="K32" s="55">
        <v>88.63</v>
      </c>
      <c r="L32" s="55">
        <v>23.58</v>
      </c>
      <c r="M32" s="55">
        <v>97.23</v>
      </c>
      <c r="N32" s="55">
        <v>34.10</v>
      </c>
      <c r="O32" s="55">
        <v>0</v>
      </c>
      <c r="P32" s="55">
        <v>0.63</v>
      </c>
      <c r="Q32" s="55">
        <v>13.76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9.3900000000000006</v>
      </c>
      <c r="C34" s="28">
        <f t="shared" si="0"/>
        <v>20.850000000000001</v>
      </c>
      <c r="D34" s="28">
        <f t="shared" si="0"/>
        <v>19.91</v>
      </c>
      <c r="E34" s="28">
        <f t="shared" si="0"/>
        <v>2.1499999999999999</v>
      </c>
      <c r="F34" s="28">
        <f t="shared" si="0"/>
        <v>6.1799999999999997</v>
      </c>
      <c r="G34" s="28">
        <f t="shared" si="0"/>
        <v>15</v>
      </c>
      <c r="H34" s="28">
        <f t="shared" si="0"/>
        <v>2.4900000000000002</v>
      </c>
      <c r="I34" s="28">
        <f t="shared" si="0"/>
        <v>0</v>
      </c>
      <c r="J34" s="28">
        <f t="shared" si="0"/>
        <v>0.20999999999999999</v>
      </c>
      <c r="K34" s="28">
        <f t="shared" si="0"/>
        <v>16.390000000000001</v>
      </c>
      <c r="L34" s="28">
        <f t="shared" si="0"/>
        <v>23.07</v>
      </c>
      <c r="M34" s="28">
        <f t="shared" si="0"/>
        <v>58.210000000000001</v>
      </c>
      <c r="N34" s="28">
        <f t="shared" si="0"/>
        <v>26.800000000000001</v>
      </c>
      <c r="O34" s="28">
        <f t="shared" si="0"/>
        <v>0</v>
      </c>
      <c r="P34" s="28">
        <f t="shared" si="0"/>
        <v>0.38</v>
      </c>
      <c r="Q34" s="28">
        <f t="shared" si="0"/>
        <v>10.279999999999999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24.870000000000001</v>
      </c>
      <c r="C35" s="29">
        <f t="shared" si="1"/>
        <v>52.670000000000002</v>
      </c>
      <c r="D35" s="29">
        <f t="shared" si="1"/>
        <v>42.509999999999998</v>
      </c>
      <c r="E35" s="29">
        <f t="shared" si="1"/>
        <v>5.0599999999999996</v>
      </c>
      <c r="F35" s="29">
        <f t="shared" si="1"/>
        <v>17.780000000000001</v>
      </c>
      <c r="G35" s="29">
        <f t="shared" si="1"/>
        <v>100.81</v>
      </c>
      <c r="H35" s="29">
        <f t="shared" si="1"/>
        <v>52</v>
      </c>
      <c r="I35" s="29">
        <f t="shared" si="1"/>
        <v>0</v>
      </c>
      <c r="J35" s="29">
        <f t="shared" si="1"/>
        <v>3.3999999999999999</v>
      </c>
      <c r="K35" s="29">
        <f t="shared" si="1"/>
        <v>359.48000000000002</v>
      </c>
      <c r="L35" s="29">
        <f t="shared" si="1"/>
        <v>32.450000000000003</v>
      </c>
      <c r="M35" s="29">
        <f t="shared" si="1"/>
        <v>97.280000000000001</v>
      </c>
      <c r="N35" s="29">
        <f t="shared" si="1"/>
        <v>1117.5999999999999</v>
      </c>
      <c r="O35" s="29">
        <f t="shared" si="1"/>
        <v>14.6</v>
      </c>
      <c r="P35" s="29">
        <f t="shared" si="1"/>
        <v>0.92000000000000004</v>
      </c>
      <c r="Q35" s="29">
        <f t="shared" si="1"/>
        <v>24.66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17.154583333333335</v>
      </c>
      <c r="C36" s="28">
        <f t="shared" si="2"/>
        <v>28.25125000000001</v>
      </c>
      <c r="D36" s="28">
        <f t="shared" si="2"/>
        <v>29.188333333333333</v>
      </c>
      <c r="E36" s="28">
        <f t="shared" si="2"/>
        <v>3.1966666666666668</v>
      </c>
      <c r="F36" s="28">
        <f t="shared" si="2"/>
        <v>10.307500000000001</v>
      </c>
      <c r="G36" s="28">
        <f t="shared" si="2"/>
        <v>44.439999999999998</v>
      </c>
      <c r="H36" s="28">
        <f t="shared" si="2"/>
        <v>19.221249999999998</v>
      </c>
      <c r="I36" s="28" t="e">
        <f t="shared" si="2"/>
        <v>#DIV/0!</v>
      </c>
      <c r="J36" s="28">
        <f t="shared" si="2"/>
        <v>1.0025000000000002</v>
      </c>
      <c r="K36" s="28">
        <f t="shared" si="2"/>
        <v>152.20624999999998</v>
      </c>
      <c r="L36" s="28">
        <f t="shared" si="2"/>
        <v>27.268333333333334</v>
      </c>
      <c r="M36" s="28">
        <f t="shared" si="2"/>
        <v>82.041250000000005</v>
      </c>
      <c r="N36" s="28">
        <f t="shared" si="2"/>
        <v>360.59583333333347</v>
      </c>
      <c r="O36" s="28">
        <f t="shared" si="2"/>
        <v>0.84166666666666667</v>
      </c>
      <c r="P36" s="28">
        <f t="shared" si="2"/>
        <v>0.5820833333333334</v>
      </c>
      <c r="Q36" s="28">
        <f t="shared" si="2"/>
        <v>15.998333333333333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4.3196889774981262</v>
      </c>
      <c r="C37" s="28">
        <f t="shared" si="3" ref="C37:Q37">STDEV(C9:C32)</f>
        <v>7.2099558658119358</v>
      </c>
      <c r="D37" s="28">
        <f t="shared" si="3"/>
        <v>5.3407292016911825</v>
      </c>
      <c r="E37" s="28">
        <f t="shared" si="3"/>
        <v>0.86762377473923302</v>
      </c>
      <c r="F37" s="28">
        <f t="shared" si="3"/>
        <v>3.0943472304524455</v>
      </c>
      <c r="G37" s="28">
        <f t="shared" si="3"/>
        <v>21.64552207933448</v>
      </c>
      <c r="H37" s="28">
        <f t="shared" si="3"/>
        <v>13.705247586710847</v>
      </c>
      <c r="I37" s="28" t="e">
        <f t="shared" si="3"/>
        <v>#DIV/0!</v>
      </c>
      <c r="J37" s="28">
        <f t="shared" si="3"/>
        <v>0.65644132821700352</v>
      </c>
      <c r="K37" s="28">
        <f t="shared" si="3"/>
        <v>127.09725837061194</v>
      </c>
      <c r="L37" s="28">
        <f t="shared" si="3"/>
        <v>3.4736306863176081</v>
      </c>
      <c r="M37" s="28">
        <f t="shared" si="3"/>
        <v>16.679813968439202</v>
      </c>
      <c r="N37" s="28">
        <f t="shared" si="3"/>
        <v>406.03233698504368</v>
      </c>
      <c r="O37" s="28">
        <f t="shared" si="3"/>
        <v>3.062808694882734</v>
      </c>
      <c r="P37" s="28">
        <f t="shared" si="3"/>
        <v>0.15466595608282546</v>
      </c>
      <c r="Q37" s="28">
        <f t="shared" si="3"/>
        <v>4.2100373505176512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ddcb16-f298-466c-9a6d-57b8c148bf3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5" sqref="H7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6"/>
      <c r="B8" s="67" t="s">
        <v>22</v>
      </c>
      <c r="C8" s="67" t="s">
        <v>22</v>
      </c>
      <c r="D8" s="29" t="s">
        <v>61</v>
      </c>
      <c r="E8" s="67" t="s">
        <v>22</v>
      </c>
      <c r="F8" s="67" t="s">
        <v>22</v>
      </c>
      <c r="G8" s="67" t="s">
        <v>23</v>
      </c>
      <c r="H8" s="67" t="s">
        <v>22</v>
      </c>
      <c r="I8" s="67" t="s">
        <v>22</v>
      </c>
      <c r="J8" s="67" t="s">
        <v>24</v>
      </c>
      <c r="K8" s="67" t="s">
        <v>25</v>
      </c>
      <c r="L8" s="66" t="s">
        <v>27</v>
      </c>
      <c r="M8" s="67" t="s">
        <v>26</v>
      </c>
      <c r="N8" s="67" t="s">
        <v>28</v>
      </c>
      <c r="O8" s="66" t="s">
        <v>29</v>
      </c>
      <c r="P8" s="67" t="s">
        <v>22</v>
      </c>
      <c r="Q8" s="67" t="s">
        <v>22</v>
      </c>
      <c r="R8" s="27"/>
      <c r="S8" s="29"/>
      <c r="T8" s="27"/>
      <c r="U8" s="27"/>
    </row>
    <row r="9" spans="1:21" s="11" customFormat="1" ht="15">
      <c r="A9" s="54" t="s">
        <v>688</v>
      </c>
      <c r="B9" s="55">
        <v>13.88</v>
      </c>
      <c r="C9" s="55">
        <v>22.43</v>
      </c>
      <c r="D9" s="55">
        <v>22.94</v>
      </c>
      <c r="E9" s="55">
        <v>2.78</v>
      </c>
      <c r="F9" s="55">
        <v>5.95</v>
      </c>
      <c r="G9" s="55">
        <v>20.25</v>
      </c>
      <c r="H9" s="55">
        <v>17.329999999999998</v>
      </c>
      <c r="I9" s="56" t="s">
        <v>15</v>
      </c>
      <c r="J9" s="55">
        <v>0.60</v>
      </c>
      <c r="K9" s="55">
        <v>14.02</v>
      </c>
      <c r="L9" s="55">
        <v>23.77</v>
      </c>
      <c r="M9" s="55">
        <v>97.25</v>
      </c>
      <c r="N9" s="55">
        <v>33.200000000000003</v>
      </c>
      <c r="O9" s="55">
        <v>0</v>
      </c>
      <c r="P9" s="55">
        <v>0.59</v>
      </c>
      <c r="Q9" s="55">
        <v>12.29</v>
      </c>
      <c r="R9" s="43"/>
      <c r="S9" s="43"/>
      <c r="T9" s="43"/>
      <c r="U9" s="43"/>
    </row>
    <row r="10" spans="1:21" s="11" customFormat="1" ht="15">
      <c r="A10" s="54" t="s">
        <v>689</v>
      </c>
      <c r="B10" s="55">
        <v>11.46</v>
      </c>
      <c r="C10" s="55">
        <v>24.63</v>
      </c>
      <c r="D10" s="55">
        <v>23.12</v>
      </c>
      <c r="E10" s="55">
        <v>2.62</v>
      </c>
      <c r="F10" s="55">
        <v>11.63</v>
      </c>
      <c r="G10" s="55">
        <v>21.33</v>
      </c>
      <c r="H10" s="55">
        <v>3.76</v>
      </c>
      <c r="I10" s="56" t="s">
        <v>15</v>
      </c>
      <c r="J10" s="55">
        <v>0.70</v>
      </c>
      <c r="K10" s="55">
        <v>109.68</v>
      </c>
      <c r="L10" s="55">
        <v>23.88</v>
      </c>
      <c r="M10" s="55">
        <v>97.24</v>
      </c>
      <c r="N10" s="55">
        <v>33.10</v>
      </c>
      <c r="O10" s="55">
        <v>0</v>
      </c>
      <c r="P10" s="55">
        <v>0.48</v>
      </c>
      <c r="Q10" s="55">
        <v>12.84</v>
      </c>
      <c r="R10" s="43"/>
      <c r="S10" s="43"/>
      <c r="T10" s="43"/>
      <c r="U10" s="43"/>
    </row>
    <row r="11" spans="1:21" s="11" customFormat="1" ht="15">
      <c r="A11" s="54" t="s">
        <v>690</v>
      </c>
      <c r="B11" s="55">
        <v>7.68</v>
      </c>
      <c r="C11" s="55">
        <v>19.22</v>
      </c>
      <c r="D11" s="55">
        <v>16.64</v>
      </c>
      <c r="E11" s="55">
        <v>2.64</v>
      </c>
      <c r="F11" s="55">
        <v>12.45</v>
      </c>
      <c r="G11" s="55">
        <v>21.33</v>
      </c>
      <c r="H11" s="55">
        <v>2.4300000000000002</v>
      </c>
      <c r="I11" s="56" t="s">
        <v>15</v>
      </c>
      <c r="J11" s="55">
        <v>0.62</v>
      </c>
      <c r="K11" s="55">
        <v>113.74</v>
      </c>
      <c r="L11" s="55">
        <v>23.83</v>
      </c>
      <c r="M11" s="55">
        <v>97.23</v>
      </c>
      <c r="N11" s="55">
        <v>33</v>
      </c>
      <c r="O11" s="55">
        <v>0</v>
      </c>
      <c r="P11" s="55">
        <v>0.37</v>
      </c>
      <c r="Q11" s="55">
        <v>16.59</v>
      </c>
      <c r="R11" s="43"/>
      <c r="S11" s="43"/>
      <c r="T11" s="43"/>
      <c r="U11" s="43"/>
    </row>
    <row r="12" spans="1:21" s="11" customFormat="1" ht="15">
      <c r="A12" s="54" t="s">
        <v>691</v>
      </c>
      <c r="B12" s="55">
        <v>9.23</v>
      </c>
      <c r="C12" s="55">
        <v>21.88</v>
      </c>
      <c r="D12" s="55">
        <v>19.96</v>
      </c>
      <c r="E12" s="55">
        <v>2.48</v>
      </c>
      <c r="F12" s="55">
        <v>7.66</v>
      </c>
      <c r="G12" s="55">
        <v>19.62</v>
      </c>
      <c r="H12" s="55">
        <v>2.2799999999999998</v>
      </c>
      <c r="I12" s="56" t="s">
        <v>15</v>
      </c>
      <c r="J12" s="55">
        <v>0.61</v>
      </c>
      <c r="K12" s="55">
        <v>358.40</v>
      </c>
      <c r="L12" s="55">
        <v>23.66</v>
      </c>
      <c r="M12" s="55">
        <v>97.23</v>
      </c>
      <c r="N12" s="55">
        <v>32.90</v>
      </c>
      <c r="O12" s="55">
        <v>0</v>
      </c>
      <c r="P12" s="55">
        <v>0.39</v>
      </c>
      <c r="Q12" s="55">
        <v>14.58</v>
      </c>
      <c r="R12" s="43"/>
      <c r="S12" s="43"/>
      <c r="T12" s="43"/>
      <c r="U12" s="43"/>
    </row>
    <row r="13" spans="1:21" s="11" customFormat="1" ht="15">
      <c r="A13" s="54" t="s">
        <v>692</v>
      </c>
      <c r="B13" s="55">
        <v>12.34</v>
      </c>
      <c r="C13" s="55">
        <v>28.61</v>
      </c>
      <c r="D13" s="55">
        <v>25.60</v>
      </c>
      <c r="E13" s="55">
        <v>2.70</v>
      </c>
      <c r="F13" s="55">
        <v>4.79</v>
      </c>
      <c r="G13" s="55">
        <v>19.97</v>
      </c>
      <c r="H13" s="55">
        <v>29.94</v>
      </c>
      <c r="I13" s="56" t="s">
        <v>15</v>
      </c>
      <c r="J13" s="55">
        <v>0.82</v>
      </c>
      <c r="K13" s="55">
        <v>8.89</v>
      </c>
      <c r="L13" s="55">
        <v>23.93</v>
      </c>
      <c r="M13" s="55">
        <v>97.23</v>
      </c>
      <c r="N13" s="55">
        <v>33.40</v>
      </c>
      <c r="O13" s="55">
        <v>0</v>
      </c>
      <c r="P13" s="55">
        <v>0.45</v>
      </c>
      <c r="Q13" s="55">
        <v>14.22</v>
      </c>
      <c r="R13" s="43"/>
      <c r="S13" s="43"/>
      <c r="T13" s="43"/>
      <c r="U13" s="43"/>
    </row>
    <row r="14" spans="1:21" s="11" customFormat="1" ht="15">
      <c r="A14" s="54" t="s">
        <v>693</v>
      </c>
      <c r="B14" s="55">
        <v>15.33</v>
      </c>
      <c r="C14" s="55">
        <v>26.24</v>
      </c>
      <c r="D14" s="55">
        <v>27.42</v>
      </c>
      <c r="E14" s="55">
        <v>2.57</v>
      </c>
      <c r="F14" s="55">
        <v>4.7699999999999996</v>
      </c>
      <c r="G14" s="55">
        <v>35.840000000000003</v>
      </c>
      <c r="H14" s="55">
        <v>29.94</v>
      </c>
      <c r="I14" s="56" t="s">
        <v>15</v>
      </c>
      <c r="J14" s="55">
        <v>1.05</v>
      </c>
      <c r="K14" s="55">
        <v>8.3800000000000008</v>
      </c>
      <c r="L14" s="55">
        <v>24.15</v>
      </c>
      <c r="M14" s="55">
        <v>97.23</v>
      </c>
      <c r="N14" s="55">
        <v>66.30</v>
      </c>
      <c r="O14" s="55">
        <v>0</v>
      </c>
      <c r="P14" s="55">
        <v>0.51</v>
      </c>
      <c r="Q14" s="55">
        <v>15.43</v>
      </c>
      <c r="R14" s="43"/>
      <c r="S14" s="43"/>
      <c r="T14" s="43"/>
      <c r="U14" s="43"/>
    </row>
    <row r="15" spans="1:21" s="11" customFormat="1" ht="15">
      <c r="A15" s="54" t="s">
        <v>694</v>
      </c>
      <c r="B15" s="55">
        <v>19.48</v>
      </c>
      <c r="C15" s="55">
        <v>20.66</v>
      </c>
      <c r="D15" s="55">
        <v>27.67</v>
      </c>
      <c r="E15" s="55">
        <v>2.77</v>
      </c>
      <c r="F15" s="55">
        <v>5.52</v>
      </c>
      <c r="G15" s="55">
        <v>39.479999999999997</v>
      </c>
      <c r="H15" s="55">
        <v>8.0299999999999994</v>
      </c>
      <c r="I15" s="56" t="s">
        <v>15</v>
      </c>
      <c r="J15" s="55">
        <v>0.67</v>
      </c>
      <c r="K15" s="55">
        <v>359.85</v>
      </c>
      <c r="L15" s="55">
        <v>25.65</v>
      </c>
      <c r="M15" s="55">
        <v>94.85</v>
      </c>
      <c r="N15" s="55">
        <v>186.80</v>
      </c>
      <c r="O15" s="55">
        <v>0</v>
      </c>
      <c r="P15" s="55">
        <v>0.47</v>
      </c>
      <c r="Q15" s="55">
        <v>13.55</v>
      </c>
      <c r="R15" s="43"/>
      <c r="S15" s="43"/>
      <c r="T15" s="43"/>
      <c r="U15" s="43"/>
    </row>
    <row r="16" spans="1:21" s="11" customFormat="1" ht="15">
      <c r="A16" s="54" t="s">
        <v>695</v>
      </c>
      <c r="B16" s="55">
        <v>31.06</v>
      </c>
      <c r="C16" s="55">
        <v>23.38</v>
      </c>
      <c r="D16" s="55">
        <v>36.89</v>
      </c>
      <c r="E16" s="55">
        <v>2.83</v>
      </c>
      <c r="F16" s="55">
        <v>7.42</v>
      </c>
      <c r="G16" s="55">
        <v>43.28</v>
      </c>
      <c r="H16" s="55">
        <v>17.43</v>
      </c>
      <c r="I16" s="56" t="s">
        <v>15</v>
      </c>
      <c r="J16" s="55">
        <v>0.79</v>
      </c>
      <c r="K16" s="55">
        <v>11.33</v>
      </c>
      <c r="L16" s="55">
        <v>26.97</v>
      </c>
      <c r="M16" s="55">
        <v>89.5</v>
      </c>
      <c r="N16" s="55">
        <v>457.60</v>
      </c>
      <c r="O16" s="55">
        <v>0</v>
      </c>
      <c r="P16" s="55">
        <v>0.53</v>
      </c>
      <c r="Q16" s="55">
        <v>16.149999999999999</v>
      </c>
      <c r="R16" s="43"/>
      <c r="S16" s="43"/>
      <c r="T16" s="43"/>
      <c r="U16" s="43"/>
    </row>
    <row r="17" spans="1:21" s="11" customFormat="1" ht="15">
      <c r="A17" s="54" t="s">
        <v>696</v>
      </c>
      <c r="B17" s="55">
        <v>21.82</v>
      </c>
      <c r="C17" s="55">
        <v>20.23</v>
      </c>
      <c r="D17" s="55">
        <v>29.14</v>
      </c>
      <c r="E17" s="55">
        <v>3.79</v>
      </c>
      <c r="F17" s="55">
        <v>8.51</v>
      </c>
      <c r="G17" s="55">
        <v>44.61</v>
      </c>
      <c r="H17" s="55">
        <v>17.43</v>
      </c>
      <c r="I17" s="56" t="s">
        <v>15</v>
      </c>
      <c r="J17" s="55">
        <v>0.55000000000000004</v>
      </c>
      <c r="K17" s="55">
        <v>51.03</v>
      </c>
      <c r="L17" s="55">
        <v>27.52</v>
      </c>
      <c r="M17" s="55">
        <v>79.180000000000007</v>
      </c>
      <c r="N17" s="55">
        <v>471.60</v>
      </c>
      <c r="O17" s="55">
        <v>0</v>
      </c>
      <c r="P17" s="55">
        <v>0.5</v>
      </c>
      <c r="Q17" s="55">
        <v>17.329999999999998</v>
      </c>
      <c r="R17" s="43"/>
      <c r="S17" s="43"/>
      <c r="T17" s="43"/>
      <c r="U17" s="43"/>
    </row>
    <row r="18" spans="1:21" s="11" customFormat="1" ht="15">
      <c r="A18" s="54" t="s">
        <v>697</v>
      </c>
      <c r="B18" s="55">
        <v>23.40</v>
      </c>
      <c r="C18" s="55">
        <v>23.43</v>
      </c>
      <c r="D18" s="55">
        <v>31.17</v>
      </c>
      <c r="E18" s="55">
        <v>3.43</v>
      </c>
      <c r="F18" s="55">
        <v>5.77</v>
      </c>
      <c r="G18" s="55">
        <v>44.61</v>
      </c>
      <c r="H18" s="55">
        <v>11.06</v>
      </c>
      <c r="I18" s="56" t="s">
        <v>15</v>
      </c>
      <c r="J18" s="55">
        <v>0.46</v>
      </c>
      <c r="K18" s="55">
        <v>61.01</v>
      </c>
      <c r="L18" s="55">
        <v>28.19</v>
      </c>
      <c r="M18" s="55">
        <v>79</v>
      </c>
      <c r="N18" s="55">
        <v>547.5</v>
      </c>
      <c r="O18" s="55">
        <v>0</v>
      </c>
      <c r="P18" s="55">
        <v>0.51</v>
      </c>
      <c r="Q18" s="55">
        <v>16.649999999999999</v>
      </c>
      <c r="R18" s="43"/>
      <c r="S18" s="43"/>
      <c r="T18" s="43"/>
      <c r="U18" s="43"/>
    </row>
    <row r="19" spans="1:21" s="11" customFormat="1" ht="15">
      <c r="A19" s="54" t="s">
        <v>698</v>
      </c>
      <c r="B19" s="55">
        <v>26.77</v>
      </c>
      <c r="C19" s="55">
        <v>27.15</v>
      </c>
      <c r="D19" s="55">
        <v>36.44</v>
      </c>
      <c r="E19" s="55">
        <v>3.56</v>
      </c>
      <c r="F19" s="55">
        <v>12.59</v>
      </c>
      <c r="G19" s="55">
        <v>45.15</v>
      </c>
      <c r="H19" s="55">
        <v>10.16</v>
      </c>
      <c r="I19" s="56" t="s">
        <v>15</v>
      </c>
      <c r="J19" s="55">
        <v>0.79</v>
      </c>
      <c r="K19" s="55">
        <v>104.27</v>
      </c>
      <c r="L19" s="55">
        <v>27.79</v>
      </c>
      <c r="M19" s="55">
        <v>76.819999999999993</v>
      </c>
      <c r="N19" s="55">
        <v>625.70000000000005</v>
      </c>
      <c r="O19" s="55">
        <v>0</v>
      </c>
      <c r="P19" s="55">
        <v>0.61</v>
      </c>
      <c r="Q19" s="55">
        <v>20.41</v>
      </c>
      <c r="R19" s="43"/>
      <c r="S19" s="43"/>
      <c r="T19" s="43"/>
      <c r="U19" s="43"/>
    </row>
    <row r="20" spans="1:21" s="11" customFormat="1" ht="15">
      <c r="A20" s="54" t="s">
        <v>699</v>
      </c>
      <c r="B20" s="55">
        <v>25.80</v>
      </c>
      <c r="C20" s="55">
        <v>26.15</v>
      </c>
      <c r="D20" s="55">
        <v>35.770000000000003</v>
      </c>
      <c r="E20" s="55">
        <v>4.04</v>
      </c>
      <c r="F20" s="55">
        <v>12.89</v>
      </c>
      <c r="G20" s="55">
        <v>51.09</v>
      </c>
      <c r="H20" s="55">
        <v>23.74</v>
      </c>
      <c r="I20" s="56" t="s">
        <v>15</v>
      </c>
      <c r="J20" s="55">
        <v>0.91</v>
      </c>
      <c r="K20" s="55">
        <v>45.96</v>
      </c>
      <c r="L20" s="55">
        <v>29.46</v>
      </c>
      <c r="M20" s="55">
        <v>71.45</v>
      </c>
      <c r="N20" s="55">
        <v>810.80</v>
      </c>
      <c r="O20" s="55">
        <v>0</v>
      </c>
      <c r="P20" s="55">
        <v>0.67</v>
      </c>
      <c r="Q20" s="55">
        <v>21.53</v>
      </c>
      <c r="R20" s="43"/>
      <c r="S20" s="43"/>
      <c r="T20" s="43"/>
      <c r="U20" s="43"/>
    </row>
    <row r="21" spans="1:21" s="11" customFormat="1" ht="15">
      <c r="A21" s="54" t="s">
        <v>700</v>
      </c>
      <c r="B21" s="55">
        <v>22.51</v>
      </c>
      <c r="C21" s="55">
        <v>26.65</v>
      </c>
      <c r="D21" s="55">
        <v>32.630000000000003</v>
      </c>
      <c r="E21" s="55">
        <v>4.43</v>
      </c>
      <c r="F21" s="55">
        <v>7.09</v>
      </c>
      <c r="G21" s="55">
        <v>51.09</v>
      </c>
      <c r="H21" s="55">
        <v>23.74</v>
      </c>
      <c r="I21" s="56" t="s">
        <v>15</v>
      </c>
      <c r="J21" s="55">
        <v>0.91</v>
      </c>
      <c r="K21" s="55">
        <v>66.959999999999994</v>
      </c>
      <c r="L21" s="55">
        <v>30.95</v>
      </c>
      <c r="M21" s="55">
        <v>66.89</v>
      </c>
      <c r="N21" s="55">
        <v>1004.40</v>
      </c>
      <c r="O21" s="55">
        <v>0</v>
      </c>
      <c r="P21" s="55">
        <v>0.60</v>
      </c>
      <c r="Q21" s="55">
        <v>18.43</v>
      </c>
      <c r="R21" s="43"/>
      <c r="S21" s="43"/>
      <c r="T21" s="43"/>
      <c r="U21" s="43"/>
    </row>
    <row r="22" spans="1:21" s="11" customFormat="1" ht="15">
      <c r="A22" s="54" t="s">
        <v>701</v>
      </c>
      <c r="B22" s="55">
        <v>19.809999999999999</v>
      </c>
      <c r="C22" s="55">
        <v>27.41</v>
      </c>
      <c r="D22" s="55">
        <v>31.53</v>
      </c>
      <c r="E22" s="55">
        <v>4.34</v>
      </c>
      <c r="F22" s="55">
        <v>16.670000000000002</v>
      </c>
      <c r="G22" s="55">
        <v>48.12</v>
      </c>
      <c r="H22" s="55">
        <v>15.92</v>
      </c>
      <c r="I22" s="56" t="s">
        <v>15</v>
      </c>
      <c r="J22" s="55">
        <v>1.25</v>
      </c>
      <c r="K22" s="55">
        <v>22.47</v>
      </c>
      <c r="L22" s="55">
        <v>32.42</v>
      </c>
      <c r="M22" s="55">
        <v>64.92</v>
      </c>
      <c r="N22" s="55">
        <v>980.5</v>
      </c>
      <c r="O22" s="55">
        <v>0</v>
      </c>
      <c r="P22" s="55">
        <v>0.60</v>
      </c>
      <c r="Q22" s="55">
        <v>17.02</v>
      </c>
      <c r="R22" s="43"/>
      <c r="S22" s="43"/>
      <c r="T22" s="43"/>
      <c r="U22" s="43"/>
    </row>
    <row r="23" spans="1:21" s="11" customFormat="1" ht="15">
      <c r="A23" s="54" t="s">
        <v>702</v>
      </c>
      <c r="B23" s="55">
        <v>15.55</v>
      </c>
      <c r="C23" s="55">
        <v>30.35</v>
      </c>
      <c r="D23" s="55">
        <v>29.83</v>
      </c>
      <c r="E23" s="55">
        <v>4.53</v>
      </c>
      <c r="F23" s="55">
        <v>19.46</v>
      </c>
      <c r="G23" s="55">
        <v>50.73</v>
      </c>
      <c r="H23" s="55">
        <v>15.92</v>
      </c>
      <c r="I23" s="56" t="s">
        <v>15</v>
      </c>
      <c r="J23" s="55">
        <v>1.19</v>
      </c>
      <c r="K23" s="55">
        <v>7.84</v>
      </c>
      <c r="L23" s="55">
        <v>29.89</v>
      </c>
      <c r="M23" s="55">
        <v>69.23</v>
      </c>
      <c r="N23" s="55">
        <v>335.90</v>
      </c>
      <c r="O23" s="55">
        <v>0</v>
      </c>
      <c r="P23" s="55">
        <v>0.64</v>
      </c>
      <c r="Q23" s="55">
        <v>14.91</v>
      </c>
      <c r="R23" s="43"/>
      <c r="S23" s="43"/>
      <c r="T23" s="43"/>
      <c r="U23" s="43"/>
    </row>
    <row r="24" spans="1:21" s="11" customFormat="1" ht="15">
      <c r="A24" s="54" t="s">
        <v>703</v>
      </c>
      <c r="B24" s="55">
        <v>14.09</v>
      </c>
      <c r="C24" s="55">
        <v>30.22</v>
      </c>
      <c r="D24" s="55">
        <v>28.62</v>
      </c>
      <c r="E24" s="55">
        <v>4.51</v>
      </c>
      <c r="F24" s="55">
        <v>10.92</v>
      </c>
      <c r="G24" s="55">
        <v>50.73</v>
      </c>
      <c r="H24" s="55">
        <v>28.13</v>
      </c>
      <c r="I24" s="56" t="s">
        <v>15</v>
      </c>
      <c r="J24" s="55">
        <v>1.30</v>
      </c>
      <c r="K24" s="55">
        <v>15.55</v>
      </c>
      <c r="L24" s="55">
        <v>30.06</v>
      </c>
      <c r="M24" s="55">
        <v>68.02</v>
      </c>
      <c r="N24" s="55">
        <v>459.10</v>
      </c>
      <c r="O24" s="55">
        <v>0</v>
      </c>
      <c r="P24" s="55">
        <v>0.64</v>
      </c>
      <c r="Q24" s="55">
        <v>11.90</v>
      </c>
      <c r="R24" s="43"/>
      <c r="S24" s="43"/>
      <c r="T24" s="43"/>
      <c r="U24" s="43"/>
    </row>
    <row r="25" spans="1:21" s="11" customFormat="1" ht="15">
      <c r="A25" s="54" t="s">
        <v>704</v>
      </c>
      <c r="B25" s="55">
        <v>16.260000000000002</v>
      </c>
      <c r="C25" s="55">
        <v>35.200000000000003</v>
      </c>
      <c r="D25" s="55">
        <v>30.81</v>
      </c>
      <c r="E25" s="55">
        <v>3.86</v>
      </c>
      <c r="F25" s="55">
        <v>29.23</v>
      </c>
      <c r="G25" s="55">
        <v>48.73</v>
      </c>
      <c r="H25" s="55">
        <v>28.44</v>
      </c>
      <c r="I25" s="56" t="s">
        <v>15</v>
      </c>
      <c r="J25" s="55">
        <v>1.01</v>
      </c>
      <c r="K25" s="55">
        <v>56.30</v>
      </c>
      <c r="L25" s="55">
        <v>29.30</v>
      </c>
      <c r="M25" s="55">
        <v>69.290000000000006</v>
      </c>
      <c r="N25" s="55">
        <v>221.60</v>
      </c>
      <c r="O25" s="55">
        <v>0</v>
      </c>
      <c r="P25" s="55">
        <v>0.89</v>
      </c>
      <c r="Q25" s="55">
        <v>12.26</v>
      </c>
      <c r="R25" s="43"/>
      <c r="S25" s="43"/>
      <c r="T25" s="43"/>
      <c r="U25" s="43"/>
    </row>
    <row r="26" spans="1:21" s="11" customFormat="1" ht="15">
      <c r="A26" s="54" t="s">
        <v>705</v>
      </c>
      <c r="B26" s="55">
        <v>18.70</v>
      </c>
      <c r="C26" s="55">
        <v>33.68</v>
      </c>
      <c r="D26" s="55">
        <v>34.229999999999997</v>
      </c>
      <c r="E26" s="55">
        <v>3.99</v>
      </c>
      <c r="F26" s="55">
        <v>22.99</v>
      </c>
      <c r="G26" s="55">
        <v>58.61</v>
      </c>
      <c r="H26" s="55">
        <v>28.44</v>
      </c>
      <c r="I26" s="56" t="s">
        <v>15</v>
      </c>
      <c r="J26" s="55">
        <v>1.03</v>
      </c>
      <c r="K26" s="55">
        <v>359.70</v>
      </c>
      <c r="L26" s="55">
        <v>29.59</v>
      </c>
      <c r="M26" s="55">
        <v>67.599999999999994</v>
      </c>
      <c r="N26" s="55">
        <v>128.69999999999999</v>
      </c>
      <c r="O26" s="55">
        <v>0</v>
      </c>
      <c r="P26" s="55">
        <v>0.95</v>
      </c>
      <c r="Q26" s="55">
        <v>12.71</v>
      </c>
      <c r="R26" s="43"/>
      <c r="S26" s="43"/>
      <c r="T26" s="43"/>
      <c r="U26" s="43"/>
    </row>
    <row r="27" spans="1:21" s="11" customFormat="1" ht="15">
      <c r="A27" s="54" t="s">
        <v>706</v>
      </c>
      <c r="B27" s="55">
        <v>27.02</v>
      </c>
      <c r="C27" s="55">
        <v>50.31</v>
      </c>
      <c r="D27" s="55">
        <v>49.21</v>
      </c>
      <c r="E27" s="55">
        <v>3.79</v>
      </c>
      <c r="F27" s="55">
        <v>19.41</v>
      </c>
      <c r="G27" s="55">
        <v>58.61</v>
      </c>
      <c r="H27" s="55">
        <v>32.479999999999997</v>
      </c>
      <c r="I27" s="56" t="s">
        <v>15</v>
      </c>
      <c r="J27" s="55">
        <v>0.70</v>
      </c>
      <c r="K27" s="55">
        <v>120.55</v>
      </c>
      <c r="L27" s="55">
        <v>28.64</v>
      </c>
      <c r="M27" s="55">
        <v>73.11</v>
      </c>
      <c r="N27" s="55">
        <v>50.60</v>
      </c>
      <c r="O27" s="55">
        <v>0</v>
      </c>
      <c r="P27" s="55">
        <v>1.21</v>
      </c>
      <c r="Q27" s="55">
        <v>11.63</v>
      </c>
      <c r="R27" s="43"/>
      <c r="S27" s="43"/>
      <c r="T27" s="43"/>
      <c r="U27" s="43"/>
    </row>
    <row r="28" spans="1:21" s="11" customFormat="1" ht="15">
      <c r="A28" s="54" t="s">
        <v>707</v>
      </c>
      <c r="B28" s="55">
        <v>42.92</v>
      </c>
      <c r="C28" s="55">
        <v>61.41</v>
      </c>
      <c r="D28" s="55">
        <v>68.459999999999994</v>
      </c>
      <c r="E28" s="55">
        <v>3.27</v>
      </c>
      <c r="F28" s="55">
        <v>17.25</v>
      </c>
      <c r="G28" s="55">
        <v>65.489999999999995</v>
      </c>
      <c r="H28" s="55">
        <v>42.98</v>
      </c>
      <c r="I28" s="56" t="s">
        <v>15</v>
      </c>
      <c r="J28" s="55">
        <v>0.14000000000000001</v>
      </c>
      <c r="K28" s="55">
        <v>191.99</v>
      </c>
      <c r="L28" s="55">
        <v>27.57</v>
      </c>
      <c r="M28" s="55">
        <v>78.86</v>
      </c>
      <c r="N28" s="55">
        <v>29.70</v>
      </c>
      <c r="O28" s="55">
        <v>0</v>
      </c>
      <c r="P28" s="55">
        <v>1.63</v>
      </c>
      <c r="Q28" s="55">
        <v>15.28</v>
      </c>
      <c r="R28" s="43"/>
      <c r="S28" s="43"/>
      <c r="T28" s="43"/>
      <c r="U28" s="43"/>
    </row>
    <row r="29" spans="1:21" s="11" customFormat="1" ht="15">
      <c r="A29" s="54" t="s">
        <v>708</v>
      </c>
      <c r="B29" s="55">
        <v>35.82</v>
      </c>
      <c r="C29" s="55">
        <v>57.25</v>
      </c>
      <c r="D29" s="55">
        <v>60.97</v>
      </c>
      <c r="E29" s="55">
        <v>2.62</v>
      </c>
      <c r="F29" s="55">
        <v>16.399999999999999</v>
      </c>
      <c r="G29" s="55">
        <v>70.69</v>
      </c>
      <c r="H29" s="55">
        <v>42.98</v>
      </c>
      <c r="I29" s="56" t="s">
        <v>15</v>
      </c>
      <c r="J29" s="55">
        <v>0.16</v>
      </c>
      <c r="K29" s="55">
        <v>343.80</v>
      </c>
      <c r="L29" s="55">
        <v>27.29</v>
      </c>
      <c r="M29" s="55">
        <v>84.61</v>
      </c>
      <c r="N29" s="55">
        <v>29.70</v>
      </c>
      <c r="O29" s="55">
        <v>0</v>
      </c>
      <c r="P29" s="55">
        <v>1.95</v>
      </c>
      <c r="Q29" s="55">
        <v>16.440000000000001</v>
      </c>
      <c r="R29" s="43"/>
      <c r="S29" s="43"/>
      <c r="T29" s="43"/>
      <c r="U29" s="43"/>
    </row>
    <row r="30" spans="1:21" s="11" customFormat="1" ht="15">
      <c r="A30" s="54" t="s">
        <v>709</v>
      </c>
      <c r="B30" s="55">
        <v>20.38</v>
      </c>
      <c r="C30" s="55">
        <v>36.94</v>
      </c>
      <c r="D30" s="55">
        <v>37.380000000000003</v>
      </c>
      <c r="E30" s="55">
        <v>2.40</v>
      </c>
      <c r="F30" s="55">
        <v>15.55</v>
      </c>
      <c r="G30" s="55">
        <v>70.69</v>
      </c>
      <c r="H30" s="55">
        <v>33.75</v>
      </c>
      <c r="I30" s="56" t="s">
        <v>15</v>
      </c>
      <c r="J30" s="55">
        <v>0.04</v>
      </c>
      <c r="K30" s="55">
        <v>359.40</v>
      </c>
      <c r="L30" s="55">
        <v>26.99</v>
      </c>
      <c r="M30" s="55">
        <v>86.05</v>
      </c>
      <c r="N30" s="55">
        <v>29.60</v>
      </c>
      <c r="O30" s="55">
        <v>0</v>
      </c>
      <c r="P30" s="55">
        <v>1.0900000000000001</v>
      </c>
      <c r="Q30" s="55">
        <v>14.18</v>
      </c>
      <c r="R30" s="43"/>
      <c r="S30" s="43"/>
      <c r="T30" s="43"/>
      <c r="U30" s="43"/>
    </row>
    <row r="31" spans="1:21" s="11" customFormat="1" ht="15">
      <c r="A31" s="54" t="s">
        <v>710</v>
      </c>
      <c r="B31" s="55">
        <v>10.050000000000001</v>
      </c>
      <c r="C31" s="55">
        <v>35.479999999999997</v>
      </c>
      <c r="D31" s="55">
        <v>28.28</v>
      </c>
      <c r="E31" s="55">
        <v>2.16</v>
      </c>
      <c r="F31" s="55">
        <v>19.47</v>
      </c>
      <c r="G31" s="55">
        <v>64.680000000000007</v>
      </c>
      <c r="H31" s="55">
        <v>29.35</v>
      </c>
      <c r="I31" s="56" t="s">
        <v>15</v>
      </c>
      <c r="J31" s="55">
        <v>0.06</v>
      </c>
      <c r="K31" s="55">
        <v>313.14999999999998</v>
      </c>
      <c r="L31" s="55">
        <v>26.83</v>
      </c>
      <c r="M31" s="55">
        <v>85.69</v>
      </c>
      <c r="N31" s="55">
        <v>29.70</v>
      </c>
      <c r="O31" s="55">
        <v>0</v>
      </c>
      <c r="P31" s="55">
        <v>0.82</v>
      </c>
      <c r="Q31" s="55">
        <v>14.33</v>
      </c>
      <c r="R31" s="43"/>
      <c r="S31" s="43"/>
      <c r="T31" s="43"/>
      <c r="U31" s="43"/>
    </row>
    <row r="32" spans="1:21" s="11" customFormat="1" ht="15">
      <c r="A32" s="54" t="s">
        <v>711</v>
      </c>
      <c r="B32" s="55">
        <v>10.66</v>
      </c>
      <c r="C32" s="55">
        <v>60.19</v>
      </c>
      <c r="D32" s="55">
        <v>41.31</v>
      </c>
      <c r="E32" s="55">
        <v>2.34</v>
      </c>
      <c r="F32" s="55">
        <v>17.600000000000001</v>
      </c>
      <c r="G32" s="55">
        <v>64.22</v>
      </c>
      <c r="H32" s="55">
        <v>29.35</v>
      </c>
      <c r="I32" s="56" t="s">
        <v>15</v>
      </c>
      <c r="J32" s="55">
        <v>1.34</v>
      </c>
      <c r="K32" s="55">
        <v>236.80</v>
      </c>
      <c r="L32" s="55">
        <v>26.56</v>
      </c>
      <c r="M32" s="55">
        <v>91.71</v>
      </c>
      <c r="N32" s="55">
        <v>31.90</v>
      </c>
      <c r="O32" s="55">
        <v>0.40</v>
      </c>
      <c r="P32" s="55">
        <v>0.72</v>
      </c>
      <c r="Q32" s="55">
        <v>14.98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7.6799999999999997</v>
      </c>
      <c r="C34" s="28">
        <f t="shared" si="0"/>
        <v>19.219999999999999</v>
      </c>
      <c r="D34" s="28">
        <f t="shared" si="0"/>
        <v>16.640000000000001</v>
      </c>
      <c r="E34" s="28">
        <f t="shared" si="0"/>
        <v>2.1600000000000001</v>
      </c>
      <c r="F34" s="28">
        <f t="shared" si="0"/>
        <v>4.7699999999999996</v>
      </c>
      <c r="G34" s="28">
        <f t="shared" si="0"/>
        <v>19.620000000000001</v>
      </c>
      <c r="H34" s="28">
        <f t="shared" si="0"/>
        <v>2.2799999999999998</v>
      </c>
      <c r="I34" s="28">
        <f t="shared" si="0"/>
        <v>0</v>
      </c>
      <c r="J34" s="28">
        <f t="shared" si="0"/>
        <v>0.040000000000000001</v>
      </c>
      <c r="K34" s="28">
        <f t="shared" si="0"/>
        <v>7.8399999999999999</v>
      </c>
      <c r="L34" s="28">
        <f t="shared" si="0"/>
        <v>23.66</v>
      </c>
      <c r="M34" s="28">
        <f t="shared" si="0"/>
        <v>64.920000000000002</v>
      </c>
      <c r="N34" s="28">
        <f t="shared" si="0"/>
        <v>29.600000000000001</v>
      </c>
      <c r="O34" s="28">
        <f t="shared" si="0"/>
        <v>0</v>
      </c>
      <c r="P34" s="28">
        <f t="shared" si="0"/>
        <v>0.37</v>
      </c>
      <c r="Q34" s="28">
        <f t="shared" si="0"/>
        <v>11.630000000000001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42.920000000000002</v>
      </c>
      <c r="C35" s="29">
        <f t="shared" si="1"/>
        <v>61.409999999999997</v>
      </c>
      <c r="D35" s="29">
        <f t="shared" si="1"/>
        <v>68.459999999999994</v>
      </c>
      <c r="E35" s="29">
        <f t="shared" si="1"/>
        <v>4.5300000000000002</v>
      </c>
      <c r="F35" s="29">
        <f t="shared" si="1"/>
        <v>29.23</v>
      </c>
      <c r="G35" s="29">
        <f t="shared" si="1"/>
        <v>70.689999999999998</v>
      </c>
      <c r="H35" s="29">
        <f t="shared" si="1"/>
        <v>42.979999999999997</v>
      </c>
      <c r="I35" s="29">
        <f t="shared" si="1"/>
        <v>0</v>
      </c>
      <c r="J35" s="29">
        <f t="shared" si="1"/>
        <v>1.3400000000000001</v>
      </c>
      <c r="K35" s="29">
        <f t="shared" si="1"/>
        <v>359.85000000000002</v>
      </c>
      <c r="L35" s="29">
        <f t="shared" si="1"/>
        <v>32.420000000000002</v>
      </c>
      <c r="M35" s="29">
        <f t="shared" si="1"/>
        <v>97.25</v>
      </c>
      <c r="N35" s="29">
        <f t="shared" si="1"/>
        <v>1004.4</v>
      </c>
      <c r="O35" s="29">
        <f t="shared" si="1"/>
        <v>0.40000000000000002</v>
      </c>
      <c r="P35" s="29">
        <f t="shared" si="1"/>
        <v>1.95</v>
      </c>
      <c r="Q35" s="29">
        <f t="shared" si="1"/>
        <v>21.530000000000001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19.6675</v>
      </c>
      <c r="C36" s="28">
        <f t="shared" si="2"/>
        <v>32.045833333333327</v>
      </c>
      <c r="D36" s="28">
        <f t="shared" si="2"/>
        <v>33.584166666666668</v>
      </c>
      <c r="E36" s="28">
        <f t="shared" si="2"/>
        <v>3.2687500000000007</v>
      </c>
      <c r="F36" s="28">
        <f t="shared" si="2"/>
        <v>12.999583333333334</v>
      </c>
      <c r="G36" s="28">
        <f t="shared" si="2"/>
        <v>46.206250000000011</v>
      </c>
      <c r="H36" s="28">
        <f t="shared" si="2"/>
        <v>21.87541666666667</v>
      </c>
      <c r="I36" s="28" t="e">
        <f t="shared" si="2"/>
        <v>#DIV/0!</v>
      </c>
      <c r="J36" s="28">
        <f t="shared" si="2"/>
        <v>0.73749999999999982</v>
      </c>
      <c r="K36" s="28">
        <f t="shared" si="2"/>
        <v>139.21125000000004</v>
      </c>
      <c r="L36" s="28">
        <f t="shared" si="2"/>
        <v>27.287083333333332</v>
      </c>
      <c r="M36" s="28">
        <f t="shared" si="2"/>
        <v>82.507916666666659</v>
      </c>
      <c r="N36" s="28">
        <f t="shared" si="2"/>
        <v>277.63749999999999</v>
      </c>
      <c r="O36" s="28">
        <f t="shared" si="2"/>
        <v>0.016666666666666666</v>
      </c>
      <c r="P36" s="28">
        <f t="shared" si="2"/>
        <v>0.74249999999999983</v>
      </c>
      <c r="Q36" s="28">
        <f t="shared" si="2"/>
        <v>15.234999999999998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8.7500008695651754</v>
      </c>
      <c r="C37" s="28">
        <f t="shared" si="3" ref="C37:Q37">STDEV(C9:C32)</f>
        <v>12.62586610603552</v>
      </c>
      <c r="D37" s="28">
        <f t="shared" si="3"/>
        <v>11.88050500927306</v>
      </c>
      <c r="E37" s="28">
        <f t="shared" si="3"/>
        <v>0.77862930008863374</v>
      </c>
      <c r="F37" s="28">
        <f t="shared" si="3"/>
        <v>6.5046354569288702</v>
      </c>
      <c r="G37" s="28">
        <f t="shared" si="3"/>
        <v>16.308096632068025</v>
      </c>
      <c r="H37" s="28">
        <f t="shared" si="3"/>
        <v>11.768888972410581</v>
      </c>
      <c r="I37" s="28" t="e">
        <f t="shared" si="3"/>
        <v>#DIV/0!</v>
      </c>
      <c r="J37" s="28">
        <f t="shared" si="3"/>
        <v>0.37767308154240947</v>
      </c>
      <c r="K37" s="28">
        <f t="shared" si="3"/>
        <v>136.46493074946582</v>
      </c>
      <c r="L37" s="28">
        <f t="shared" si="3"/>
        <v>2.5120638997111291</v>
      </c>
      <c r="M37" s="28">
        <f t="shared" si="3"/>
        <v>11.851183018976434</v>
      </c>
      <c r="N37" s="28">
        <f t="shared" si="3"/>
        <v>319.08989984764889</v>
      </c>
      <c r="O37" s="28">
        <f t="shared" si="3"/>
        <v>0.081649658092772623</v>
      </c>
      <c r="P37" s="28">
        <f t="shared" si="3"/>
        <v>0.38829896594830388</v>
      </c>
      <c r="Q37" s="28">
        <f t="shared" si="3"/>
        <v>2.5581345105199564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86e18c-036c-47e8-91ec-15539b61c9ca}">
  <sheetPr codeName=""/>
  <dimension ref="A1:U119"/>
  <sheetViews>
    <sheetView workbookViewId="0" topLeftCell="A1">
      <pane xSplit="1" ySplit="8" topLeftCell="B3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712</v>
      </c>
      <c r="B9" s="55">
        <v>9.08</v>
      </c>
      <c r="C9" s="55">
        <v>27.41</v>
      </c>
      <c r="D9" s="55">
        <v>22.89</v>
      </c>
      <c r="E9" s="55">
        <v>2.63</v>
      </c>
      <c r="F9" s="55">
        <v>8</v>
      </c>
      <c r="G9" s="55">
        <v>58.06</v>
      </c>
      <c r="H9" s="55">
        <v>22.80</v>
      </c>
      <c r="I9" s="56" t="s">
        <v>15</v>
      </c>
      <c r="J9" s="55">
        <v>0.69</v>
      </c>
      <c r="K9" s="55">
        <v>359.41</v>
      </c>
      <c r="L9" s="55">
        <v>23.59</v>
      </c>
      <c r="M9" s="55">
        <v>97.25</v>
      </c>
      <c r="N9" s="55">
        <v>34.299999999999997</v>
      </c>
      <c r="O9" s="55">
        <v>11.40</v>
      </c>
      <c r="P9" s="55">
        <v>0.63</v>
      </c>
      <c r="Q9" s="55">
        <v>8.65</v>
      </c>
      <c r="R9" s="43"/>
      <c r="S9" s="43"/>
      <c r="T9" s="43"/>
      <c r="U9" s="43"/>
    </row>
    <row r="10" spans="1:21" s="11" customFormat="1" ht="15">
      <c r="A10" s="54" t="s">
        <v>713</v>
      </c>
      <c r="B10" s="55">
        <v>5.45</v>
      </c>
      <c r="C10" s="55">
        <v>23.71</v>
      </c>
      <c r="D10" s="55">
        <v>17.45</v>
      </c>
      <c r="E10" s="55">
        <v>2.63</v>
      </c>
      <c r="F10" s="55">
        <v>14.84</v>
      </c>
      <c r="G10" s="55">
        <v>43.60</v>
      </c>
      <c r="H10" s="55">
        <v>14.74</v>
      </c>
      <c r="I10" s="56" t="s">
        <v>15</v>
      </c>
      <c r="J10" s="55">
        <v>0.77</v>
      </c>
      <c r="K10" s="55">
        <v>300.98</v>
      </c>
      <c r="L10" s="55">
        <v>22.79</v>
      </c>
      <c r="M10" s="55">
        <v>97.25</v>
      </c>
      <c r="N10" s="55">
        <v>30.90</v>
      </c>
      <c r="O10" s="55">
        <v>2.2000000000000002</v>
      </c>
      <c r="P10" s="55">
        <v>0.47</v>
      </c>
      <c r="Q10" s="55">
        <v>9.6199999999999992</v>
      </c>
      <c r="R10" s="43"/>
      <c r="S10" s="43"/>
      <c r="T10" s="43"/>
      <c r="U10" s="43"/>
    </row>
    <row r="11" spans="1:21" s="11" customFormat="1" ht="15">
      <c r="A11" s="54" t="s">
        <v>714</v>
      </c>
      <c r="B11" s="55">
        <v>7.07</v>
      </c>
      <c r="C11" s="55">
        <v>26.54</v>
      </c>
      <c r="D11" s="55">
        <v>19.95</v>
      </c>
      <c r="E11" s="55">
        <v>2.52</v>
      </c>
      <c r="F11" s="55">
        <v>6.80</v>
      </c>
      <c r="G11" s="55">
        <v>26.48</v>
      </c>
      <c r="H11" s="55">
        <v>11.14</v>
      </c>
      <c r="I11" s="56" t="s">
        <v>15</v>
      </c>
      <c r="J11" s="55">
        <v>1.1399999999999999</v>
      </c>
      <c r="K11" s="55">
        <v>358.63</v>
      </c>
      <c r="L11" s="55">
        <v>22.94</v>
      </c>
      <c r="M11" s="55">
        <v>97.25</v>
      </c>
      <c r="N11" s="55">
        <v>31.60</v>
      </c>
      <c r="O11" s="55">
        <v>4</v>
      </c>
      <c r="P11" s="55">
        <v>0.52</v>
      </c>
      <c r="Q11" s="55">
        <v>9.83</v>
      </c>
      <c r="R11" s="43"/>
      <c r="S11" s="43"/>
      <c r="T11" s="43"/>
      <c r="U11" s="43"/>
    </row>
    <row r="12" spans="1:21" s="11" customFormat="1" ht="15">
      <c r="A12" s="54" t="s">
        <v>715</v>
      </c>
      <c r="B12" s="55">
        <v>6.27</v>
      </c>
      <c r="C12" s="55">
        <v>25.52</v>
      </c>
      <c r="D12" s="55">
        <v>19.54</v>
      </c>
      <c r="E12" s="55">
        <v>2.70</v>
      </c>
      <c r="F12" s="55">
        <v>7.62</v>
      </c>
      <c r="G12" s="55">
        <v>24.56</v>
      </c>
      <c r="H12" s="55">
        <v>11.14</v>
      </c>
      <c r="I12" s="56" t="s">
        <v>15</v>
      </c>
      <c r="J12" s="55">
        <v>0.98</v>
      </c>
      <c r="K12" s="55">
        <v>356.32</v>
      </c>
      <c r="L12" s="55">
        <v>22.49</v>
      </c>
      <c r="M12" s="55">
        <v>97.25</v>
      </c>
      <c r="N12" s="55">
        <v>31</v>
      </c>
      <c r="O12" s="55">
        <v>0.80</v>
      </c>
      <c r="P12" s="55">
        <v>0.43</v>
      </c>
      <c r="Q12" s="55">
        <v>5.43</v>
      </c>
      <c r="R12" s="43"/>
      <c r="S12" s="43"/>
      <c r="T12" s="43"/>
      <c r="U12" s="43"/>
    </row>
    <row r="13" spans="1:21" s="11" customFormat="1" ht="15">
      <c r="A13" s="54" t="s">
        <v>716</v>
      </c>
      <c r="B13" s="55">
        <v>6.61</v>
      </c>
      <c r="C13" s="55">
        <v>25.23</v>
      </c>
      <c r="D13" s="55">
        <v>19.87</v>
      </c>
      <c r="E13" s="55">
        <v>2.94</v>
      </c>
      <c r="F13" s="55">
        <v>14.05</v>
      </c>
      <c r="G13" s="55">
        <v>16.36</v>
      </c>
      <c r="H13" s="55">
        <v>9.41</v>
      </c>
      <c r="I13" s="56" t="s">
        <v>15</v>
      </c>
      <c r="J13" s="55">
        <v>0.49</v>
      </c>
      <c r="K13" s="55">
        <v>359.31</v>
      </c>
      <c r="L13" s="55">
        <v>22.48</v>
      </c>
      <c r="M13" s="55">
        <v>97.25</v>
      </c>
      <c r="N13" s="55">
        <v>30.90</v>
      </c>
      <c r="O13" s="55">
        <v>0.40</v>
      </c>
      <c r="P13" s="55">
        <v>0.37</v>
      </c>
      <c r="Q13" s="55">
        <v>7.72</v>
      </c>
      <c r="R13" s="43"/>
      <c r="S13" s="43"/>
      <c r="T13" s="43"/>
      <c r="U13" s="43"/>
    </row>
    <row r="14" spans="1:21" s="11" customFormat="1" ht="15">
      <c r="A14" s="54" t="s">
        <v>717</v>
      </c>
      <c r="B14" s="55">
        <v>9.8000000000000007</v>
      </c>
      <c r="C14" s="55">
        <v>23.29</v>
      </c>
      <c r="D14" s="55">
        <v>21.36</v>
      </c>
      <c r="E14" s="55">
        <v>2.91</v>
      </c>
      <c r="F14" s="55">
        <v>8.2100000000000009</v>
      </c>
      <c r="G14" s="55">
        <v>11.91</v>
      </c>
      <c r="H14" s="55">
        <v>9.41</v>
      </c>
      <c r="I14" s="56" t="s">
        <v>15</v>
      </c>
      <c r="J14" s="55">
        <v>0.95</v>
      </c>
      <c r="K14" s="55">
        <v>357.29</v>
      </c>
      <c r="L14" s="55">
        <v>22.61</v>
      </c>
      <c r="M14" s="55">
        <v>97.25</v>
      </c>
      <c r="N14" s="55">
        <v>47.5</v>
      </c>
      <c r="O14" s="55">
        <v>0</v>
      </c>
      <c r="P14" s="55">
        <v>0.39</v>
      </c>
      <c r="Q14" s="55">
        <v>7.14</v>
      </c>
      <c r="R14" s="43"/>
      <c r="S14" s="43"/>
      <c r="T14" s="43"/>
      <c r="U14" s="43"/>
    </row>
    <row r="15" spans="1:21" s="11" customFormat="1" ht="15">
      <c r="A15" s="54" t="s">
        <v>718</v>
      </c>
      <c r="B15" s="55">
        <v>9.33</v>
      </c>
      <c r="C15" s="55">
        <v>25.08</v>
      </c>
      <c r="D15" s="55">
        <v>21.97</v>
      </c>
      <c r="E15" s="55">
        <v>3.25</v>
      </c>
      <c r="F15" s="55">
        <v>11.44</v>
      </c>
      <c r="G15" s="55">
        <v>9.8800000000000008</v>
      </c>
      <c r="H15" s="55">
        <v>9.36</v>
      </c>
      <c r="I15" s="56" t="s">
        <v>15</v>
      </c>
      <c r="J15" s="55">
        <v>1.21</v>
      </c>
      <c r="K15" s="55">
        <v>174.66</v>
      </c>
      <c r="L15" s="55">
        <v>22.82</v>
      </c>
      <c r="M15" s="55">
        <v>97.28</v>
      </c>
      <c r="N15" s="55">
        <v>163.60</v>
      </c>
      <c r="O15" s="55">
        <v>0</v>
      </c>
      <c r="P15" s="55">
        <v>0.37</v>
      </c>
      <c r="Q15" s="55">
        <v>5.94</v>
      </c>
      <c r="R15" s="43"/>
      <c r="S15" s="43"/>
      <c r="T15" s="43"/>
      <c r="U15" s="43"/>
    </row>
    <row r="16" spans="1:21" s="11" customFormat="1" ht="15">
      <c r="A16" s="54" t="s">
        <v>719</v>
      </c>
      <c r="B16" s="55">
        <v>17</v>
      </c>
      <c r="C16" s="55">
        <v>26.58</v>
      </c>
      <c r="D16" s="55">
        <v>27.62</v>
      </c>
      <c r="E16" s="55">
        <v>2.56</v>
      </c>
      <c r="F16" s="55">
        <v>10.77</v>
      </c>
      <c r="G16" s="55">
        <v>10.09</v>
      </c>
      <c r="H16" s="55">
        <v>8.1300000000000008</v>
      </c>
      <c r="I16" s="56" t="s">
        <v>15</v>
      </c>
      <c r="J16" s="55">
        <v>0.57999999999999996</v>
      </c>
      <c r="K16" s="55">
        <v>353.40</v>
      </c>
      <c r="L16" s="55">
        <v>26.94</v>
      </c>
      <c r="M16" s="55">
        <v>97.28</v>
      </c>
      <c r="N16" s="55">
        <v>353.5</v>
      </c>
      <c r="O16" s="55">
        <v>0</v>
      </c>
      <c r="P16" s="55">
        <v>0.51</v>
      </c>
      <c r="Q16" s="55">
        <v>10.74</v>
      </c>
      <c r="R16" s="43"/>
      <c r="S16" s="43"/>
      <c r="T16" s="43"/>
      <c r="U16" s="43"/>
    </row>
    <row r="17" spans="1:21" s="11" customFormat="1" ht="15">
      <c r="A17" s="54" t="s">
        <v>720</v>
      </c>
      <c r="B17" s="55">
        <v>12.28</v>
      </c>
      <c r="C17" s="55">
        <v>26.76</v>
      </c>
      <c r="D17" s="55">
        <v>24.79</v>
      </c>
      <c r="E17" s="55">
        <v>2.09</v>
      </c>
      <c r="F17" s="55">
        <v>4.8899999999999997</v>
      </c>
      <c r="G17" s="55">
        <v>12.33</v>
      </c>
      <c r="H17" s="55">
        <v>8.1300000000000008</v>
      </c>
      <c r="I17" s="56" t="s">
        <v>15</v>
      </c>
      <c r="J17" s="55">
        <v>0.28999999999999998</v>
      </c>
      <c r="K17" s="55">
        <v>27.55</v>
      </c>
      <c r="L17" s="55">
        <v>25.90</v>
      </c>
      <c r="M17" s="55">
        <v>93.99</v>
      </c>
      <c r="N17" s="55">
        <v>277.80</v>
      </c>
      <c r="O17" s="55">
        <v>0</v>
      </c>
      <c r="P17" s="55">
        <v>0.59</v>
      </c>
      <c r="Q17" s="55">
        <v>9.6199999999999992</v>
      </c>
      <c r="R17" s="43"/>
      <c r="S17" s="43"/>
      <c r="T17" s="43"/>
      <c r="U17" s="43"/>
    </row>
    <row r="18" spans="1:21" s="11" customFormat="1" ht="15">
      <c r="A18" s="54" t="s">
        <v>721</v>
      </c>
      <c r="B18" s="55">
        <v>13.36</v>
      </c>
      <c r="C18" s="55">
        <v>30.15</v>
      </c>
      <c r="D18" s="55">
        <v>28</v>
      </c>
      <c r="E18" s="55">
        <v>2.10</v>
      </c>
      <c r="F18" s="55">
        <v>7.65</v>
      </c>
      <c r="G18" s="55">
        <v>25.01</v>
      </c>
      <c r="H18" s="55">
        <v>17.39</v>
      </c>
      <c r="I18" s="56" t="s">
        <v>15</v>
      </c>
      <c r="J18" s="55">
        <v>0.54</v>
      </c>
      <c r="K18" s="55">
        <v>338.11</v>
      </c>
      <c r="L18" s="55">
        <v>27.12</v>
      </c>
      <c r="M18" s="55">
        <v>91.07</v>
      </c>
      <c r="N18" s="55">
        <v>356.5</v>
      </c>
      <c r="O18" s="55">
        <v>0</v>
      </c>
      <c r="P18" s="55">
        <v>0.67</v>
      </c>
      <c r="Q18" s="55">
        <v>5.65</v>
      </c>
      <c r="R18" s="43"/>
      <c r="S18" s="43"/>
      <c r="T18" s="43"/>
      <c r="U18" s="43"/>
    </row>
    <row r="19" spans="1:21" s="11" customFormat="1" ht="15">
      <c r="A19" s="54" t="s">
        <v>722</v>
      </c>
      <c r="B19" s="55">
        <v>16.399999999999999</v>
      </c>
      <c r="C19" s="55">
        <v>33.130000000000003</v>
      </c>
      <c r="D19" s="55">
        <v>32.08</v>
      </c>
      <c r="E19" s="55">
        <v>2.25</v>
      </c>
      <c r="F19" s="55">
        <v>13.70</v>
      </c>
      <c r="G19" s="55">
        <v>41.55</v>
      </c>
      <c r="H19" s="55">
        <v>25.5</v>
      </c>
      <c r="I19" s="56" t="s">
        <v>15</v>
      </c>
      <c r="J19" s="55">
        <v>0.28999999999999998</v>
      </c>
      <c r="K19" s="55">
        <v>352.48</v>
      </c>
      <c r="L19" s="55">
        <v>28.27</v>
      </c>
      <c r="M19" s="55">
        <v>82.42</v>
      </c>
      <c r="N19" s="55">
        <v>382.10</v>
      </c>
      <c r="O19" s="55">
        <v>0</v>
      </c>
      <c r="P19" s="55">
        <v>0.99</v>
      </c>
      <c r="Q19" s="55">
        <v>6.58</v>
      </c>
      <c r="R19" s="43"/>
      <c r="S19" s="43"/>
      <c r="T19" s="43"/>
      <c r="U19" s="43"/>
    </row>
    <row r="20" spans="1:21" s="11" customFormat="1" ht="15">
      <c r="A20" s="54" t="s">
        <v>723</v>
      </c>
      <c r="B20" s="55">
        <v>12.88</v>
      </c>
      <c r="C20" s="55">
        <v>37.32</v>
      </c>
      <c r="D20" s="55">
        <v>27.45</v>
      </c>
      <c r="E20" s="55">
        <v>2.31</v>
      </c>
      <c r="F20" s="55">
        <v>11.55</v>
      </c>
      <c r="G20" s="55">
        <v>41.55</v>
      </c>
      <c r="H20" s="55">
        <v>25.5</v>
      </c>
      <c r="I20" s="56" t="s">
        <v>15</v>
      </c>
      <c r="J20" s="55">
        <v>0.39</v>
      </c>
      <c r="K20" s="55">
        <v>25.22</v>
      </c>
      <c r="L20" s="55">
        <v>28.84</v>
      </c>
      <c r="M20" s="55">
        <v>81.84</v>
      </c>
      <c r="N20" s="55">
        <v>513.90</v>
      </c>
      <c r="O20" s="55">
        <v>0</v>
      </c>
      <c r="P20" s="55">
        <v>0.81</v>
      </c>
      <c r="Q20" s="55">
        <v>5.63</v>
      </c>
      <c r="R20" s="43"/>
      <c r="S20" s="43"/>
      <c r="T20" s="43"/>
      <c r="U20" s="43"/>
    </row>
    <row r="21" spans="1:21" s="11" customFormat="1" ht="15">
      <c r="A21" s="54" t="s">
        <v>724</v>
      </c>
      <c r="B21" s="55">
        <v>5.20</v>
      </c>
      <c r="C21" s="55">
        <v>35.020000000000003</v>
      </c>
      <c r="D21" s="55">
        <v>23.68</v>
      </c>
      <c r="E21" s="55">
        <v>2.97</v>
      </c>
      <c r="F21" s="55">
        <v>7.07</v>
      </c>
      <c r="G21" s="55">
        <v>36.869999999999997</v>
      </c>
      <c r="H21" s="55">
        <v>21.41</v>
      </c>
      <c r="I21" s="56" t="s">
        <v>15</v>
      </c>
      <c r="J21" s="55">
        <v>0.60</v>
      </c>
      <c r="K21" s="55">
        <v>338.17</v>
      </c>
      <c r="L21" s="55">
        <v>29.36</v>
      </c>
      <c r="M21" s="55">
        <v>75.650000000000006</v>
      </c>
      <c r="N21" s="55">
        <v>585</v>
      </c>
      <c r="O21" s="55">
        <v>0</v>
      </c>
      <c r="P21" s="55">
        <v>0.74</v>
      </c>
      <c r="Q21" s="58" t="s">
        <v>14</v>
      </c>
      <c r="R21" s="43"/>
      <c r="S21" s="43"/>
      <c r="T21" s="43"/>
      <c r="U21" s="43"/>
    </row>
    <row r="22" spans="1:21" s="11" customFormat="1" ht="15">
      <c r="A22" s="54" t="s">
        <v>725</v>
      </c>
      <c r="B22" s="55">
        <v>5.34</v>
      </c>
      <c r="C22" s="55">
        <v>32.21</v>
      </c>
      <c r="D22" s="55">
        <v>22.33</v>
      </c>
      <c r="E22" s="55">
        <v>2.90</v>
      </c>
      <c r="F22" s="55">
        <v>9.5399999999999991</v>
      </c>
      <c r="G22" s="55">
        <v>43.77</v>
      </c>
      <c r="H22" s="55">
        <v>17.690000000000001</v>
      </c>
      <c r="I22" s="56" t="s">
        <v>15</v>
      </c>
      <c r="J22" s="55">
        <v>0.32</v>
      </c>
      <c r="K22" s="55">
        <v>38.71</v>
      </c>
      <c r="L22" s="55">
        <v>27.80</v>
      </c>
      <c r="M22" s="55">
        <v>78.81</v>
      </c>
      <c r="N22" s="55">
        <v>851.5</v>
      </c>
      <c r="O22" s="55">
        <v>0</v>
      </c>
      <c r="P22" s="55">
        <v>0.65</v>
      </c>
      <c r="Q22" s="58" t="s">
        <v>14</v>
      </c>
      <c r="R22" s="43"/>
      <c r="S22" s="43"/>
      <c r="T22" s="43"/>
      <c r="U22" s="43"/>
    </row>
    <row r="23" spans="1:21" s="11" customFormat="1" ht="15">
      <c r="A23" s="54" t="s">
        <v>726</v>
      </c>
      <c r="B23" s="55">
        <v>4.46</v>
      </c>
      <c r="C23" s="55">
        <v>30.21</v>
      </c>
      <c r="D23" s="55">
        <v>20.89</v>
      </c>
      <c r="E23" s="55">
        <v>3.40</v>
      </c>
      <c r="F23" s="55">
        <v>6.39</v>
      </c>
      <c r="G23" s="55">
        <v>43.77</v>
      </c>
      <c r="H23" s="55">
        <v>17.13</v>
      </c>
      <c r="I23" s="56" t="s">
        <v>15</v>
      </c>
      <c r="J23" s="55">
        <v>0.84</v>
      </c>
      <c r="K23" s="55">
        <v>356.12</v>
      </c>
      <c r="L23" s="55">
        <v>30.54</v>
      </c>
      <c r="M23" s="55">
        <v>75.28</v>
      </c>
      <c r="N23" s="55">
        <v>784.70</v>
      </c>
      <c r="O23" s="55">
        <v>0</v>
      </c>
      <c r="P23" s="55">
        <v>0.61</v>
      </c>
      <c r="Q23" s="58" t="s">
        <v>14</v>
      </c>
      <c r="R23" s="43"/>
      <c r="S23" s="43"/>
      <c r="T23" s="43"/>
      <c r="U23" s="43"/>
    </row>
    <row r="24" spans="1:21" s="11" customFormat="1" ht="15">
      <c r="A24" s="54" t="s">
        <v>727</v>
      </c>
      <c r="B24" s="55">
        <v>6.22</v>
      </c>
      <c r="C24" s="55">
        <v>29.94</v>
      </c>
      <c r="D24" s="55">
        <v>21.90</v>
      </c>
      <c r="E24" s="55">
        <v>3.20</v>
      </c>
      <c r="F24" s="55">
        <v>8.76</v>
      </c>
      <c r="G24" s="55">
        <v>40.10</v>
      </c>
      <c r="H24" s="55">
        <v>17.13</v>
      </c>
      <c r="I24" s="56" t="s">
        <v>15</v>
      </c>
      <c r="J24" s="55">
        <v>0.90</v>
      </c>
      <c r="K24" s="55">
        <v>344.14</v>
      </c>
      <c r="L24" s="55">
        <v>30.18</v>
      </c>
      <c r="M24" s="55">
        <v>73.17</v>
      </c>
      <c r="N24" s="55">
        <v>372</v>
      </c>
      <c r="O24" s="55">
        <v>0</v>
      </c>
      <c r="P24" s="55">
        <v>0.48</v>
      </c>
      <c r="Q24" s="58" t="s">
        <v>14</v>
      </c>
      <c r="R24" s="43"/>
      <c r="S24" s="43"/>
      <c r="T24" s="43"/>
      <c r="U24" s="43"/>
    </row>
    <row r="25" spans="1:21" s="11" customFormat="1" ht="15">
      <c r="A25" s="54" t="s">
        <v>728</v>
      </c>
      <c r="B25" s="55">
        <v>12.12</v>
      </c>
      <c r="C25" s="55">
        <v>28.16</v>
      </c>
      <c r="D25" s="55">
        <v>24.39</v>
      </c>
      <c r="E25" s="55">
        <v>3.64</v>
      </c>
      <c r="F25" s="55">
        <v>16.71</v>
      </c>
      <c r="G25" s="55">
        <v>39.049999999999997</v>
      </c>
      <c r="H25" s="55">
        <v>15.54</v>
      </c>
      <c r="I25" s="56" t="s">
        <v>15</v>
      </c>
      <c r="J25" s="55">
        <v>1.24</v>
      </c>
      <c r="K25" s="55">
        <v>350.78</v>
      </c>
      <c r="L25" s="55">
        <v>29.29</v>
      </c>
      <c r="M25" s="55">
        <v>81.09</v>
      </c>
      <c r="N25" s="55">
        <v>147</v>
      </c>
      <c r="O25" s="55">
        <v>0</v>
      </c>
      <c r="P25" s="55">
        <v>0.5</v>
      </c>
      <c r="Q25" s="58" t="s">
        <v>14</v>
      </c>
      <c r="R25" s="43"/>
      <c r="S25" s="43"/>
      <c r="T25" s="43"/>
      <c r="U25" s="43"/>
    </row>
    <row r="26" spans="1:21" s="11" customFormat="1" ht="15">
      <c r="A26" s="54" t="s">
        <v>729</v>
      </c>
      <c r="B26" s="55">
        <v>15.57</v>
      </c>
      <c r="C26" s="55">
        <v>25.82</v>
      </c>
      <c r="D26" s="55">
        <v>26.07</v>
      </c>
      <c r="E26" s="55">
        <v>3.53</v>
      </c>
      <c r="F26" s="55">
        <v>11.22</v>
      </c>
      <c r="G26" s="55">
        <v>39.049999999999997</v>
      </c>
      <c r="H26" s="55">
        <v>15.06</v>
      </c>
      <c r="I26" s="56" t="s">
        <v>15</v>
      </c>
      <c r="J26" s="55">
        <v>0.65</v>
      </c>
      <c r="K26" s="55">
        <v>347.15</v>
      </c>
      <c r="L26" s="55">
        <v>28.62</v>
      </c>
      <c r="M26" s="55">
        <v>82.73</v>
      </c>
      <c r="N26" s="55">
        <v>118.90</v>
      </c>
      <c r="O26" s="55">
        <v>0</v>
      </c>
      <c r="P26" s="55">
        <v>0.56999999999999995</v>
      </c>
      <c r="Q26" s="58" t="s">
        <v>14</v>
      </c>
      <c r="R26" s="43"/>
      <c r="S26" s="43"/>
      <c r="T26" s="43"/>
      <c r="U26" s="43"/>
    </row>
    <row r="27" spans="1:21" s="11" customFormat="1" ht="15">
      <c r="A27" s="54" t="s">
        <v>730</v>
      </c>
      <c r="B27" s="55">
        <v>15.95</v>
      </c>
      <c r="C27" s="55">
        <v>32.270000000000003</v>
      </c>
      <c r="D27" s="55">
        <v>31.24</v>
      </c>
      <c r="E27" s="55">
        <v>3.40</v>
      </c>
      <c r="F27" s="55">
        <v>6.47</v>
      </c>
      <c r="G27" s="55">
        <v>36.36</v>
      </c>
      <c r="H27" s="55">
        <v>16.88</v>
      </c>
      <c r="I27" s="56" t="s">
        <v>15</v>
      </c>
      <c r="J27" s="55">
        <v>0.70</v>
      </c>
      <c r="K27" s="55">
        <v>352.88</v>
      </c>
      <c r="L27" s="55">
        <v>27.52</v>
      </c>
      <c r="M27" s="55">
        <v>85.13</v>
      </c>
      <c r="N27" s="55">
        <v>47.5</v>
      </c>
      <c r="O27" s="55">
        <v>0</v>
      </c>
      <c r="P27" s="55">
        <v>0.56999999999999995</v>
      </c>
      <c r="Q27" s="55">
        <v>1.1399999999999999</v>
      </c>
      <c r="R27" s="43"/>
      <c r="S27" s="43"/>
      <c r="T27" s="43"/>
      <c r="U27" s="43"/>
    </row>
    <row r="28" spans="1:21" s="11" customFormat="1" ht="15">
      <c r="A28" s="54" t="s">
        <v>731</v>
      </c>
      <c r="B28" s="55">
        <v>16</v>
      </c>
      <c r="C28" s="55">
        <v>32.520000000000003</v>
      </c>
      <c r="D28" s="55">
        <v>30.21</v>
      </c>
      <c r="E28" s="55">
        <v>3.66</v>
      </c>
      <c r="F28" s="55">
        <v>9.58</v>
      </c>
      <c r="G28" s="55">
        <v>40.33</v>
      </c>
      <c r="H28" s="55">
        <v>16.88</v>
      </c>
      <c r="I28" s="56" t="s">
        <v>15</v>
      </c>
      <c r="J28" s="55">
        <v>0.61</v>
      </c>
      <c r="K28" s="55">
        <v>355.15</v>
      </c>
      <c r="L28" s="55">
        <v>26.65</v>
      </c>
      <c r="M28" s="55">
        <v>87.5</v>
      </c>
      <c r="N28" s="55">
        <v>31.5</v>
      </c>
      <c r="O28" s="55">
        <v>0</v>
      </c>
      <c r="P28" s="55">
        <v>0.74</v>
      </c>
      <c r="Q28" s="55">
        <v>1.35</v>
      </c>
      <c r="R28" s="43"/>
      <c r="S28" s="43"/>
      <c r="T28" s="43"/>
      <c r="U28" s="43"/>
    </row>
    <row r="29" spans="1:21" s="11" customFormat="1" ht="15">
      <c r="A29" s="54" t="s">
        <v>732</v>
      </c>
      <c r="B29" s="55">
        <v>21.46</v>
      </c>
      <c r="C29" s="55">
        <v>27.66</v>
      </c>
      <c r="D29" s="55">
        <v>32.590000000000003</v>
      </c>
      <c r="E29" s="55">
        <v>2.56</v>
      </c>
      <c r="F29" s="55">
        <v>6.83</v>
      </c>
      <c r="G29" s="55">
        <v>40.33</v>
      </c>
      <c r="H29" s="55">
        <v>16.920000000000002</v>
      </c>
      <c r="I29" s="56" t="s">
        <v>15</v>
      </c>
      <c r="J29" s="55">
        <v>0.38</v>
      </c>
      <c r="K29" s="55">
        <v>36.83</v>
      </c>
      <c r="L29" s="55">
        <v>26.51</v>
      </c>
      <c r="M29" s="55">
        <v>90.74</v>
      </c>
      <c r="N29" s="55">
        <v>32.799999999999997</v>
      </c>
      <c r="O29" s="55">
        <v>0</v>
      </c>
      <c r="P29" s="55">
        <v>0.76</v>
      </c>
      <c r="Q29" s="55">
        <v>0.53</v>
      </c>
      <c r="R29" s="43"/>
      <c r="S29" s="43"/>
      <c r="T29" s="43"/>
      <c r="U29" s="43"/>
    </row>
    <row r="30" spans="1:21" s="11" customFormat="1" ht="15">
      <c r="A30" s="54" t="s">
        <v>733</v>
      </c>
      <c r="B30" s="55">
        <v>18.399999999999999</v>
      </c>
      <c r="C30" s="55">
        <v>29.80</v>
      </c>
      <c r="D30" s="55">
        <v>31.02</v>
      </c>
      <c r="E30" s="55">
        <v>2.64</v>
      </c>
      <c r="F30" s="55">
        <v>5.96</v>
      </c>
      <c r="G30" s="55">
        <v>42.69</v>
      </c>
      <c r="H30" s="55">
        <v>18.46</v>
      </c>
      <c r="I30" s="56" t="s">
        <v>15</v>
      </c>
      <c r="J30" s="55">
        <v>0.40</v>
      </c>
      <c r="K30" s="55">
        <v>41.45</v>
      </c>
      <c r="L30" s="55">
        <v>26.19</v>
      </c>
      <c r="M30" s="55">
        <v>91.61</v>
      </c>
      <c r="N30" s="55">
        <v>32.799999999999997</v>
      </c>
      <c r="O30" s="55">
        <v>0</v>
      </c>
      <c r="P30" s="55">
        <v>0.73</v>
      </c>
      <c r="Q30" s="55">
        <v>1.1499999999999999</v>
      </c>
      <c r="R30" s="43"/>
      <c r="S30" s="43"/>
      <c r="T30" s="43"/>
      <c r="U30" s="43"/>
    </row>
    <row r="31" spans="1:21" s="11" customFormat="1" ht="15">
      <c r="A31" s="54" t="s">
        <v>734</v>
      </c>
      <c r="B31" s="55">
        <v>12.95</v>
      </c>
      <c r="C31" s="55">
        <v>29.55</v>
      </c>
      <c r="D31" s="55">
        <v>27.34</v>
      </c>
      <c r="E31" s="55">
        <v>2.58</v>
      </c>
      <c r="F31" s="55">
        <v>5.49</v>
      </c>
      <c r="G31" s="55">
        <v>42.69</v>
      </c>
      <c r="H31" s="55">
        <v>18.46</v>
      </c>
      <c r="I31" s="56" t="s">
        <v>15</v>
      </c>
      <c r="J31" s="55">
        <v>0.72</v>
      </c>
      <c r="K31" s="55">
        <v>35.11</v>
      </c>
      <c r="L31" s="55">
        <v>25.90</v>
      </c>
      <c r="M31" s="55">
        <v>92.67</v>
      </c>
      <c r="N31" s="55">
        <v>33</v>
      </c>
      <c r="O31" s="55">
        <v>0</v>
      </c>
      <c r="P31" s="55">
        <v>0.68</v>
      </c>
      <c r="Q31" s="55">
        <v>1.06</v>
      </c>
      <c r="R31" s="43"/>
      <c r="S31" s="43"/>
      <c r="T31" s="43"/>
      <c r="U31" s="43"/>
    </row>
    <row r="32" spans="1:21" s="11" customFormat="1" ht="15">
      <c r="A32" s="54" t="s">
        <v>735</v>
      </c>
      <c r="B32" s="55">
        <v>9.2899999999999991</v>
      </c>
      <c r="C32" s="55">
        <v>27</v>
      </c>
      <c r="D32" s="55">
        <v>23</v>
      </c>
      <c r="E32" s="55">
        <v>2.3199999999999998</v>
      </c>
      <c r="F32" s="55">
        <v>6.02</v>
      </c>
      <c r="G32" s="55">
        <v>38.51</v>
      </c>
      <c r="H32" s="55">
        <v>16.88</v>
      </c>
      <c r="I32" s="56" t="s">
        <v>15</v>
      </c>
      <c r="J32" s="55">
        <v>2.06</v>
      </c>
      <c r="K32" s="55">
        <v>31.31</v>
      </c>
      <c r="L32" s="55">
        <v>23.22</v>
      </c>
      <c r="M32" s="55">
        <v>97.30</v>
      </c>
      <c r="N32" s="55">
        <v>39.60</v>
      </c>
      <c r="O32" s="55">
        <v>19.80</v>
      </c>
      <c r="P32" s="55">
        <v>0.64</v>
      </c>
      <c r="Q32" s="58" t="s">
        <v>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4.46</v>
      </c>
      <c r="C34" s="28">
        <f t="shared" si="0"/>
        <v>23.289999999999999</v>
      </c>
      <c r="D34" s="28">
        <f t="shared" si="0"/>
        <v>17.449999999999999</v>
      </c>
      <c r="E34" s="28">
        <f t="shared" si="0"/>
        <v>2.0899999999999999</v>
      </c>
      <c r="F34" s="28">
        <f t="shared" si="0"/>
        <v>4.8899999999999997</v>
      </c>
      <c r="G34" s="28">
        <f t="shared" si="0"/>
        <v>9.8800000000000008</v>
      </c>
      <c r="H34" s="28">
        <f t="shared" si="0"/>
        <v>8.1300000000000008</v>
      </c>
      <c r="I34" s="28">
        <f t="shared" si="0"/>
        <v>0</v>
      </c>
      <c r="J34" s="28">
        <f t="shared" si="0"/>
        <v>0.28999999999999998</v>
      </c>
      <c r="K34" s="28">
        <f t="shared" si="0"/>
        <v>25.219999999999999</v>
      </c>
      <c r="L34" s="28">
        <f t="shared" si="0"/>
        <v>22.48</v>
      </c>
      <c r="M34" s="28">
        <f t="shared" si="0"/>
        <v>73.170000000000002</v>
      </c>
      <c r="N34" s="28">
        <f t="shared" si="0"/>
        <v>30.899999999999999</v>
      </c>
      <c r="O34" s="28">
        <f t="shared" si="0"/>
        <v>0</v>
      </c>
      <c r="P34" s="28">
        <f t="shared" si="0"/>
        <v>0.37</v>
      </c>
      <c r="Q34" s="28">
        <f t="shared" si="0"/>
        <v>0.53000000000000003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21.460000000000001</v>
      </c>
      <c r="C35" s="29">
        <f t="shared" si="1"/>
        <v>37.32</v>
      </c>
      <c r="D35" s="29">
        <f t="shared" si="1"/>
        <v>32.590000000000003</v>
      </c>
      <c r="E35" s="29">
        <f t="shared" si="1"/>
        <v>3.6600000000000001</v>
      </c>
      <c r="F35" s="29">
        <f t="shared" si="1"/>
        <v>16.710000000000001</v>
      </c>
      <c r="G35" s="29">
        <f t="shared" si="1"/>
        <v>58.060000000000002</v>
      </c>
      <c r="H35" s="29">
        <f t="shared" si="1"/>
        <v>25.5</v>
      </c>
      <c r="I35" s="29">
        <f t="shared" si="1"/>
        <v>0</v>
      </c>
      <c r="J35" s="29">
        <f t="shared" si="1"/>
        <v>2.0600000000000001</v>
      </c>
      <c r="K35" s="29">
        <f t="shared" si="1"/>
        <v>359.41000000000003</v>
      </c>
      <c r="L35" s="29">
        <f t="shared" si="1"/>
        <v>30.539999999999999</v>
      </c>
      <c r="M35" s="29">
        <f t="shared" si="1"/>
        <v>97.299999999999997</v>
      </c>
      <c r="N35" s="29">
        <f t="shared" si="1"/>
        <v>851.5</v>
      </c>
      <c r="O35" s="29">
        <f t="shared" si="1"/>
        <v>19.800000000000001</v>
      </c>
      <c r="P35" s="29">
        <f t="shared" si="1"/>
        <v>0.98999999999999999</v>
      </c>
      <c r="Q35" s="29">
        <f t="shared" si="1"/>
        <v>10.74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11.187083333333334</v>
      </c>
      <c r="C36" s="28">
        <f t="shared" si="2"/>
        <v>28.786666666666658</v>
      </c>
      <c r="D36" s="28">
        <f t="shared" si="2"/>
        <v>24.901250000000001</v>
      </c>
      <c r="E36" s="28">
        <f t="shared" si="2"/>
        <v>2.8204166666666666</v>
      </c>
      <c r="F36" s="28">
        <f t="shared" si="2"/>
        <v>9.1483333333333352</v>
      </c>
      <c r="G36" s="28">
        <f t="shared" si="2"/>
        <v>33.537500000000001</v>
      </c>
      <c r="H36" s="28">
        <f t="shared" si="2"/>
        <v>15.878749999999997</v>
      </c>
      <c r="I36" s="28" t="e">
        <f t="shared" si="2"/>
        <v>#DIV/0!</v>
      </c>
      <c r="J36" s="28">
        <f t="shared" si="2"/>
        <v>0.73916666666666675</v>
      </c>
      <c r="K36" s="28">
        <f t="shared" si="2"/>
        <v>249.63166666666666</v>
      </c>
      <c r="L36" s="28">
        <f t="shared" si="2"/>
        <v>26.190416666666668</v>
      </c>
      <c r="M36" s="28">
        <f t="shared" si="2"/>
        <v>89.127499999999998</v>
      </c>
      <c r="N36" s="28">
        <f t="shared" si="2"/>
        <v>222.07916666666668</v>
      </c>
      <c r="O36" s="28">
        <f t="shared" si="2"/>
        <v>1.6083333333333334</v>
      </c>
      <c r="P36" s="28">
        <f t="shared" si="2"/>
        <v>0.60083333333333344</v>
      </c>
      <c r="Q36" s="28">
        <f t="shared" si="2"/>
        <v>5.7517647058823531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4.8665035025755081</v>
      </c>
      <c r="C37" s="28">
        <f t="shared" si="3" ref="C37:Q37">STDEV(C9:C32)</f>
        <v>3.598144046548283</v>
      </c>
      <c r="D37" s="28">
        <f t="shared" si="3"/>
        <v>4.3917692903885399</v>
      </c>
      <c r="E37" s="28">
        <f t="shared" si="3"/>
        <v>0.47656815897091481</v>
      </c>
      <c r="F37" s="28">
        <f t="shared" si="3"/>
        <v>3.2369412113594369</v>
      </c>
      <c r="G37" s="28">
        <f t="shared" si="3"/>
        <v>13.143068019169705</v>
      </c>
      <c r="H37" s="28">
        <f t="shared" si="3"/>
        <v>5.034712817249269</v>
      </c>
      <c r="I37" s="28" t="e">
        <f t="shared" si="3"/>
        <v>#DIV/0!</v>
      </c>
      <c r="J37" s="28">
        <f t="shared" si="3"/>
        <v>0.39769899767741812</v>
      </c>
      <c r="K37" s="28">
        <f t="shared" si="3"/>
        <v>146.33019173941085</v>
      </c>
      <c r="L37" s="28">
        <f t="shared" si="3"/>
        <v>2.6974762426590408</v>
      </c>
      <c r="M37" s="28">
        <f t="shared" si="3"/>
        <v>8.3432895451843567</v>
      </c>
      <c r="N37" s="28">
        <f t="shared" si="3"/>
        <v>251.51255302610664</v>
      </c>
      <c r="O37" s="28">
        <f t="shared" si="3"/>
        <v>4.5757315087950374</v>
      </c>
      <c r="P37" s="28">
        <f t="shared" si="3"/>
        <v>0.15191292318918756</v>
      </c>
      <c r="Q37" s="28">
        <f t="shared" si="3"/>
        <v>3.5141824001005495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COUNT(Q9:Q32)+7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b25bd9-9cd3-41b6-a1e5-f5f9ef3ada29}">
  <sheetPr codeName=""/>
  <dimension ref="A1:U119"/>
  <sheetViews>
    <sheetView workbookViewId="0" topLeftCell="A1">
      <selection pane="topLeft" activeCell="G62" sqref="G6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736</v>
      </c>
      <c r="B9" s="55">
        <v>6.79</v>
      </c>
      <c r="C9" s="55">
        <v>26.5</v>
      </c>
      <c r="D9" s="55">
        <v>20.57</v>
      </c>
      <c r="E9" s="55">
        <v>2.4700000000000002</v>
      </c>
      <c r="F9" s="55">
        <v>4.78</v>
      </c>
      <c r="G9" s="55">
        <v>34.24</v>
      </c>
      <c r="H9" s="55">
        <v>14.22</v>
      </c>
      <c r="I9" s="56" t="s">
        <v>15</v>
      </c>
      <c r="J9" s="55">
        <v>2.60</v>
      </c>
      <c r="K9" s="55">
        <v>358.93</v>
      </c>
      <c r="L9" s="55">
        <v>22.63</v>
      </c>
      <c r="M9" s="55">
        <v>97.30</v>
      </c>
      <c r="N9" s="55">
        <v>34.60</v>
      </c>
      <c r="O9" s="55">
        <v>3.80</v>
      </c>
      <c r="P9" s="55">
        <v>0.52</v>
      </c>
      <c r="Q9" s="58" t="s">
        <v>14</v>
      </c>
      <c r="R9" s="43"/>
      <c r="S9" s="43"/>
      <c r="T9" s="43"/>
      <c r="U9" s="43"/>
    </row>
    <row r="10" spans="1:21" s="11" customFormat="1" ht="15">
      <c r="A10" s="54" t="s">
        <v>737</v>
      </c>
      <c r="B10" s="55">
        <v>3.17</v>
      </c>
      <c r="C10" s="55">
        <v>23.44</v>
      </c>
      <c r="D10" s="55">
        <v>16.12</v>
      </c>
      <c r="E10" s="55">
        <v>2.71</v>
      </c>
      <c r="F10" s="55">
        <v>6.30</v>
      </c>
      <c r="G10" s="55">
        <v>28.29</v>
      </c>
      <c r="H10" s="55">
        <v>15.22</v>
      </c>
      <c r="I10" s="56" t="s">
        <v>15</v>
      </c>
      <c r="J10" s="55">
        <v>1.70</v>
      </c>
      <c r="K10" s="55">
        <v>356.17</v>
      </c>
      <c r="L10" s="55">
        <v>21.67</v>
      </c>
      <c r="M10" s="55">
        <v>97.28</v>
      </c>
      <c r="N10" s="55">
        <v>33.299999999999997</v>
      </c>
      <c r="O10" s="55">
        <v>4.4000000000000004</v>
      </c>
      <c r="P10" s="55">
        <v>0.36</v>
      </c>
      <c r="Q10" s="58" t="s">
        <v>14</v>
      </c>
      <c r="R10" s="43"/>
      <c r="S10" s="43"/>
      <c r="T10" s="43"/>
      <c r="U10" s="43"/>
    </row>
    <row r="11" spans="1:21" s="11" customFormat="1" ht="15">
      <c r="A11" s="54" t="s">
        <v>738</v>
      </c>
      <c r="B11" s="55">
        <v>2.76</v>
      </c>
      <c r="C11" s="55">
        <v>20.83</v>
      </c>
      <c r="D11" s="55">
        <v>14.08</v>
      </c>
      <c r="E11" s="55">
        <v>2.44</v>
      </c>
      <c r="F11" s="55">
        <v>4.58</v>
      </c>
      <c r="G11" s="55">
        <v>18.39</v>
      </c>
      <c r="H11" s="55">
        <v>16.010000000000002</v>
      </c>
      <c r="I11" s="56" t="s">
        <v>15</v>
      </c>
      <c r="J11" s="55">
        <v>1.5</v>
      </c>
      <c r="K11" s="55">
        <v>348.02</v>
      </c>
      <c r="L11" s="55">
        <v>22.24</v>
      </c>
      <c r="M11" s="55">
        <v>97.27</v>
      </c>
      <c r="N11" s="55">
        <v>32.90</v>
      </c>
      <c r="O11" s="55">
        <v>0.40</v>
      </c>
      <c r="P11" s="55">
        <v>0.30</v>
      </c>
      <c r="Q11" s="58" t="s">
        <v>14</v>
      </c>
      <c r="R11" s="43"/>
      <c r="S11" s="43"/>
      <c r="T11" s="43"/>
      <c r="U11" s="43"/>
    </row>
    <row r="12" spans="1:21" s="11" customFormat="1" ht="15">
      <c r="A12" s="54" t="s">
        <v>739</v>
      </c>
      <c r="B12" s="55">
        <v>2.56</v>
      </c>
      <c r="C12" s="55">
        <v>22.62</v>
      </c>
      <c r="D12" s="55">
        <v>15.18</v>
      </c>
      <c r="E12" s="55">
        <v>2.69</v>
      </c>
      <c r="F12" s="55">
        <v>15.84</v>
      </c>
      <c r="G12" s="55">
        <v>13.07</v>
      </c>
      <c r="H12" s="55">
        <v>16.010000000000002</v>
      </c>
      <c r="I12" s="56" t="s">
        <v>15</v>
      </c>
      <c r="J12" s="55">
        <v>0.22</v>
      </c>
      <c r="K12" s="55">
        <v>358.17</v>
      </c>
      <c r="L12" s="55">
        <v>22.32</v>
      </c>
      <c r="M12" s="55">
        <v>97.27</v>
      </c>
      <c r="N12" s="55">
        <v>32.90</v>
      </c>
      <c r="O12" s="55">
        <v>0.20</v>
      </c>
      <c r="P12" s="55">
        <v>0.24</v>
      </c>
      <c r="Q12" s="58" t="s">
        <v>14</v>
      </c>
      <c r="R12" s="43"/>
      <c r="S12" s="43"/>
      <c r="T12" s="43"/>
      <c r="U12" s="43"/>
    </row>
    <row r="13" spans="1:21" s="11" customFormat="1" ht="15">
      <c r="A13" s="54" t="s">
        <v>740</v>
      </c>
      <c r="B13" s="55">
        <v>5.25</v>
      </c>
      <c r="C13" s="55">
        <v>20.99</v>
      </c>
      <c r="D13" s="55">
        <v>16.440000000000001</v>
      </c>
      <c r="E13" s="55">
        <v>3.40</v>
      </c>
      <c r="F13" s="55">
        <v>14.83</v>
      </c>
      <c r="G13" s="55">
        <v>12.74</v>
      </c>
      <c r="H13" s="55">
        <v>11.88</v>
      </c>
      <c r="I13" s="56" t="s">
        <v>15</v>
      </c>
      <c r="J13" s="55">
        <v>0.28000000000000003</v>
      </c>
      <c r="K13" s="55">
        <v>347.77</v>
      </c>
      <c r="L13" s="55">
        <v>22.59</v>
      </c>
      <c r="M13" s="55">
        <v>97.27</v>
      </c>
      <c r="N13" s="55">
        <v>33.200000000000003</v>
      </c>
      <c r="O13" s="55">
        <v>0</v>
      </c>
      <c r="P13" s="55">
        <v>0.28999999999999998</v>
      </c>
      <c r="Q13" s="58" t="s">
        <v>14</v>
      </c>
      <c r="R13" s="43"/>
      <c r="S13" s="43"/>
      <c r="T13" s="43"/>
      <c r="U13" s="43"/>
    </row>
    <row r="14" spans="1:21" s="11" customFormat="1" ht="15">
      <c r="A14" s="54" t="s">
        <v>741</v>
      </c>
      <c r="B14" s="55">
        <v>6.59</v>
      </c>
      <c r="C14" s="55">
        <v>24.28</v>
      </c>
      <c r="D14" s="55">
        <v>19.329999999999998</v>
      </c>
      <c r="E14" s="55">
        <v>3.71</v>
      </c>
      <c r="F14" s="55">
        <v>4.04</v>
      </c>
      <c r="G14" s="55">
        <v>12.66</v>
      </c>
      <c r="H14" s="55">
        <v>8.99</v>
      </c>
      <c r="I14" s="56" t="s">
        <v>15</v>
      </c>
      <c r="J14" s="55">
        <v>0.55000000000000004</v>
      </c>
      <c r="K14" s="55">
        <v>337.27</v>
      </c>
      <c r="L14" s="55">
        <v>22.5</v>
      </c>
      <c r="M14" s="55">
        <v>97.26</v>
      </c>
      <c r="N14" s="55">
        <v>40.799999999999997</v>
      </c>
      <c r="O14" s="55">
        <v>0.20</v>
      </c>
      <c r="P14" s="55">
        <v>0.37</v>
      </c>
      <c r="Q14" s="58" t="s">
        <v>14</v>
      </c>
      <c r="R14" s="43"/>
      <c r="S14" s="43"/>
      <c r="T14" s="43"/>
      <c r="U14" s="43"/>
    </row>
    <row r="15" spans="1:21" s="11" customFormat="1" ht="15">
      <c r="A15" s="54" t="s">
        <v>742</v>
      </c>
      <c r="B15" s="55">
        <v>12.21</v>
      </c>
      <c r="C15" s="55">
        <v>26.31</v>
      </c>
      <c r="D15" s="55">
        <v>24.35</v>
      </c>
      <c r="E15" s="55">
        <v>2.93</v>
      </c>
      <c r="F15" s="55">
        <v>4.8099999999999996</v>
      </c>
      <c r="G15" s="58" t="s">
        <v>14</v>
      </c>
      <c r="H15" s="58" t="s">
        <v>14</v>
      </c>
      <c r="I15" s="56" t="s">
        <v>15</v>
      </c>
      <c r="J15" s="55">
        <v>0.19</v>
      </c>
      <c r="K15" s="55">
        <v>36.64</v>
      </c>
      <c r="L15" s="55">
        <v>22.82</v>
      </c>
      <c r="M15" s="55">
        <v>97.29</v>
      </c>
      <c r="N15" s="55">
        <v>64.900000000000006</v>
      </c>
      <c r="O15" s="55">
        <v>0.20</v>
      </c>
      <c r="P15" s="55">
        <v>0.83</v>
      </c>
      <c r="Q15" s="55">
        <v>0.19</v>
      </c>
      <c r="R15" s="43"/>
      <c r="S15" s="43"/>
      <c r="T15" s="43"/>
      <c r="U15" s="43"/>
    </row>
    <row r="16" spans="1:21" s="11" customFormat="1" ht="15">
      <c r="A16" s="54" t="s">
        <v>743</v>
      </c>
      <c r="B16" s="55">
        <v>18.489999999999998</v>
      </c>
      <c r="C16" s="55">
        <v>25.10</v>
      </c>
      <c r="D16" s="55">
        <v>29.32</v>
      </c>
      <c r="E16" s="55">
        <v>3.46</v>
      </c>
      <c r="F16" s="55">
        <v>4.5</v>
      </c>
      <c r="G16" s="55">
        <v>17.75</v>
      </c>
      <c r="H16" s="55">
        <v>15.27</v>
      </c>
      <c r="I16" s="56" t="s">
        <v>15</v>
      </c>
      <c r="J16" s="55">
        <v>0.30</v>
      </c>
      <c r="K16" s="55">
        <v>34.83</v>
      </c>
      <c r="L16" s="55">
        <v>23.33</v>
      </c>
      <c r="M16" s="55">
        <v>97.28</v>
      </c>
      <c r="N16" s="55">
        <v>92.5</v>
      </c>
      <c r="O16" s="55">
        <v>0</v>
      </c>
      <c r="P16" s="55">
        <v>0.84</v>
      </c>
      <c r="Q16" s="55">
        <v>2.16</v>
      </c>
      <c r="R16" s="43"/>
      <c r="S16" s="43"/>
      <c r="T16" s="43"/>
      <c r="U16" s="43"/>
    </row>
    <row r="17" spans="1:21" s="11" customFormat="1" ht="15">
      <c r="A17" s="54" t="s">
        <v>744</v>
      </c>
      <c r="B17" s="55">
        <v>18.670000000000002</v>
      </c>
      <c r="C17" s="55">
        <v>24.19</v>
      </c>
      <c r="D17" s="55">
        <v>28.61</v>
      </c>
      <c r="E17" s="55">
        <v>2.34</v>
      </c>
      <c r="F17" s="55">
        <v>4.08</v>
      </c>
      <c r="G17" s="55">
        <v>21.62</v>
      </c>
      <c r="H17" s="55">
        <v>10.97</v>
      </c>
      <c r="I17" s="56" t="s">
        <v>15</v>
      </c>
      <c r="J17" s="55">
        <v>0.30</v>
      </c>
      <c r="K17" s="55">
        <v>352.83</v>
      </c>
      <c r="L17" s="55">
        <v>24.11</v>
      </c>
      <c r="M17" s="55">
        <v>97.25</v>
      </c>
      <c r="N17" s="55">
        <v>184.5</v>
      </c>
      <c r="O17" s="55">
        <v>0</v>
      </c>
      <c r="P17" s="55">
        <v>0.84</v>
      </c>
      <c r="Q17" s="55">
        <v>1.06</v>
      </c>
      <c r="R17" s="43"/>
      <c r="S17" s="43"/>
      <c r="T17" s="43"/>
      <c r="U17" s="43"/>
    </row>
    <row r="18" spans="1:21" s="11" customFormat="1" ht="15">
      <c r="A18" s="54" t="s">
        <v>745</v>
      </c>
      <c r="B18" s="55">
        <v>22.34</v>
      </c>
      <c r="C18" s="55">
        <v>24.26</v>
      </c>
      <c r="D18" s="55">
        <v>30.56</v>
      </c>
      <c r="E18" s="55">
        <v>1.82</v>
      </c>
      <c r="F18" s="55">
        <v>5.57</v>
      </c>
      <c r="G18" s="55">
        <v>21.62</v>
      </c>
      <c r="H18" s="55">
        <v>9.49</v>
      </c>
      <c r="I18" s="56" t="s">
        <v>15</v>
      </c>
      <c r="J18" s="55">
        <v>0.76</v>
      </c>
      <c r="K18" s="55">
        <v>354.45</v>
      </c>
      <c r="L18" s="55">
        <v>26.51</v>
      </c>
      <c r="M18" s="55">
        <v>97.13</v>
      </c>
      <c r="N18" s="55">
        <v>394.60</v>
      </c>
      <c r="O18" s="55">
        <v>0</v>
      </c>
      <c r="P18" s="55">
        <v>0.79</v>
      </c>
      <c r="Q18" s="55">
        <v>2.4500000000000002</v>
      </c>
      <c r="R18" s="43"/>
      <c r="S18" s="43"/>
      <c r="T18" s="43"/>
      <c r="U18" s="43"/>
    </row>
    <row r="19" spans="1:21" s="11" customFormat="1" ht="15">
      <c r="A19" s="54" t="s">
        <v>746</v>
      </c>
      <c r="B19" s="55">
        <v>17.34</v>
      </c>
      <c r="C19" s="55">
        <v>24.70</v>
      </c>
      <c r="D19" s="55">
        <v>28.18</v>
      </c>
      <c r="E19" s="55">
        <v>2.13</v>
      </c>
      <c r="F19" s="55">
        <v>13.13</v>
      </c>
      <c r="G19" s="55">
        <v>23.78</v>
      </c>
      <c r="H19" s="55">
        <v>9.49</v>
      </c>
      <c r="I19" s="56" t="s">
        <v>15</v>
      </c>
      <c r="J19" s="55">
        <v>2.74</v>
      </c>
      <c r="K19" s="55">
        <v>338.87</v>
      </c>
      <c r="L19" s="55">
        <v>27</v>
      </c>
      <c r="M19" s="55">
        <v>89.17</v>
      </c>
      <c r="N19" s="55">
        <v>571.10</v>
      </c>
      <c r="O19" s="55">
        <v>0</v>
      </c>
      <c r="P19" s="55">
        <v>0.73</v>
      </c>
      <c r="Q19" s="55">
        <v>12.03</v>
      </c>
      <c r="R19" s="43"/>
      <c r="S19" s="43"/>
      <c r="T19" s="43"/>
      <c r="U19" s="43"/>
    </row>
    <row r="20" spans="1:21" s="11" customFormat="1" ht="15">
      <c r="A20" s="54" t="s">
        <v>747</v>
      </c>
      <c r="B20" s="55">
        <v>3.79</v>
      </c>
      <c r="C20" s="55">
        <v>22.97</v>
      </c>
      <c r="D20" s="55">
        <v>16.36</v>
      </c>
      <c r="E20" s="55">
        <v>2.5099999999999998</v>
      </c>
      <c r="F20" s="55">
        <v>6.07</v>
      </c>
      <c r="G20" s="55">
        <v>23.78</v>
      </c>
      <c r="H20" s="55">
        <v>7.51</v>
      </c>
      <c r="I20" s="56" t="s">
        <v>15</v>
      </c>
      <c r="J20" s="55">
        <v>2.0099999999999998</v>
      </c>
      <c r="K20" s="55">
        <v>343.53</v>
      </c>
      <c r="L20" s="55">
        <v>24.51</v>
      </c>
      <c r="M20" s="55">
        <v>97.27</v>
      </c>
      <c r="N20" s="55">
        <v>209.30</v>
      </c>
      <c r="O20" s="55">
        <v>2.2000000000000002</v>
      </c>
      <c r="P20" s="55">
        <v>0.31</v>
      </c>
      <c r="Q20" s="55">
        <v>13.28</v>
      </c>
      <c r="R20" s="43"/>
      <c r="S20" s="43"/>
      <c r="T20" s="43"/>
      <c r="U20" s="43"/>
    </row>
    <row r="21" spans="1:21" s="11" customFormat="1" ht="15">
      <c r="A21" s="54" t="s">
        <v>748</v>
      </c>
      <c r="B21" s="55">
        <v>5.83</v>
      </c>
      <c r="C21" s="55">
        <v>24.85</v>
      </c>
      <c r="D21" s="55">
        <v>18.809999999999999</v>
      </c>
      <c r="E21" s="55">
        <v>3.21</v>
      </c>
      <c r="F21" s="55">
        <v>6.14</v>
      </c>
      <c r="G21" s="55">
        <v>19.420000000000002</v>
      </c>
      <c r="H21" s="55">
        <v>7.12</v>
      </c>
      <c r="I21" s="56" t="s">
        <v>15</v>
      </c>
      <c r="J21" s="55">
        <v>1.44</v>
      </c>
      <c r="K21" s="55">
        <v>353.08</v>
      </c>
      <c r="L21" s="55">
        <v>25.13</v>
      </c>
      <c r="M21" s="55">
        <v>97.25</v>
      </c>
      <c r="N21" s="55">
        <v>345.5</v>
      </c>
      <c r="O21" s="55">
        <v>0</v>
      </c>
      <c r="P21" s="55">
        <v>0.34</v>
      </c>
      <c r="Q21" s="55">
        <v>15.32</v>
      </c>
      <c r="R21" s="43"/>
      <c r="S21" s="43"/>
      <c r="T21" s="43"/>
      <c r="U21" s="43"/>
    </row>
    <row r="22" spans="1:21" s="11" customFormat="1" ht="15">
      <c r="A22" s="54" t="s">
        <v>749</v>
      </c>
      <c r="B22" s="55">
        <v>8.77</v>
      </c>
      <c r="C22" s="55">
        <v>23.62</v>
      </c>
      <c r="D22" s="55">
        <v>19.84</v>
      </c>
      <c r="E22" s="55">
        <v>3.43</v>
      </c>
      <c r="F22" s="55">
        <v>5.83</v>
      </c>
      <c r="G22" s="55">
        <v>19.420000000000002</v>
      </c>
      <c r="H22" s="55">
        <v>5.66</v>
      </c>
      <c r="I22" s="56" t="s">
        <v>15</v>
      </c>
      <c r="J22" s="55">
        <v>0.59</v>
      </c>
      <c r="K22" s="55">
        <v>341.14</v>
      </c>
      <c r="L22" s="55">
        <v>26.81</v>
      </c>
      <c r="M22" s="55">
        <v>93.91</v>
      </c>
      <c r="N22" s="55">
        <v>533.70000000000005</v>
      </c>
      <c r="O22" s="55">
        <v>0</v>
      </c>
      <c r="P22" s="55">
        <v>0.37</v>
      </c>
      <c r="Q22" s="55">
        <v>15.67</v>
      </c>
      <c r="R22" s="43"/>
      <c r="S22" s="43"/>
      <c r="T22" s="43"/>
      <c r="U22" s="43"/>
    </row>
    <row r="23" spans="1:21" s="11" customFormat="1" ht="15">
      <c r="A23" s="54" t="s">
        <v>750</v>
      </c>
      <c r="B23" s="55">
        <v>9.24</v>
      </c>
      <c r="C23" s="55">
        <v>24.10</v>
      </c>
      <c r="D23" s="55">
        <v>21.02</v>
      </c>
      <c r="E23" s="55">
        <v>3.51</v>
      </c>
      <c r="F23" s="55">
        <v>5.0599999999999996</v>
      </c>
      <c r="G23" s="55">
        <v>34.03</v>
      </c>
      <c r="H23" s="55">
        <v>6.07</v>
      </c>
      <c r="I23" s="56" t="s">
        <v>15</v>
      </c>
      <c r="J23" s="55">
        <v>0.45</v>
      </c>
      <c r="K23" s="55">
        <v>359.76</v>
      </c>
      <c r="L23" s="55">
        <v>26.5</v>
      </c>
      <c r="M23" s="55">
        <v>88.49</v>
      </c>
      <c r="N23" s="55">
        <v>271.70</v>
      </c>
      <c r="O23" s="55">
        <v>0</v>
      </c>
      <c r="P23" s="55">
        <v>0.38</v>
      </c>
      <c r="Q23" s="55">
        <v>14.31</v>
      </c>
      <c r="R23" s="43"/>
      <c r="S23" s="43"/>
      <c r="T23" s="43"/>
      <c r="U23" s="43"/>
    </row>
    <row r="24" spans="1:21" s="11" customFormat="1" ht="15">
      <c r="A24" s="54" t="s">
        <v>751</v>
      </c>
      <c r="B24" s="55">
        <v>14.14</v>
      </c>
      <c r="C24" s="55">
        <v>27.42</v>
      </c>
      <c r="D24" s="55">
        <v>25.82</v>
      </c>
      <c r="E24" s="55">
        <v>3.23</v>
      </c>
      <c r="F24" s="55">
        <v>5.27</v>
      </c>
      <c r="G24" s="55">
        <v>35.14</v>
      </c>
      <c r="H24" s="55">
        <v>6.07</v>
      </c>
      <c r="I24" s="56" t="s">
        <v>15</v>
      </c>
      <c r="J24" s="55">
        <v>0.40</v>
      </c>
      <c r="K24" s="55">
        <v>30.83</v>
      </c>
      <c r="L24" s="55">
        <v>26.83</v>
      </c>
      <c r="M24" s="55">
        <v>87.75</v>
      </c>
      <c r="N24" s="55">
        <v>281</v>
      </c>
      <c r="O24" s="55">
        <v>0</v>
      </c>
      <c r="P24" s="55">
        <v>0.41</v>
      </c>
      <c r="Q24" s="55">
        <v>16.21</v>
      </c>
      <c r="R24" s="43"/>
      <c r="S24" s="43"/>
      <c r="T24" s="43"/>
      <c r="U24" s="43"/>
    </row>
    <row r="25" spans="1:21" s="11" customFormat="1" ht="15">
      <c r="A25" s="54" t="s">
        <v>752</v>
      </c>
      <c r="B25" s="55">
        <v>11.78</v>
      </c>
      <c r="C25" s="55">
        <v>27.01</v>
      </c>
      <c r="D25" s="55">
        <v>24.99</v>
      </c>
      <c r="E25" s="55">
        <v>3</v>
      </c>
      <c r="F25" s="55">
        <v>5.61</v>
      </c>
      <c r="G25" s="55">
        <v>35.14</v>
      </c>
      <c r="H25" s="55">
        <v>7.86</v>
      </c>
      <c r="I25" s="56" t="s">
        <v>15</v>
      </c>
      <c r="J25" s="55">
        <v>0.43</v>
      </c>
      <c r="K25" s="55">
        <v>33.97</v>
      </c>
      <c r="L25" s="55">
        <v>26.90</v>
      </c>
      <c r="M25" s="55">
        <v>84.88</v>
      </c>
      <c r="N25" s="55">
        <v>232.80</v>
      </c>
      <c r="O25" s="55">
        <v>0</v>
      </c>
      <c r="P25" s="55">
        <v>0.40</v>
      </c>
      <c r="Q25" s="55">
        <v>16.239999999999998</v>
      </c>
      <c r="R25" s="43"/>
      <c r="S25" s="43"/>
      <c r="T25" s="43"/>
      <c r="U25" s="43"/>
    </row>
    <row r="26" spans="1:21" s="11" customFormat="1" ht="15">
      <c r="A26" s="54" t="s">
        <v>753</v>
      </c>
      <c r="B26" s="55">
        <v>7.46</v>
      </c>
      <c r="C26" s="55">
        <v>26.51</v>
      </c>
      <c r="D26" s="55">
        <v>20.81</v>
      </c>
      <c r="E26" s="55">
        <v>2.54</v>
      </c>
      <c r="F26" s="55">
        <v>5.90</v>
      </c>
      <c r="G26" s="55">
        <v>35.409999999999997</v>
      </c>
      <c r="H26" s="55">
        <v>11.74</v>
      </c>
      <c r="I26" s="56" t="s">
        <v>15</v>
      </c>
      <c r="J26" s="55">
        <v>0.43</v>
      </c>
      <c r="K26" s="55">
        <v>34.79</v>
      </c>
      <c r="L26" s="55">
        <v>26.77</v>
      </c>
      <c r="M26" s="55">
        <v>86.82</v>
      </c>
      <c r="N26" s="55">
        <v>136.5</v>
      </c>
      <c r="O26" s="55">
        <v>0</v>
      </c>
      <c r="P26" s="55">
        <v>0.43</v>
      </c>
      <c r="Q26" s="55">
        <v>14.44</v>
      </c>
      <c r="R26" s="43"/>
      <c r="S26" s="43"/>
      <c r="T26" s="43"/>
      <c r="U26" s="43"/>
    </row>
    <row r="27" spans="1:21" s="11" customFormat="1" ht="15">
      <c r="A27" s="54" t="s">
        <v>754</v>
      </c>
      <c r="B27" s="55">
        <v>9.6999999999999993</v>
      </c>
      <c r="C27" s="55">
        <v>28.09</v>
      </c>
      <c r="D27" s="55">
        <v>23.93</v>
      </c>
      <c r="E27" s="55">
        <v>2.86</v>
      </c>
      <c r="F27" s="55">
        <v>5.24</v>
      </c>
      <c r="G27" s="55">
        <v>37.86</v>
      </c>
      <c r="H27" s="55">
        <v>11.74</v>
      </c>
      <c r="I27" s="56" t="s">
        <v>15</v>
      </c>
      <c r="J27" s="55">
        <v>0.47</v>
      </c>
      <c r="K27" s="55">
        <v>46.23</v>
      </c>
      <c r="L27" s="55">
        <v>26.11</v>
      </c>
      <c r="M27" s="55">
        <v>87.99</v>
      </c>
      <c r="N27" s="55">
        <v>50.80</v>
      </c>
      <c r="O27" s="55">
        <v>0</v>
      </c>
      <c r="P27" s="55">
        <v>0.51</v>
      </c>
      <c r="Q27" s="55">
        <v>16.96</v>
      </c>
      <c r="R27" s="43"/>
      <c r="S27" s="43"/>
      <c r="T27" s="43"/>
      <c r="U27" s="43"/>
    </row>
    <row r="28" spans="1:21" s="11" customFormat="1" ht="15">
      <c r="A28" s="54" t="s">
        <v>755</v>
      </c>
      <c r="B28" s="55">
        <v>8.42</v>
      </c>
      <c r="C28" s="55">
        <v>26.15</v>
      </c>
      <c r="D28" s="55">
        <v>21.83</v>
      </c>
      <c r="E28" s="55">
        <v>2.89</v>
      </c>
      <c r="F28" s="55">
        <v>4.2699999999999996</v>
      </c>
      <c r="G28" s="55">
        <v>37.86</v>
      </c>
      <c r="H28" s="55">
        <v>10.89</v>
      </c>
      <c r="I28" s="56" t="s">
        <v>15</v>
      </c>
      <c r="J28" s="55">
        <v>0.47</v>
      </c>
      <c r="K28" s="55">
        <v>28.73</v>
      </c>
      <c r="L28" s="55">
        <v>25.15</v>
      </c>
      <c r="M28" s="55">
        <v>89.12</v>
      </c>
      <c r="N28" s="55">
        <v>38.700000000000003</v>
      </c>
      <c r="O28" s="55">
        <v>0</v>
      </c>
      <c r="P28" s="55">
        <v>0.54</v>
      </c>
      <c r="Q28" s="55">
        <v>16.760000000000002</v>
      </c>
      <c r="R28" s="43"/>
      <c r="S28" s="43"/>
      <c r="T28" s="43"/>
      <c r="U28" s="43"/>
    </row>
    <row r="29" spans="1:21" s="11" customFormat="1" ht="15">
      <c r="A29" s="54" t="s">
        <v>756</v>
      </c>
      <c r="B29" s="55">
        <v>8.7200000000000006</v>
      </c>
      <c r="C29" s="55">
        <v>27.22</v>
      </c>
      <c r="D29" s="55">
        <v>22.53</v>
      </c>
      <c r="E29" s="55">
        <v>3.21</v>
      </c>
      <c r="F29" s="55">
        <v>4.33</v>
      </c>
      <c r="G29" s="55">
        <v>36.520000000000003</v>
      </c>
      <c r="H29" s="55">
        <v>13.74</v>
      </c>
      <c r="I29" s="56" t="s">
        <v>15</v>
      </c>
      <c r="J29" s="55">
        <v>0.51</v>
      </c>
      <c r="K29" s="55">
        <v>23.76</v>
      </c>
      <c r="L29" s="55">
        <v>24.81</v>
      </c>
      <c r="M29" s="55">
        <v>91.17</v>
      </c>
      <c r="N29" s="55">
        <v>38.40</v>
      </c>
      <c r="O29" s="55">
        <v>0</v>
      </c>
      <c r="P29" s="55">
        <v>0.60</v>
      </c>
      <c r="Q29" s="55">
        <v>15.24</v>
      </c>
      <c r="R29" s="43"/>
      <c r="S29" s="43"/>
      <c r="T29" s="43"/>
      <c r="U29" s="43"/>
    </row>
    <row r="30" spans="1:21" s="11" customFormat="1" ht="15">
      <c r="A30" s="54" t="s">
        <v>757</v>
      </c>
      <c r="B30" s="55">
        <v>14.43</v>
      </c>
      <c r="C30" s="55">
        <v>26.43</v>
      </c>
      <c r="D30" s="55">
        <v>26.07</v>
      </c>
      <c r="E30" s="55">
        <v>3.58</v>
      </c>
      <c r="F30" s="55">
        <v>4.0199999999999996</v>
      </c>
      <c r="G30" s="55">
        <v>38.49</v>
      </c>
      <c r="H30" s="55">
        <v>14.85</v>
      </c>
      <c r="I30" s="56" t="s">
        <v>15</v>
      </c>
      <c r="J30" s="55">
        <v>0.42</v>
      </c>
      <c r="K30" s="55">
        <v>33.44</v>
      </c>
      <c r="L30" s="55">
        <v>24.56</v>
      </c>
      <c r="M30" s="55">
        <v>93.02</v>
      </c>
      <c r="N30" s="55">
        <v>38.40</v>
      </c>
      <c r="O30" s="55">
        <v>0</v>
      </c>
      <c r="P30" s="55">
        <v>0.81</v>
      </c>
      <c r="Q30" s="55">
        <v>17.059999999999999</v>
      </c>
      <c r="R30" s="43"/>
      <c r="S30" s="43"/>
      <c r="T30" s="43"/>
      <c r="U30" s="43"/>
    </row>
    <row r="31" spans="1:21" s="11" customFormat="1" ht="15">
      <c r="A31" s="54" t="s">
        <v>758</v>
      </c>
      <c r="B31" s="55">
        <v>12.74</v>
      </c>
      <c r="C31" s="55">
        <v>26.32</v>
      </c>
      <c r="D31" s="55">
        <v>25.35</v>
      </c>
      <c r="E31" s="55">
        <v>3.40</v>
      </c>
      <c r="F31" s="55">
        <v>4.41</v>
      </c>
      <c r="G31" s="55">
        <v>42.91</v>
      </c>
      <c r="H31" s="55">
        <v>14.85</v>
      </c>
      <c r="I31" s="56" t="s">
        <v>15</v>
      </c>
      <c r="J31" s="55">
        <v>0.34</v>
      </c>
      <c r="K31" s="55">
        <v>34</v>
      </c>
      <c r="L31" s="55">
        <v>24.37</v>
      </c>
      <c r="M31" s="55">
        <v>95.46</v>
      </c>
      <c r="N31" s="55">
        <v>38.40</v>
      </c>
      <c r="O31" s="55">
        <v>0</v>
      </c>
      <c r="P31" s="55">
        <v>0.85</v>
      </c>
      <c r="Q31" s="55">
        <v>16.91</v>
      </c>
      <c r="R31" s="43"/>
      <c r="S31" s="43"/>
      <c r="T31" s="43"/>
      <c r="U31" s="43"/>
    </row>
    <row r="32" spans="1:21" s="11" customFormat="1" ht="15">
      <c r="A32" s="54" t="s">
        <v>759</v>
      </c>
      <c r="B32" s="55">
        <v>12.89</v>
      </c>
      <c r="C32" s="55">
        <v>26.71</v>
      </c>
      <c r="D32" s="55">
        <v>25.59</v>
      </c>
      <c r="E32" s="55">
        <v>3.59</v>
      </c>
      <c r="F32" s="55">
        <v>4.1900000000000004</v>
      </c>
      <c r="G32" s="55">
        <v>44.48</v>
      </c>
      <c r="H32" s="55">
        <v>14.83</v>
      </c>
      <c r="I32" s="56" t="s">
        <v>15</v>
      </c>
      <c r="J32" s="55">
        <v>0.35</v>
      </c>
      <c r="K32" s="55">
        <v>32.54</v>
      </c>
      <c r="L32" s="55">
        <v>24.11</v>
      </c>
      <c r="M32" s="55">
        <v>95.79</v>
      </c>
      <c r="N32" s="55">
        <v>38.40</v>
      </c>
      <c r="O32" s="55">
        <v>0</v>
      </c>
      <c r="P32" s="55">
        <v>0.98</v>
      </c>
      <c r="Q32" s="55">
        <v>16.170000000000002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2.5600000000000001</v>
      </c>
      <c r="C34" s="28">
        <f t="shared" si="0"/>
        <v>20.829999999999998</v>
      </c>
      <c r="D34" s="28">
        <f t="shared" si="0"/>
        <v>14.08</v>
      </c>
      <c r="E34" s="28">
        <f t="shared" si="0"/>
        <v>1.8200000000000001</v>
      </c>
      <c r="F34" s="28">
        <f t="shared" si="0"/>
        <v>4.0199999999999996</v>
      </c>
      <c r="G34" s="28">
        <f t="shared" si="0"/>
        <v>12.66</v>
      </c>
      <c r="H34" s="28">
        <f t="shared" si="0"/>
        <v>5.6600000000000001</v>
      </c>
      <c r="I34" s="28">
        <f t="shared" si="0"/>
        <v>0</v>
      </c>
      <c r="J34" s="28">
        <f t="shared" si="0"/>
        <v>0.19</v>
      </c>
      <c r="K34" s="28">
        <f t="shared" si="0"/>
        <v>23.760000000000002</v>
      </c>
      <c r="L34" s="28">
        <f t="shared" si="0"/>
        <v>21.670000000000002</v>
      </c>
      <c r="M34" s="28">
        <f t="shared" si="0"/>
        <v>84.879999999999995</v>
      </c>
      <c r="N34" s="28">
        <f t="shared" si="0"/>
        <v>32.899999999999999</v>
      </c>
      <c r="O34" s="28">
        <f t="shared" si="0"/>
        <v>0</v>
      </c>
      <c r="P34" s="28">
        <f t="shared" si="0"/>
        <v>0.23999999999999999</v>
      </c>
      <c r="Q34" s="28">
        <f t="shared" si="0"/>
        <v>0.19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22.34</v>
      </c>
      <c r="C35" s="29">
        <f t="shared" si="1"/>
        <v>28.09</v>
      </c>
      <c r="D35" s="29">
        <f t="shared" si="1"/>
        <v>30.559999999999999</v>
      </c>
      <c r="E35" s="29">
        <f t="shared" si="1"/>
        <v>3.71</v>
      </c>
      <c r="F35" s="29">
        <f t="shared" si="1"/>
        <v>15.84</v>
      </c>
      <c r="G35" s="29">
        <f t="shared" si="1"/>
        <v>44.479999999999997</v>
      </c>
      <c r="H35" s="29">
        <f t="shared" si="1"/>
        <v>16.010000000000002</v>
      </c>
      <c r="I35" s="29">
        <f t="shared" si="1"/>
        <v>0</v>
      </c>
      <c r="J35" s="29">
        <f t="shared" si="1"/>
        <v>2.7400000000000002</v>
      </c>
      <c r="K35" s="29">
        <f t="shared" si="1"/>
        <v>359.75999999999999</v>
      </c>
      <c r="L35" s="29">
        <f t="shared" si="1"/>
        <v>27</v>
      </c>
      <c r="M35" s="29">
        <f t="shared" si="1"/>
        <v>97.299999999999997</v>
      </c>
      <c r="N35" s="29">
        <f t="shared" si="1"/>
        <v>571.10000000000002</v>
      </c>
      <c r="O35" s="29">
        <f t="shared" si="1"/>
        <v>4.4000000000000004</v>
      </c>
      <c r="P35" s="29">
        <f t="shared" si="1"/>
        <v>0.97999999999999998</v>
      </c>
      <c r="Q35" s="29">
        <f t="shared" si="1"/>
        <v>17.059999999999999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10.17</v>
      </c>
      <c r="C36" s="28">
        <f t="shared" si="2"/>
        <v>25.025833333333335</v>
      </c>
      <c r="D36" s="28">
        <f t="shared" si="2"/>
        <v>22.320416666666663</v>
      </c>
      <c r="E36" s="28">
        <f t="shared" si="2"/>
        <v>2.9608333333333334</v>
      </c>
      <c r="F36" s="28">
        <f t="shared" si="2"/>
        <v>6.2000000000000002</v>
      </c>
      <c r="G36" s="28">
        <f t="shared" si="2"/>
        <v>28.02695652173913</v>
      </c>
      <c r="H36" s="28">
        <f t="shared" si="2"/>
        <v>11.325217391304346</v>
      </c>
      <c r="I36" s="28" t="e">
        <f t="shared" si="2"/>
        <v>#DIV/0!</v>
      </c>
      <c r="J36" s="28">
        <f t="shared" si="2"/>
        <v>0.81041666666666667</v>
      </c>
      <c r="K36" s="28">
        <f t="shared" si="2"/>
        <v>204.98958333333329</v>
      </c>
      <c r="L36" s="28">
        <f t="shared" si="2"/>
        <v>24.594999999999995</v>
      </c>
      <c r="M36" s="28">
        <f t="shared" si="2"/>
        <v>93.778750000000002</v>
      </c>
      <c r="N36" s="28">
        <f t="shared" si="2"/>
        <v>157.03750000000002</v>
      </c>
      <c r="O36" s="28">
        <f t="shared" si="2"/>
        <v>0.47499999999999992</v>
      </c>
      <c r="P36" s="28">
        <f t="shared" si="2"/>
        <v>0.54333333333333322</v>
      </c>
      <c r="Q36" s="28">
        <f t="shared" si="2"/>
        <v>12.358888888888888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5.4414592032716396</v>
      </c>
      <c r="C37" s="28">
        <f t="shared" si="3" ref="C37:Q37">STDEV(C9:C32)</f>
        <v>1.9658385016304756</v>
      </c>
      <c r="D37" s="28">
        <f t="shared" si="3"/>
        <v>4.7226102575723417</v>
      </c>
      <c r="E37" s="28">
        <f t="shared" si="3"/>
        <v>0.51572588494838667</v>
      </c>
      <c r="F37" s="28">
        <f t="shared" si="3"/>
        <v>3.3450885476029399</v>
      </c>
      <c r="G37" s="28">
        <f t="shared" si="3"/>
        <v>10.126388764367821</v>
      </c>
      <c r="H37" s="28">
        <f t="shared" si="3"/>
        <v>3.5077911588675414</v>
      </c>
      <c r="I37" s="28" t="e">
        <f t="shared" si="3"/>
        <v>#DIV/0!</v>
      </c>
      <c r="J37" s="28">
        <f t="shared" si="3"/>
        <v>0.7569531555586152</v>
      </c>
      <c r="K37" s="28">
        <f t="shared" si="3"/>
        <v>161.17212782232343</v>
      </c>
      <c r="L37" s="28">
        <f t="shared" si="3"/>
        <v>1.7789713686382875</v>
      </c>
      <c r="M37" s="28">
        <f t="shared" si="3"/>
        <v>4.3142990891261572</v>
      </c>
      <c r="N37" s="28">
        <f t="shared" si="3"/>
        <v>165.19434881506928</v>
      </c>
      <c r="O37" s="28">
        <f t="shared" si="3"/>
        <v>1.2069544856517096</v>
      </c>
      <c r="P37" s="28">
        <f t="shared" si="3"/>
        <v>0.22816215947105001</v>
      </c>
      <c r="Q37" s="28">
        <f t="shared" si="3"/>
        <v>6.1493604534884918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COUNT(Q9:Q32)+6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99a1d9-4ec4-4726-9fac-cbb240802077}">
  <sheetPr codeName=""/>
  <dimension ref="A1:U119"/>
  <sheetViews>
    <sheetView workbookViewId="0" topLeftCell="A1">
      <selection pane="topLeft" activeCell="G69" sqref="G6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5" width="9.14285714285714" style="20" customWidth="1"/>
    <col min="16" max="16" width="10.8571428571429" style="20" customWidth="1"/>
    <col min="17" max="17" width="12.2857142857143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760</v>
      </c>
      <c r="B9" s="55">
        <v>10.82</v>
      </c>
      <c r="C9" s="55">
        <v>26.01</v>
      </c>
      <c r="D9" s="55">
        <v>23.68</v>
      </c>
      <c r="E9" s="55">
        <v>2.27</v>
      </c>
      <c r="F9" s="55">
        <v>5.90</v>
      </c>
      <c r="G9" s="55">
        <v>44.48</v>
      </c>
      <c r="H9" s="55">
        <v>17.760000000000002</v>
      </c>
      <c r="I9" s="56" t="s">
        <v>15</v>
      </c>
      <c r="J9" s="55">
        <v>0.28999999999999998</v>
      </c>
      <c r="K9" s="55">
        <v>26.02</v>
      </c>
      <c r="L9" s="55">
        <v>23.97</v>
      </c>
      <c r="M9" s="55">
        <v>95.56</v>
      </c>
      <c r="N9" s="55">
        <v>38.299999999999997</v>
      </c>
      <c r="O9" s="55">
        <v>0</v>
      </c>
      <c r="P9" s="55">
        <v>0.80</v>
      </c>
      <c r="Q9" s="55">
        <v>18.350000000000001</v>
      </c>
      <c r="R9" s="43"/>
      <c r="S9" s="43"/>
      <c r="T9" s="43"/>
      <c r="U9" s="43"/>
    </row>
    <row r="10" spans="1:21" s="11" customFormat="1" ht="15">
      <c r="A10" s="54" t="s">
        <v>761</v>
      </c>
      <c r="B10" s="55">
        <v>11.17</v>
      </c>
      <c r="C10" s="55">
        <v>25.28</v>
      </c>
      <c r="D10" s="55">
        <v>23.36</v>
      </c>
      <c r="E10" s="55">
        <v>2.2599999999999998</v>
      </c>
      <c r="F10" s="55">
        <v>5.44</v>
      </c>
      <c r="G10" s="55">
        <v>38.82</v>
      </c>
      <c r="H10" s="55">
        <v>17.760000000000002</v>
      </c>
      <c r="I10" s="56" t="s">
        <v>15</v>
      </c>
      <c r="J10" s="55">
        <v>0.14000000000000001</v>
      </c>
      <c r="K10" s="55">
        <v>229.91</v>
      </c>
      <c r="L10" s="55">
        <v>23.92</v>
      </c>
      <c r="M10" s="55">
        <v>97.25</v>
      </c>
      <c r="N10" s="55">
        <v>38.40</v>
      </c>
      <c r="O10" s="55">
        <v>0</v>
      </c>
      <c r="P10" s="55">
        <v>0.93</v>
      </c>
      <c r="Q10" s="55">
        <v>17.96</v>
      </c>
      <c r="R10" s="43"/>
      <c r="S10" s="43"/>
      <c r="T10" s="43"/>
      <c r="U10" s="43"/>
    </row>
    <row r="11" spans="1:21" s="11" customFormat="1" ht="15">
      <c r="A11" s="54" t="s">
        <v>762</v>
      </c>
      <c r="B11" s="55">
        <v>11.52</v>
      </c>
      <c r="C11" s="55">
        <v>24.49</v>
      </c>
      <c r="D11" s="55">
        <v>23.18</v>
      </c>
      <c r="E11" s="55">
        <v>2.2999999999999998</v>
      </c>
      <c r="F11" s="55">
        <v>5.20</v>
      </c>
      <c r="G11" s="55">
        <v>35.19</v>
      </c>
      <c r="H11" s="55">
        <v>15.83</v>
      </c>
      <c r="I11" s="56" t="s">
        <v>15</v>
      </c>
      <c r="J11" s="55">
        <v>0.18</v>
      </c>
      <c r="K11" s="55">
        <v>34.71</v>
      </c>
      <c r="L11" s="55">
        <v>23.61</v>
      </c>
      <c r="M11" s="55">
        <v>97.25</v>
      </c>
      <c r="N11" s="55">
        <v>38.299999999999997</v>
      </c>
      <c r="O11" s="55">
        <v>0</v>
      </c>
      <c r="P11" s="55">
        <v>0.80</v>
      </c>
      <c r="Q11" s="55">
        <v>17.66</v>
      </c>
      <c r="R11" s="43"/>
      <c r="S11" s="43"/>
      <c r="T11" s="43"/>
      <c r="U11" s="43"/>
    </row>
    <row r="12" spans="1:21" s="11" customFormat="1" ht="15">
      <c r="A12" s="54" t="s">
        <v>763</v>
      </c>
      <c r="B12" s="55">
        <v>10.64</v>
      </c>
      <c r="C12" s="55">
        <v>24.48</v>
      </c>
      <c r="D12" s="55">
        <v>22.27</v>
      </c>
      <c r="E12" s="55">
        <v>2.4900000000000002</v>
      </c>
      <c r="F12" s="55">
        <v>4.95</v>
      </c>
      <c r="G12" s="55">
        <v>35.19</v>
      </c>
      <c r="H12" s="55">
        <v>15.83</v>
      </c>
      <c r="I12" s="56" t="s">
        <v>15</v>
      </c>
      <c r="J12" s="55">
        <v>0.23</v>
      </c>
      <c r="K12" s="55">
        <v>34.26</v>
      </c>
      <c r="L12" s="55">
        <v>23.68</v>
      </c>
      <c r="M12" s="55">
        <v>97.16</v>
      </c>
      <c r="N12" s="55">
        <v>37.5</v>
      </c>
      <c r="O12" s="55">
        <v>0</v>
      </c>
      <c r="P12" s="55">
        <v>0.73</v>
      </c>
      <c r="Q12" s="55">
        <v>19.350000000000001</v>
      </c>
      <c r="R12" s="43"/>
      <c r="S12" s="43"/>
      <c r="T12" s="43"/>
      <c r="U12" s="43"/>
    </row>
    <row r="13" spans="1:21" s="11" customFormat="1" ht="15">
      <c r="A13" s="54" t="s">
        <v>764</v>
      </c>
      <c r="B13" s="55">
        <v>17.09</v>
      </c>
      <c r="C13" s="55">
        <v>23.98</v>
      </c>
      <c r="D13" s="55">
        <v>27.5</v>
      </c>
      <c r="E13" s="55">
        <v>2.84</v>
      </c>
      <c r="F13" s="55">
        <v>3.69</v>
      </c>
      <c r="G13" s="55">
        <v>33.76</v>
      </c>
      <c r="H13" s="55">
        <v>15.87</v>
      </c>
      <c r="I13" s="56" t="s">
        <v>15</v>
      </c>
      <c r="J13" s="55">
        <v>0.21</v>
      </c>
      <c r="K13" s="55">
        <v>48.78</v>
      </c>
      <c r="L13" s="55">
        <v>23.42</v>
      </c>
      <c r="M13" s="55">
        <v>97.25</v>
      </c>
      <c r="N13" s="55">
        <v>38.40</v>
      </c>
      <c r="O13" s="55">
        <v>0</v>
      </c>
      <c r="P13" s="55">
        <v>0.73</v>
      </c>
      <c r="Q13" s="55">
        <v>18.68</v>
      </c>
      <c r="R13" s="43"/>
      <c r="S13" s="43"/>
      <c r="T13" s="43"/>
      <c r="U13" s="43"/>
    </row>
    <row r="14" spans="1:21" s="11" customFormat="1" ht="15">
      <c r="A14" s="54" t="s">
        <v>765</v>
      </c>
      <c r="B14" s="55">
        <v>17.77</v>
      </c>
      <c r="C14" s="55">
        <v>24.91</v>
      </c>
      <c r="D14" s="55">
        <v>28.11</v>
      </c>
      <c r="E14" s="55">
        <v>2.96</v>
      </c>
      <c r="F14" s="55">
        <v>3.71</v>
      </c>
      <c r="G14" s="55">
        <v>38.29</v>
      </c>
      <c r="H14" s="55">
        <v>15.87</v>
      </c>
      <c r="I14" s="56" t="s">
        <v>15</v>
      </c>
      <c r="J14" s="55">
        <v>0.26</v>
      </c>
      <c r="K14" s="55">
        <v>35.479999999999997</v>
      </c>
      <c r="L14" s="55">
        <v>23.45</v>
      </c>
      <c r="M14" s="55">
        <v>94.05</v>
      </c>
      <c r="N14" s="55">
        <v>46</v>
      </c>
      <c r="O14" s="55">
        <v>0</v>
      </c>
      <c r="P14" s="55">
        <v>0.91</v>
      </c>
      <c r="Q14" s="55">
        <v>18.329999999999998</v>
      </c>
      <c r="R14" s="43"/>
      <c r="S14" s="43"/>
      <c r="T14" s="43"/>
      <c r="U14" s="43"/>
    </row>
    <row r="15" spans="1:21" s="11" customFormat="1" ht="15">
      <c r="A15" s="54" t="s">
        <v>766</v>
      </c>
      <c r="B15" s="55">
        <v>21</v>
      </c>
      <c r="C15" s="55">
        <v>26.93</v>
      </c>
      <c r="D15" s="55">
        <v>32.35</v>
      </c>
      <c r="E15" s="55">
        <v>3.14</v>
      </c>
      <c r="F15" s="55">
        <v>3.74</v>
      </c>
      <c r="G15" s="55">
        <v>46.48</v>
      </c>
      <c r="H15" s="55">
        <v>16.739999999999998</v>
      </c>
      <c r="I15" s="56" t="s">
        <v>15</v>
      </c>
      <c r="J15" s="55">
        <v>0.27</v>
      </c>
      <c r="K15" s="55">
        <v>39.57</v>
      </c>
      <c r="L15" s="55">
        <v>23.65</v>
      </c>
      <c r="M15" s="55">
        <v>93.45</v>
      </c>
      <c r="N15" s="55">
        <v>93.20</v>
      </c>
      <c r="O15" s="55">
        <v>0</v>
      </c>
      <c r="P15" s="55">
        <v>1.20</v>
      </c>
      <c r="Q15" s="55">
        <v>19.78</v>
      </c>
      <c r="R15" s="43"/>
      <c r="S15" s="43"/>
      <c r="T15" s="43"/>
      <c r="U15" s="43"/>
    </row>
    <row r="16" spans="1:21" s="11" customFormat="1" ht="15">
      <c r="A16" s="54" t="s">
        <v>767</v>
      </c>
      <c r="B16" s="55">
        <v>21.11</v>
      </c>
      <c r="C16" s="55">
        <v>24.08</v>
      </c>
      <c r="D16" s="55">
        <v>30.35</v>
      </c>
      <c r="E16" s="55">
        <v>3.27</v>
      </c>
      <c r="F16" s="55">
        <v>3.68</v>
      </c>
      <c r="G16" s="55">
        <v>50.65</v>
      </c>
      <c r="H16" s="55">
        <v>20.68</v>
      </c>
      <c r="I16" s="56" t="s">
        <v>15</v>
      </c>
      <c r="J16" s="55">
        <v>0.28000000000000003</v>
      </c>
      <c r="K16" s="55">
        <v>31.14</v>
      </c>
      <c r="L16" s="55">
        <v>24.03</v>
      </c>
      <c r="M16" s="55">
        <v>92.12</v>
      </c>
      <c r="N16" s="55">
        <v>112.5</v>
      </c>
      <c r="O16" s="55">
        <v>0</v>
      </c>
      <c r="P16" s="55">
        <v>1.23</v>
      </c>
      <c r="Q16" s="55">
        <v>18.739999999999998</v>
      </c>
      <c r="R16" s="43"/>
      <c r="S16" s="43"/>
      <c r="T16" s="43"/>
      <c r="U16" s="43"/>
    </row>
    <row r="17" spans="1:21" s="11" customFormat="1" ht="15">
      <c r="A17" s="54" t="s">
        <v>768</v>
      </c>
      <c r="B17" s="55">
        <v>20.97</v>
      </c>
      <c r="C17" s="55">
        <v>25.42</v>
      </c>
      <c r="D17" s="55">
        <v>31.07</v>
      </c>
      <c r="E17" s="55">
        <v>2.77</v>
      </c>
      <c r="F17" s="55">
        <v>3.59</v>
      </c>
      <c r="G17" s="55">
        <v>51.20</v>
      </c>
      <c r="H17" s="55">
        <v>20.68</v>
      </c>
      <c r="I17" s="56" t="s">
        <v>15</v>
      </c>
      <c r="J17" s="55">
        <v>0.34</v>
      </c>
      <c r="K17" s="55">
        <v>14.55</v>
      </c>
      <c r="L17" s="55">
        <v>24.28</v>
      </c>
      <c r="M17" s="55">
        <v>94.37</v>
      </c>
      <c r="N17" s="55">
        <v>193.80</v>
      </c>
      <c r="O17" s="55">
        <v>0.20</v>
      </c>
      <c r="P17" s="55">
        <v>1.18</v>
      </c>
      <c r="Q17" s="55">
        <v>17.96</v>
      </c>
      <c r="R17" s="43"/>
      <c r="S17" s="43"/>
      <c r="T17" s="43"/>
      <c r="U17" s="43"/>
    </row>
    <row r="18" spans="1:21" s="11" customFormat="1" ht="15">
      <c r="A18" s="54" t="s">
        <v>769</v>
      </c>
      <c r="B18" s="55">
        <v>19.760000000000002</v>
      </c>
      <c r="C18" s="55">
        <v>25.29</v>
      </c>
      <c r="D18" s="55">
        <v>30.30</v>
      </c>
      <c r="E18" s="55">
        <v>2.65</v>
      </c>
      <c r="F18" s="55">
        <v>4.47</v>
      </c>
      <c r="G18" s="55">
        <v>51.20</v>
      </c>
      <c r="H18" s="55">
        <v>20.12</v>
      </c>
      <c r="I18" s="56" t="s">
        <v>15</v>
      </c>
      <c r="J18" s="55">
        <v>0.39</v>
      </c>
      <c r="K18" s="55">
        <v>7.15</v>
      </c>
      <c r="L18" s="55">
        <v>26.29</v>
      </c>
      <c r="M18" s="55">
        <v>87.77</v>
      </c>
      <c r="N18" s="55">
        <v>399.20</v>
      </c>
      <c r="O18" s="55">
        <v>0</v>
      </c>
      <c r="P18" s="55">
        <v>0.97</v>
      </c>
      <c r="Q18" s="55">
        <v>18.489999999999998</v>
      </c>
      <c r="R18" s="43"/>
      <c r="S18" s="43"/>
      <c r="T18" s="43"/>
      <c r="U18" s="43"/>
    </row>
    <row r="19" spans="1:21" s="11" customFormat="1" ht="15">
      <c r="A19" s="54" t="s">
        <v>770</v>
      </c>
      <c r="B19" s="55">
        <v>18.43</v>
      </c>
      <c r="C19" s="55">
        <v>26.26</v>
      </c>
      <c r="D19" s="55">
        <v>29.28</v>
      </c>
      <c r="E19" s="55">
        <v>2.5499999999999998</v>
      </c>
      <c r="F19" s="55">
        <v>4.1100000000000003</v>
      </c>
      <c r="G19" s="55">
        <v>48.99</v>
      </c>
      <c r="H19" s="55">
        <v>20.21</v>
      </c>
      <c r="I19" s="56" t="s">
        <v>15</v>
      </c>
      <c r="J19" s="55">
        <v>0.59</v>
      </c>
      <c r="K19" s="55">
        <v>349.06</v>
      </c>
      <c r="L19" s="55">
        <v>27.24</v>
      </c>
      <c r="M19" s="55">
        <v>80.80</v>
      </c>
      <c r="N19" s="55">
        <v>436.20</v>
      </c>
      <c r="O19" s="55">
        <v>0</v>
      </c>
      <c r="P19" s="55">
        <v>0.84</v>
      </c>
      <c r="Q19" s="55">
        <v>16.989999999999998</v>
      </c>
      <c r="R19" s="43"/>
      <c r="S19" s="43"/>
      <c r="T19" s="43"/>
      <c r="U19" s="43"/>
    </row>
    <row r="20" spans="1:21" s="11" customFormat="1" ht="15">
      <c r="A20" s="54" t="s">
        <v>771</v>
      </c>
      <c r="B20" s="55">
        <v>14.55</v>
      </c>
      <c r="C20" s="55">
        <v>29.28</v>
      </c>
      <c r="D20" s="55">
        <v>27.02</v>
      </c>
      <c r="E20" s="55">
        <v>2.5099999999999998</v>
      </c>
      <c r="F20" s="55">
        <v>4.24</v>
      </c>
      <c r="G20" s="55">
        <v>51.34</v>
      </c>
      <c r="H20" s="55">
        <v>20.21</v>
      </c>
      <c r="I20" s="56" t="s">
        <v>15</v>
      </c>
      <c r="J20" s="55">
        <v>0.77</v>
      </c>
      <c r="K20" s="55">
        <v>359.05</v>
      </c>
      <c r="L20" s="55">
        <v>29.18</v>
      </c>
      <c r="M20" s="55">
        <v>75.77</v>
      </c>
      <c r="N20" s="55">
        <v>627.90</v>
      </c>
      <c r="O20" s="55">
        <v>0</v>
      </c>
      <c r="P20" s="55">
        <v>0.69</v>
      </c>
      <c r="Q20" s="55">
        <v>16.940000000000001</v>
      </c>
      <c r="R20" s="43"/>
      <c r="S20" s="43"/>
      <c r="T20" s="43"/>
      <c r="U20" s="43"/>
    </row>
    <row r="21" spans="1:21" s="11" customFormat="1" ht="15">
      <c r="A21" s="54" t="s">
        <v>772</v>
      </c>
      <c r="B21" s="55">
        <v>11.62</v>
      </c>
      <c r="C21" s="55">
        <v>26.78</v>
      </c>
      <c r="D21" s="55">
        <v>24.66</v>
      </c>
      <c r="E21" s="55">
        <v>2.35</v>
      </c>
      <c r="F21" s="55">
        <v>5.25</v>
      </c>
      <c r="G21" s="55">
        <v>51.34</v>
      </c>
      <c r="H21" s="55">
        <v>17.93</v>
      </c>
      <c r="I21" s="56" t="s">
        <v>15</v>
      </c>
      <c r="J21" s="55">
        <v>0.59</v>
      </c>
      <c r="K21" s="55">
        <v>343.68</v>
      </c>
      <c r="L21" s="55">
        <v>29.04</v>
      </c>
      <c r="M21" s="55">
        <v>72.83</v>
      </c>
      <c r="N21" s="55">
        <v>686.30</v>
      </c>
      <c r="O21" s="55">
        <v>0</v>
      </c>
      <c r="P21" s="55">
        <v>0.56999999999999995</v>
      </c>
      <c r="Q21" s="55">
        <v>17.14</v>
      </c>
      <c r="R21" s="43"/>
      <c r="S21" s="43"/>
      <c r="T21" s="43"/>
      <c r="U21" s="43"/>
    </row>
    <row r="22" spans="1:21" s="11" customFormat="1" ht="15">
      <c r="A22" s="54" t="s">
        <v>773</v>
      </c>
      <c r="B22" s="55">
        <v>9.85</v>
      </c>
      <c r="C22" s="55">
        <v>27.67</v>
      </c>
      <c r="D22" s="55">
        <v>23.82</v>
      </c>
      <c r="E22" s="55">
        <v>2.29</v>
      </c>
      <c r="F22" s="55">
        <v>4.4400000000000004</v>
      </c>
      <c r="G22" s="55">
        <v>44.10</v>
      </c>
      <c r="H22" s="55">
        <v>15.86</v>
      </c>
      <c r="I22" s="56" t="s">
        <v>15</v>
      </c>
      <c r="J22" s="55">
        <v>0.75</v>
      </c>
      <c r="K22" s="55">
        <v>356.33</v>
      </c>
      <c r="L22" s="55">
        <v>29.27</v>
      </c>
      <c r="M22" s="55">
        <v>72.19</v>
      </c>
      <c r="N22" s="55">
        <v>690.60</v>
      </c>
      <c r="O22" s="55">
        <v>0</v>
      </c>
      <c r="P22" s="55">
        <v>0.46</v>
      </c>
      <c r="Q22" s="55">
        <v>15.16</v>
      </c>
      <c r="R22" s="43"/>
      <c r="S22" s="43"/>
      <c r="T22" s="43"/>
      <c r="U22" s="43"/>
    </row>
    <row r="23" spans="1:21" s="11" customFormat="1" ht="15">
      <c r="A23" s="54" t="s">
        <v>774</v>
      </c>
      <c r="B23" s="55">
        <v>9.92</v>
      </c>
      <c r="C23" s="55">
        <v>28.02</v>
      </c>
      <c r="D23" s="55">
        <v>24.07</v>
      </c>
      <c r="E23" s="55">
        <v>2.48</v>
      </c>
      <c r="F23" s="55">
        <v>7.09</v>
      </c>
      <c r="G23" s="55">
        <v>43.41</v>
      </c>
      <c r="H23" s="55">
        <v>15.26</v>
      </c>
      <c r="I23" s="56" t="s">
        <v>15</v>
      </c>
      <c r="J23" s="55">
        <v>0.47</v>
      </c>
      <c r="K23" s="55">
        <v>359.28</v>
      </c>
      <c r="L23" s="55">
        <v>29.30</v>
      </c>
      <c r="M23" s="55">
        <v>68.81</v>
      </c>
      <c r="N23" s="55">
        <v>515.40</v>
      </c>
      <c r="O23" s="55">
        <v>0</v>
      </c>
      <c r="P23" s="55">
        <v>0.40</v>
      </c>
      <c r="Q23" s="55">
        <v>16.20</v>
      </c>
      <c r="R23" s="43"/>
      <c r="S23" s="43"/>
      <c r="T23" s="43"/>
      <c r="U23" s="43"/>
    </row>
    <row r="24" spans="1:21" s="11" customFormat="1" ht="15">
      <c r="A24" s="54" t="s">
        <v>775</v>
      </c>
      <c r="B24" s="55">
        <v>9.35</v>
      </c>
      <c r="C24" s="55">
        <v>27.87</v>
      </c>
      <c r="D24" s="55">
        <v>22.69</v>
      </c>
      <c r="E24" s="55">
        <v>2.2999999999999998</v>
      </c>
      <c r="F24" s="55">
        <v>6.69</v>
      </c>
      <c r="G24" s="55">
        <v>40.729999999999997</v>
      </c>
      <c r="H24" s="55">
        <v>16.5</v>
      </c>
      <c r="I24" s="56" t="s">
        <v>15</v>
      </c>
      <c r="J24" s="55">
        <v>0.44</v>
      </c>
      <c r="K24" s="55">
        <v>358.96</v>
      </c>
      <c r="L24" s="55">
        <v>29.72</v>
      </c>
      <c r="M24" s="55">
        <v>71.45</v>
      </c>
      <c r="N24" s="55">
        <v>468.40</v>
      </c>
      <c r="O24" s="55">
        <v>0</v>
      </c>
      <c r="P24" s="55">
        <v>0.39</v>
      </c>
      <c r="Q24" s="55">
        <v>16.80</v>
      </c>
      <c r="R24" s="43"/>
      <c r="S24" s="43"/>
      <c r="T24" s="43"/>
      <c r="U24" s="43"/>
    </row>
    <row r="25" spans="1:21" s="11" customFormat="1" ht="15">
      <c r="A25" s="54" t="s">
        <v>776</v>
      </c>
      <c r="B25" s="55">
        <v>7.97</v>
      </c>
      <c r="C25" s="55">
        <v>27.61</v>
      </c>
      <c r="D25" s="55">
        <v>22.21</v>
      </c>
      <c r="E25" s="55">
        <v>3.08</v>
      </c>
      <c r="F25" s="55">
        <v>5.24</v>
      </c>
      <c r="G25" s="55">
        <v>39.409999999999997</v>
      </c>
      <c r="H25" s="55">
        <v>16.5</v>
      </c>
      <c r="I25" s="56" t="s">
        <v>15</v>
      </c>
      <c r="J25" s="55">
        <v>0.35</v>
      </c>
      <c r="K25" s="55">
        <v>351</v>
      </c>
      <c r="L25" s="55">
        <v>27.62</v>
      </c>
      <c r="M25" s="55">
        <v>75.430000000000007</v>
      </c>
      <c r="N25" s="55">
        <v>210.90</v>
      </c>
      <c r="O25" s="55">
        <v>0</v>
      </c>
      <c r="P25" s="55">
        <v>0.43</v>
      </c>
      <c r="Q25" s="55">
        <v>15.15</v>
      </c>
      <c r="R25" s="43"/>
      <c r="S25" s="43"/>
      <c r="T25" s="43"/>
      <c r="U25" s="43"/>
    </row>
    <row r="26" spans="1:21" s="11" customFormat="1" ht="15">
      <c r="A26" s="54" t="s">
        <v>777</v>
      </c>
      <c r="B26" s="55">
        <v>9.84</v>
      </c>
      <c r="C26" s="55">
        <v>31.38</v>
      </c>
      <c r="D26" s="55">
        <v>24.64</v>
      </c>
      <c r="E26" s="55">
        <v>3.11</v>
      </c>
      <c r="F26" s="55">
        <v>8.59</v>
      </c>
      <c r="G26" s="55">
        <v>34.97</v>
      </c>
      <c r="H26" s="55">
        <v>15.29</v>
      </c>
      <c r="I26" s="56" t="s">
        <v>15</v>
      </c>
      <c r="J26" s="55">
        <v>0.26</v>
      </c>
      <c r="K26" s="55">
        <v>26.75</v>
      </c>
      <c r="L26" s="55">
        <v>27.29</v>
      </c>
      <c r="M26" s="55">
        <v>79.900000000000006</v>
      </c>
      <c r="N26" s="55">
        <v>128.19999999999999</v>
      </c>
      <c r="O26" s="55">
        <v>0</v>
      </c>
      <c r="P26" s="55">
        <v>0.61</v>
      </c>
      <c r="Q26" s="55">
        <v>16.72</v>
      </c>
      <c r="R26" s="43"/>
      <c r="S26" s="43"/>
      <c r="T26" s="43"/>
      <c r="U26" s="43"/>
    </row>
    <row r="27" spans="1:21" s="11" customFormat="1" ht="15">
      <c r="A27" s="54" t="s">
        <v>778</v>
      </c>
      <c r="B27" s="55">
        <v>9.5500000000000007</v>
      </c>
      <c r="C27" s="55">
        <v>30.30</v>
      </c>
      <c r="D27" s="55">
        <v>25.02</v>
      </c>
      <c r="E27" s="55">
        <v>3.63</v>
      </c>
      <c r="F27" s="55">
        <v>8.08</v>
      </c>
      <c r="G27" s="55">
        <v>36.79</v>
      </c>
      <c r="H27" s="55">
        <v>16.29</v>
      </c>
      <c r="I27" s="56" t="s">
        <v>15</v>
      </c>
      <c r="J27" s="55">
        <v>0.28999999999999998</v>
      </c>
      <c r="K27" s="55">
        <v>42.54</v>
      </c>
      <c r="L27" s="55">
        <v>26.38</v>
      </c>
      <c r="M27" s="55">
        <v>83.67</v>
      </c>
      <c r="N27" s="55">
        <v>62</v>
      </c>
      <c r="O27" s="55">
        <v>0</v>
      </c>
      <c r="P27" s="55">
        <v>0.55000000000000004</v>
      </c>
      <c r="Q27" s="55">
        <v>17.41</v>
      </c>
      <c r="R27" s="43"/>
      <c r="S27" s="43"/>
      <c r="T27" s="43"/>
      <c r="U27" s="43"/>
    </row>
    <row r="28" spans="1:21" s="11" customFormat="1" ht="15">
      <c r="A28" s="54" t="s">
        <v>779</v>
      </c>
      <c r="B28" s="55">
        <v>7.06</v>
      </c>
      <c r="C28" s="55">
        <v>28.11</v>
      </c>
      <c r="D28" s="55">
        <v>21.72</v>
      </c>
      <c r="E28" s="55">
        <v>3.05</v>
      </c>
      <c r="F28" s="55">
        <v>7.46</v>
      </c>
      <c r="G28" s="55">
        <v>36.79</v>
      </c>
      <c r="H28" s="55">
        <v>16.29</v>
      </c>
      <c r="I28" s="56" t="s">
        <v>15</v>
      </c>
      <c r="J28" s="55">
        <v>0.15</v>
      </c>
      <c r="K28" s="55">
        <v>39.75</v>
      </c>
      <c r="L28" s="55">
        <v>25.79</v>
      </c>
      <c r="M28" s="55">
        <v>89.29</v>
      </c>
      <c r="N28" s="55">
        <v>46.10</v>
      </c>
      <c r="O28" s="55">
        <v>0</v>
      </c>
      <c r="P28" s="55">
        <v>0.55000000000000004</v>
      </c>
      <c r="Q28" s="55">
        <v>16.010000000000002</v>
      </c>
      <c r="R28" s="43"/>
      <c r="S28" s="43"/>
      <c r="T28" s="43"/>
      <c r="U28" s="43"/>
    </row>
    <row r="29" spans="1:21" s="11" customFormat="1" ht="15">
      <c r="A29" s="54" t="s">
        <v>780</v>
      </c>
      <c r="B29" s="55">
        <v>7.10</v>
      </c>
      <c r="C29" s="55">
        <v>28.26</v>
      </c>
      <c r="D29" s="55">
        <v>21.94</v>
      </c>
      <c r="E29" s="55">
        <v>2.31</v>
      </c>
      <c r="F29" s="55">
        <v>9.0500000000000007</v>
      </c>
      <c r="G29" s="55">
        <v>35.520000000000003</v>
      </c>
      <c r="H29" s="55">
        <v>15.03</v>
      </c>
      <c r="I29" s="56" t="s">
        <v>15</v>
      </c>
      <c r="J29" s="55">
        <v>0.16</v>
      </c>
      <c r="K29" s="55">
        <v>41.55</v>
      </c>
      <c r="L29" s="55">
        <v>25.33</v>
      </c>
      <c r="M29" s="55">
        <v>95.77</v>
      </c>
      <c r="N29" s="55">
        <v>45.70</v>
      </c>
      <c r="O29" s="55">
        <v>0</v>
      </c>
      <c r="P29" s="55">
        <v>0.56000000000000005</v>
      </c>
      <c r="Q29" s="55">
        <v>18.02</v>
      </c>
      <c r="R29" s="43"/>
      <c r="S29" s="43"/>
      <c r="T29" s="43"/>
      <c r="U29" s="43"/>
    </row>
    <row r="30" spans="1:21" s="11" customFormat="1" ht="15">
      <c r="A30" s="54" t="s">
        <v>781</v>
      </c>
      <c r="B30" s="55">
        <v>13.36</v>
      </c>
      <c r="C30" s="55">
        <v>27.40</v>
      </c>
      <c r="D30" s="55">
        <v>25.40</v>
      </c>
      <c r="E30" s="55">
        <v>2.25</v>
      </c>
      <c r="F30" s="55">
        <v>8.98</v>
      </c>
      <c r="G30" s="55">
        <v>32.26</v>
      </c>
      <c r="H30" s="55">
        <v>14.80</v>
      </c>
      <c r="I30" s="56" t="s">
        <v>15</v>
      </c>
      <c r="J30" s="55">
        <v>0.22</v>
      </c>
      <c r="K30" s="55">
        <v>37.25</v>
      </c>
      <c r="L30" s="55">
        <v>24.94</v>
      </c>
      <c r="M30" s="55">
        <v>96.56</v>
      </c>
      <c r="N30" s="55">
        <v>45.60</v>
      </c>
      <c r="O30" s="55">
        <v>0.20</v>
      </c>
      <c r="P30" s="55">
        <v>0.61</v>
      </c>
      <c r="Q30" s="55">
        <v>18.37</v>
      </c>
      <c r="R30" s="43"/>
      <c r="S30" s="43"/>
      <c r="T30" s="43"/>
      <c r="U30" s="43"/>
    </row>
    <row r="31" spans="1:21" s="11" customFormat="1" ht="15">
      <c r="A31" s="54" t="s">
        <v>782</v>
      </c>
      <c r="B31" s="55">
        <v>9.15</v>
      </c>
      <c r="C31" s="55">
        <v>27.24</v>
      </c>
      <c r="D31" s="55">
        <v>23.02</v>
      </c>
      <c r="E31" s="55">
        <v>2.3199999999999998</v>
      </c>
      <c r="F31" s="55">
        <v>6.45</v>
      </c>
      <c r="G31" s="55">
        <v>28.89</v>
      </c>
      <c r="H31" s="55">
        <v>14.80</v>
      </c>
      <c r="I31" s="56" t="s">
        <v>15</v>
      </c>
      <c r="J31" s="55">
        <v>0.08</v>
      </c>
      <c r="K31" s="55">
        <v>349.87</v>
      </c>
      <c r="L31" s="55">
        <v>24.16</v>
      </c>
      <c r="M31" s="55">
        <v>97.22</v>
      </c>
      <c r="N31" s="55">
        <v>46.30</v>
      </c>
      <c r="O31" s="55">
        <v>0</v>
      </c>
      <c r="P31" s="55">
        <v>0.5</v>
      </c>
      <c r="Q31" s="55">
        <v>17.190000000000001</v>
      </c>
      <c r="R31" s="43"/>
      <c r="S31" s="43"/>
      <c r="T31" s="43"/>
      <c r="U31" s="43"/>
    </row>
    <row r="32" spans="1:21" s="11" customFormat="1" ht="15">
      <c r="A32" s="54" t="s">
        <v>783</v>
      </c>
      <c r="B32" s="55">
        <v>8.25</v>
      </c>
      <c r="C32" s="55">
        <v>25.91</v>
      </c>
      <c r="D32" s="55">
        <v>21.09</v>
      </c>
      <c r="E32" s="55">
        <v>2.1800000000000002</v>
      </c>
      <c r="F32" s="55">
        <v>7.28</v>
      </c>
      <c r="G32" s="55">
        <v>27.21</v>
      </c>
      <c r="H32" s="55">
        <v>13.06</v>
      </c>
      <c r="I32" s="56" t="s">
        <v>15</v>
      </c>
      <c r="J32" s="55">
        <v>0.15</v>
      </c>
      <c r="K32" s="55">
        <v>35.380000000000003</v>
      </c>
      <c r="L32" s="55">
        <v>23.98</v>
      </c>
      <c r="M32" s="55">
        <v>97.25</v>
      </c>
      <c r="N32" s="55">
        <v>45.80</v>
      </c>
      <c r="O32" s="55">
        <v>0.20</v>
      </c>
      <c r="P32" s="55">
        <v>0.45</v>
      </c>
      <c r="Q32" s="55">
        <v>19.30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7.0599999999999996</v>
      </c>
      <c r="C34" s="28">
        <f t="shared" si="0"/>
        <v>23.98</v>
      </c>
      <c r="D34" s="28">
        <f t="shared" si="0"/>
        <v>21.09</v>
      </c>
      <c r="E34" s="28">
        <f t="shared" si="0"/>
        <v>2.1800000000000002</v>
      </c>
      <c r="F34" s="28">
        <f t="shared" si="0"/>
        <v>3.5899999999999999</v>
      </c>
      <c r="G34" s="28">
        <f t="shared" si="0"/>
        <v>27.210000000000001</v>
      </c>
      <c r="H34" s="28">
        <f t="shared" si="0"/>
        <v>13.06</v>
      </c>
      <c r="I34" s="28">
        <f t="shared" si="0"/>
        <v>0</v>
      </c>
      <c r="J34" s="28">
        <f t="shared" si="0"/>
        <v>0.080000000000000002</v>
      </c>
      <c r="K34" s="28">
        <f t="shared" si="0"/>
        <v>7.1500000000000004</v>
      </c>
      <c r="L34" s="28">
        <f t="shared" si="0"/>
        <v>23.420000000000002</v>
      </c>
      <c r="M34" s="28">
        <f t="shared" si="0"/>
        <v>68.810000000000002</v>
      </c>
      <c r="N34" s="28">
        <f t="shared" si="0"/>
        <v>37.5</v>
      </c>
      <c r="O34" s="28">
        <f t="shared" si="0"/>
        <v>0</v>
      </c>
      <c r="P34" s="28">
        <f t="shared" si="0"/>
        <v>0.39000000000000001</v>
      </c>
      <c r="Q34" s="28">
        <f t="shared" si="0"/>
        <v>15.15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21.109999999999999</v>
      </c>
      <c r="C35" s="29">
        <f t="shared" si="1"/>
        <v>31.379999999999999</v>
      </c>
      <c r="D35" s="29">
        <f t="shared" si="1"/>
        <v>32.350000000000001</v>
      </c>
      <c r="E35" s="29">
        <f t="shared" si="1"/>
        <v>3.6299999999999999</v>
      </c>
      <c r="F35" s="29">
        <f t="shared" si="1"/>
        <v>9.0500000000000007</v>
      </c>
      <c r="G35" s="29">
        <f t="shared" si="1"/>
        <v>51.340000000000003</v>
      </c>
      <c r="H35" s="29">
        <f t="shared" si="1"/>
        <v>20.68</v>
      </c>
      <c r="I35" s="29">
        <f t="shared" si="1"/>
        <v>0</v>
      </c>
      <c r="J35" s="29">
        <f t="shared" si="1"/>
        <v>0.77000000000000002</v>
      </c>
      <c r="K35" s="29">
        <f t="shared" si="1"/>
        <v>359.27999999999997</v>
      </c>
      <c r="L35" s="29">
        <f t="shared" si="1"/>
        <v>29.719999999999999</v>
      </c>
      <c r="M35" s="29">
        <f t="shared" si="1"/>
        <v>97.25</v>
      </c>
      <c r="N35" s="29">
        <f t="shared" si="1"/>
        <v>690.60000000000002</v>
      </c>
      <c r="O35" s="29">
        <f t="shared" si="1"/>
        <v>0.20000000000000001</v>
      </c>
      <c r="P35" s="29">
        <f t="shared" si="1"/>
        <v>1.23</v>
      </c>
      <c r="Q35" s="29">
        <f t="shared" si="1"/>
        <v>19.780000000000001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12.827083333333334</v>
      </c>
      <c r="C36" s="28">
        <f t="shared" si="2"/>
        <v>26.790000000000003</v>
      </c>
      <c r="D36" s="28">
        <f t="shared" si="2"/>
        <v>25.364583333333329</v>
      </c>
      <c r="E36" s="28">
        <f t="shared" si="2"/>
        <v>2.6399999999999997</v>
      </c>
      <c r="F36" s="28">
        <f t="shared" si="2"/>
        <v>5.7216666666666667</v>
      </c>
      <c r="G36" s="28">
        <f t="shared" si="2"/>
        <v>40.708749999999995</v>
      </c>
      <c r="H36" s="28">
        <f t="shared" si="2"/>
        <v>16.882083333333338</v>
      </c>
      <c r="I36" s="28" t="e">
        <f t="shared" si="2"/>
        <v>#DIV/0!</v>
      </c>
      <c r="J36" s="28">
        <f t="shared" si="2"/>
        <v>0.32750000000000001</v>
      </c>
      <c r="K36" s="28">
        <f t="shared" si="2"/>
        <v>148.00083333333333</v>
      </c>
      <c r="L36" s="28">
        <f t="shared" si="2"/>
        <v>25.814166666666676</v>
      </c>
      <c r="M36" s="28">
        <f t="shared" si="2"/>
        <v>87.632083333333341</v>
      </c>
      <c r="N36" s="28">
        <f t="shared" si="2"/>
        <v>212.125</v>
      </c>
      <c r="O36" s="28">
        <f t="shared" si="2"/>
        <v>0.025000000000000005</v>
      </c>
      <c r="P36" s="28">
        <f t="shared" si="2"/>
        <v>0.71208333333333351</v>
      </c>
      <c r="Q36" s="28">
        <f t="shared" si="2"/>
        <v>17.612500000000004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4.7316496610054246</v>
      </c>
      <c r="C37" s="28">
        <f t="shared" si="3" ref="C37:Q37">STDEV(C9:C32)</f>
        <v>1.9301205188773329</v>
      </c>
      <c r="D37" s="28">
        <f t="shared" si="3"/>
        <v>3.3167663392641602</v>
      </c>
      <c r="E37" s="28">
        <f t="shared" si="3"/>
        <v>0.40304277472852762</v>
      </c>
      <c r="F37" s="28">
        <f t="shared" si="3"/>
        <v>1.8000426726020726</v>
      </c>
      <c r="G37" s="28">
        <f t="shared" si="3"/>
        <v>7.4718819656560909</v>
      </c>
      <c r="H37" s="28">
        <f t="shared" si="3"/>
        <v>2.1091621645174139</v>
      </c>
      <c r="I37" s="28" t="e">
        <f t="shared" si="3"/>
        <v>#DIV/0!</v>
      </c>
      <c r="J37" s="28">
        <f t="shared" si="3"/>
        <v>0.18780771850601555</v>
      </c>
      <c r="K37" s="28">
        <f t="shared" si="3"/>
        <v>153.86486007042916</v>
      </c>
      <c r="L37" s="28">
        <f t="shared" si="3"/>
        <v>2.2277516774164674</v>
      </c>
      <c r="M37" s="28">
        <f t="shared" si="3"/>
        <v>10.194433681166831</v>
      </c>
      <c r="N37" s="28">
        <f t="shared" si="3"/>
        <v>232.24157259947728</v>
      </c>
      <c r="O37" s="28">
        <f t="shared" si="3"/>
        <v>0.067566392469217626</v>
      </c>
      <c r="P37" s="28">
        <f t="shared" si="3"/>
        <v>0.25418204990272913</v>
      </c>
      <c r="Q37" s="28">
        <f t="shared" si="3"/>
        <v>1.2365599196086734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6697e6-c91d-417f-b897-57894adfd8b9}">
  <sheetPr codeName=""/>
  <dimension ref="A1:U119"/>
  <sheetViews>
    <sheetView workbookViewId="0" topLeftCell="A1">
      <selection pane="topLeft" activeCell="K55" sqref="K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2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784</v>
      </c>
      <c r="B9" s="55">
        <v>8.57</v>
      </c>
      <c r="C9" s="55">
        <v>23.75</v>
      </c>
      <c r="D9" s="55">
        <v>20.420000000000002</v>
      </c>
      <c r="E9" s="55">
        <v>2.21</v>
      </c>
      <c r="F9" s="55">
        <v>8.25</v>
      </c>
      <c r="G9" s="55">
        <v>27.21</v>
      </c>
      <c r="H9" s="55">
        <v>12.78</v>
      </c>
      <c r="I9" s="56" t="s">
        <v>15</v>
      </c>
      <c r="J9" s="55">
        <v>0.18</v>
      </c>
      <c r="K9" s="55">
        <v>50.63</v>
      </c>
      <c r="L9" s="55">
        <v>23.65</v>
      </c>
      <c r="M9" s="55">
        <v>97.21</v>
      </c>
      <c r="N9" s="55">
        <v>46.60</v>
      </c>
      <c r="O9" s="55">
        <v>0</v>
      </c>
      <c r="P9" s="55">
        <v>0.36</v>
      </c>
      <c r="Q9" s="55">
        <v>19.68</v>
      </c>
      <c r="R9" s="43"/>
      <c r="S9" s="43"/>
      <c r="T9" s="43"/>
      <c r="U9" s="43"/>
    </row>
    <row r="10" spans="1:21" s="11" customFormat="1" ht="15">
      <c r="A10" s="54" t="s">
        <v>785</v>
      </c>
      <c r="B10" s="55">
        <v>8.4499999999999993</v>
      </c>
      <c r="C10" s="55">
        <v>25.46</v>
      </c>
      <c r="D10" s="55">
        <v>20.76</v>
      </c>
      <c r="E10" s="55">
        <v>1.85</v>
      </c>
      <c r="F10" s="55">
        <v>4.3499999999999996</v>
      </c>
      <c r="G10" s="55">
        <v>19.66</v>
      </c>
      <c r="H10" s="55">
        <v>12.78</v>
      </c>
      <c r="I10" s="56" t="s">
        <v>15</v>
      </c>
      <c r="J10" s="55">
        <v>0.27</v>
      </c>
      <c r="K10" s="55">
        <v>42</v>
      </c>
      <c r="L10" s="55">
        <v>23.55</v>
      </c>
      <c r="M10" s="55">
        <v>97.23</v>
      </c>
      <c r="N10" s="55">
        <v>46.30</v>
      </c>
      <c r="O10" s="55">
        <v>0</v>
      </c>
      <c r="P10" s="55">
        <v>0.32</v>
      </c>
      <c r="Q10" s="55">
        <v>17.489999999999998</v>
      </c>
      <c r="R10" s="43"/>
      <c r="S10" s="43"/>
      <c r="T10" s="43"/>
      <c r="U10" s="43"/>
    </row>
    <row r="11" spans="1:21" s="11" customFormat="1" ht="15">
      <c r="A11" s="54" t="s">
        <v>786</v>
      </c>
      <c r="B11" s="55">
        <v>6.68</v>
      </c>
      <c r="C11" s="55">
        <v>25.47</v>
      </c>
      <c r="D11" s="55">
        <v>19.850000000000001</v>
      </c>
      <c r="E11" s="55">
        <v>2.0699999999999998</v>
      </c>
      <c r="F11" s="55">
        <v>5.48</v>
      </c>
      <c r="G11" s="55">
        <v>17.29</v>
      </c>
      <c r="H11" s="55">
        <v>9.73</v>
      </c>
      <c r="I11" s="56" t="s">
        <v>15</v>
      </c>
      <c r="J11" s="55">
        <v>0.23</v>
      </c>
      <c r="K11" s="55">
        <v>45.68</v>
      </c>
      <c r="L11" s="55">
        <v>23.49</v>
      </c>
      <c r="M11" s="55">
        <v>97.20</v>
      </c>
      <c r="N11" s="55">
        <v>46.20</v>
      </c>
      <c r="O11" s="55">
        <v>0</v>
      </c>
      <c r="P11" s="55">
        <v>0.30</v>
      </c>
      <c r="Q11" s="55">
        <v>18.73</v>
      </c>
      <c r="R11" s="43"/>
      <c r="S11" s="43"/>
      <c r="T11" s="43"/>
      <c r="U11" s="43"/>
    </row>
    <row r="12" spans="1:21" s="11" customFormat="1" ht="15">
      <c r="A12" s="54" t="s">
        <v>787</v>
      </c>
      <c r="B12" s="55">
        <v>7.53</v>
      </c>
      <c r="C12" s="55">
        <v>26.73</v>
      </c>
      <c r="D12" s="55">
        <v>21.20</v>
      </c>
      <c r="E12" s="55">
        <v>2.60</v>
      </c>
      <c r="F12" s="55">
        <v>5.27</v>
      </c>
      <c r="G12" s="55">
        <v>18.489999999999998</v>
      </c>
      <c r="H12" s="55">
        <v>10.28</v>
      </c>
      <c r="I12" s="56" t="s">
        <v>15</v>
      </c>
      <c r="J12" s="55">
        <v>0.35</v>
      </c>
      <c r="K12" s="55">
        <v>33.11</v>
      </c>
      <c r="L12" s="55">
        <v>23.62</v>
      </c>
      <c r="M12" s="55">
        <v>97.04</v>
      </c>
      <c r="N12" s="55">
        <v>46.30</v>
      </c>
      <c r="O12" s="55">
        <v>0</v>
      </c>
      <c r="P12" s="55">
        <v>0.36</v>
      </c>
      <c r="Q12" s="55">
        <v>18.760000000000002</v>
      </c>
      <c r="R12" s="43"/>
      <c r="S12" s="43"/>
      <c r="T12" s="43"/>
      <c r="U12" s="43"/>
    </row>
    <row r="13" spans="1:21" s="11" customFormat="1" ht="15">
      <c r="A13" s="54" t="s">
        <v>788</v>
      </c>
      <c r="B13" s="55">
        <v>9.2799999999999994</v>
      </c>
      <c r="C13" s="55">
        <v>26.13</v>
      </c>
      <c r="D13" s="55">
        <v>22.51</v>
      </c>
      <c r="E13" s="55">
        <v>3.02</v>
      </c>
      <c r="F13" s="55">
        <v>3.69</v>
      </c>
      <c r="G13" s="55">
        <v>20.65</v>
      </c>
      <c r="H13" s="55">
        <v>10.28</v>
      </c>
      <c r="I13" s="56" t="s">
        <v>15</v>
      </c>
      <c r="J13" s="55">
        <v>0.32</v>
      </c>
      <c r="K13" s="55">
        <v>27.70</v>
      </c>
      <c r="L13" s="55">
        <v>23.58</v>
      </c>
      <c r="M13" s="55">
        <v>97.18</v>
      </c>
      <c r="N13" s="55">
        <v>46.20</v>
      </c>
      <c r="O13" s="55">
        <v>0</v>
      </c>
      <c r="P13" s="55">
        <v>0.34</v>
      </c>
      <c r="Q13" s="55">
        <v>16.66</v>
      </c>
      <c r="R13" s="43"/>
      <c r="S13" s="43"/>
      <c r="T13" s="43"/>
      <c r="U13" s="43"/>
    </row>
    <row r="14" spans="1:21" s="11" customFormat="1" ht="15">
      <c r="A14" s="54" t="s">
        <v>789</v>
      </c>
      <c r="B14" s="55">
        <v>12.30</v>
      </c>
      <c r="C14" s="55">
        <v>26.27</v>
      </c>
      <c r="D14" s="55">
        <v>25.01</v>
      </c>
      <c r="E14" s="55">
        <v>2.92</v>
      </c>
      <c r="F14" s="55">
        <v>3.98</v>
      </c>
      <c r="G14" s="55">
        <v>20.65</v>
      </c>
      <c r="H14" s="55">
        <v>12.59</v>
      </c>
      <c r="I14" s="56" t="s">
        <v>15</v>
      </c>
      <c r="J14" s="55">
        <v>0.24</v>
      </c>
      <c r="K14" s="55">
        <v>33.770000000000003</v>
      </c>
      <c r="L14" s="55">
        <v>23.57</v>
      </c>
      <c r="M14" s="55">
        <v>97.25</v>
      </c>
      <c r="N14" s="55">
        <v>59.10</v>
      </c>
      <c r="O14" s="55">
        <v>0</v>
      </c>
      <c r="P14" s="55">
        <v>0.56000000000000005</v>
      </c>
      <c r="Q14" s="55">
        <v>18.07</v>
      </c>
      <c r="R14" s="43"/>
      <c r="S14" s="43"/>
      <c r="T14" s="43"/>
      <c r="U14" s="43"/>
    </row>
    <row r="15" spans="1:21" s="11" customFormat="1" ht="15">
      <c r="A15" s="54" t="s">
        <v>790</v>
      </c>
      <c r="B15" s="55">
        <v>16</v>
      </c>
      <c r="C15" s="55">
        <v>24.93</v>
      </c>
      <c r="D15" s="55">
        <v>26.53</v>
      </c>
      <c r="E15" s="55">
        <v>3.07</v>
      </c>
      <c r="F15" s="55">
        <v>3.88</v>
      </c>
      <c r="G15" s="55">
        <v>23.23</v>
      </c>
      <c r="H15" s="55">
        <v>14.65</v>
      </c>
      <c r="I15" s="56" t="s">
        <v>15</v>
      </c>
      <c r="J15" s="55">
        <v>0.21</v>
      </c>
      <c r="K15" s="55">
        <v>26.91</v>
      </c>
      <c r="L15" s="55">
        <v>23.76</v>
      </c>
      <c r="M15" s="55">
        <v>97.25</v>
      </c>
      <c r="N15" s="55">
        <v>92.20</v>
      </c>
      <c r="O15" s="55">
        <v>0</v>
      </c>
      <c r="P15" s="55">
        <v>0.49</v>
      </c>
      <c r="Q15" s="55">
        <v>18.70</v>
      </c>
      <c r="R15" s="43"/>
      <c r="S15" s="43"/>
      <c r="T15" s="43"/>
      <c r="U15" s="43"/>
    </row>
    <row r="16" spans="1:21" s="11" customFormat="1" ht="15">
      <c r="A16" s="54" t="s">
        <v>791</v>
      </c>
      <c r="B16" s="55">
        <v>19.20</v>
      </c>
      <c r="C16" s="55">
        <v>24.72</v>
      </c>
      <c r="D16" s="55">
        <v>29.5</v>
      </c>
      <c r="E16" s="55">
        <v>3.15</v>
      </c>
      <c r="F16" s="55">
        <v>3.68</v>
      </c>
      <c r="G16" s="55">
        <v>31.5</v>
      </c>
      <c r="H16" s="55">
        <v>14.65</v>
      </c>
      <c r="I16" s="56" t="s">
        <v>15</v>
      </c>
      <c r="J16" s="55">
        <v>0.24</v>
      </c>
      <c r="K16" s="55">
        <v>38.96</v>
      </c>
      <c r="L16" s="55">
        <v>24.24</v>
      </c>
      <c r="M16" s="55">
        <v>97.21</v>
      </c>
      <c r="N16" s="55">
        <v>179.40</v>
      </c>
      <c r="O16" s="55">
        <v>0</v>
      </c>
      <c r="P16" s="55">
        <v>0.72</v>
      </c>
      <c r="Q16" s="55">
        <v>17.52</v>
      </c>
      <c r="R16" s="43"/>
      <c r="S16" s="43"/>
      <c r="T16" s="43"/>
      <c r="U16" s="43"/>
    </row>
    <row r="17" spans="1:21" s="11" customFormat="1" ht="15">
      <c r="A17" s="54" t="s">
        <v>792</v>
      </c>
      <c r="B17" s="55">
        <v>22.30</v>
      </c>
      <c r="C17" s="55">
        <v>25.07</v>
      </c>
      <c r="D17" s="55">
        <v>32.090000000000003</v>
      </c>
      <c r="E17" s="55">
        <v>2.36</v>
      </c>
      <c r="F17" s="55">
        <v>4.17</v>
      </c>
      <c r="G17" s="55">
        <v>37.69</v>
      </c>
      <c r="H17" s="55">
        <v>15.28</v>
      </c>
      <c r="I17" s="56" t="s">
        <v>15</v>
      </c>
      <c r="J17" s="55">
        <v>0.28999999999999998</v>
      </c>
      <c r="K17" s="55">
        <v>359.29</v>
      </c>
      <c r="L17" s="55">
        <v>26.87</v>
      </c>
      <c r="M17" s="55">
        <v>92.97</v>
      </c>
      <c r="N17" s="55">
        <v>467</v>
      </c>
      <c r="O17" s="55">
        <v>0</v>
      </c>
      <c r="P17" s="55">
        <v>0.82</v>
      </c>
      <c r="Q17" s="55">
        <v>18.600000000000001</v>
      </c>
      <c r="R17" s="43"/>
      <c r="S17" s="43"/>
      <c r="T17" s="43"/>
      <c r="U17" s="43"/>
    </row>
    <row r="18" spans="1:21" s="11" customFormat="1" ht="15">
      <c r="A18" s="54" t="s">
        <v>793</v>
      </c>
      <c r="B18" s="55">
        <v>22.43</v>
      </c>
      <c r="C18" s="55">
        <v>24.80</v>
      </c>
      <c r="D18" s="55">
        <v>32.159999999999997</v>
      </c>
      <c r="E18" s="55">
        <v>2.16</v>
      </c>
      <c r="F18" s="55">
        <v>3.76</v>
      </c>
      <c r="G18" s="55">
        <v>43.23</v>
      </c>
      <c r="H18" s="55">
        <v>15.28</v>
      </c>
      <c r="I18" s="56" t="s">
        <v>15</v>
      </c>
      <c r="J18" s="55">
        <v>0.38</v>
      </c>
      <c r="K18" s="55">
        <v>20.58</v>
      </c>
      <c r="L18" s="55">
        <v>27.79</v>
      </c>
      <c r="M18" s="55">
        <v>80.56</v>
      </c>
      <c r="N18" s="55">
        <v>498.5</v>
      </c>
      <c r="O18" s="55">
        <v>0</v>
      </c>
      <c r="P18" s="55">
        <v>0.80</v>
      </c>
      <c r="Q18" s="55">
        <v>18.80</v>
      </c>
      <c r="R18" s="43"/>
      <c r="S18" s="43"/>
      <c r="T18" s="43"/>
      <c r="U18" s="43"/>
    </row>
    <row r="19" spans="1:21" s="11" customFormat="1" ht="15">
      <c r="A19" s="54" t="s">
        <v>794</v>
      </c>
      <c r="B19" s="55">
        <v>15.99</v>
      </c>
      <c r="C19" s="55">
        <v>32.19</v>
      </c>
      <c r="D19" s="55">
        <v>28.41</v>
      </c>
      <c r="E19" s="55">
        <v>2.02</v>
      </c>
      <c r="F19" s="55">
        <v>7</v>
      </c>
      <c r="G19" s="55">
        <v>43.23</v>
      </c>
      <c r="H19" s="55">
        <v>15.68</v>
      </c>
      <c r="I19" s="56" t="s">
        <v>15</v>
      </c>
      <c r="J19" s="55">
        <v>0.42</v>
      </c>
      <c r="K19" s="55">
        <v>10.5</v>
      </c>
      <c r="L19" s="55">
        <v>28.23</v>
      </c>
      <c r="M19" s="55">
        <v>77.20</v>
      </c>
      <c r="N19" s="55">
        <v>662.60</v>
      </c>
      <c r="O19" s="55">
        <v>0</v>
      </c>
      <c r="P19" s="55">
        <v>0.87</v>
      </c>
      <c r="Q19" s="55">
        <v>15.99</v>
      </c>
      <c r="R19" s="43"/>
      <c r="S19" s="43"/>
      <c r="T19" s="43"/>
      <c r="U19" s="43"/>
    </row>
    <row r="20" spans="1:21" s="11" customFormat="1" ht="15">
      <c r="A20" s="54" t="s">
        <v>795</v>
      </c>
      <c r="B20" s="55">
        <v>7.49</v>
      </c>
      <c r="C20" s="55">
        <v>33.69</v>
      </c>
      <c r="D20" s="55">
        <v>23.95</v>
      </c>
      <c r="E20" s="55">
        <v>2.25</v>
      </c>
      <c r="F20" s="55">
        <v>6.29</v>
      </c>
      <c r="G20" s="60" t="s">
        <v>12</v>
      </c>
      <c r="H20" s="60" t="s">
        <v>12</v>
      </c>
      <c r="I20" s="56" t="s">
        <v>15</v>
      </c>
      <c r="J20" s="55">
        <v>0.70</v>
      </c>
      <c r="K20" s="55">
        <v>358.22</v>
      </c>
      <c r="L20" s="55">
        <v>29.71</v>
      </c>
      <c r="M20" s="55">
        <v>71.36</v>
      </c>
      <c r="N20" s="55">
        <v>566</v>
      </c>
      <c r="O20" s="55">
        <v>0</v>
      </c>
      <c r="P20" s="55">
        <v>0.84</v>
      </c>
      <c r="Q20" s="55">
        <v>15.84</v>
      </c>
      <c r="R20" s="43"/>
      <c r="S20" s="43"/>
      <c r="T20" s="43"/>
      <c r="U20" s="43"/>
    </row>
    <row r="21" spans="1:21" s="11" customFormat="1" ht="15">
      <c r="A21" s="54" t="s">
        <v>796</v>
      </c>
      <c r="B21" s="55">
        <v>5</v>
      </c>
      <c r="C21" s="55">
        <v>26.72</v>
      </c>
      <c r="D21" s="55">
        <v>19.399999999999999</v>
      </c>
      <c r="E21" s="55">
        <v>3.25</v>
      </c>
      <c r="F21" s="55">
        <v>14.68</v>
      </c>
      <c r="G21" s="60" t="s">
        <v>12</v>
      </c>
      <c r="H21" s="60" t="s">
        <v>12</v>
      </c>
      <c r="I21" s="56" t="s">
        <v>15</v>
      </c>
      <c r="J21" s="55">
        <v>0.55000000000000004</v>
      </c>
      <c r="K21" s="55">
        <v>356.14</v>
      </c>
      <c r="L21" s="55">
        <v>30.43</v>
      </c>
      <c r="M21" s="55">
        <v>68.08</v>
      </c>
      <c r="N21" s="55">
        <v>797.20</v>
      </c>
      <c r="O21" s="55">
        <v>0</v>
      </c>
      <c r="P21" s="55">
        <v>0.40</v>
      </c>
      <c r="Q21" s="55">
        <v>15.66</v>
      </c>
      <c r="R21" s="43"/>
      <c r="S21" s="43"/>
      <c r="T21" s="43"/>
      <c r="U21" s="43"/>
    </row>
    <row r="22" spans="1:21" s="11" customFormat="1" ht="15">
      <c r="A22" s="54" t="s">
        <v>797</v>
      </c>
      <c r="B22" s="55">
        <v>4.1900000000000004</v>
      </c>
      <c r="C22" s="55">
        <v>24.49</v>
      </c>
      <c r="D22" s="55">
        <v>17.46</v>
      </c>
      <c r="E22" s="55">
        <v>6.08</v>
      </c>
      <c r="F22" s="55">
        <v>5.88</v>
      </c>
      <c r="G22" s="55">
        <v>17.41</v>
      </c>
      <c r="H22" s="55">
        <v>13.18</v>
      </c>
      <c r="I22" s="56" t="s">
        <v>15</v>
      </c>
      <c r="J22" s="55">
        <v>0.49</v>
      </c>
      <c r="K22" s="55">
        <v>27.89</v>
      </c>
      <c r="L22" s="55">
        <v>28.58</v>
      </c>
      <c r="M22" s="55">
        <v>75.349999999999994</v>
      </c>
      <c r="N22" s="55">
        <v>617</v>
      </c>
      <c r="O22" s="55">
        <v>0</v>
      </c>
      <c r="P22" s="55">
        <v>0.47</v>
      </c>
      <c r="Q22" s="55">
        <v>12.38</v>
      </c>
      <c r="R22" s="43"/>
      <c r="S22" s="43"/>
      <c r="T22" s="43"/>
      <c r="U22" s="43"/>
    </row>
    <row r="23" spans="1:21" s="11" customFormat="1" ht="15">
      <c r="A23" s="54" t="s">
        <v>798</v>
      </c>
      <c r="B23" s="55">
        <v>5.95</v>
      </c>
      <c r="C23" s="55">
        <v>25.12</v>
      </c>
      <c r="D23" s="55">
        <v>19.04</v>
      </c>
      <c r="E23" s="55">
        <v>0.62</v>
      </c>
      <c r="F23" s="55">
        <v>5.48</v>
      </c>
      <c r="G23" s="55">
        <v>31.40</v>
      </c>
      <c r="H23" s="55">
        <v>15.89</v>
      </c>
      <c r="I23" s="56" t="s">
        <v>15</v>
      </c>
      <c r="J23" s="55">
        <v>0.40</v>
      </c>
      <c r="K23" s="55">
        <v>25.48</v>
      </c>
      <c r="L23" s="55">
        <v>28.34</v>
      </c>
      <c r="M23" s="55">
        <v>74.30</v>
      </c>
      <c r="N23" s="55">
        <v>531.20000000000005</v>
      </c>
      <c r="O23" s="55">
        <v>0</v>
      </c>
      <c r="P23" s="55">
        <v>0.59</v>
      </c>
      <c r="Q23" s="55">
        <v>15.40</v>
      </c>
      <c r="R23" s="43"/>
      <c r="S23" s="43"/>
      <c r="T23" s="43"/>
      <c r="U23" s="43"/>
    </row>
    <row r="24" spans="1:21" s="11" customFormat="1" ht="15">
      <c r="A24" s="54" t="s">
        <v>799</v>
      </c>
      <c r="B24" s="55">
        <v>4.51</v>
      </c>
      <c r="C24" s="55">
        <v>27.70</v>
      </c>
      <c r="D24" s="55">
        <v>19.350000000000001</v>
      </c>
      <c r="E24" s="55">
        <v>0.68</v>
      </c>
      <c r="F24" s="55">
        <v>8.4600000000000009</v>
      </c>
      <c r="G24" s="55">
        <v>48.65</v>
      </c>
      <c r="H24" s="55">
        <v>17.80</v>
      </c>
      <c r="I24" s="56" t="s">
        <v>15</v>
      </c>
      <c r="J24" s="55">
        <v>0.39</v>
      </c>
      <c r="K24" s="55">
        <v>33.89</v>
      </c>
      <c r="L24" s="55">
        <v>28.14</v>
      </c>
      <c r="M24" s="55">
        <v>74.42</v>
      </c>
      <c r="N24" s="55">
        <v>535.79999999999995</v>
      </c>
      <c r="O24" s="55">
        <v>0</v>
      </c>
      <c r="P24" s="55">
        <v>0.63</v>
      </c>
      <c r="Q24" s="55">
        <v>14.78</v>
      </c>
      <c r="R24" s="43"/>
      <c r="S24" s="43"/>
      <c r="T24" s="43"/>
      <c r="U24" s="43"/>
    </row>
    <row r="25" spans="1:21" s="11" customFormat="1" ht="15">
      <c r="A25" s="54" t="s">
        <v>800</v>
      </c>
      <c r="B25" s="55">
        <v>2.21</v>
      </c>
      <c r="C25" s="55">
        <v>23.04</v>
      </c>
      <c r="D25" s="55">
        <v>14.78</v>
      </c>
      <c r="E25" s="55">
        <v>0.97</v>
      </c>
      <c r="F25" s="55">
        <v>19.38</v>
      </c>
      <c r="G25" s="55">
        <v>44.30</v>
      </c>
      <c r="H25" s="55">
        <v>18.010000000000002</v>
      </c>
      <c r="I25" s="56" t="s">
        <v>15</v>
      </c>
      <c r="J25" s="55">
        <v>0.43</v>
      </c>
      <c r="K25" s="55">
        <v>35.99</v>
      </c>
      <c r="L25" s="55">
        <v>27.82</v>
      </c>
      <c r="M25" s="55">
        <v>74.900000000000006</v>
      </c>
      <c r="N25" s="55">
        <v>359.80</v>
      </c>
      <c r="O25" s="55">
        <v>0</v>
      </c>
      <c r="P25" s="55">
        <v>0.44</v>
      </c>
      <c r="Q25" s="55">
        <v>13.27</v>
      </c>
      <c r="R25" s="43"/>
      <c r="S25" s="43"/>
      <c r="T25" s="43"/>
      <c r="U25" s="43"/>
    </row>
    <row r="26" spans="1:21" s="11" customFormat="1" ht="15">
      <c r="A26" s="54" t="s">
        <v>801</v>
      </c>
      <c r="B26" s="55">
        <v>3.58</v>
      </c>
      <c r="C26" s="55">
        <v>23.09</v>
      </c>
      <c r="D26" s="55">
        <v>15.98</v>
      </c>
      <c r="E26" s="55">
        <v>0.32</v>
      </c>
      <c r="F26" s="55">
        <v>9.14</v>
      </c>
      <c r="G26" s="55">
        <v>39.119999999999997</v>
      </c>
      <c r="H26" s="55">
        <v>19.70</v>
      </c>
      <c r="I26" s="56" t="s">
        <v>15</v>
      </c>
      <c r="J26" s="55">
        <v>0.38</v>
      </c>
      <c r="K26" s="55">
        <v>36.24</v>
      </c>
      <c r="L26" s="55">
        <v>27.22</v>
      </c>
      <c r="M26" s="55">
        <v>77.209999999999994</v>
      </c>
      <c r="N26" s="55">
        <v>165.70</v>
      </c>
      <c r="O26" s="55">
        <v>0</v>
      </c>
      <c r="P26" s="55">
        <v>0.36</v>
      </c>
      <c r="Q26" s="55">
        <v>13.52</v>
      </c>
      <c r="R26" s="43"/>
      <c r="S26" s="43"/>
      <c r="T26" s="43"/>
      <c r="U26" s="43"/>
    </row>
    <row r="27" spans="1:21" s="11" customFormat="1" ht="15">
      <c r="A27" s="54" t="s">
        <v>802</v>
      </c>
      <c r="B27" s="55">
        <v>9.11</v>
      </c>
      <c r="C27" s="55">
        <v>26.07</v>
      </c>
      <c r="D27" s="55">
        <v>22.34</v>
      </c>
      <c r="E27" s="55">
        <v>0.52</v>
      </c>
      <c r="F27" s="55">
        <v>7.05</v>
      </c>
      <c r="G27" s="55">
        <v>31.53</v>
      </c>
      <c r="H27" s="55">
        <v>15.32</v>
      </c>
      <c r="I27" s="56" t="s">
        <v>15</v>
      </c>
      <c r="J27" s="55">
        <v>0.34</v>
      </c>
      <c r="K27" s="55">
        <v>47.26</v>
      </c>
      <c r="L27" s="55">
        <v>26.56</v>
      </c>
      <c r="M27" s="55">
        <v>82.08</v>
      </c>
      <c r="N27" s="55">
        <v>69.70</v>
      </c>
      <c r="O27" s="55">
        <v>0</v>
      </c>
      <c r="P27" s="55">
        <v>0.46</v>
      </c>
      <c r="Q27" s="55">
        <v>14.92</v>
      </c>
      <c r="R27" s="43"/>
      <c r="S27" s="43"/>
      <c r="T27" s="43"/>
      <c r="U27" s="43"/>
    </row>
    <row r="28" spans="1:21" s="11" customFormat="1" ht="15">
      <c r="A28" s="54" t="s">
        <v>803</v>
      </c>
      <c r="B28" s="55">
        <v>6.53</v>
      </c>
      <c r="C28" s="55">
        <v>25.11</v>
      </c>
      <c r="D28" s="55">
        <v>19.649999999999999</v>
      </c>
      <c r="E28" s="55">
        <v>0.64</v>
      </c>
      <c r="F28" s="55">
        <v>6.70</v>
      </c>
      <c r="G28" s="55">
        <v>49.28</v>
      </c>
      <c r="H28" s="55">
        <v>17.63</v>
      </c>
      <c r="I28" s="56" t="s">
        <v>15</v>
      </c>
      <c r="J28" s="55">
        <v>0.37</v>
      </c>
      <c r="K28" s="55">
        <v>38.90</v>
      </c>
      <c r="L28" s="55">
        <v>26.11</v>
      </c>
      <c r="M28" s="55">
        <v>82.31</v>
      </c>
      <c r="N28" s="55">
        <v>43.5</v>
      </c>
      <c r="O28" s="55">
        <v>0</v>
      </c>
      <c r="P28" s="55">
        <v>0.54</v>
      </c>
      <c r="Q28" s="55">
        <v>15.60</v>
      </c>
      <c r="R28" s="43"/>
      <c r="S28" s="43"/>
      <c r="T28" s="43"/>
      <c r="U28" s="43"/>
    </row>
    <row r="29" spans="1:21" s="11" customFormat="1" ht="15">
      <c r="A29" s="54" t="s">
        <v>804</v>
      </c>
      <c r="B29" s="55">
        <v>8.1300000000000008</v>
      </c>
      <c r="C29" s="55">
        <v>24.96</v>
      </c>
      <c r="D29" s="55">
        <v>20.78</v>
      </c>
      <c r="E29" s="55">
        <v>1.24</v>
      </c>
      <c r="F29" s="55">
        <v>4.22</v>
      </c>
      <c r="G29" s="55">
        <v>43.17</v>
      </c>
      <c r="H29" s="55">
        <v>15.60</v>
      </c>
      <c r="I29" s="56" t="s">
        <v>15</v>
      </c>
      <c r="J29" s="55">
        <v>0.43</v>
      </c>
      <c r="K29" s="55">
        <v>44.17</v>
      </c>
      <c r="L29" s="55">
        <v>25.85</v>
      </c>
      <c r="M29" s="55">
        <v>85.05</v>
      </c>
      <c r="N29" s="55">
        <v>43.70</v>
      </c>
      <c r="O29" s="55">
        <v>0</v>
      </c>
      <c r="P29" s="55">
        <v>0.64</v>
      </c>
      <c r="Q29" s="55">
        <v>14.39</v>
      </c>
      <c r="R29" s="43"/>
      <c r="S29" s="43"/>
      <c r="T29" s="43"/>
      <c r="U29" s="43"/>
    </row>
    <row r="30" spans="1:21" s="11" customFormat="1" ht="15">
      <c r="A30" s="54" t="s">
        <v>805</v>
      </c>
      <c r="B30" s="55">
        <v>9.81</v>
      </c>
      <c r="C30" s="55">
        <v>27.48</v>
      </c>
      <c r="D30" s="55">
        <v>22.07</v>
      </c>
      <c r="E30" s="55">
        <v>1.70</v>
      </c>
      <c r="F30" s="55">
        <v>4.68</v>
      </c>
      <c r="G30" s="55">
        <v>46.98</v>
      </c>
      <c r="H30" s="55">
        <v>15.96</v>
      </c>
      <c r="I30" s="56" t="s">
        <v>15</v>
      </c>
      <c r="J30" s="55">
        <v>0.47</v>
      </c>
      <c r="K30" s="55">
        <v>30.01</v>
      </c>
      <c r="L30" s="55">
        <v>25.39</v>
      </c>
      <c r="M30" s="55">
        <v>83.78</v>
      </c>
      <c r="N30" s="55">
        <v>43.70</v>
      </c>
      <c r="O30" s="55">
        <v>0</v>
      </c>
      <c r="P30" s="55">
        <v>0.70</v>
      </c>
      <c r="Q30" s="55">
        <v>16</v>
      </c>
      <c r="R30" s="43"/>
      <c r="S30" s="43"/>
      <c r="T30" s="43"/>
      <c r="U30" s="43"/>
    </row>
    <row r="31" spans="1:21" s="11" customFormat="1" ht="15">
      <c r="A31" s="54" t="s">
        <v>806</v>
      </c>
      <c r="B31" s="55">
        <v>9.9700000000000006</v>
      </c>
      <c r="C31" s="55">
        <v>23.44</v>
      </c>
      <c r="D31" s="55">
        <v>20.83</v>
      </c>
      <c r="E31" s="55">
        <v>1.77</v>
      </c>
      <c r="F31" s="55">
        <v>5.25</v>
      </c>
      <c r="G31" s="55">
        <v>45.48</v>
      </c>
      <c r="H31" s="55">
        <v>16.72</v>
      </c>
      <c r="I31" s="56" t="s">
        <v>15</v>
      </c>
      <c r="J31" s="55">
        <v>0.35</v>
      </c>
      <c r="K31" s="55">
        <v>37.590000000000003</v>
      </c>
      <c r="L31" s="55">
        <v>24.74</v>
      </c>
      <c r="M31" s="55">
        <v>86.24</v>
      </c>
      <c r="N31" s="55">
        <v>38.799999999999997</v>
      </c>
      <c r="O31" s="55">
        <v>0</v>
      </c>
      <c r="P31" s="55">
        <v>0.76</v>
      </c>
      <c r="Q31" s="55">
        <v>15.55</v>
      </c>
      <c r="R31" s="43"/>
      <c r="S31" s="43"/>
      <c r="T31" s="43"/>
      <c r="U31" s="43"/>
    </row>
    <row r="32" spans="1:21" s="11" customFormat="1" ht="15">
      <c r="A32" s="54" t="s">
        <v>807</v>
      </c>
      <c r="B32" s="55">
        <v>9.48</v>
      </c>
      <c r="C32" s="55">
        <v>23.29</v>
      </c>
      <c r="D32" s="55">
        <v>21.10</v>
      </c>
      <c r="E32" s="55">
        <v>1.56</v>
      </c>
      <c r="F32" s="55">
        <v>3.81</v>
      </c>
      <c r="G32" s="55">
        <v>41.63</v>
      </c>
      <c r="H32" s="55">
        <v>16.14</v>
      </c>
      <c r="I32" s="56" t="s">
        <v>15</v>
      </c>
      <c r="J32" s="55">
        <v>0.27</v>
      </c>
      <c r="K32" s="55">
        <v>36.79</v>
      </c>
      <c r="L32" s="55">
        <v>24.26</v>
      </c>
      <c r="M32" s="55">
        <v>92.35</v>
      </c>
      <c r="N32" s="55">
        <v>38.700000000000003</v>
      </c>
      <c r="O32" s="55">
        <v>0</v>
      </c>
      <c r="P32" s="55">
        <v>0.73</v>
      </c>
      <c r="Q32" s="55">
        <v>14.78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2.21</v>
      </c>
      <c r="C34" s="28">
        <f t="shared" si="0"/>
        <v>23.039999999999999</v>
      </c>
      <c r="D34" s="28">
        <f t="shared" si="0"/>
        <v>14.779999999999999</v>
      </c>
      <c r="E34" s="28">
        <f t="shared" si="0"/>
        <v>0.32000000000000001</v>
      </c>
      <c r="F34" s="28">
        <f t="shared" si="0"/>
        <v>3.6800000000000002</v>
      </c>
      <c r="G34" s="28">
        <f t="shared" si="0"/>
        <v>17.289999999999999</v>
      </c>
      <c r="H34" s="28">
        <f t="shared" si="0"/>
        <v>9.7300000000000004</v>
      </c>
      <c r="I34" s="28">
        <f t="shared" si="0"/>
        <v>0</v>
      </c>
      <c r="J34" s="28">
        <f t="shared" si="0"/>
        <v>0.17999999999999999</v>
      </c>
      <c r="K34" s="28">
        <f t="shared" si="0"/>
        <v>10.5</v>
      </c>
      <c r="L34" s="28">
        <f t="shared" si="0"/>
        <v>23.489999999999998</v>
      </c>
      <c r="M34" s="28">
        <f t="shared" si="0"/>
        <v>68.079999999999998</v>
      </c>
      <c r="N34" s="28">
        <f t="shared" si="0"/>
        <v>38.700000000000003</v>
      </c>
      <c r="O34" s="28">
        <f t="shared" si="0"/>
        <v>0</v>
      </c>
      <c r="P34" s="28">
        <f t="shared" si="0"/>
        <v>0.29999999999999999</v>
      </c>
      <c r="Q34" s="28">
        <f t="shared" si="0"/>
        <v>12.380000000000001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22.43</v>
      </c>
      <c r="C35" s="29">
        <f t="shared" si="1"/>
        <v>33.689999999999998</v>
      </c>
      <c r="D35" s="29">
        <f t="shared" si="1"/>
        <v>32.159999999999997</v>
      </c>
      <c r="E35" s="29">
        <f t="shared" si="1"/>
        <v>6.0800000000000001</v>
      </c>
      <c r="F35" s="29">
        <f t="shared" si="1"/>
        <v>19.379999999999999</v>
      </c>
      <c r="G35" s="29">
        <f t="shared" si="1"/>
        <v>49.280000000000001</v>
      </c>
      <c r="H35" s="29">
        <f t="shared" si="1"/>
        <v>19.699999999999999</v>
      </c>
      <c r="I35" s="29">
        <f t="shared" si="1"/>
        <v>0</v>
      </c>
      <c r="J35" s="29">
        <f t="shared" si="1"/>
        <v>0.69999999999999996</v>
      </c>
      <c r="K35" s="29">
        <f t="shared" si="1"/>
        <v>359.29000000000002</v>
      </c>
      <c r="L35" s="29">
        <f t="shared" si="1"/>
        <v>30.43</v>
      </c>
      <c r="M35" s="29">
        <f t="shared" si="1"/>
        <v>97.25</v>
      </c>
      <c r="N35" s="29">
        <f t="shared" si="1"/>
        <v>797.20000000000005</v>
      </c>
      <c r="O35" s="29">
        <f t="shared" si="1"/>
        <v>0</v>
      </c>
      <c r="P35" s="29">
        <f t="shared" si="1"/>
        <v>0.87</v>
      </c>
      <c r="Q35" s="29">
        <f t="shared" si="1"/>
        <v>19.68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9.7787500000000005</v>
      </c>
      <c r="C36" s="28">
        <f t="shared" si="2"/>
        <v>25.821666666666669</v>
      </c>
      <c r="D36" s="28">
        <f t="shared" si="2"/>
        <v>22.298749999999998</v>
      </c>
      <c r="E36" s="28">
        <f t="shared" si="2"/>
        <v>2.0429166666666667</v>
      </c>
      <c r="F36" s="28">
        <f t="shared" si="2"/>
        <v>6.4387499999999989</v>
      </c>
      <c r="G36" s="28">
        <f t="shared" si="2"/>
        <v>33.717272727272729</v>
      </c>
      <c r="H36" s="28">
        <f t="shared" si="2"/>
        <v>14.814999999999998</v>
      </c>
      <c r="I36" s="28" t="e">
        <f t="shared" si="2"/>
        <v>#DIV/0!</v>
      </c>
      <c r="J36" s="28">
        <f t="shared" si="2"/>
        <v>0.36249999999999999</v>
      </c>
      <c r="K36" s="28">
        <f t="shared" si="2"/>
        <v>74.904166666666669</v>
      </c>
      <c r="L36" s="28">
        <f t="shared" si="2"/>
        <v>26.062499999999996</v>
      </c>
      <c r="M36" s="28">
        <f t="shared" si="2"/>
        <v>85.655416666666667</v>
      </c>
      <c r="N36" s="28">
        <f t="shared" si="2"/>
        <v>251.71666666666667</v>
      </c>
      <c r="O36" s="28">
        <f t="shared" si="2"/>
        <v>0</v>
      </c>
      <c r="P36" s="28">
        <f t="shared" si="2"/>
        <v>0.56250000000000011</v>
      </c>
      <c r="Q36" s="28">
        <f t="shared" si="2"/>
        <v>16.295416666666664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5.5898038485457953</v>
      </c>
      <c r="C37" s="28">
        <f t="shared" si="3" ref="C37:Q37">STDEV(C9:C32)</f>
        <v>2.5511645536323493</v>
      </c>
      <c r="D37" s="28">
        <f t="shared" si="3"/>
        <v>4.5873392046218919</v>
      </c>
      <c r="E37" s="28">
        <f t="shared" si="3"/>
        <v>1.2450370316359782</v>
      </c>
      <c r="F37" s="28">
        <f t="shared" si="3"/>
        <v>3.7015676027044702</v>
      </c>
      <c r="G37" s="28">
        <f t="shared" si="3"/>
        <v>11.429964871761278</v>
      </c>
      <c r="H37" s="28">
        <f t="shared" si="3"/>
        <v>2.6164256789240907</v>
      </c>
      <c r="I37" s="28" t="e">
        <f t="shared" si="3"/>
        <v>#DIV/0!</v>
      </c>
      <c r="J37" s="28">
        <f t="shared" si="3"/>
        <v>0.11818371844018044</v>
      </c>
      <c r="K37" s="28">
        <f t="shared" si="3"/>
        <v>109.61082404170426</v>
      </c>
      <c r="L37" s="28">
        <f t="shared" si="3"/>
        <v>2.211069483501042</v>
      </c>
      <c r="M37" s="28">
        <f t="shared" si="3"/>
        <v>10.110643113406129</v>
      </c>
      <c r="N37" s="28">
        <f t="shared" si="3"/>
        <v>256.75046364069169</v>
      </c>
      <c r="O37" s="28">
        <f t="shared" si="3"/>
        <v>0</v>
      </c>
      <c r="P37" s="28">
        <f t="shared" si="3"/>
        <v>0.18449107436875933</v>
      </c>
      <c r="Q37" s="28">
        <f t="shared" si="3"/>
        <v>1.9996325296471849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451dc6-f9b9-4682-a0fd-38b4392b0bf2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I33" sqref="I33:I39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01-07-2023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01-07-2023 01:00</v>
      </c>
      <c r="B9" s="24">
        <f>'01'!B36</f>
        <v>8.5829166666666676</v>
      </c>
      <c r="C9" s="24">
        <f>'01'!C36</f>
        <v>18.392500000000002</v>
      </c>
      <c r="D9" s="24">
        <f>'01'!D36</f>
        <v>17.385000000000002</v>
      </c>
      <c r="E9" s="24">
        <f>'01'!E36</f>
        <v>2.3333333333333335</v>
      </c>
      <c r="F9" s="24">
        <f>'01'!F36</f>
        <v>10.003749999999998</v>
      </c>
      <c r="G9" s="59" t="s">
        <v>15</v>
      </c>
      <c r="H9" s="59" t="s">
        <v>15</v>
      </c>
      <c r="I9" s="24">
        <f>'01'!I36</f>
        <v>0.57291666666666674</v>
      </c>
      <c r="J9" s="24">
        <f>'01'!J36</f>
        <v>0.26166666666666666</v>
      </c>
      <c r="K9" s="24">
        <f>'01'!K36</f>
        <v>200.32083333333335</v>
      </c>
      <c r="L9" s="24">
        <f>'01'!L36</f>
        <v>27.289583333333329</v>
      </c>
      <c r="M9" s="24">
        <f>'01'!M36</f>
        <v>70.189583333333346</v>
      </c>
      <c r="N9" s="24">
        <f>'01'!N36</f>
        <v>305.86250000000001</v>
      </c>
      <c r="O9" s="24">
        <f>'01'!O36</f>
        <v>0</v>
      </c>
      <c r="P9" s="30">
        <f>'01'!$P$36</f>
        <v>0.72833333333333339</v>
      </c>
      <c r="Q9" s="24">
        <f>'01'!Q36</f>
        <v>12.99416666666667</v>
      </c>
      <c r="R9" s="45"/>
      <c r="S9" s="45"/>
      <c r="T9" s="45"/>
      <c r="U9" s="46"/>
    </row>
    <row r="10" spans="1:21" s="34" customFormat="1" ht="15">
      <c r="A10" s="36" t="str">
        <f>'02'!$B$2</f>
        <v>02-07-2023 01:00</v>
      </c>
      <c r="B10" s="33">
        <f>'02'!B36</f>
        <v>9.1895833333333332</v>
      </c>
      <c r="C10" s="33">
        <f>'02'!C36</f>
        <v>19.155833333333334</v>
      </c>
      <c r="D10" s="33">
        <f>'02'!D36</f>
        <v>18.27</v>
      </c>
      <c r="E10" s="33">
        <f>'02'!E36</f>
        <v>2.1949999999999998</v>
      </c>
      <c r="F10" s="33">
        <f>'02'!F36</f>
        <v>12.145000000000001</v>
      </c>
      <c r="G10" s="59" t="s">
        <v>15</v>
      </c>
      <c r="H10" s="59" t="s">
        <v>15</v>
      </c>
      <c r="I10" s="33">
        <f>'02'!I36</f>
        <v>0.57214285714285718</v>
      </c>
      <c r="J10" s="33">
        <f>'02'!J36</f>
        <v>0.22041666666666662</v>
      </c>
      <c r="K10" s="33">
        <f>'02'!K36</f>
        <v>228.82499999999996</v>
      </c>
      <c r="L10" s="33">
        <f>'02'!L36</f>
        <v>27.288333333333338</v>
      </c>
      <c r="M10" s="33">
        <f>'02'!M36</f>
        <v>71.47708333333334</v>
      </c>
      <c r="N10" s="33">
        <f>'02'!N36</f>
        <v>231.88750000000002</v>
      </c>
      <c r="O10" s="33">
        <f>'02'!O36</f>
        <v>0</v>
      </c>
      <c r="P10" s="30">
        <f>'02'!$P$36</f>
        <v>0.77416666666666656</v>
      </c>
      <c r="Q10" s="33">
        <f>'02'!Q36</f>
        <v>12.553333333333335</v>
      </c>
      <c r="R10" s="47"/>
      <c r="S10" s="47"/>
      <c r="T10" s="47"/>
      <c r="U10" s="47"/>
    </row>
    <row r="11" spans="1:21" s="34" customFormat="1" ht="15">
      <c r="A11" s="36" t="str">
        <f>'03'!$B$2</f>
        <v>03-07-2023 01:00</v>
      </c>
      <c r="B11" s="33">
        <f>'03'!B36</f>
        <v>11.686249999999999</v>
      </c>
      <c r="C11" s="33">
        <f>'03'!C36</f>
        <v>24.424583333333331</v>
      </c>
      <c r="D11" s="33">
        <f>'03'!D36</f>
        <v>23.12125</v>
      </c>
      <c r="E11" s="33">
        <f>'03'!E36</f>
        <v>2.8241666666666663</v>
      </c>
      <c r="F11" s="33">
        <f>'03'!F36</f>
        <v>21.170833333333331</v>
      </c>
      <c r="G11" s="59" t="s">
        <v>15</v>
      </c>
      <c r="H11" s="59" t="s">
        <v>15</v>
      </c>
      <c r="I11" s="33">
        <f>'03'!I36</f>
        <v>3.714</v>
      </c>
      <c r="J11" s="33">
        <f>'03'!J36</f>
        <v>0.47625000000000006</v>
      </c>
      <c r="K11" s="33">
        <f>'03'!K36</f>
        <v>263.47750000000002</v>
      </c>
      <c r="L11" s="33">
        <f>'03'!L36</f>
        <v>28.370833333333334</v>
      </c>
      <c r="M11" s="33">
        <f>'03'!M36</f>
        <v>72.302083333333343</v>
      </c>
      <c r="N11" s="33">
        <f>'03'!N36</f>
        <v>239.27500000000001</v>
      </c>
      <c r="O11" s="33">
        <f>'03'!O36</f>
        <v>0</v>
      </c>
      <c r="P11" s="30">
        <f>'03'!$P$36</f>
        <v>0.7466666666666667</v>
      </c>
      <c r="Q11" s="33">
        <f>'03'!Q36</f>
        <v>17.952083333333334</v>
      </c>
      <c r="R11" s="47"/>
      <c r="S11" s="47"/>
      <c r="T11" s="47"/>
      <c r="U11" s="47"/>
    </row>
    <row r="12" spans="1:21" s="34" customFormat="1" ht="15">
      <c r="A12" s="36" t="str">
        <f>'04'!$B$2</f>
        <v>04-07-2023 01:00</v>
      </c>
      <c r="B12" s="33">
        <f>'04'!B36</f>
        <v>9.0791666666666639</v>
      </c>
      <c r="C12" s="33">
        <f>'04'!C36</f>
        <v>23.127083333333342</v>
      </c>
      <c r="D12" s="33">
        <f>'04'!D36</f>
        <v>20.460416666666664</v>
      </c>
      <c r="E12" s="33">
        <f>'04'!E36</f>
        <v>2.7887499999999998</v>
      </c>
      <c r="F12" s="33">
        <f>'04'!F36</f>
        <v>26.440416666666664</v>
      </c>
      <c r="G12" s="59" t="s">
        <v>15</v>
      </c>
      <c r="H12" s="59" t="s">
        <v>15</v>
      </c>
      <c r="I12" s="33">
        <f>'04'!I36</f>
        <v>4.8214285714285712</v>
      </c>
      <c r="J12" s="33">
        <f>'04'!J36</f>
        <v>0.70916666666666683</v>
      </c>
      <c r="K12" s="33">
        <f>'04'!K36</f>
        <v>228.23458333333338</v>
      </c>
      <c r="L12" s="33">
        <f>'04'!L36</f>
        <v>28.446249999999996</v>
      </c>
      <c r="M12" s="33">
        <f>'04'!M36</f>
        <v>76.156666666666666</v>
      </c>
      <c r="N12" s="33">
        <f>'04'!N36</f>
        <v>281.49166666666662</v>
      </c>
      <c r="O12" s="33">
        <f>'04'!O36</f>
        <v>0.32500000000000001</v>
      </c>
      <c r="P12" s="30">
        <f>'04'!$P$36</f>
        <v>0.70708333333333329</v>
      </c>
      <c r="Q12" s="33">
        <f>'04'!Q36</f>
        <v>16.330833333333331</v>
      </c>
      <c r="R12" s="47"/>
      <c r="S12" s="47"/>
      <c r="T12" s="47"/>
      <c r="U12" s="47"/>
    </row>
    <row r="13" spans="1:21" s="34" customFormat="1" ht="15">
      <c r="A13" s="36" t="str">
        <f>'05'!$B$2</f>
        <v>05-07-2023 01:00</v>
      </c>
      <c r="B13" s="33">
        <f>'05'!B36</f>
        <v>8.8291666666666657</v>
      </c>
      <c r="C13" s="33">
        <f>'05'!C36</f>
        <v>21.34833333333334</v>
      </c>
      <c r="D13" s="33">
        <f>'05'!D36</f>
        <v>18.947499999999998</v>
      </c>
      <c r="E13" s="33">
        <f>'05'!E36</f>
        <v>2.594583333333333</v>
      </c>
      <c r="F13" s="33">
        <f>'05'!F36</f>
        <v>17.467916666666667</v>
      </c>
      <c r="G13" s="59" t="s">
        <v>15</v>
      </c>
      <c r="H13" s="59" t="s">
        <v>15</v>
      </c>
      <c r="I13" s="33">
        <f>'05'!I36</f>
        <v>4.3449999999999998</v>
      </c>
      <c r="J13" s="33">
        <f>'05'!J36</f>
        <v>0.67916666666666681</v>
      </c>
      <c r="K13" s="33">
        <f>'05'!K36</f>
        <v>270.49041666666665</v>
      </c>
      <c r="L13" s="33">
        <f>'05'!L36</f>
        <v>26.606250000000003</v>
      </c>
      <c r="M13" s="33">
        <f>'05'!M36</f>
        <v>82.74041666666669</v>
      </c>
      <c r="N13" s="33">
        <f>'05'!N36</f>
        <v>312.90416666666664</v>
      </c>
      <c r="O13" s="33">
        <f>'05'!O36</f>
        <v>2.0333333333333332</v>
      </c>
      <c r="P13" s="30">
        <f>'05'!$P$36</f>
        <v>0.64374999999999993</v>
      </c>
      <c r="Q13" s="33">
        <f>'05'!Q36</f>
        <v>13.174583333333331</v>
      </c>
      <c r="R13" s="47"/>
      <c r="S13" s="47"/>
      <c r="T13" s="47"/>
      <c r="U13" s="47"/>
    </row>
    <row r="14" spans="1:21" s="34" customFormat="1" ht="15">
      <c r="A14" s="36" t="str">
        <f>'06'!$B$2</f>
        <v>06-07-2023 01:00</v>
      </c>
      <c r="B14" s="33">
        <f>'06'!B36</f>
        <v>10.299166666666666</v>
      </c>
      <c r="C14" s="33">
        <f>'06'!C36</f>
        <v>15.609583333333333</v>
      </c>
      <c r="D14" s="33">
        <f>'06'!D36</f>
        <v>17.287500000000001</v>
      </c>
      <c r="E14" s="33">
        <f>'06'!E36</f>
        <v>2.5379166666666664</v>
      </c>
      <c r="F14" s="33">
        <f>'06'!F36</f>
        <v>10.580833333333333</v>
      </c>
      <c r="G14" s="59" t="s">
        <v>15</v>
      </c>
      <c r="H14" s="59" t="s">
        <v>15</v>
      </c>
      <c r="I14" s="33">
        <f>'06'!I36</f>
        <v>4.5437500000000002</v>
      </c>
      <c r="J14" s="33">
        <f>'06'!J36</f>
        <v>0.41874999999999996</v>
      </c>
      <c r="K14" s="33">
        <f>'06'!K36</f>
        <v>242.155</v>
      </c>
      <c r="L14" s="33">
        <f>'06'!L36</f>
        <v>24.080416666666668</v>
      </c>
      <c r="M14" s="33">
        <f>'06'!M36</f>
        <v>93.90583333333332</v>
      </c>
      <c r="N14" s="33">
        <f>'06'!N36</f>
        <v>128.43333333333331</v>
      </c>
      <c r="O14" s="33">
        <f>'06'!O36</f>
        <v>0.058333333333333327</v>
      </c>
      <c r="P14" s="30">
        <f>'06'!$P$36</f>
        <v>0.48208333333333325</v>
      </c>
      <c r="Q14" s="33">
        <f>'06'!Q36</f>
        <v>17.369999999999997</v>
      </c>
      <c r="R14" s="47"/>
      <c r="S14" s="47"/>
      <c r="T14" s="47"/>
      <c r="U14" s="47"/>
    </row>
    <row r="15" spans="1:21" s="34" customFormat="1" ht="15">
      <c r="A15" s="36" t="str">
        <f>'07'!$B$2</f>
        <v>07-07-2023 01:00</v>
      </c>
      <c r="B15" s="33">
        <f>'07'!B36</f>
        <v>6.7241666666666653</v>
      </c>
      <c r="C15" s="33">
        <f>'07'!C36</f>
        <v>14.695</v>
      </c>
      <c r="D15" s="33">
        <f>'07'!D36</f>
        <v>13.882916666666661</v>
      </c>
      <c r="E15" s="33">
        <f>'07'!E36</f>
        <v>2.5474999999999999</v>
      </c>
      <c r="F15" s="33">
        <f>'07'!F36</f>
        <v>7.8633333333333333</v>
      </c>
      <c r="G15" s="59" t="s">
        <v>15</v>
      </c>
      <c r="H15" s="59" t="s">
        <v>15</v>
      </c>
      <c r="I15" s="33">
        <f>'07'!I36</f>
        <v>3.8262500000000004</v>
      </c>
      <c r="J15" s="33">
        <f>'07'!J36</f>
        <v>0.29958333333333342</v>
      </c>
      <c r="K15" s="33">
        <f>'07'!K36</f>
        <v>251.38208333333333</v>
      </c>
      <c r="L15" s="33">
        <f>'07'!L36</f>
        <v>23.053749999999997</v>
      </c>
      <c r="M15" s="33">
        <f>'07'!M36</f>
        <v>94.072499999999991</v>
      </c>
      <c r="N15" s="33">
        <f>'07'!N37</f>
        <v>127.13568745777998</v>
      </c>
      <c r="O15" s="33">
        <f>'07'!O37</f>
        <v>2.724446493446361</v>
      </c>
      <c r="P15" s="30">
        <f>'07'!$P$36</f>
        <v>0.31</v>
      </c>
      <c r="Q15" s="33">
        <f>'07'!Q36</f>
        <v>11.10125</v>
      </c>
      <c r="R15" s="47"/>
      <c r="S15" s="47"/>
      <c r="T15" s="47"/>
      <c r="U15" s="47"/>
    </row>
    <row r="16" spans="1:21" s="34" customFormat="1" ht="15">
      <c r="A16" s="36" t="str">
        <f>'08'!$B$2</f>
        <v>08-07-2023 01:00</v>
      </c>
      <c r="B16" s="33">
        <f>'08'!B36</f>
        <v>9.2808333333333319</v>
      </c>
      <c r="C16" s="33">
        <f>'08'!C36</f>
        <v>17.283750000000001</v>
      </c>
      <c r="D16" s="33">
        <f>'08'!D36</f>
        <v>17.36333333333333</v>
      </c>
      <c r="E16" s="33">
        <f>'08'!E36</f>
        <v>2.7079166666666663</v>
      </c>
      <c r="F16" s="33">
        <f>'08'!F36</f>
        <v>8.6466666666666683</v>
      </c>
      <c r="G16" s="59" t="s">
        <v>15</v>
      </c>
      <c r="H16" s="59" t="s">
        <v>15</v>
      </c>
      <c r="I16" s="33">
        <f>'08'!I36</f>
        <v>10.453750000000001</v>
      </c>
      <c r="J16" s="33">
        <f>'08'!J36</f>
        <v>0.35333333333333333</v>
      </c>
      <c r="K16" s="33">
        <f>'08'!K36</f>
        <v>241.15208333333331</v>
      </c>
      <c r="L16" s="33">
        <f>'08'!L36</f>
        <v>23.471666666666664</v>
      </c>
      <c r="M16" s="33">
        <f>'08'!M36</f>
        <v>93.453749999999999</v>
      </c>
      <c r="N16" s="33">
        <f>'08'!N36</f>
        <v>126.6458333333333</v>
      </c>
      <c r="O16" s="33">
        <f>'08'!O36</f>
        <v>0.16666666666666666</v>
      </c>
      <c r="P16" s="30">
        <f>'08'!$P$36</f>
        <v>0.32250000000000006</v>
      </c>
      <c r="Q16" s="33">
        <f>'08'!Q36</f>
        <v>11.849583333333333</v>
      </c>
      <c r="R16" s="47"/>
      <c r="S16" s="47"/>
      <c r="T16" s="47"/>
      <c r="U16" s="47"/>
    </row>
    <row r="17" spans="1:24" s="34" customFormat="1" ht="15">
      <c r="A17" s="36" t="str">
        <f>'09'!$B$2</f>
        <v>09-07-2023 01:00</v>
      </c>
      <c r="B17" s="33">
        <f>'09'!B36</f>
        <v>12.802500000000002</v>
      </c>
      <c r="C17" s="33">
        <f>'09'!C36</f>
        <v>17.016666666666666</v>
      </c>
      <c r="D17" s="33">
        <f>'09'!D36</f>
        <v>19.977083333333333</v>
      </c>
      <c r="E17" s="33">
        <f>'09'!E36</f>
        <v>2.3754166666666667</v>
      </c>
      <c r="F17" s="33">
        <f>'09'!F36</f>
        <v>6.2733333333333334</v>
      </c>
      <c r="G17" s="59" t="s">
        <v>15</v>
      </c>
      <c r="H17" s="59" t="s">
        <v>15</v>
      </c>
      <c r="I17" s="33">
        <f>'09'!I36</f>
        <v>6.2970833333333331</v>
      </c>
      <c r="J17" s="33">
        <f>'09'!J36</f>
        <v>0.36541666666666667</v>
      </c>
      <c r="K17" s="33">
        <f>'09'!K36</f>
        <v>177.36583333333328</v>
      </c>
      <c r="L17" s="33">
        <f>'09'!L36</f>
        <v>25.160833333333329</v>
      </c>
      <c r="M17" s="33">
        <f>'09'!M36</f>
        <v>80.208749999999995</v>
      </c>
      <c r="N17" s="33">
        <f>'09'!N37</f>
        <v>373.91198043432485</v>
      </c>
      <c r="O17" s="33">
        <f>'09'!O37</f>
        <v>0.040824829046386311</v>
      </c>
      <c r="P17" s="30">
        <f>'09'!$P$36</f>
        <v>0.50916666666666666</v>
      </c>
      <c r="Q17" s="33">
        <f>'09'!Q36</f>
        <v>11.231666666666667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10-07-2023 01:00</v>
      </c>
      <c r="B18" s="33">
        <f>'10'!B36</f>
        <v>16.016666666666669</v>
      </c>
      <c r="C18" s="33">
        <f>'10'!C36</f>
        <v>19.480833333333333</v>
      </c>
      <c r="D18" s="33">
        <f>'10'!D36</f>
        <v>23.224166666666665</v>
      </c>
      <c r="E18" s="33">
        <f>'10'!E36</f>
        <v>2.4850000000000003</v>
      </c>
      <c r="F18" s="33">
        <f>'10'!F36</f>
        <v>10.28833333333333</v>
      </c>
      <c r="G18" s="33">
        <f>'10'!G36</f>
        <v>42.378571428571426</v>
      </c>
      <c r="H18" s="33">
        <f>'10'!H36</f>
        <v>31.027142857142856</v>
      </c>
      <c r="I18" s="33">
        <f>'10'!I36</f>
        <v>10.490416666666667</v>
      </c>
      <c r="J18" s="33">
        <f>'10'!J36</f>
        <v>0.44000000000000011</v>
      </c>
      <c r="K18" s="33">
        <f>'10'!K36</f>
        <v>210.01624999999999</v>
      </c>
      <c r="L18" s="33">
        <f>'10'!L36</f>
        <v>26.544166666666666</v>
      </c>
      <c r="M18" s="33">
        <f>'10'!M36</f>
        <v>82.507500000000007</v>
      </c>
      <c r="N18" s="33">
        <f>'10'!N36</f>
        <v>230.60833333333335</v>
      </c>
      <c r="O18" s="33">
        <f>'10'!O36</f>
        <v>0</v>
      </c>
      <c r="P18" s="30">
        <f>'10'!$P$36</f>
        <v>0.73750000000000027</v>
      </c>
      <c r="Q18" s="33">
        <f>'10'!Q36</f>
        <v>16.758749999999996</v>
      </c>
      <c r="R18" s="47"/>
      <c r="S18" s="47"/>
      <c r="T18" s="47"/>
      <c r="U18" s="47"/>
    </row>
    <row r="19" spans="1:21" s="34" customFormat="1" ht="15">
      <c r="A19" s="36" t="str">
        <f>'11'!$B$2</f>
        <v>11-07-2023 01:00</v>
      </c>
      <c r="B19" s="33">
        <f>'11'!B36</f>
        <v>6.7633333333333328</v>
      </c>
      <c r="C19" s="33">
        <f>'11'!C36</f>
        <v>13.74</v>
      </c>
      <c r="D19" s="33">
        <f>'11'!D36</f>
        <v>13.297083333333333</v>
      </c>
      <c r="E19" s="33">
        <f>'11'!E36</f>
        <v>2.2583333333333333</v>
      </c>
      <c r="F19" s="33">
        <f>'11'!F36</f>
        <v>9.7750000000000004</v>
      </c>
      <c r="G19" s="33">
        <f>'11'!G36</f>
        <v>36.150000000000006</v>
      </c>
      <c r="H19" s="33">
        <f>'11'!H36</f>
        <v>30.109999999999999</v>
      </c>
      <c r="I19" s="33">
        <f>'11'!I36</f>
        <v>4.7791666666666659</v>
      </c>
      <c r="J19" s="33">
        <f>'11'!J36</f>
        <v>0.29666666666666669</v>
      </c>
      <c r="K19" s="33">
        <f>'11'!K36</f>
        <v>152.07624999999999</v>
      </c>
      <c r="L19" s="33">
        <f>'11'!L36</f>
        <v>24.005416666666662</v>
      </c>
      <c r="M19" s="33">
        <f>'11'!M36</f>
        <v>91.734999999999999</v>
      </c>
      <c r="N19" s="33">
        <f>'11'!N36</f>
        <v>179.48750000000004</v>
      </c>
      <c r="O19" s="33">
        <f>'11'!O36</f>
        <v>0.96666666666666667</v>
      </c>
      <c r="P19" s="33">
        <f>'11'!P36</f>
        <v>0.80583333333333318</v>
      </c>
      <c r="Q19" s="33">
        <f>'11'!Q36</f>
        <v>8.841666666666665</v>
      </c>
      <c r="R19" s="47"/>
      <c r="S19" s="47"/>
      <c r="T19" s="47"/>
      <c r="U19" s="47"/>
    </row>
    <row r="20" spans="1:21" s="34" customFormat="1" ht="15">
      <c r="A20" s="36" t="str">
        <f>'12'!$B$2</f>
        <v>12-07-2023 01:00</v>
      </c>
      <c r="B20" s="33">
        <f>'12'!B36</f>
        <v>4.8337499999999993</v>
      </c>
      <c r="C20" s="33">
        <f>'12'!C36</f>
        <v>13.531666666666666</v>
      </c>
      <c r="D20" s="33">
        <f>'12'!D36</f>
        <v>11.702500000000001</v>
      </c>
      <c r="E20" s="33">
        <f>'12'!E36</f>
        <v>2.3833333333333333</v>
      </c>
      <c r="F20" s="33">
        <f>'12'!F36</f>
        <v>10.809583333333334</v>
      </c>
      <c r="G20" s="33">
        <f>'12'!G36</f>
        <v>25.164285714285715</v>
      </c>
      <c r="H20" s="33">
        <f>'12'!H36</f>
        <v>10.125714285714285</v>
      </c>
      <c r="I20" s="33">
        <f>'12'!I36</f>
        <v>5.2919999999999998</v>
      </c>
      <c r="J20" s="33">
        <f>'12'!J36</f>
        <v>0.34541666666666671</v>
      </c>
      <c r="K20" s="33">
        <f>'12'!K36</f>
        <v>226.49708333333334</v>
      </c>
      <c r="L20" s="33">
        <f>'12'!L36</f>
        <v>24.683750000000003</v>
      </c>
      <c r="M20" s="33">
        <f>'12'!M36</f>
        <v>89.05749999999999</v>
      </c>
      <c r="N20" s="33">
        <f>'12'!N36</f>
        <v>222.32499999999993</v>
      </c>
      <c r="O20" s="33">
        <f>'12'!O36</f>
        <v>0</v>
      </c>
      <c r="P20" s="33">
        <f>'12'!P36</f>
        <v>0.79999999999999993</v>
      </c>
      <c r="Q20" s="33">
        <f>'12'!Q36</f>
        <v>7.882083333333334</v>
      </c>
      <c r="R20" s="47"/>
      <c r="S20" s="47"/>
      <c r="T20" s="47"/>
      <c r="U20" s="47"/>
    </row>
    <row r="21" spans="1:21" s="34" customFormat="1" ht="15">
      <c r="A21" s="36" t="str">
        <f>'13'!$B$2</f>
        <v>13-07-2023 01:00</v>
      </c>
      <c r="B21" s="33">
        <f>'13'!B36</f>
        <v>6.4183333333333339</v>
      </c>
      <c r="C21" s="33">
        <f>'13'!C36</f>
        <v>15.141249999999999</v>
      </c>
      <c r="D21" s="33">
        <f>'13'!D36</f>
        <v>13.714583333333335</v>
      </c>
      <c r="E21" s="33">
        <f>'13'!E36</f>
        <v>2.0183333333333335</v>
      </c>
      <c r="F21" s="33">
        <f>'13'!F36</f>
        <v>9.4770833333333346</v>
      </c>
      <c r="G21" s="33">
        <f>'13'!G36</f>
        <v>28.035416666666663</v>
      </c>
      <c r="H21" s="33">
        <f>'13'!H36</f>
        <v>14.082083333333332</v>
      </c>
      <c r="I21" s="8" t="s">
        <v>8</v>
      </c>
      <c r="J21" s="33">
        <f>'13'!J36</f>
        <v>0.40583333333333327</v>
      </c>
      <c r="K21" s="33">
        <f>'13'!K36</f>
        <v>233.22749999999994</v>
      </c>
      <c r="L21" s="33">
        <f>'13'!L36</f>
        <v>25.352083333333336</v>
      </c>
      <c r="M21" s="33">
        <f>'13'!M36</f>
        <v>84.629999999999995</v>
      </c>
      <c r="N21" s="33">
        <f>'13'!N36</f>
        <v>250.44166666666663</v>
      </c>
      <c r="O21" s="33">
        <f>'13'!O36</f>
        <v>0</v>
      </c>
      <c r="P21" s="33">
        <f>'13'!P36</f>
        <v>0.97999999999999998</v>
      </c>
      <c r="Q21" s="33">
        <f>'13'!Q36</f>
        <v>9.6620833333333334</v>
      </c>
      <c r="R21" s="47"/>
      <c r="S21" s="47"/>
      <c r="T21" s="47"/>
      <c r="U21" s="47"/>
    </row>
    <row r="22" spans="1:21" s="34" customFormat="1" ht="15">
      <c r="A22" s="36" t="str">
        <f>'14'!$B$2</f>
        <v>14-07-2023 01:00</v>
      </c>
      <c r="B22" s="30">
        <f>'14'!B36</f>
        <v>6.355833333333333</v>
      </c>
      <c r="C22" s="30">
        <f>'14'!C36</f>
        <v>16.879999999999999</v>
      </c>
      <c r="D22" s="30">
        <f>'14'!D36</f>
        <v>14.835833333333333</v>
      </c>
      <c r="E22" s="30">
        <f>'14'!E36</f>
        <v>2.1112499999999996</v>
      </c>
      <c r="F22" s="30">
        <f>'14'!F36</f>
        <v>9.9020833333333318</v>
      </c>
      <c r="G22" s="30">
        <f>'14'!G36</f>
        <v>38.400909090909096</v>
      </c>
      <c r="H22" s="30">
        <f>'14'!H36</f>
        <v>21.906363636363636</v>
      </c>
      <c r="I22" s="8" t="s">
        <v>8</v>
      </c>
      <c r="J22" s="30">
        <f>'14'!J36</f>
        <v>0.2745833333333334</v>
      </c>
      <c r="K22" s="30">
        <f>'14'!K36</f>
        <v>175.80791666666664</v>
      </c>
      <c r="L22" s="30">
        <f>'14'!L36</f>
        <v>26.925000000000001</v>
      </c>
      <c r="M22" s="30">
        <f>'14'!M36</f>
        <v>79.052500000000023</v>
      </c>
      <c r="N22" s="30">
        <f>'14'!N36</f>
        <v>274.93749999999994</v>
      </c>
      <c r="O22" s="30">
        <f>'14'!O36</f>
        <v>0</v>
      </c>
      <c r="P22" s="30">
        <f>'14'!P36</f>
        <v>1.062083333333333</v>
      </c>
      <c r="Q22" s="30">
        <f>'14'!Q36</f>
        <v>8.4604166666666671</v>
      </c>
      <c r="R22" s="48"/>
      <c r="S22" s="48"/>
      <c r="T22" s="48"/>
      <c r="U22" s="48"/>
    </row>
    <row r="23" spans="1:21" s="34" customFormat="1" ht="15">
      <c r="A23" s="36" t="str">
        <f>'15'!$B$2</f>
        <v>15-07-2023 01:00</v>
      </c>
      <c r="B23" s="33">
        <f>'15'!B36</f>
        <v>5.5750000000000002</v>
      </c>
      <c r="C23" s="33">
        <f>'15'!C36</f>
        <v>17.077500000000004</v>
      </c>
      <c r="D23" s="33">
        <f>'15'!D36</f>
        <v>14.42</v>
      </c>
      <c r="E23" s="33">
        <f>'15'!E36</f>
        <v>2.3579166666666671</v>
      </c>
      <c r="F23" s="33">
        <f>'15'!F36</f>
        <v>6.6462500000000011</v>
      </c>
      <c r="G23" s="33">
        <f>'15'!G36</f>
        <v>31.650952380952383</v>
      </c>
      <c r="H23" s="33">
        <f>'15'!H36</f>
        <v>13.443809523809524</v>
      </c>
      <c r="I23" s="8" t="s">
        <v>8</v>
      </c>
      <c r="J23" s="33">
        <f>'15'!J36</f>
        <v>0.34041666666666665</v>
      </c>
      <c r="K23" s="33">
        <f>'15'!K36</f>
        <v>158.94375000000002</v>
      </c>
      <c r="L23" s="33">
        <f>'15'!L36</f>
        <v>24.043333333333333</v>
      </c>
      <c r="M23" s="33">
        <f>'15'!M36</f>
        <v>91.428749999999994</v>
      </c>
      <c r="N23" s="33">
        <f>'15'!N36</f>
        <v>193.03750000000002</v>
      </c>
      <c r="O23" s="33">
        <f>'15'!O36</f>
        <v>0.54999999999999993</v>
      </c>
      <c r="P23" s="30">
        <f>'15'!P36</f>
        <v>1.1093333333333333</v>
      </c>
      <c r="Q23" s="30">
        <f>'15'!Q36</f>
        <v>4.8075000000000001</v>
      </c>
      <c r="R23" s="48"/>
      <c r="S23" s="48"/>
      <c r="T23" s="48"/>
      <c r="U23" s="47"/>
    </row>
    <row r="24" spans="1:21" s="34" customFormat="1" ht="15">
      <c r="A24" s="36" t="str">
        <f>'16'!$B$2</f>
        <v>16-07-2023 01:00</v>
      </c>
      <c r="B24" s="33">
        <f>'16'!B36</f>
        <v>4.7966666666666669</v>
      </c>
      <c r="C24" s="33">
        <f>'16'!C36</f>
        <v>16.915000000000003</v>
      </c>
      <c r="D24" s="33">
        <f>'16'!D36</f>
        <v>13.657083333333333</v>
      </c>
      <c r="E24" s="33">
        <f>'16'!E36</f>
        <v>2.3329166666666663</v>
      </c>
      <c r="F24" s="33">
        <f>'16'!F36</f>
        <v>5.745000000000001</v>
      </c>
      <c r="G24" s="33">
        <f>'16'!G36</f>
        <v>23.933333333333326</v>
      </c>
      <c r="H24" s="33">
        <f>'16'!H36</f>
        <v>14.06166666666666</v>
      </c>
      <c r="I24" s="8" t="s">
        <v>8</v>
      </c>
      <c r="J24" s="33">
        <f>'16'!J36</f>
        <v>0.26458333333333328</v>
      </c>
      <c r="K24" s="33">
        <f>'16'!K36</f>
        <v>53.952083333333327</v>
      </c>
      <c r="L24" s="33">
        <f>'16'!L36</f>
        <v>24.004583333333333</v>
      </c>
      <c r="M24" s="33">
        <f>'16'!M36</f>
        <v>91.862083333333331</v>
      </c>
      <c r="N24" s="33">
        <f>'16'!N36</f>
        <v>191.34166666666667</v>
      </c>
      <c r="O24" s="33">
        <f>'16'!O36</f>
        <v>0.20833333333333334</v>
      </c>
      <c r="P24" s="30">
        <f>'16'!P36</f>
        <v>0.99250000000000005</v>
      </c>
      <c r="Q24" s="30">
        <f>'16'!Q36</f>
        <v>2.94875</v>
      </c>
      <c r="R24" s="48"/>
      <c r="S24" s="48"/>
      <c r="T24" s="48"/>
      <c r="U24" s="47"/>
    </row>
    <row r="25" spans="1:21" s="34" customFormat="1" ht="15">
      <c r="A25" s="36" t="str">
        <f>'17'!$B$2</f>
        <v>17-07-2023 01:00</v>
      </c>
      <c r="B25" s="33">
        <f>'17'!B36</f>
        <v>6.1216666666666653</v>
      </c>
      <c r="C25" s="33">
        <f>'17'!C36</f>
        <v>16.405416666666667</v>
      </c>
      <c r="D25" s="33">
        <f>'17'!D36</f>
        <v>14.417499999999999</v>
      </c>
      <c r="E25" s="33">
        <f>'17'!E36</f>
        <v>2.3370833333333336</v>
      </c>
      <c r="F25" s="33">
        <f>'17'!F36</f>
        <v>4.8258333333333328</v>
      </c>
      <c r="G25" s="33">
        <f>'17'!G36</f>
        <v>20.0075</v>
      </c>
      <c r="H25" s="33">
        <f>'17'!H36</f>
        <v>13.303750000000001</v>
      </c>
      <c r="I25" s="8" t="s">
        <v>8</v>
      </c>
      <c r="J25" s="33">
        <f>'17'!J36</f>
        <v>0.3666666666666667</v>
      </c>
      <c r="K25" s="33">
        <f>'17'!K36</f>
        <v>114.41875</v>
      </c>
      <c r="L25" s="33">
        <f>'17'!L36</f>
        <v>23.08208333333334</v>
      </c>
      <c r="M25" s="33">
        <f>'17'!M36</f>
        <v>96.125</v>
      </c>
      <c r="N25" s="33">
        <f>'17'!N36</f>
        <v>155.72499999999994</v>
      </c>
      <c r="O25" s="33">
        <f>'17'!O36</f>
        <v>1.2833333333333334</v>
      </c>
      <c r="P25" s="30">
        <f>'17'!P36</f>
        <v>0.91500000000000015</v>
      </c>
      <c r="Q25" s="30">
        <f>'17'!Q36</f>
        <v>1.5491304347826085</v>
      </c>
      <c r="R25" s="48"/>
      <c r="S25" s="48"/>
      <c r="T25" s="48"/>
      <c r="U25" s="47"/>
    </row>
    <row r="26" spans="1:21" s="34" customFormat="1" ht="15">
      <c r="A26" s="36" t="str">
        <f>'18'!$B$2</f>
        <v>18-07-2023 01:00</v>
      </c>
      <c r="B26" s="33">
        <f>'18'!B36</f>
        <v>14.971904761904764</v>
      </c>
      <c r="C26" s="33">
        <f>'18'!C36</f>
        <v>24.139523809523808</v>
      </c>
      <c r="D26" s="33">
        <f>'18'!D36</f>
        <v>25.482380952380947</v>
      </c>
      <c r="E26" s="33">
        <f>'18'!E36</f>
        <v>2.445238095238095</v>
      </c>
      <c r="F26" s="33">
        <f>'18'!F36</f>
        <v>9.2754545454545472</v>
      </c>
      <c r="G26" s="33">
        <f>'18'!G36</f>
        <v>46.537058823529414</v>
      </c>
      <c r="H26" s="33">
        <f>'18'!H36</f>
        <v>16.495882352941177</v>
      </c>
      <c r="I26" s="33">
        <f>'18'!I36</f>
        <v>5.1527272727272724</v>
      </c>
      <c r="J26" s="33">
        <f>'18'!J36</f>
        <v>0.71681818181818169</v>
      </c>
      <c r="K26" s="33">
        <f>'18'!K36</f>
        <v>160.38863636363638</v>
      </c>
      <c r="L26" s="33">
        <f>'18'!L36</f>
        <v>24.877272727272729</v>
      </c>
      <c r="M26" s="33">
        <f>'18'!M36</f>
        <v>91.328181818181804</v>
      </c>
      <c r="N26" s="33">
        <f>'18'!N36</f>
        <v>214.19090909090912</v>
      </c>
      <c r="O26" s="33">
        <f>'18'!O36</f>
        <v>0.018181818181818184</v>
      </c>
      <c r="P26" s="30">
        <f>'18'!P36</f>
        <v>0.89076923076923065</v>
      </c>
      <c r="Q26" s="30">
        <f>'18'!Q36</f>
        <v>14.443499999999997</v>
      </c>
      <c r="R26" s="48"/>
      <c r="S26" s="48"/>
      <c r="T26" s="48"/>
      <c r="U26" s="47"/>
    </row>
    <row r="27" spans="1:21" s="34" customFormat="1" ht="15">
      <c r="A27" s="36" t="str">
        <f>'19'!$B$2</f>
        <v>19-07-2023 01:00</v>
      </c>
      <c r="B27" s="33">
        <f>'19'!B36</f>
        <v>22.119166666666672</v>
      </c>
      <c r="C27" s="33">
        <f>'19'!C36</f>
        <v>24.215416666666673</v>
      </c>
      <c r="D27" s="33">
        <f>'19'!D36</f>
        <v>30.635833333333334</v>
      </c>
      <c r="E27" s="33">
        <f>'19'!E36</f>
        <v>3.3500000000000001</v>
      </c>
      <c r="F27" s="33">
        <f>'19'!F36</f>
        <v>8.1283333333333356</v>
      </c>
      <c r="G27" s="33">
        <f>'19'!G36</f>
        <v>76.187083333333348</v>
      </c>
      <c r="H27" s="33">
        <f>'19'!H36</f>
        <v>30.615416666666665</v>
      </c>
      <c r="I27" s="33">
        <f>'19'!I36</f>
        <v>5.7383333333333333</v>
      </c>
      <c r="J27" s="33">
        <f>'19'!J36</f>
        <v>0.75</v>
      </c>
      <c r="K27" s="33">
        <f>'19'!K36</f>
        <v>164.49250000000004</v>
      </c>
      <c r="L27" s="33">
        <f>'19'!L36</f>
        <v>25.303333333333331</v>
      </c>
      <c r="M27" s="33">
        <f>'19'!M36</f>
        <v>93.198333333333323</v>
      </c>
      <c r="N27" s="33">
        <f>'19'!N36</f>
        <v>215.21666666666661</v>
      </c>
      <c r="O27" s="33">
        <f>'19'!O36</f>
        <v>0.083333333333333329</v>
      </c>
      <c r="P27" s="30">
        <f>'19'!P36</f>
        <v>1.2445833333333336</v>
      </c>
      <c r="Q27" s="30">
        <f>'19'!Q36</f>
        <v>10.837499999999999</v>
      </c>
      <c r="R27" s="48"/>
      <c r="S27" s="48"/>
      <c r="T27" s="48"/>
      <c r="U27" s="47"/>
    </row>
    <row r="28" spans="1:21" s="34" customFormat="1" ht="15">
      <c r="A28" s="36" t="str">
        <f>'20'!$B$2</f>
        <v>20-07-2023 01:00</v>
      </c>
      <c r="B28" s="33">
        <f>'20'!B36</f>
        <v>16.437083333333337</v>
      </c>
      <c r="C28" s="33">
        <f>'20'!C36</f>
        <v>24.776249999999994</v>
      </c>
      <c r="D28" s="33">
        <f>'20'!D36</f>
        <v>26.912500000000005</v>
      </c>
      <c r="E28" s="33">
        <f>'20'!E36</f>
        <v>3.2683333333333331</v>
      </c>
      <c r="F28" s="33">
        <f>'20'!F36</f>
        <v>13.601249999999999</v>
      </c>
      <c r="G28" s="33">
        <f>'20'!G36</f>
        <v>65.069999999999993</v>
      </c>
      <c r="H28" s="33">
        <f>'20'!H36</f>
        <v>24.700416666666669</v>
      </c>
      <c r="I28" s="33">
        <f>'20'!I36</f>
        <v>4.6293750000000014</v>
      </c>
      <c r="J28" s="33">
        <f>'20'!J36</f>
        <v>0.71499999999999997</v>
      </c>
      <c r="K28" s="33">
        <f>'20'!K36</f>
        <v>190.4120833333333</v>
      </c>
      <c r="L28" s="33">
        <f>'20'!L36</f>
        <v>26.914999999999996</v>
      </c>
      <c r="M28" s="33">
        <f>'20'!M36</f>
        <v>86.765000000000001</v>
      </c>
      <c r="N28" s="33">
        <f>'20'!N36</f>
        <v>295.69583333333333</v>
      </c>
      <c r="O28" s="33">
        <f>'20'!O36</f>
        <v>0.025000000000000005</v>
      </c>
      <c r="P28" s="30">
        <f>'20'!P36</f>
        <v>0.89250000000000007</v>
      </c>
      <c r="Q28" s="30">
        <f>'20'!Q36</f>
        <v>10.122727272727273</v>
      </c>
      <c r="R28" s="48"/>
      <c r="S28" s="48"/>
      <c r="T28" s="48"/>
      <c r="U28" s="47"/>
    </row>
    <row r="29" spans="1:21" s="34" customFormat="1" ht="15">
      <c r="A29" s="36" t="str">
        <f>'21'!$B$2</f>
        <v>21-07-2023 01:00</v>
      </c>
      <c r="B29" s="33">
        <f>'21'!B36</f>
        <v>11.603749999999998</v>
      </c>
      <c r="C29" s="33">
        <f>'21'!C36</f>
        <v>19.222916666666666</v>
      </c>
      <c r="D29" s="33">
        <f>'21'!D36</f>
        <v>20.32041666666667</v>
      </c>
      <c r="E29" s="33">
        <f>'21'!E36</f>
        <v>3.1033333333333335</v>
      </c>
      <c r="F29" s="33">
        <f>'21'!F36</f>
        <v>10.119583333333333</v>
      </c>
      <c r="G29" s="33">
        <f>'21'!G36</f>
        <v>28.603333333333328</v>
      </c>
      <c r="H29" s="33">
        <f>'21'!H36</f>
        <v>16.848750000000003</v>
      </c>
      <c r="I29" s="33">
        <f>'21'!I36</f>
        <v>4.4962499999999999</v>
      </c>
      <c r="J29" s="33">
        <f>'21'!J36</f>
        <v>1.0791666666666668</v>
      </c>
      <c r="K29" s="33">
        <f>'21'!K36</f>
        <v>157.33874999999998</v>
      </c>
      <c r="L29" s="33">
        <f>'21'!L36</f>
        <v>25.254166666666663</v>
      </c>
      <c r="M29" s="33">
        <f>'21'!M36</f>
        <v>93.544166666666669</v>
      </c>
      <c r="N29" s="33">
        <f>'21'!N36</f>
        <v>224.49166666666665</v>
      </c>
      <c r="O29" s="33">
        <f>'21'!O36</f>
        <v>0.375</v>
      </c>
      <c r="P29" s="30">
        <f>'21'!P36</f>
        <v>0.54500000000000004</v>
      </c>
      <c r="Q29" s="30">
        <f>'21'!Q36</f>
        <v>7.0361904761904759</v>
      </c>
      <c r="R29" s="48"/>
      <c r="S29" s="48"/>
      <c r="T29" s="48"/>
      <c r="U29" s="47"/>
    </row>
    <row r="30" spans="1:21" s="34" customFormat="1" ht="15">
      <c r="A30" s="36" t="str">
        <f>'22'!$B$2</f>
        <v>22-07-2023 01:00</v>
      </c>
      <c r="B30" s="33">
        <f>'22'!B36</f>
        <v>6.4145833333333329</v>
      </c>
      <c r="C30" s="33">
        <f>'22'!C36</f>
        <v>14.82</v>
      </c>
      <c r="D30" s="33">
        <f>'22'!D36</f>
        <v>13.862916666666665</v>
      </c>
      <c r="E30" s="33">
        <f>'22'!E36</f>
        <v>2.651666666666666</v>
      </c>
      <c r="F30" s="33">
        <f>'22'!F36</f>
        <v>8.8562500000000011</v>
      </c>
      <c r="G30" s="33">
        <f>'22'!G36</f>
        <v>17.836428571428566</v>
      </c>
      <c r="H30" s="33">
        <f>'22'!H36</f>
        <v>8.1178571428571438</v>
      </c>
      <c r="I30" s="8" t="s">
        <v>8</v>
      </c>
      <c r="J30" s="33">
        <f>'22'!J36</f>
        <v>1.18875</v>
      </c>
      <c r="K30" s="33">
        <f>'22'!K36</f>
        <v>171.57624999999999</v>
      </c>
      <c r="L30" s="33">
        <f>'22'!L36</f>
        <v>24.9025</v>
      </c>
      <c r="M30" s="33">
        <f>'22'!M36</f>
        <v>91.256666666666661</v>
      </c>
      <c r="N30" s="33">
        <f>'22'!N36</f>
        <v>300.34166666666664</v>
      </c>
      <c r="O30" s="33">
        <f>'22'!O36</f>
        <v>0.99166666666666659</v>
      </c>
      <c r="P30" s="30">
        <f>'22'!P36</f>
        <v>0.35416666666666674</v>
      </c>
      <c r="Q30" s="30">
        <f>'22'!Q36</f>
        <v>15.452083333333334</v>
      </c>
      <c r="R30" s="48"/>
      <c r="S30" s="47"/>
      <c r="T30" s="47"/>
      <c r="U30" s="47"/>
    </row>
    <row r="31" spans="1:21" s="34" customFormat="1" ht="15">
      <c r="A31" s="36" t="str">
        <f>'23'!$B$2</f>
        <v>23-07-2023 01:00</v>
      </c>
      <c r="B31" s="33">
        <f>'23'!B36</f>
        <v>9.0691666666666677</v>
      </c>
      <c r="C31" s="33">
        <f>'23'!C36</f>
        <v>18.627916666666664</v>
      </c>
      <c r="D31" s="33">
        <f>'23'!D36</f>
        <v>17.985833333333336</v>
      </c>
      <c r="E31" s="33">
        <f>'23'!E36</f>
        <v>2.8966666666666665</v>
      </c>
      <c r="F31" s="33">
        <f>'23'!F36</f>
        <v>9.2949999999999999</v>
      </c>
      <c r="G31" s="33">
        <f>'23'!G36</f>
        <v>17.265000000000001</v>
      </c>
      <c r="H31" s="33">
        <f>'23'!H36</f>
        <v>10.224999999999998</v>
      </c>
      <c r="I31" s="8" t="s">
        <v>8</v>
      </c>
      <c r="J31" s="33">
        <f>'23'!J36</f>
        <v>0.56291666666666673</v>
      </c>
      <c r="K31" s="33">
        <f>'23'!K36</f>
        <v>228.64875000000004</v>
      </c>
      <c r="L31" s="33">
        <f>'23'!L36</f>
        <v>24.56208333333333</v>
      </c>
      <c r="M31" s="33">
        <f>'23'!M36</f>
        <v>93.47499999999998</v>
      </c>
      <c r="N31" s="33">
        <f>'23'!N36</f>
        <v>224.95833333333334</v>
      </c>
      <c r="O31" s="33">
        <f>'23'!O36</f>
        <v>0.058333333333333327</v>
      </c>
      <c r="P31" s="33">
        <f>'23'!P36</f>
        <v>0.39958333333333335</v>
      </c>
      <c r="Q31" s="33">
        <f>'23'!Q36</f>
        <v>13.722083333333336</v>
      </c>
      <c r="R31" s="47"/>
      <c r="S31" s="47"/>
      <c r="T31" s="47"/>
      <c r="U31" s="47"/>
    </row>
    <row r="32" spans="1:21" s="34" customFormat="1" ht="15">
      <c r="A32" s="36" t="str">
        <f>'24'!$B$2</f>
        <v>24-07-2023 01:00</v>
      </c>
      <c r="B32" s="33">
        <f>'24'!B36</f>
        <v>17.458749999999998</v>
      </c>
      <c r="C32" s="33">
        <f>'24'!C36</f>
        <v>23.387916666666666</v>
      </c>
      <c r="D32" s="33">
        <f>'24'!D36</f>
        <v>26.857083333333335</v>
      </c>
      <c r="E32" s="33">
        <f>'24'!E36</f>
        <v>2.7312499999999997</v>
      </c>
      <c r="F32" s="33">
        <f>'24'!F36</f>
        <v>11.136249999999997</v>
      </c>
      <c r="G32" s="33">
        <f>'24'!G36</f>
        <v>43.019499999999994</v>
      </c>
      <c r="H32" s="33">
        <f>'24'!H36</f>
        <v>16.191500000000001</v>
      </c>
      <c r="I32" s="8" t="s">
        <v>8</v>
      </c>
      <c r="J32" s="33">
        <f>'24'!J36</f>
        <v>0.56541666666666668</v>
      </c>
      <c r="K32" s="33">
        <f>'24'!K36</f>
        <v>264.29041666666666</v>
      </c>
      <c r="L32" s="33">
        <f>'24'!L36</f>
        <v>25.662499999999994</v>
      </c>
      <c r="M32" s="33">
        <f>'24'!M36</f>
        <v>92.332083333333344</v>
      </c>
      <c r="N32" s="33">
        <f>'24'!N36</f>
        <v>253.00416666666661</v>
      </c>
      <c r="O32" s="33">
        <f>'24'!O36</f>
        <v>0.041666666666666664</v>
      </c>
      <c r="P32" s="33">
        <f>'24'!P36</f>
        <v>0.69666666666666666</v>
      </c>
      <c r="Q32" s="33">
        <f>'24'!Q36</f>
        <v>15.603750000000003</v>
      </c>
      <c r="R32" s="47"/>
      <c r="S32" s="47"/>
      <c r="T32" s="47"/>
      <c r="U32" s="47"/>
    </row>
    <row r="33" spans="1:21" s="34" customFormat="1" ht="15">
      <c r="A33" s="36" t="str">
        <f>'25'!$B$2</f>
        <v>25-07-2023 01:00</v>
      </c>
      <c r="B33" s="33">
        <f>'25'!B36</f>
        <v>20.887916666666666</v>
      </c>
      <c r="C33" s="33">
        <f>'25'!C36</f>
        <v>29.542499999999993</v>
      </c>
      <c r="D33" s="33">
        <f>'25'!D36</f>
        <v>32.447499999999998</v>
      </c>
      <c r="E33" s="33">
        <f>'25'!E36</f>
        <v>2.898333333333333</v>
      </c>
      <c r="F33" s="33">
        <f>'25'!F36</f>
        <v>12.993749999999997</v>
      </c>
      <c r="G33" s="33">
        <f>'25'!G36</f>
        <v>68.020499999999998</v>
      </c>
      <c r="H33" s="33">
        <f>'25'!H36</f>
        <v>25.131999999999998</v>
      </c>
      <c r="I33" s="9" t="s">
        <v>15</v>
      </c>
      <c r="J33" s="33">
        <f>'25'!J36</f>
        <v>0.80541666666666645</v>
      </c>
      <c r="K33" s="33">
        <f>'25'!K36</f>
        <v>169.00458333333333</v>
      </c>
      <c r="L33" s="33">
        <f>'25'!L36</f>
        <v>27.269166666666667</v>
      </c>
      <c r="M33" s="33">
        <f>'25'!M36</f>
        <v>80.553749999999994</v>
      </c>
      <c r="N33" s="33">
        <f>'25'!N36</f>
        <v>345.96666666666653</v>
      </c>
      <c r="O33" s="33">
        <f>'25'!O36</f>
        <v>0</v>
      </c>
      <c r="P33" s="33">
        <f>'25'!P36</f>
        <v>0.80833333333333357</v>
      </c>
      <c r="Q33" s="33">
        <f>'25'!Q36</f>
        <v>16.738333333333333</v>
      </c>
      <c r="R33" s="47"/>
      <c r="S33" s="47"/>
      <c r="T33" s="47"/>
      <c r="U33" s="47"/>
    </row>
    <row r="34" spans="1:21" s="34" customFormat="1" ht="15">
      <c r="A34" s="36" t="str">
        <f>'26'!$B$2</f>
        <v>26-07-2023 01:00</v>
      </c>
      <c r="B34" s="33">
        <f>'26'!B36</f>
        <v>17.154583333333335</v>
      </c>
      <c r="C34" s="33">
        <f>'26'!C36</f>
        <v>28.25125000000001</v>
      </c>
      <c r="D34" s="33">
        <f>'26'!D36</f>
        <v>29.188333333333333</v>
      </c>
      <c r="E34" s="33">
        <f>'26'!E36</f>
        <v>3.1966666666666668</v>
      </c>
      <c r="F34" s="33">
        <f>'26'!F36</f>
        <v>10.307500000000001</v>
      </c>
      <c r="G34" s="33">
        <f>'26'!G36</f>
        <v>44.439999999999998</v>
      </c>
      <c r="H34" s="33">
        <f>'26'!H36</f>
        <v>19.221249999999998</v>
      </c>
      <c r="I34" s="9" t="s">
        <v>15</v>
      </c>
      <c r="J34" s="33">
        <f>'26'!J36</f>
        <v>1.0025000000000002</v>
      </c>
      <c r="K34" s="33">
        <f>'26'!K36</f>
        <v>152.20624999999998</v>
      </c>
      <c r="L34" s="33">
        <f>'26'!L36</f>
        <v>27.268333333333334</v>
      </c>
      <c r="M34" s="33">
        <f>'26'!M36</f>
        <v>82.041250000000005</v>
      </c>
      <c r="N34" s="33">
        <f>'26'!N36</f>
        <v>360.59583333333347</v>
      </c>
      <c r="O34" s="33">
        <f>'26'!O36</f>
        <v>0.84166666666666667</v>
      </c>
      <c r="P34" s="33">
        <f>'26'!P36</f>
        <v>0.5820833333333334</v>
      </c>
      <c r="Q34" s="33">
        <f>'26'!Q36</f>
        <v>15.998333333333333</v>
      </c>
      <c r="R34" s="47"/>
      <c r="S34" s="47"/>
      <c r="T34" s="47"/>
      <c r="U34" s="47"/>
    </row>
    <row r="35" spans="1:21" s="34" customFormat="1" ht="15">
      <c r="A35" s="36" t="str">
        <f>'27'!$B$2</f>
        <v>27-07-2023 01:00</v>
      </c>
      <c r="B35" s="33">
        <f>'27'!B36</f>
        <v>19.6675</v>
      </c>
      <c r="C35" s="33">
        <f>'27'!C36</f>
        <v>32.045833333333327</v>
      </c>
      <c r="D35" s="33">
        <f>'27'!D36</f>
        <v>33.584166666666668</v>
      </c>
      <c r="E35" s="33">
        <f>'27'!E36</f>
        <v>3.2687500000000007</v>
      </c>
      <c r="F35" s="33">
        <f>'27'!F36</f>
        <v>12.999583333333334</v>
      </c>
      <c r="G35" s="33">
        <f>'27'!G36</f>
        <v>46.206250000000011</v>
      </c>
      <c r="H35" s="33">
        <f>'27'!H36</f>
        <v>21.87541666666667</v>
      </c>
      <c r="I35" s="9" t="s">
        <v>15</v>
      </c>
      <c r="J35" s="33">
        <f>'27'!J36</f>
        <v>0.73749999999999982</v>
      </c>
      <c r="K35" s="33">
        <f>'27'!K36</f>
        <v>139.21125000000004</v>
      </c>
      <c r="L35" s="33">
        <f>'27'!L36</f>
        <v>27.287083333333332</v>
      </c>
      <c r="M35" s="33">
        <f>'27'!M36</f>
        <v>82.507916666666659</v>
      </c>
      <c r="N35" s="33">
        <f>'27'!N36</f>
        <v>277.63749999999999</v>
      </c>
      <c r="O35" s="33">
        <f>'27'!O36</f>
        <v>0.016666666666666666</v>
      </c>
      <c r="P35" s="30">
        <f>'27'!P36</f>
        <v>0.74249999999999983</v>
      </c>
      <c r="Q35" s="33">
        <f>'27'!Q36</f>
        <v>15.234999999999998</v>
      </c>
      <c r="R35" s="47"/>
      <c r="S35" s="47"/>
      <c r="T35" s="47"/>
      <c r="U35" s="47"/>
    </row>
    <row r="36" spans="1:21" s="34" customFormat="1" ht="15">
      <c r="A36" s="36" t="str">
        <f>'28'!$B$2</f>
        <v>28-07-2023 01:00</v>
      </c>
      <c r="B36" s="33">
        <f>'28'!B36</f>
        <v>11.187083333333334</v>
      </c>
      <c r="C36" s="33">
        <f>'28'!C36</f>
        <v>28.786666666666658</v>
      </c>
      <c r="D36" s="33">
        <f>'28'!D36</f>
        <v>24.901250000000001</v>
      </c>
      <c r="E36" s="33">
        <f>'28'!E36</f>
        <v>2.8204166666666666</v>
      </c>
      <c r="F36" s="33">
        <f>'28'!F36</f>
        <v>9.1483333333333352</v>
      </c>
      <c r="G36" s="33">
        <f>'28'!G36</f>
        <v>33.537500000000001</v>
      </c>
      <c r="H36" s="33">
        <f>'28'!H36</f>
        <v>15.878749999999997</v>
      </c>
      <c r="I36" s="9" t="s">
        <v>15</v>
      </c>
      <c r="J36" s="33">
        <f>'28'!J36</f>
        <v>0.73916666666666675</v>
      </c>
      <c r="K36" s="33">
        <f>'28'!K36</f>
        <v>249.63166666666666</v>
      </c>
      <c r="L36" s="33">
        <f>'28'!L36</f>
        <v>26.190416666666668</v>
      </c>
      <c r="M36" s="33">
        <f>'28'!M36</f>
        <v>89.127499999999998</v>
      </c>
      <c r="N36" s="33">
        <f>'28'!N36</f>
        <v>222.07916666666668</v>
      </c>
      <c r="O36" s="33">
        <f>'28'!O36</f>
        <v>1.6083333333333334</v>
      </c>
      <c r="P36" s="30">
        <f>'28'!P36</f>
        <v>0.60083333333333344</v>
      </c>
      <c r="Q36" s="33">
        <f>'28'!Q36</f>
        <v>5.7517647058823531</v>
      </c>
      <c r="R36" s="47"/>
      <c r="S36" s="47"/>
      <c r="T36" s="47"/>
      <c r="U36" s="47"/>
    </row>
    <row r="37" spans="1:21" s="34" customFormat="1" ht="15">
      <c r="A37" s="36" t="str">
        <f>'29'!$B$2</f>
        <v>29-07-2023 01:00</v>
      </c>
      <c r="B37" s="33">
        <f>'29'!B36</f>
        <v>10.17</v>
      </c>
      <c r="C37" s="33">
        <f>'29'!C36</f>
        <v>25.025833333333335</v>
      </c>
      <c r="D37" s="33">
        <f>'29'!D36</f>
        <v>22.320416666666663</v>
      </c>
      <c r="E37" s="33">
        <f>'29'!E36</f>
        <v>2.9608333333333334</v>
      </c>
      <c r="F37" s="33">
        <f>'29'!F36</f>
        <v>6.2000000000000002</v>
      </c>
      <c r="G37" s="33">
        <f>'29'!G36</f>
        <v>28.02695652173913</v>
      </c>
      <c r="H37" s="33">
        <f>'29'!H36</f>
        <v>11.325217391304346</v>
      </c>
      <c r="I37" s="9" t="s">
        <v>15</v>
      </c>
      <c r="J37" s="33">
        <f>'29'!J36</f>
        <v>0.81041666666666667</v>
      </c>
      <c r="K37" s="33">
        <f>'29'!K36</f>
        <v>204.98958333333329</v>
      </c>
      <c r="L37" s="33">
        <f>'29'!L36</f>
        <v>24.594999999999995</v>
      </c>
      <c r="M37" s="33">
        <f>'29'!M36</f>
        <v>93.778750000000002</v>
      </c>
      <c r="N37" s="33">
        <f>'29'!N36</f>
        <v>157.03750000000002</v>
      </c>
      <c r="O37" s="33">
        <f>'29'!O36</f>
        <v>0.47499999999999992</v>
      </c>
      <c r="P37" s="33">
        <f>'29'!P36</f>
        <v>0.54333333333333322</v>
      </c>
      <c r="Q37" s="33">
        <f>'29'!Q36</f>
        <v>12.358888888888888</v>
      </c>
      <c r="R37" s="47"/>
      <c r="S37" s="47"/>
      <c r="T37" s="47"/>
      <c r="U37" s="47"/>
    </row>
    <row r="38" spans="1:21" s="34" customFormat="1" ht="15">
      <c r="A38" s="36" t="str">
        <f>'30'!$B$2</f>
        <v>30-07-2023 01:00</v>
      </c>
      <c r="B38" s="33">
        <f>'30'!B36</f>
        <v>12.827083333333334</v>
      </c>
      <c r="C38" s="33">
        <f>'30'!C36</f>
        <v>26.790000000000003</v>
      </c>
      <c r="D38" s="33">
        <f>'30'!D36</f>
        <v>25.364583333333329</v>
      </c>
      <c r="E38" s="33">
        <f>'30'!E36</f>
        <v>2.6399999999999997</v>
      </c>
      <c r="F38" s="33">
        <f>'30'!F36</f>
        <v>5.7216666666666667</v>
      </c>
      <c r="G38" s="33">
        <f>'30'!G36</f>
        <v>40.708749999999995</v>
      </c>
      <c r="H38" s="33">
        <f>'30'!H36</f>
        <v>16.882083333333338</v>
      </c>
      <c r="I38" s="9" t="s">
        <v>15</v>
      </c>
      <c r="J38" s="33">
        <f>'30'!J36</f>
        <v>0.32750000000000001</v>
      </c>
      <c r="K38" s="33">
        <f>'30'!K36</f>
        <v>148.00083333333333</v>
      </c>
      <c r="L38" s="33">
        <f>'30'!L36</f>
        <v>25.814166666666676</v>
      </c>
      <c r="M38" s="33">
        <f>'30'!M36</f>
        <v>87.632083333333341</v>
      </c>
      <c r="N38" s="33">
        <f>'30'!N36</f>
        <v>212.125</v>
      </c>
      <c r="O38" s="33">
        <f>'30'!O36</f>
        <v>0.025000000000000005</v>
      </c>
      <c r="P38" s="33">
        <f>'30'!P36</f>
        <v>0.71208333333333351</v>
      </c>
      <c r="Q38" s="33">
        <f>'30'!Q36</f>
        <v>17.612500000000004</v>
      </c>
      <c r="R38" s="47"/>
      <c r="S38" s="47"/>
      <c r="T38" s="47"/>
      <c r="U38" s="47"/>
    </row>
    <row r="39" spans="1:21" s="34" customFormat="1" ht="15">
      <c r="A39" s="36" t="str">
        <f>'31'!$B$2</f>
        <v>31-07-2023 01:00</v>
      </c>
      <c r="B39" s="33">
        <f>'31'!B37</f>
        <v>5.5898038485457953</v>
      </c>
      <c r="C39" s="33">
        <f>'31'!C37</f>
        <v>2.5511645536323493</v>
      </c>
      <c r="D39" s="33">
        <f>'31'!D37</f>
        <v>4.5873392046218919</v>
      </c>
      <c r="E39" s="33">
        <f>'31'!E37</f>
        <v>1.2450370316359782</v>
      </c>
      <c r="F39" s="33">
        <f>'31'!F37</f>
        <v>3.7015676027044702</v>
      </c>
      <c r="G39" s="33">
        <f>'31'!G37</f>
        <v>11.429964871761278</v>
      </c>
      <c r="H39" s="33">
        <f>'31'!H37</f>
        <v>2.6164256789240907</v>
      </c>
      <c r="I39" s="9" t="s">
        <v>15</v>
      </c>
      <c r="J39" s="33">
        <f>'31'!J37</f>
        <v>0.11818371844018044</v>
      </c>
      <c r="K39" s="33">
        <f>'31'!K37</f>
        <v>109.61082404170426</v>
      </c>
      <c r="L39" s="33">
        <f>'31'!L37</f>
        <v>2.211069483501042</v>
      </c>
      <c r="M39" s="33">
        <f>'31'!M37</f>
        <v>10.110643113406129</v>
      </c>
      <c r="N39" s="33">
        <f>'31'!N37</f>
        <v>256.75046364069169</v>
      </c>
      <c r="O39" s="33">
        <f>'31'!O37</f>
        <v>0</v>
      </c>
      <c r="P39" s="33">
        <f>'31'!P37</f>
        <v>0.18449107436875933</v>
      </c>
      <c r="Q39" s="33">
        <f>'31'!Q37</f>
        <v>1.9996325296471849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4.7966666666666669</v>
      </c>
      <c r="C41" s="15">
        <f t="shared" si="0"/>
        <v>13.531666666666666</v>
      </c>
      <c r="D41" s="15">
        <f t="shared" si="0"/>
        <v>11.702500000000001</v>
      </c>
      <c r="E41" s="15">
        <f t="shared" si="0"/>
        <v>2.0183333333333335</v>
      </c>
      <c r="F41" s="15">
        <f t="shared" si="0"/>
        <v>4.8258333333333328</v>
      </c>
      <c r="G41" s="15">
        <f t="shared" si="0"/>
        <v>17.265000000000001</v>
      </c>
      <c r="H41" s="15">
        <f t="shared" si="0"/>
        <v>8.1178571428571438</v>
      </c>
      <c r="I41" s="15">
        <f t="shared" si="0"/>
        <v>0.57214285714285718</v>
      </c>
      <c r="J41" s="15">
        <f t="shared" si="0"/>
        <v>0.22041666666666662</v>
      </c>
      <c r="K41" s="15">
        <f t="shared" si="0"/>
        <v>53.952083333333327</v>
      </c>
      <c r="L41" s="15">
        <f t="shared" si="0"/>
        <v>23.053749999999997</v>
      </c>
      <c r="M41" s="15">
        <f t="shared" si="0"/>
        <v>70.189583333333346</v>
      </c>
      <c r="N41" s="15">
        <f t="shared" si="0"/>
        <v>126.6458333333333</v>
      </c>
      <c r="O41" s="15">
        <f t="shared" si="0"/>
        <v>0</v>
      </c>
      <c r="P41" s="15">
        <f t="shared" si="0"/>
        <v>0.31</v>
      </c>
      <c r="Q41" s="15">
        <f t="shared" si="0"/>
        <v>1.5491304347826085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22.119166666666672</v>
      </c>
      <c r="C42" s="15">
        <f t="shared" si="1"/>
        <v>32.045833333333327</v>
      </c>
      <c r="D42" s="15">
        <f t="shared" si="1"/>
        <v>33.584166666666668</v>
      </c>
      <c r="E42" s="15">
        <f t="shared" si="1"/>
        <v>3.3500000000000001</v>
      </c>
      <c r="F42" s="15">
        <f t="shared" si="1"/>
        <v>26.440416666666664</v>
      </c>
      <c r="G42" s="15">
        <f t="shared" si="1"/>
        <v>76.187083333333348</v>
      </c>
      <c r="H42" s="15">
        <f t="shared" si="1"/>
        <v>31.027142857142856</v>
      </c>
      <c r="I42" s="15">
        <f t="shared" si="1"/>
        <v>10.490416666666667</v>
      </c>
      <c r="J42" s="15">
        <f t="shared" si="1"/>
        <v>1.18875</v>
      </c>
      <c r="K42" s="15">
        <f t="shared" si="1"/>
        <v>270.49041666666665</v>
      </c>
      <c r="L42" s="15">
        <f t="shared" si="1"/>
        <v>28.446249999999996</v>
      </c>
      <c r="M42" s="15">
        <f t="shared" si="1"/>
        <v>96.125</v>
      </c>
      <c r="N42" s="15">
        <f t="shared" si="1"/>
        <v>373.91198043432485</v>
      </c>
      <c r="O42" s="15">
        <f t="shared" si="1"/>
        <v>2.724446493446361</v>
      </c>
      <c r="P42" s="15">
        <f t="shared" si="1"/>
        <v>1.2445833333333336</v>
      </c>
      <c r="Q42" s="15">
        <f t="shared" si="1"/>
        <v>17.952083333333334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11.110785714285717</v>
      </c>
      <c r="C43" s="15">
        <f t="shared" si="2"/>
        <v>20.661900793650794</v>
      </c>
      <c r="D43" s="15">
        <f t="shared" si="2"/>
        <v>20.527565476190478</v>
      </c>
      <c r="E43" s="15">
        <f t="shared" si="2"/>
        <v>2.6473412698412702</v>
      </c>
      <c r="F43" s="15">
        <f t="shared" si="2"/>
        <v>10.528140151515149</v>
      </c>
      <c r="G43" s="15">
        <f t="shared" si="2"/>
        <v>38.151396628480107</v>
      </c>
      <c r="H43" s="15">
        <f t="shared" si="2"/>
        <v>18.170003358260299</v>
      </c>
      <c r="I43" s="15">
        <f t="shared" si="2"/>
        <v>4.982786897997836</v>
      </c>
      <c r="J43" s="15">
        <f t="shared" si="2"/>
        <v>0.55061616161616156</v>
      </c>
      <c r="K43" s="15">
        <f t="shared" si="2"/>
        <v>194.28448232323234</v>
      </c>
      <c r="L43" s="15">
        <f t="shared" si="2"/>
        <v>25.610311868686882</v>
      </c>
      <c r="M43" s="15">
        <f t="shared" si="2"/>
        <v>86.614856060606073</v>
      </c>
      <c r="N43" s="15">
        <f t="shared" si="2"/>
        <v>237.62642478832265</v>
      </c>
      <c r="O43" s="15">
        <f t="shared" si="2"/>
        <v>0.43055954913359668</v>
      </c>
      <c r="P43" s="15">
        <f t="shared" si="2"/>
        <v>0.7212811965811966</v>
      </c>
      <c r="Q43" s="15">
        <f t="shared" si="2"/>
        <v>11.879351170393498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4.9433256272471278</v>
      </c>
      <c r="C44" s="15">
        <f t="shared" si="3"/>
        <v>5.1927319797598157</v>
      </c>
      <c r="D44" s="15">
        <f t="shared" si="3"/>
        <v>6.2118826875320421</v>
      </c>
      <c r="E44" s="15">
        <f t="shared" si="3"/>
        <v>0.35924630207819119</v>
      </c>
      <c r="F44" s="15">
        <f t="shared" si="3"/>
        <v>4.5354106686322462</v>
      </c>
      <c r="G44" s="15">
        <f t="shared" si="3"/>
        <v>16.122833791011306</v>
      </c>
      <c r="H44" s="15">
        <f t="shared" si="3"/>
        <v>6.9042662895183149</v>
      </c>
      <c r="I44" s="15">
        <f t="shared" si="3"/>
        <v>2.6528590413457236</v>
      </c>
      <c r="J44" s="15">
        <f t="shared" si="3"/>
        <v>0.26309788048049704</v>
      </c>
      <c r="K44" s="15">
        <f t="shared" si="3"/>
        <v>50.526066428818332</v>
      </c>
      <c r="L44" s="15">
        <f t="shared" si="3"/>
        <v>1.5228673107652586</v>
      </c>
      <c r="M44" s="15">
        <f t="shared" si="3"/>
        <v>7.4837263402400023</v>
      </c>
      <c r="N44" s="15">
        <f t="shared" si="3"/>
        <v>66.471511799171481</v>
      </c>
      <c r="O44" s="15">
        <f t="shared" si="3"/>
        <v>0.68782778079008799</v>
      </c>
      <c r="P44" s="15">
        <f t="shared" si="3"/>
        <v>0.23296771417356812</v>
      </c>
      <c r="Q44" s="15">
        <f t="shared" si="3"/>
        <v>4.4723561776882201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>COUNT(G9:G39)+9</f>
        <v>31</v>
      </c>
      <c r="H45" s="12">
        <f>COUNT(H9:H39)+9</f>
        <v>31</v>
      </c>
      <c r="I45" s="15">
        <f>COUNT(I9:I39)+2</f>
        <v>18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&lt;90%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LESS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2024-08-28T14:07:26Z</dcterms:modified>
  <cp:category/>
</cp:coreProperties>
</file>