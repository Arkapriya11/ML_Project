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Q110" i="44" l="1"/>
  <c r="Q111" i="44"/>
  <c r="I110" i="44"/>
  <c r="I111" i="44" s="1"/>
  <c r="H110" i="44"/>
  <c r="G110" i="44"/>
  <c r="G111" i="44" s="1"/>
  <c r="I110" i="41"/>
  <c r="I112" i="41"/>
  <c r="Q110" i="40"/>
  <c r="Q112" i="40" s="1"/>
  <c r="I110" i="40"/>
  <c r="I111" i="40" s="1"/>
  <c r="H110" i="40"/>
  <c r="H111" i="40" s="1"/>
  <c r="G110" i="40"/>
  <c r="G111" i="40"/>
  <c r="H110" i="33"/>
  <c r="G110" i="33"/>
  <c r="G112" i="33" s="1"/>
  <c r="J110" i="33"/>
  <c r="J112" i="33"/>
  <c r="Q110" i="33"/>
  <c r="Q112" i="33" s="1"/>
  <c r="Q110" i="32"/>
  <c r="Q112" i="32"/>
  <c r="I110" i="32"/>
  <c r="I112" i="32" s="1"/>
  <c r="Q110" i="31"/>
  <c r="Q112" i="31"/>
  <c r="I110" i="31"/>
  <c r="I112" i="31" s="1"/>
  <c r="Q110" i="30"/>
  <c r="Q111" i="30"/>
  <c r="I110" i="30"/>
  <c r="I112" i="30" s="1"/>
  <c r="H110" i="30"/>
  <c r="H112" i="30"/>
  <c r="G110" i="30"/>
  <c r="G111" i="30" s="1"/>
  <c r="H110" i="29"/>
  <c r="G110" i="29"/>
  <c r="G112" i="29"/>
  <c r="I110" i="29"/>
  <c r="I112" i="29" s="1"/>
  <c r="H110" i="28"/>
  <c r="G110" i="28"/>
  <c r="G111" i="28" s="1"/>
  <c r="I110" i="28"/>
  <c r="I112" i="28"/>
  <c r="Q110" i="27"/>
  <c r="Q112" i="27" s="1"/>
  <c r="H110" i="27"/>
  <c r="G110" i="27"/>
  <c r="G112" i="27"/>
  <c r="E110" i="27"/>
  <c r="E112" i="27"/>
  <c r="C110" i="27"/>
  <c r="D110" i="27"/>
  <c r="B110" i="27"/>
  <c r="B111" i="27" s="1"/>
  <c r="I110" i="27"/>
  <c r="I112" i="27"/>
  <c r="Q110" i="26"/>
  <c r="Q111" i="26"/>
  <c r="I110" i="26"/>
  <c r="I112" i="26"/>
  <c r="Q110" i="25"/>
  <c r="Q111" i="25"/>
  <c r="I110" i="25"/>
  <c r="I111" i="25"/>
  <c r="C110" i="25"/>
  <c r="D110" i="25"/>
  <c r="E110" i="25"/>
  <c r="F110" i="25"/>
  <c r="F112" i="25" s="1"/>
  <c r="G110" i="25"/>
  <c r="G111" i="25"/>
  <c r="H110" i="25"/>
  <c r="J110" i="25"/>
  <c r="K110" i="25"/>
  <c r="L110" i="25"/>
  <c r="M110" i="25"/>
  <c r="N110" i="25"/>
  <c r="O110" i="25"/>
  <c r="P110" i="25"/>
  <c r="P111" i="25"/>
  <c r="B110" i="25"/>
  <c r="B111" i="25"/>
  <c r="Q110" i="23"/>
  <c r="Q112" i="23"/>
  <c r="P110" i="23"/>
  <c r="P112" i="23" s="1"/>
  <c r="O110" i="23"/>
  <c r="O112" i="23"/>
  <c r="K110" i="23"/>
  <c r="L110" i="23"/>
  <c r="M110" i="23"/>
  <c r="N110" i="23"/>
  <c r="J110" i="23"/>
  <c r="J112" i="23"/>
  <c r="I110" i="23"/>
  <c r="I111" i="23"/>
  <c r="H110" i="23"/>
  <c r="G110" i="23"/>
  <c r="G112" i="23"/>
  <c r="F110" i="23"/>
  <c r="F111" i="23" s="1"/>
  <c r="E110" i="23"/>
  <c r="E111" i="23"/>
  <c r="C110" i="23"/>
  <c r="D110" i="23"/>
  <c r="B110" i="23"/>
  <c r="B112" i="23"/>
  <c r="Q110" i="22"/>
  <c r="Q112" i="22" s="1"/>
  <c r="H110" i="20"/>
  <c r="H111" i="20"/>
  <c r="G110" i="20"/>
  <c r="G111" i="20" s="1"/>
  <c r="C110" i="22"/>
  <c r="D110" i="22"/>
  <c r="E110" i="22"/>
  <c r="F110" i="22"/>
  <c r="G110" i="22"/>
  <c r="H110" i="22"/>
  <c r="J110" i="22"/>
  <c r="K110" i="22"/>
  <c r="L110" i="22"/>
  <c r="M110" i="22"/>
  <c r="N110" i="22"/>
  <c r="O110" i="22"/>
  <c r="P110" i="22"/>
  <c r="C110" i="26"/>
  <c r="D110" i="26"/>
  <c r="E110" i="26"/>
  <c r="F110" i="26"/>
  <c r="G110" i="26"/>
  <c r="H110" i="26"/>
  <c r="J110" i="26"/>
  <c r="K110" i="26"/>
  <c r="L110" i="26"/>
  <c r="M110" i="26"/>
  <c r="N110" i="26"/>
  <c r="O110" i="26"/>
  <c r="P110" i="26"/>
  <c r="B110" i="26"/>
  <c r="H110" i="19"/>
  <c r="G110" i="19"/>
  <c r="G112" i="19"/>
  <c r="Q110" i="19"/>
  <c r="Q112" i="19" s="1"/>
  <c r="I110" i="19"/>
  <c r="I111" i="19"/>
  <c r="J110" i="18"/>
  <c r="J111" i="18" s="1"/>
  <c r="H110" i="18"/>
  <c r="H111" i="18"/>
  <c r="I110" i="18"/>
  <c r="Q110" i="17"/>
  <c r="Q111" i="17"/>
  <c r="I110" i="17"/>
  <c r="I111" i="17"/>
  <c r="H110" i="17"/>
  <c r="H112" i="17"/>
  <c r="G110" i="17"/>
  <c r="G112" i="17"/>
  <c r="Q110" i="16"/>
  <c r="Q111" i="16"/>
  <c r="H110" i="16"/>
  <c r="H111" i="16"/>
  <c r="G110" i="16"/>
  <c r="G111" i="16"/>
  <c r="Q110" i="15"/>
  <c r="Q111" i="15"/>
  <c r="Q110" i="14"/>
  <c r="Q111" i="14"/>
  <c r="I110" i="14"/>
  <c r="I111" i="14" s="1"/>
  <c r="I110" i="13"/>
  <c r="I112" i="13"/>
  <c r="I110" i="12"/>
  <c r="I111" i="12"/>
  <c r="F110" i="12"/>
  <c r="F111" i="12"/>
  <c r="C110" i="11"/>
  <c r="C112" i="11" s="1"/>
  <c r="D110" i="11"/>
  <c r="D112" i="11" s="1"/>
  <c r="B110" i="11"/>
  <c r="B111" i="11" s="1"/>
  <c r="I110" i="11"/>
  <c r="I111" i="11"/>
  <c r="H110" i="11"/>
  <c r="H111" i="11" s="1"/>
  <c r="I110" i="9"/>
  <c r="I110" i="8"/>
  <c r="C110" i="8"/>
  <c r="D110" i="8"/>
  <c r="E110" i="8"/>
  <c r="F110" i="8"/>
  <c r="G110" i="8"/>
  <c r="H110" i="8"/>
  <c r="J110" i="8"/>
  <c r="K110" i="8"/>
  <c r="L110" i="8"/>
  <c r="M110" i="8"/>
  <c r="N110" i="8"/>
  <c r="O110" i="8"/>
  <c r="P110" i="8"/>
  <c r="Q110" i="8"/>
  <c r="B110" i="8"/>
  <c r="I110" i="3"/>
  <c r="J110" i="2"/>
  <c r="I110" i="2"/>
  <c r="P110" i="44"/>
  <c r="P112" i="44" s="1"/>
  <c r="O110" i="44"/>
  <c r="O112" i="44"/>
  <c r="N110" i="44"/>
  <c r="N112" i="44" s="1"/>
  <c r="M110" i="44"/>
  <c r="M112" i="44"/>
  <c r="L110" i="44"/>
  <c r="L112" i="44" s="1"/>
  <c r="K110" i="44"/>
  <c r="K112" i="44"/>
  <c r="J110" i="44"/>
  <c r="J112" i="44" s="1"/>
  <c r="H112" i="44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Q39" i="39" s="1"/>
  <c r="P109" i="44"/>
  <c r="P39" i="39" s="1"/>
  <c r="O109" i="44"/>
  <c r="O39" i="39" s="1"/>
  <c r="N109" i="44"/>
  <c r="N39" i="39" s="1"/>
  <c r="M109" i="44"/>
  <c r="M39" i="39" s="1"/>
  <c r="L109" i="44"/>
  <c r="L39" i="39" s="1"/>
  <c r="K109" i="44"/>
  <c r="K39" i="39" s="1"/>
  <c r="J109" i="44"/>
  <c r="J39" i="39" s="1"/>
  <c r="I109" i="44"/>
  <c r="H109" i="44"/>
  <c r="H39" i="39"/>
  <c r="G109" i="44"/>
  <c r="G39" i="39"/>
  <c r="F109" i="44"/>
  <c r="F39" i="39" s="1"/>
  <c r="E109" i="44"/>
  <c r="E39" i="39" s="1"/>
  <c r="D109" i="44"/>
  <c r="D39" i="39" s="1"/>
  <c r="C109" i="44"/>
  <c r="C39" i="39" s="1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B39" i="39"/>
  <c r="J110" i="41"/>
  <c r="J112" i="41" s="1"/>
  <c r="H110" i="41"/>
  <c r="H112" i="41" s="1"/>
  <c r="J110" i="40"/>
  <c r="J111" i="40" s="1"/>
  <c r="H112" i="33"/>
  <c r="I110" i="33"/>
  <c r="I112" i="33" s="1"/>
  <c r="J110" i="32"/>
  <c r="J111" i="32"/>
  <c r="H110" i="32"/>
  <c r="H111" i="32"/>
  <c r="H110" i="31"/>
  <c r="H112" i="31"/>
  <c r="J110" i="31"/>
  <c r="J111" i="31"/>
  <c r="G110" i="31"/>
  <c r="G112" i="31"/>
  <c r="J110" i="30"/>
  <c r="J112" i="30"/>
  <c r="J110" i="29"/>
  <c r="J112" i="29" s="1"/>
  <c r="H112" i="29"/>
  <c r="J112" i="28"/>
  <c r="H111" i="28"/>
  <c r="C111" i="27"/>
  <c r="D111" i="27"/>
  <c r="F110" i="27"/>
  <c r="F112" i="27" s="1"/>
  <c r="J110" i="27"/>
  <c r="K110" i="27"/>
  <c r="L110" i="27"/>
  <c r="M110" i="27"/>
  <c r="M112" i="27"/>
  <c r="N110" i="27"/>
  <c r="O110" i="27"/>
  <c r="O112" i="27" s="1"/>
  <c r="P110" i="27"/>
  <c r="J111" i="26"/>
  <c r="H111" i="26"/>
  <c r="G112" i="26"/>
  <c r="F112" i="26"/>
  <c r="E112" i="26"/>
  <c r="C112" i="26"/>
  <c r="B112" i="26"/>
  <c r="O111" i="25"/>
  <c r="N111" i="25"/>
  <c r="M112" i="25"/>
  <c r="L112" i="25"/>
  <c r="K111" i="25"/>
  <c r="J112" i="25"/>
  <c r="H111" i="25"/>
  <c r="E111" i="25"/>
  <c r="D112" i="25"/>
  <c r="C111" i="25"/>
  <c r="J110" i="24"/>
  <c r="J111" i="24" s="1"/>
  <c r="I110" i="24"/>
  <c r="I112" i="24" s="1"/>
  <c r="H110" i="24"/>
  <c r="H111" i="24" s="1"/>
  <c r="J112" i="22"/>
  <c r="I112" i="22"/>
  <c r="H112" i="22"/>
  <c r="G111" i="22"/>
  <c r="J110" i="21"/>
  <c r="J111" i="21" s="1"/>
  <c r="I111" i="21"/>
  <c r="H110" i="21"/>
  <c r="H111" i="21" s="1"/>
  <c r="I111" i="20"/>
  <c r="J110" i="20"/>
  <c r="J111" i="20" s="1"/>
  <c r="J110" i="19"/>
  <c r="J111" i="19" s="1"/>
  <c r="H112" i="19"/>
  <c r="J110" i="17"/>
  <c r="J112" i="17"/>
  <c r="I110" i="16"/>
  <c r="I111" i="16"/>
  <c r="J110" i="16"/>
  <c r="J112" i="16"/>
  <c r="H110" i="15"/>
  <c r="H111" i="15"/>
  <c r="I110" i="15"/>
  <c r="I112" i="15" s="1"/>
  <c r="J110" i="15"/>
  <c r="J112" i="15"/>
  <c r="J110" i="14"/>
  <c r="J111" i="14"/>
  <c r="H110" i="14"/>
  <c r="H111" i="14"/>
  <c r="J110" i="13"/>
  <c r="J112" i="13"/>
  <c r="H110" i="13"/>
  <c r="H112" i="13"/>
  <c r="J110" i="12"/>
  <c r="J111" i="12"/>
  <c r="H110" i="12"/>
  <c r="H111" i="12"/>
  <c r="J110" i="11"/>
  <c r="J111" i="11" s="1"/>
  <c r="G110" i="11"/>
  <c r="G112" i="11"/>
  <c r="J110" i="10"/>
  <c r="J112" i="10"/>
  <c r="I110" i="10"/>
  <c r="I112" i="10"/>
  <c r="H110" i="10"/>
  <c r="H112" i="10"/>
  <c r="J110" i="9"/>
  <c r="J112" i="9"/>
  <c r="I111" i="9"/>
  <c r="H110" i="9"/>
  <c r="H111" i="9" s="1"/>
  <c r="Q111" i="8"/>
  <c r="J111" i="8"/>
  <c r="I111" i="8"/>
  <c r="H111" i="8"/>
  <c r="P112" i="8"/>
  <c r="O112" i="8"/>
  <c r="L112" i="8"/>
  <c r="K111" i="8"/>
  <c r="G111" i="8"/>
  <c r="F111" i="8"/>
  <c r="B112" i="8"/>
  <c r="I112" i="3"/>
  <c r="I111" i="2"/>
  <c r="B2" i="23"/>
  <c r="C110" i="2"/>
  <c r="C111" i="2" s="1"/>
  <c r="D110" i="2"/>
  <c r="D112" i="2"/>
  <c r="E110" i="2"/>
  <c r="E111" i="2"/>
  <c r="F110" i="2"/>
  <c r="F112" i="2" s="1"/>
  <c r="G110" i="2"/>
  <c r="G112" i="2" s="1"/>
  <c r="H110" i="2"/>
  <c r="H112" i="2" s="1"/>
  <c r="J111" i="2"/>
  <c r="K110" i="2"/>
  <c r="K111" i="2"/>
  <c r="L110" i="2"/>
  <c r="L112" i="2"/>
  <c r="M110" i="2"/>
  <c r="M112" i="2"/>
  <c r="N110" i="2"/>
  <c r="N112" i="2" s="1"/>
  <c r="O110" i="2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/>
  <c r="H110" i="3"/>
  <c r="H112" i="3"/>
  <c r="J110" i="3"/>
  <c r="J111" i="3" s="1"/>
  <c r="K110" i="3"/>
  <c r="K111" i="3" s="1"/>
  <c r="L110" i="3"/>
  <c r="L111" i="3" s="1"/>
  <c r="M110" i="3"/>
  <c r="M112" i="3" s="1"/>
  <c r="N110" i="3"/>
  <c r="N111" i="3" s="1"/>
  <c r="O110" i="3"/>
  <c r="P110" i="3"/>
  <c r="Q110" i="3"/>
  <c r="Q110" i="41"/>
  <c r="Q112" i="41" s="1"/>
  <c r="P110" i="41"/>
  <c r="P112" i="41"/>
  <c r="O110" i="41"/>
  <c r="O112" i="41"/>
  <c r="N110" i="41"/>
  <c r="N112" i="41"/>
  <c r="M110" i="41"/>
  <c r="M112" i="41"/>
  <c r="L110" i="41"/>
  <c r="L112" i="41"/>
  <c r="K110" i="41"/>
  <c r="K112" i="41"/>
  <c r="G110" i="41"/>
  <c r="G112" i="41"/>
  <c r="F110" i="41"/>
  <c r="F111" i="41" s="1"/>
  <c r="E110" i="41"/>
  <c r="E112" i="41"/>
  <c r="D110" i="41"/>
  <c r="D112" i="4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L38" i="39" s="1"/>
  <c r="K108" i="41"/>
  <c r="J108" i="41"/>
  <c r="I108" i="4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P110" i="40"/>
  <c r="P112" i="40"/>
  <c r="O110" i="40"/>
  <c r="O112" i="40"/>
  <c r="N110" i="40"/>
  <c r="N112" i="40" s="1"/>
  <c r="M110" i="40"/>
  <c r="M112" i="40" s="1"/>
  <c r="L110" i="40"/>
  <c r="L112" i="40" s="1"/>
  <c r="K110" i="40"/>
  <c r="K112" i="40" s="1"/>
  <c r="F110" i="40"/>
  <c r="F112" i="40" s="1"/>
  <c r="E110" i="40"/>
  <c r="E112" i="40" s="1"/>
  <c r="D110" i="40"/>
  <c r="D112" i="40"/>
  <c r="C110" i="40"/>
  <c r="C112" i="40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J108" i="40"/>
  <c r="I108" i="40"/>
  <c r="H108" i="40"/>
  <c r="H37" i="39" s="1"/>
  <c r="G108" i="40"/>
  <c r="G37" i="39"/>
  <c r="F108" i="40"/>
  <c r="F37" i="39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P110" i="33"/>
  <c r="P112" i="33"/>
  <c r="O110" i="33"/>
  <c r="O112" i="33"/>
  <c r="N110" i="33"/>
  <c r="N112" i="33" s="1"/>
  <c r="M110" i="33"/>
  <c r="M112" i="33"/>
  <c r="L110" i="33"/>
  <c r="L112" i="33"/>
  <c r="K110" i="33"/>
  <c r="K111" i="33"/>
  <c r="F110" i="33"/>
  <c r="F112" i="33"/>
  <c r="E110" i="33"/>
  <c r="E112" i="33"/>
  <c r="D110" i="33"/>
  <c r="D112" i="33"/>
  <c r="C110" i="33"/>
  <c r="C112" i="33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/>
  <c r="L108" i="33"/>
  <c r="L36" i="39"/>
  <c r="K108" i="33"/>
  <c r="J108" i="33"/>
  <c r="I108" i="33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P110" i="32"/>
  <c r="P112" i="32" s="1"/>
  <c r="O110" i="32"/>
  <c r="O112" i="32" s="1"/>
  <c r="N110" i="32"/>
  <c r="N111" i="32" s="1"/>
  <c r="M110" i="32"/>
  <c r="M112" i="32" s="1"/>
  <c r="L110" i="32"/>
  <c r="L112" i="32" s="1"/>
  <c r="K110" i="32"/>
  <c r="K112" i="32"/>
  <c r="G110" i="32"/>
  <c r="G112" i="32"/>
  <c r="F110" i="32"/>
  <c r="F112" i="32" s="1"/>
  <c r="E110" i="32"/>
  <c r="E111" i="32" s="1"/>
  <c r="D110" i="32"/>
  <c r="D112" i="32" s="1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M108" i="32"/>
  <c r="L108" i="32"/>
  <c r="K108" i="32"/>
  <c r="J108" i="32"/>
  <c r="J35" i="39"/>
  <c r="I108" i="32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/>
  <c r="O110" i="31"/>
  <c r="O112" i="31"/>
  <c r="N110" i="31"/>
  <c r="N112" i="31"/>
  <c r="M110" i="31"/>
  <c r="M111" i="31"/>
  <c r="L110" i="31"/>
  <c r="L112" i="31"/>
  <c r="K110" i="31"/>
  <c r="K111" i="31"/>
  <c r="F110" i="31"/>
  <c r="F112" i="31"/>
  <c r="E110" i="31"/>
  <c r="E112" i="31" s="1"/>
  <c r="D110" i="31"/>
  <c r="D112" i="31"/>
  <c r="C110" i="31"/>
  <c r="C112" i="31"/>
  <c r="B110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/>
  <c r="O108" i="31"/>
  <c r="O34" i="39"/>
  <c r="N108" i="31"/>
  <c r="N34" i="39"/>
  <c r="M108" i="31"/>
  <c r="L108" i="31"/>
  <c r="K108" i="31"/>
  <c r="J108" i="31"/>
  <c r="I108" i="31"/>
  <c r="H108" i="31"/>
  <c r="H34" i="39" s="1"/>
  <c r="G108" i="31"/>
  <c r="F108" i="31"/>
  <c r="E108" i="31"/>
  <c r="D108" i="31"/>
  <c r="D34" i="39"/>
  <c r="C108" i="31"/>
  <c r="C34" i="39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P110" i="30"/>
  <c r="P112" i="30" s="1"/>
  <c r="O110" i="30"/>
  <c r="O112" i="30"/>
  <c r="N110" i="30"/>
  <c r="N112" i="30"/>
  <c r="M110" i="30"/>
  <c r="M112" i="30"/>
  <c r="L110" i="30"/>
  <c r="L112" i="30"/>
  <c r="K110" i="30"/>
  <c r="K112" i="30"/>
  <c r="F110" i="30"/>
  <c r="F112" i="30"/>
  <c r="E110" i="30"/>
  <c r="E112" i="30"/>
  <c r="D110" i="30"/>
  <c r="D112" i="30" s="1"/>
  <c r="C110" i="30"/>
  <c r="C111" i="30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/>
  <c r="O108" i="30"/>
  <c r="O33" i="39"/>
  <c r="N108" i="30"/>
  <c r="N33" i="39"/>
  <c r="M108" i="30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/>
  <c r="P110" i="29"/>
  <c r="P112" i="29"/>
  <c r="O110" i="29"/>
  <c r="O112" i="29" s="1"/>
  <c r="N110" i="29"/>
  <c r="N112" i="29" s="1"/>
  <c r="M110" i="29"/>
  <c r="M112" i="29" s="1"/>
  <c r="L110" i="29"/>
  <c r="L112" i="29"/>
  <c r="K110" i="29"/>
  <c r="K112" i="29" s="1"/>
  <c r="F110" i="29"/>
  <c r="F111" i="29" s="1"/>
  <c r="E110" i="29"/>
  <c r="E112" i="29"/>
  <c r="D110" i="29"/>
  <c r="D112" i="29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H108" i="29"/>
  <c r="H32" i="3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 s="1"/>
  <c r="P110" i="28"/>
  <c r="P111" i="28" s="1"/>
  <c r="O110" i="28"/>
  <c r="O112" i="28"/>
  <c r="N110" i="28"/>
  <c r="N112" i="28"/>
  <c r="M110" i="28"/>
  <c r="M112" i="28" s="1"/>
  <c r="L110" i="28"/>
  <c r="L111" i="28" s="1"/>
  <c r="K110" i="28"/>
  <c r="K112" i="28" s="1"/>
  <c r="F110" i="28"/>
  <c r="F112" i="28"/>
  <c r="E110" i="28"/>
  <c r="E112" i="28" s="1"/>
  <c r="D110" i="28"/>
  <c r="D112" i="28" s="1"/>
  <c r="C110" i="28"/>
  <c r="C112" i="28"/>
  <c r="B110" i="28"/>
  <c r="B112" i="28"/>
  <c r="Q109" i="28"/>
  <c r="P109" i="28"/>
  <c r="O109" i="28"/>
  <c r="N109" i="28"/>
  <c r="M109" i="28"/>
  <c r="L109" i="28"/>
  <c r="K109" i="28"/>
  <c r="J109" i="28"/>
  <c r="H109" i="28"/>
  <c r="G109" i="28"/>
  <c r="F109" i="28"/>
  <c r="E109" i="28"/>
  <c r="D109" i="28"/>
  <c r="C109" i="28"/>
  <c r="B109" i="28"/>
  <c r="Q108" i="28"/>
  <c r="Q31" i="39" s="1"/>
  <c r="P108" i="28"/>
  <c r="O108" i="28"/>
  <c r="O31" i="39" s="1"/>
  <c r="N108" i="28"/>
  <c r="M108" i="28"/>
  <c r="L108" i="28"/>
  <c r="L31" i="39"/>
  <c r="K108" i="28"/>
  <c r="K31" i="39" s="1"/>
  <c r="J108" i="28"/>
  <c r="H108" i="28"/>
  <c r="H31" i="39"/>
  <c r="G108" i="28"/>
  <c r="F108" i="28"/>
  <c r="E108" i="28"/>
  <c r="E31" i="39" s="1"/>
  <c r="D108" i="28"/>
  <c r="D31" i="39"/>
  <c r="C108" i="28"/>
  <c r="C31" i="39"/>
  <c r="B108" i="28"/>
  <c r="B31" i="39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P112" i="27"/>
  <c r="N112" i="27"/>
  <c r="L112" i="27"/>
  <c r="K112" i="27"/>
  <c r="J112" i="27"/>
  <c r="H112" i="27"/>
  <c r="Q109" i="27"/>
  <c r="P109" i="27"/>
  <c r="O109" i="27"/>
  <c r="N109" i="27"/>
  <c r="M109" i="27"/>
  <c r="L109" i="27"/>
  <c r="K109" i="27"/>
  <c r="J109" i="27"/>
  <c r="H109" i="27"/>
  <c r="G109" i="27"/>
  <c r="F109" i="27"/>
  <c r="E109" i="27"/>
  <c r="D109" i="27"/>
  <c r="C109" i="27"/>
  <c r="B109" i="27"/>
  <c r="Q108" i="27"/>
  <c r="Q30" i="39"/>
  <c r="P108" i="27"/>
  <c r="O108" i="27"/>
  <c r="O30" i="39"/>
  <c r="N108" i="27"/>
  <c r="N30" i="39"/>
  <c r="M108" i="27"/>
  <c r="L108" i="27"/>
  <c r="K108" i="27"/>
  <c r="K30" i="39"/>
  <c r="J108" i="27"/>
  <c r="J30" i="39"/>
  <c r="H108" i="27"/>
  <c r="H30" i="39"/>
  <c r="G108" i="27"/>
  <c r="G30" i="39" s="1"/>
  <c r="F108" i="27"/>
  <c r="E108" i="27"/>
  <c r="E30" i="39" s="1"/>
  <c r="D108" i="27"/>
  <c r="D30" i="39" s="1"/>
  <c r="C108" i="27"/>
  <c r="C30" i="39" s="1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N112" i="26"/>
  <c r="M111" i="26"/>
  <c r="L112" i="26"/>
  <c r="K112" i="26"/>
  <c r="D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/>
  <c r="N108" i="26"/>
  <c r="M108" i="26"/>
  <c r="L108" i="26"/>
  <c r="L29" i="39"/>
  <c r="K108" i="26"/>
  <c r="J108" i="26"/>
  <c r="I108" i="26"/>
  <c r="H108" i="26"/>
  <c r="G108" i="26"/>
  <c r="F108" i="26"/>
  <c r="E108" i="26"/>
  <c r="D108" i="26"/>
  <c r="C108" i="26"/>
  <c r="C29" i="39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N108" i="25"/>
  <c r="N28" i="39" s="1"/>
  <c r="M108" i="25"/>
  <c r="M28" i="39" s="1"/>
  <c r="L108" i="25"/>
  <c r="K108" i="25"/>
  <c r="K28" i="39" s="1"/>
  <c r="J108" i="25"/>
  <c r="I108" i="25"/>
  <c r="I28" i="39"/>
  <c r="H108" i="25"/>
  <c r="G108" i="25"/>
  <c r="F108" i="25"/>
  <c r="F28" i="39" s="1"/>
  <c r="E108" i="25"/>
  <c r="E28" i="39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1" i="24"/>
  <c r="P110" i="24"/>
  <c r="P112" i="24" s="1"/>
  <c r="O110" i="24"/>
  <c r="O112" i="24" s="1"/>
  <c r="N110" i="24"/>
  <c r="N112" i="24" s="1"/>
  <c r="M110" i="24"/>
  <c r="M112" i="24" s="1"/>
  <c r="L110" i="24"/>
  <c r="L112" i="24"/>
  <c r="K110" i="24"/>
  <c r="K112" i="24"/>
  <c r="G110" i="24"/>
  <c r="G112" i="24" s="1"/>
  <c r="F110" i="24"/>
  <c r="F111" i="24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O108" i="24"/>
  <c r="N108" i="24"/>
  <c r="N27" i="39" s="1"/>
  <c r="M108" i="24"/>
  <c r="M27" i="39"/>
  <c r="L108" i="24"/>
  <c r="K108" i="24"/>
  <c r="K27" i="39"/>
  <c r="J108" i="24"/>
  <c r="I108" i="24"/>
  <c r="H108" i="24"/>
  <c r="G108" i="24"/>
  <c r="F108" i="24"/>
  <c r="E108" i="24"/>
  <c r="E27" i="39"/>
  <c r="D108" i="24"/>
  <c r="D27" i="39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N112" i="23"/>
  <c r="M112" i="23"/>
  <c r="L112" i="23"/>
  <c r="K112" i="23"/>
  <c r="H112" i="23"/>
  <c r="D112" i="23"/>
  <c r="C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/>
  <c r="N108" i="23"/>
  <c r="N26" i="39"/>
  <c r="M108" i="23"/>
  <c r="M26" i="39"/>
  <c r="L108" i="23"/>
  <c r="K108" i="23"/>
  <c r="J108" i="23"/>
  <c r="J26" i="39" s="1"/>
  <c r="I108" i="23"/>
  <c r="H108" i="23"/>
  <c r="G108" i="23"/>
  <c r="F108" i="23"/>
  <c r="E108" i="23"/>
  <c r="D108" i="23"/>
  <c r="D26" i="39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P112" i="22"/>
  <c r="O111" i="22"/>
  <c r="N112" i="22"/>
  <c r="M112" i="22"/>
  <c r="L111" i="22"/>
  <c r="K112" i="22"/>
  <c r="F111" i="22"/>
  <c r="E112" i="22"/>
  <c r="D112" i="22"/>
  <c r="C112" i="22"/>
  <c r="B110" i="22"/>
  <c r="B112" i="22"/>
  <c r="Q109" i="22"/>
  <c r="P109" i="22"/>
  <c r="O109" i="22"/>
  <c r="N109" i="22"/>
  <c r="M109" i="22"/>
  <c r="L109" i="22"/>
  <c r="K109" i="22"/>
  <c r="J109" i="22"/>
  <c r="H109" i="22"/>
  <c r="G109" i="22"/>
  <c r="F109" i="22"/>
  <c r="E109" i="22"/>
  <c r="D109" i="22"/>
  <c r="C109" i="22"/>
  <c r="B109" i="22"/>
  <c r="Q108" i="22"/>
  <c r="Q25" i="39"/>
  <c r="P108" i="22"/>
  <c r="P25" i="39"/>
  <c r="O108" i="22"/>
  <c r="N108" i="22"/>
  <c r="M108" i="22"/>
  <c r="M25" i="39" s="1"/>
  <c r="L108" i="22"/>
  <c r="K108" i="22"/>
  <c r="J108" i="22"/>
  <c r="H108" i="22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/>
  <c r="P110" i="21"/>
  <c r="P111" i="21"/>
  <c r="O110" i="21"/>
  <c r="O112" i="21" s="1"/>
  <c r="N110" i="21"/>
  <c r="N112" i="21" s="1"/>
  <c r="M110" i="21"/>
  <c r="M112" i="21"/>
  <c r="L110" i="21"/>
  <c r="L112" i="21"/>
  <c r="K110" i="21"/>
  <c r="K112" i="21" s="1"/>
  <c r="G110" i="21"/>
  <c r="G112" i="21" s="1"/>
  <c r="F110" i="21"/>
  <c r="F112" i="21"/>
  <c r="E110" i="21"/>
  <c r="E112" i="21"/>
  <c r="D110" i="21"/>
  <c r="D111" i="21" s="1"/>
  <c r="C110" i="21"/>
  <c r="C112" i="21" s="1"/>
  <c r="B110" i="21"/>
  <c r="B112" i="21"/>
  <c r="Q109" i="21"/>
  <c r="P109" i="21"/>
  <c r="O109" i="21"/>
  <c r="N109" i="21"/>
  <c r="M109" i="21"/>
  <c r="L109" i="21"/>
  <c r="K109" i="21"/>
  <c r="J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/>
  <c r="M108" i="21"/>
  <c r="M24" i="39"/>
  <c r="L108" i="21"/>
  <c r="L24" i="39" s="1"/>
  <c r="K108" i="21"/>
  <c r="K24" i="39" s="1"/>
  <c r="J108" i="21"/>
  <c r="J24" i="39"/>
  <c r="H108" i="21"/>
  <c r="G108" i="21"/>
  <c r="F108" i="21"/>
  <c r="E108" i="21"/>
  <c r="D108" i="21"/>
  <c r="D24" i="39"/>
  <c r="C108" i="21"/>
  <c r="C24" i="39"/>
  <c r="B108" i="21"/>
  <c r="B24" i="39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1" i="20" s="1"/>
  <c r="P110" i="20"/>
  <c r="P111" i="20"/>
  <c r="O110" i="20"/>
  <c r="O112" i="20"/>
  <c r="N110" i="20"/>
  <c r="N111" i="20" s="1"/>
  <c r="M110" i="20"/>
  <c r="M112" i="20"/>
  <c r="L110" i="20"/>
  <c r="L112" i="20"/>
  <c r="K110" i="20"/>
  <c r="K112" i="20"/>
  <c r="F110" i="20"/>
  <c r="F112" i="20" s="1"/>
  <c r="E110" i="20"/>
  <c r="E112" i="20" s="1"/>
  <c r="D110" i="20"/>
  <c r="D112" i="20"/>
  <c r="C110" i="20"/>
  <c r="C112" i="20"/>
  <c r="B110" i="20"/>
  <c r="B112" i="20" s="1"/>
  <c r="Q109" i="20"/>
  <c r="P109" i="20"/>
  <c r="O109" i="20"/>
  <c r="N109" i="20"/>
  <c r="M109" i="20"/>
  <c r="L109" i="20"/>
  <c r="K109" i="20"/>
  <c r="J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H108" i="20"/>
  <c r="G108" i="20"/>
  <c r="F108" i="20"/>
  <c r="F23" i="39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/>
  <c r="O110" i="19"/>
  <c r="O112" i="19" s="1"/>
  <c r="N110" i="19"/>
  <c r="N112" i="19"/>
  <c r="M110" i="19"/>
  <c r="M111" i="19" s="1"/>
  <c r="L110" i="19"/>
  <c r="L112" i="19" s="1"/>
  <c r="K110" i="19"/>
  <c r="K111" i="19"/>
  <c r="F110" i="19"/>
  <c r="F112" i="19"/>
  <c r="E110" i="19"/>
  <c r="E112" i="19" s="1"/>
  <c r="D110" i="19"/>
  <c r="D112" i="19"/>
  <c r="C110" i="19"/>
  <c r="C111" i="19" s="1"/>
  <c r="B110" i="19"/>
  <c r="B112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N108" i="19"/>
  <c r="M108" i="19"/>
  <c r="L108" i="19"/>
  <c r="K108" i="19"/>
  <c r="K22" i="39" s="1"/>
  <c r="J108" i="19"/>
  <c r="I108" i="19"/>
  <c r="H108" i="19"/>
  <c r="G108" i="19"/>
  <c r="G22" i="39" s="1"/>
  <c r="F108" i="19"/>
  <c r="F22" i="39" s="1"/>
  <c r="E108" i="19"/>
  <c r="D108" i="19"/>
  <c r="D22" i="39" s="1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/>
  <c r="P110" i="18"/>
  <c r="P112" i="18"/>
  <c r="O110" i="18"/>
  <c r="O112" i="18" s="1"/>
  <c r="N110" i="18"/>
  <c r="N112" i="18" s="1"/>
  <c r="M110" i="18"/>
  <c r="M111" i="18"/>
  <c r="L110" i="18"/>
  <c r="L112" i="18"/>
  <c r="K110" i="18"/>
  <c r="K112" i="18" s="1"/>
  <c r="I112" i="18"/>
  <c r="G110" i="18"/>
  <c r="G112" i="18" s="1"/>
  <c r="F110" i="18"/>
  <c r="F112" i="18"/>
  <c r="E110" i="18"/>
  <c r="E112" i="18" s="1"/>
  <c r="D110" i="18"/>
  <c r="D112" i="18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J108" i="18"/>
  <c r="I108" i="18"/>
  <c r="H108" i="18"/>
  <c r="H21" i="39" s="1"/>
  <c r="G108" i="18"/>
  <c r="F108" i="18"/>
  <c r="E108" i="18"/>
  <c r="E21" i="39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/>
  <c r="O110" i="17"/>
  <c r="O112" i="17"/>
  <c r="N110" i="17"/>
  <c r="N111" i="17" s="1"/>
  <c r="M110" i="17"/>
  <c r="M112" i="17" s="1"/>
  <c r="L110" i="17"/>
  <c r="L111" i="17" s="1"/>
  <c r="K110" i="17"/>
  <c r="K111" i="17"/>
  <c r="F110" i="17"/>
  <c r="F111" i="17"/>
  <c r="E110" i="17"/>
  <c r="E111" i="17" s="1"/>
  <c r="D110" i="17"/>
  <c r="D111" i="17"/>
  <c r="C110" i="17"/>
  <c r="C111" i="17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K108" i="17"/>
  <c r="K20" i="39"/>
  <c r="J108" i="17"/>
  <c r="J20" i="39" s="1"/>
  <c r="I108" i="17"/>
  <c r="I20" i="39"/>
  <c r="H108" i="17"/>
  <c r="H20" i="39"/>
  <c r="G108" i="17"/>
  <c r="G20" i="39"/>
  <c r="F108" i="17"/>
  <c r="E108" i="17"/>
  <c r="D108" i="17"/>
  <c r="C108" i="17"/>
  <c r="C20" i="39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 s="1"/>
  <c r="O110" i="16"/>
  <c r="O112" i="16"/>
  <c r="N110" i="16"/>
  <c r="N112" i="16"/>
  <c r="M110" i="16"/>
  <c r="M112" i="16"/>
  <c r="L110" i="16"/>
  <c r="L112" i="16" s="1"/>
  <c r="K110" i="16"/>
  <c r="K112" i="16" s="1"/>
  <c r="F110" i="16"/>
  <c r="F112" i="16"/>
  <c r="E110" i="16"/>
  <c r="E112" i="16"/>
  <c r="D110" i="16"/>
  <c r="D112" i="16" s="1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 s="1"/>
  <c r="N108" i="16"/>
  <c r="M108" i="16"/>
  <c r="M19" i="39" s="1"/>
  <c r="L108" i="16"/>
  <c r="K108" i="16"/>
  <c r="J108" i="16"/>
  <c r="J19" i="39"/>
  <c r="I108" i="16"/>
  <c r="I19" i="39" s="1"/>
  <c r="H108" i="16"/>
  <c r="H19" i="39" s="1"/>
  <c r="G108" i="16"/>
  <c r="G19" i="39"/>
  <c r="F108" i="16"/>
  <c r="E108" i="16"/>
  <c r="E19" i="39" s="1"/>
  <c r="D108" i="16"/>
  <c r="D19" i="39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 s="1"/>
  <c r="O110" i="15"/>
  <c r="O112" i="15" s="1"/>
  <c r="N110" i="15"/>
  <c r="N112" i="15"/>
  <c r="M110" i="15"/>
  <c r="M112" i="15"/>
  <c r="L110" i="15"/>
  <c r="L111" i="15"/>
  <c r="K110" i="15"/>
  <c r="K112" i="15" s="1"/>
  <c r="G110" i="15"/>
  <c r="G111" i="15"/>
  <c r="F110" i="15"/>
  <c r="F112" i="15"/>
  <c r="E110" i="15"/>
  <c r="E112" i="15" s="1"/>
  <c r="D110" i="15"/>
  <c r="D112" i="15" s="1"/>
  <c r="C110" i="15"/>
  <c r="C112" i="15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N18" i="39"/>
  <c r="M108" i="15"/>
  <c r="L108" i="15"/>
  <c r="K108" i="15"/>
  <c r="K18" i="39" s="1"/>
  <c r="J108" i="15"/>
  <c r="I108" i="15"/>
  <c r="H108" i="15"/>
  <c r="G108" i="15"/>
  <c r="F108" i="15"/>
  <c r="E108" i="15"/>
  <c r="D108" i="15"/>
  <c r="C108" i="15"/>
  <c r="C18" i="39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/>
  <c r="O110" i="14"/>
  <c r="O111" i="14"/>
  <c r="N110" i="14"/>
  <c r="N112" i="14"/>
  <c r="M110" i="14"/>
  <c r="M112" i="14" s="1"/>
  <c r="L110" i="14"/>
  <c r="L112" i="14" s="1"/>
  <c r="K110" i="14"/>
  <c r="K112" i="14"/>
  <c r="G110" i="14"/>
  <c r="G112" i="14"/>
  <c r="F110" i="14"/>
  <c r="F111" i="14" s="1"/>
  <c r="E110" i="14"/>
  <c r="E112" i="14"/>
  <c r="D110" i="14"/>
  <c r="D112" i="14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 s="1"/>
  <c r="J108" i="14"/>
  <c r="J17" i="39"/>
  <c r="I108" i="14"/>
  <c r="H108" i="14"/>
  <c r="G108" i="14"/>
  <c r="F108" i="14"/>
  <c r="F17" i="39" s="1"/>
  <c r="E108" i="14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1" i="13"/>
  <c r="O110" i="13"/>
  <c r="O111" i="13" s="1"/>
  <c r="N110" i="13"/>
  <c r="N112" i="13" s="1"/>
  <c r="M110" i="13"/>
  <c r="M111" i="13" s="1"/>
  <c r="L110" i="13"/>
  <c r="L112" i="13"/>
  <c r="K110" i="13"/>
  <c r="K112" i="13"/>
  <c r="G110" i="13"/>
  <c r="G112" i="13" s="1"/>
  <c r="F110" i="13"/>
  <c r="F112" i="13"/>
  <c r="E110" i="13"/>
  <c r="E112" i="13"/>
  <c r="D110" i="13"/>
  <c r="D111" i="13" s="1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/>
  <c r="P110" i="12"/>
  <c r="P112" i="12"/>
  <c r="O110" i="12"/>
  <c r="O111" i="12" s="1"/>
  <c r="N110" i="12"/>
  <c r="N112" i="12"/>
  <c r="M110" i="12"/>
  <c r="M111" i="12"/>
  <c r="L110" i="12"/>
  <c r="L112" i="12"/>
  <c r="K110" i="12"/>
  <c r="K111" i="12" s="1"/>
  <c r="G110" i="12"/>
  <c r="G112" i="12" s="1"/>
  <c r="E110" i="12"/>
  <c r="E112" i="12"/>
  <c r="D110" i="12"/>
  <c r="D112" i="12"/>
  <c r="C110" i="12"/>
  <c r="C112" i="12" s="1"/>
  <c r="B110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 s="1"/>
  <c r="N108" i="12"/>
  <c r="M108" i="12"/>
  <c r="L108" i="12"/>
  <c r="K108" i="12"/>
  <c r="J108" i="12"/>
  <c r="I108" i="12"/>
  <c r="I15" i="39"/>
  <c r="H108" i="12"/>
  <c r="G108" i="12"/>
  <c r="F108" i="12"/>
  <c r="E108" i="12"/>
  <c r="E15" i="39" s="1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/>
  <c r="P110" i="11"/>
  <c r="P112" i="11"/>
  <c r="O110" i="11"/>
  <c r="O112" i="11" s="1"/>
  <c r="N110" i="11"/>
  <c r="N112" i="11" s="1"/>
  <c r="M110" i="11"/>
  <c r="M112" i="11"/>
  <c r="L110" i="11"/>
  <c r="L112" i="11"/>
  <c r="K110" i="11"/>
  <c r="K112" i="11" s="1"/>
  <c r="F110" i="11"/>
  <c r="F112" i="11" s="1"/>
  <c r="E110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 s="1"/>
  <c r="O108" i="11"/>
  <c r="O14" i="39" s="1"/>
  <c r="N108" i="11"/>
  <c r="N14" i="39"/>
  <c r="M108" i="11"/>
  <c r="M14" i="39"/>
  <c r="L108" i="11"/>
  <c r="K108" i="11"/>
  <c r="K14" i="39"/>
  <c r="J108" i="11"/>
  <c r="J14" i="39"/>
  <c r="I108" i="11"/>
  <c r="H108" i="11"/>
  <c r="G108" i="11"/>
  <c r="F108" i="11"/>
  <c r="F14" i="39" s="1"/>
  <c r="E108" i="11"/>
  <c r="D108" i="11"/>
  <c r="C108" i="11"/>
  <c r="C14" i="39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/>
  <c r="O110" i="10"/>
  <c r="O111" i="10"/>
  <c r="N110" i="10"/>
  <c r="N112" i="10" s="1"/>
  <c r="M110" i="10"/>
  <c r="M111" i="10" s="1"/>
  <c r="L110" i="10"/>
  <c r="L111" i="10"/>
  <c r="K110" i="10"/>
  <c r="K112" i="10"/>
  <c r="G110" i="10"/>
  <c r="G112" i="10" s="1"/>
  <c r="F110" i="10"/>
  <c r="F111" i="10" s="1"/>
  <c r="E110" i="10"/>
  <c r="E112" i="10"/>
  <c r="D110" i="10"/>
  <c r="D112" i="10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/>
  <c r="P108" i="10"/>
  <c r="O108" i="10"/>
  <c r="O13" i="39" s="1"/>
  <c r="N108" i="10"/>
  <c r="M108" i="10"/>
  <c r="M13" i="39" s="1"/>
  <c r="L108" i="10"/>
  <c r="L13" i="39"/>
  <c r="K108" i="10"/>
  <c r="K13" i="39"/>
  <c r="J108" i="10"/>
  <c r="I108" i="10"/>
  <c r="I13" i="39"/>
  <c r="H108" i="10"/>
  <c r="G108" i="10"/>
  <c r="F108" i="10"/>
  <c r="F13" i="39" s="1"/>
  <c r="E108" i="10"/>
  <c r="E13" i="39" s="1"/>
  <c r="D108" i="10"/>
  <c r="C108" i="10"/>
  <c r="C13" i="39" s="1"/>
  <c r="B108" i="10"/>
  <c r="B13" i="39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Q110" i="9"/>
  <c r="Q111" i="9" s="1"/>
  <c r="P110" i="9"/>
  <c r="P112" i="9" s="1"/>
  <c r="O110" i="9"/>
  <c r="O112" i="9"/>
  <c r="N110" i="9"/>
  <c r="N112" i="9"/>
  <c r="M110" i="9"/>
  <c r="M112" i="9" s="1"/>
  <c r="L110" i="9"/>
  <c r="L112" i="9" s="1"/>
  <c r="K110" i="9"/>
  <c r="K111" i="9"/>
  <c r="G110" i="9"/>
  <c r="G112" i="9"/>
  <c r="F110" i="9"/>
  <c r="F111" i="9" s="1"/>
  <c r="E110" i="9"/>
  <c r="E112" i="9" s="1"/>
  <c r="D110" i="9"/>
  <c r="D111" i="9"/>
  <c r="C110" i="9"/>
  <c r="C112" i="9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N108" i="9"/>
  <c r="N12" i="39"/>
  <c r="M108" i="9"/>
  <c r="M12" i="39" s="1"/>
  <c r="L108" i="9"/>
  <c r="K108" i="9"/>
  <c r="K12" i="39" s="1"/>
  <c r="J108" i="9"/>
  <c r="J12" i="39" s="1"/>
  <c r="I108" i="9"/>
  <c r="H108" i="9"/>
  <c r="G108" i="9"/>
  <c r="F108" i="9"/>
  <c r="F12" i="39" s="1"/>
  <c r="E108" i="9"/>
  <c r="E12" i="39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M112" i="8"/>
  <c r="E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/>
  <c r="N108" i="8"/>
  <c r="N11" i="39"/>
  <c r="M108" i="8"/>
  <c r="M11" i="39" s="1"/>
  <c r="L108" i="8"/>
  <c r="L11" i="39" s="1"/>
  <c r="K108" i="8"/>
  <c r="K11" i="39"/>
  <c r="J108" i="8"/>
  <c r="I108" i="8"/>
  <c r="I11" i="39" s="1"/>
  <c r="H108" i="8"/>
  <c r="G108" i="8"/>
  <c r="F108" i="8"/>
  <c r="F11" i="39"/>
  <c r="E108" i="8"/>
  <c r="E11" i="39" s="1"/>
  <c r="D108" i="8"/>
  <c r="D11" i="39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K112" i="3"/>
  <c r="B110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O10" i="39" s="1"/>
  <c r="N108" i="3"/>
  <c r="N10" i="39"/>
  <c r="M108" i="3"/>
  <c r="M10" i="39"/>
  <c r="L108" i="3"/>
  <c r="L10" i="39" s="1"/>
  <c r="K108" i="3"/>
  <c r="K10" i="39" s="1"/>
  <c r="J108" i="3"/>
  <c r="J10" i="39"/>
  <c r="I108" i="3"/>
  <c r="I10" i="39"/>
  <c r="H108" i="3"/>
  <c r="G108" i="3"/>
  <c r="F108" i="3"/>
  <c r="F10" i="39"/>
  <c r="E108" i="3"/>
  <c r="E10" i="39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/>
  <c r="A34" i="39"/>
  <c r="J27" i="39"/>
  <c r="I27" i="39"/>
  <c r="F27" i="39"/>
  <c r="C27" i="39"/>
  <c r="N109" i="2"/>
  <c r="O109" i="2"/>
  <c r="P109" i="2"/>
  <c r="N108" i="2"/>
  <c r="N9" i="39" s="1"/>
  <c r="O108" i="2"/>
  <c r="P108" i="2"/>
  <c r="P9" i="39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21" i="39"/>
  <c r="N17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/>
  <c r="O112" i="2"/>
  <c r="T40" i="6"/>
  <c r="T21" i="6"/>
  <c r="K88" i="6"/>
  <c r="J88" i="6"/>
  <c r="K115" i="6"/>
  <c r="J115" i="6"/>
  <c r="I115" i="6"/>
  <c r="L12" i="39"/>
  <c r="I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K38" i="39"/>
  <c r="J38" i="39"/>
  <c r="H38" i="39"/>
  <c r="G38" i="39"/>
  <c r="F38" i="39"/>
  <c r="E38" i="39"/>
  <c r="D38" i="39"/>
  <c r="C38" i="39"/>
  <c r="O37" i="39"/>
  <c r="N37" i="39"/>
  <c r="M37" i="39"/>
  <c r="L37" i="39"/>
  <c r="K37" i="39"/>
  <c r="J37" i="39"/>
  <c r="E37" i="39"/>
  <c r="C37" i="39"/>
  <c r="B37" i="39"/>
  <c r="A37" i="39"/>
  <c r="A26" i="39"/>
  <c r="H26" i="39"/>
  <c r="I26" i="39"/>
  <c r="K26" i="39"/>
  <c r="L26" i="39"/>
  <c r="O25" i="39"/>
  <c r="N25" i="39"/>
  <c r="L25" i="39"/>
  <c r="K25" i="39"/>
  <c r="J25" i="39"/>
  <c r="H25" i="39"/>
  <c r="G25" i="39"/>
  <c r="F25" i="39"/>
  <c r="E25" i="39"/>
  <c r="D25" i="39"/>
  <c r="C25" i="39"/>
  <c r="Q24" i="39"/>
  <c r="G24" i="39"/>
  <c r="E24" i="39"/>
  <c r="Q23" i="39"/>
  <c r="M23" i="39"/>
  <c r="L23" i="39"/>
  <c r="K23" i="39"/>
  <c r="H23" i="39"/>
  <c r="E23" i="39"/>
  <c r="B23" i="39"/>
  <c r="N22" i="39"/>
  <c r="M22" i="39"/>
  <c r="L22" i="39"/>
  <c r="C22" i="39"/>
  <c r="Q21" i="39"/>
  <c r="P21" i="39"/>
  <c r="M21" i="39"/>
  <c r="L21" i="39"/>
  <c r="K21" i="39"/>
  <c r="J21" i="39"/>
  <c r="G21" i="39"/>
  <c r="F21" i="39"/>
  <c r="D21" i="39"/>
  <c r="C21" i="39"/>
  <c r="B21" i="39"/>
  <c r="A21" i="39"/>
  <c r="M20" i="39"/>
  <c r="E20" i="39"/>
  <c r="A20" i="39"/>
  <c r="L19" i="39"/>
  <c r="K19" i="39"/>
  <c r="B19" i="39"/>
  <c r="M18" i="39"/>
  <c r="L18" i="39"/>
  <c r="J18" i="39"/>
  <c r="I18" i="39"/>
  <c r="H18" i="39"/>
  <c r="G18" i="39"/>
  <c r="E18" i="39"/>
  <c r="D18" i="39"/>
  <c r="P17" i="39"/>
  <c r="M17" i="39"/>
  <c r="L17" i="39"/>
  <c r="I17" i="39"/>
  <c r="C17" i="39"/>
  <c r="A17" i="39"/>
  <c r="Q16" i="39"/>
  <c r="P16" i="39"/>
  <c r="L16" i="39"/>
  <c r="J16" i="39"/>
  <c r="I16" i="39"/>
  <c r="F16" i="39"/>
  <c r="E16" i="39"/>
  <c r="D16" i="39"/>
  <c r="C16" i="39"/>
  <c r="B16" i="39"/>
  <c r="N15" i="39"/>
  <c r="M15" i="39"/>
  <c r="L15" i="39"/>
  <c r="F15" i="39"/>
  <c r="C15" i="39"/>
  <c r="L14" i="39"/>
  <c r="I14" i="39"/>
  <c r="E14" i="39"/>
  <c r="D14" i="39"/>
  <c r="P13" i="39"/>
  <c r="D13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/>
  <c r="C108" i="2"/>
  <c r="C9" i="39"/>
  <c r="C43" i="39" s="1"/>
  <c r="D108" i="2"/>
  <c r="D9" i="39" s="1"/>
  <c r="E108" i="2"/>
  <c r="E9" i="39" s="1"/>
  <c r="F108" i="2"/>
  <c r="F9" i="39"/>
  <c r="G108" i="2"/>
  <c r="H108" i="2"/>
  <c r="I108" i="2"/>
  <c r="I9" i="39" s="1"/>
  <c r="J108" i="2"/>
  <c r="J9" i="39" s="1"/>
  <c r="K108" i="2"/>
  <c r="K9" i="39"/>
  <c r="L108" i="2"/>
  <c r="L9" i="39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G36" i="39"/>
  <c r="E36" i="39"/>
  <c r="D36" i="39"/>
  <c r="C36" i="39"/>
  <c r="A36" i="39"/>
  <c r="P35" i="39"/>
  <c r="G35" i="39"/>
  <c r="E35" i="39"/>
  <c r="C35" i="39"/>
  <c r="M34" i="39"/>
  <c r="L34" i="39"/>
  <c r="K34" i="39"/>
  <c r="J34" i="39"/>
  <c r="F34" i="39"/>
  <c r="M33" i="39"/>
  <c r="L33" i="39"/>
  <c r="J33" i="39"/>
  <c r="H33" i="39"/>
  <c r="F33" i="39"/>
  <c r="C33" i="39"/>
  <c r="B33" i="39"/>
  <c r="Q32" i="39"/>
  <c r="O32" i="39"/>
  <c r="N32" i="39"/>
  <c r="K32" i="39"/>
  <c r="G32" i="39"/>
  <c r="F32" i="39"/>
  <c r="E32" i="39"/>
  <c r="C32" i="39"/>
  <c r="B32" i="39"/>
  <c r="P31" i="39"/>
  <c r="M31" i="39"/>
  <c r="J31" i="39"/>
  <c r="F31" i="39"/>
  <c r="P30" i="39"/>
  <c r="M30" i="39"/>
  <c r="L30" i="39"/>
  <c r="F30" i="39"/>
  <c r="B30" i="39"/>
  <c r="Q29" i="39"/>
  <c r="M29" i="39"/>
  <c r="K29" i="39"/>
  <c r="J29" i="39"/>
  <c r="I29" i="39"/>
  <c r="H29" i="39"/>
  <c r="G29" i="39"/>
  <c r="F29" i="39"/>
  <c r="E29" i="39"/>
  <c r="D29" i="39"/>
  <c r="L28" i="39"/>
  <c r="H28" i="39"/>
  <c r="G28" i="39"/>
  <c r="B28" i="39"/>
  <c r="P27" i="39"/>
  <c r="O27" i="39"/>
  <c r="L27" i="39"/>
  <c r="H27" i="39"/>
  <c r="G27" i="39"/>
  <c r="B27" i="39"/>
  <c r="G26" i="39"/>
  <c r="P24" i="39"/>
  <c r="H24" i="39"/>
  <c r="N23" i="39"/>
  <c r="C23" i="39"/>
  <c r="O22" i="39"/>
  <c r="O21" i="39"/>
  <c r="P20" i="39"/>
  <c r="F20" i="39"/>
  <c r="D20" i="39"/>
  <c r="F18" i="39"/>
  <c r="E17" i="39"/>
  <c r="M16" i="39"/>
  <c r="K16" i="39"/>
  <c r="K15" i="39"/>
  <c r="J15" i="39"/>
  <c r="Q12" i="39"/>
  <c r="O12" i="39"/>
  <c r="B12" i="39"/>
  <c r="P10" i="39"/>
  <c r="P36" i="39"/>
  <c r="E34" i="39"/>
  <c r="E26" i="39"/>
  <c r="P23" i="39"/>
  <c r="P18" i="39"/>
  <c r="Q17" i="39"/>
  <c r="P15" i="39"/>
  <c r="B2" i="2"/>
  <c r="A9" i="39"/>
  <c r="B2" i="39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L20" i="39"/>
  <c r="N19" i="39"/>
  <c r="F19" i="39"/>
  <c r="O18" i="39"/>
  <c r="O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O9" i="39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22" i="39"/>
  <c r="O111" i="2"/>
  <c r="P111" i="41"/>
  <c r="O111" i="41"/>
  <c r="N111" i="41"/>
  <c r="M111" i="41"/>
  <c r="L111" i="41"/>
  <c r="K111" i="41"/>
  <c r="G111" i="41"/>
  <c r="E111" i="41"/>
  <c r="D111" i="41"/>
  <c r="C111" i="41"/>
  <c r="B111" i="41"/>
  <c r="P111" i="40"/>
  <c r="O111" i="40"/>
  <c r="N111" i="40"/>
  <c r="M111" i="40"/>
  <c r="K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O111" i="32"/>
  <c r="M111" i="32"/>
  <c r="L111" i="32"/>
  <c r="K111" i="32"/>
  <c r="G111" i="32"/>
  <c r="F111" i="32"/>
  <c r="D111" i="32"/>
  <c r="O111" i="31"/>
  <c r="N111" i="31"/>
  <c r="L111" i="31"/>
  <c r="F111" i="31"/>
  <c r="E111" i="31"/>
  <c r="D111" i="31"/>
  <c r="C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O111" i="28"/>
  <c r="N111" i="28"/>
  <c r="M111" i="28"/>
  <c r="K111" i="28"/>
  <c r="F111" i="28"/>
  <c r="E111" i="28"/>
  <c r="D111" i="28"/>
  <c r="C111" i="28"/>
  <c r="P111" i="27"/>
  <c r="N111" i="27"/>
  <c r="M111" i="27"/>
  <c r="L111" i="27"/>
  <c r="E111" i="27"/>
  <c r="N111" i="26"/>
  <c r="L111" i="26"/>
  <c r="K111" i="26"/>
  <c r="D111" i="26"/>
  <c r="P111" i="24"/>
  <c r="O111" i="24"/>
  <c r="N111" i="24"/>
  <c r="M111" i="24"/>
  <c r="L111" i="24"/>
  <c r="K111" i="24"/>
  <c r="E111" i="24"/>
  <c r="D111" i="24"/>
  <c r="C111" i="24"/>
  <c r="B111" i="24"/>
  <c r="P111" i="23"/>
  <c r="N111" i="23"/>
  <c r="M111" i="23"/>
  <c r="L111" i="23"/>
  <c r="K111" i="23"/>
  <c r="H111" i="23"/>
  <c r="D111" i="23"/>
  <c r="C111" i="23"/>
  <c r="P111" i="22"/>
  <c r="N111" i="22"/>
  <c r="M111" i="22"/>
  <c r="K111" i="22"/>
  <c r="E111" i="22"/>
  <c r="D111" i="22"/>
  <c r="C111" i="22"/>
  <c r="B111" i="22"/>
  <c r="Q111" i="21"/>
  <c r="N111" i="21"/>
  <c r="M111" i="21"/>
  <c r="L111" i="21"/>
  <c r="K111" i="21"/>
  <c r="G111" i="21"/>
  <c r="E111" i="21"/>
  <c r="C111" i="21"/>
  <c r="B111" i="21"/>
  <c r="O111" i="20"/>
  <c r="Q112" i="20"/>
  <c r="M111" i="20"/>
  <c r="L111" i="20"/>
  <c r="K111" i="20"/>
  <c r="F111" i="20"/>
  <c r="E111" i="20"/>
  <c r="D111" i="20"/>
  <c r="B111" i="20"/>
  <c r="P111" i="19"/>
  <c r="O111" i="19"/>
  <c r="N111" i="19"/>
  <c r="L111" i="19"/>
  <c r="H111" i="19"/>
  <c r="G111" i="19"/>
  <c r="F111" i="19"/>
  <c r="D111" i="19"/>
  <c r="B111" i="19"/>
  <c r="Q111" i="18"/>
  <c r="P111" i="18"/>
  <c r="O111" i="18"/>
  <c r="N111" i="18"/>
  <c r="L111" i="18"/>
  <c r="I111" i="18"/>
  <c r="G111" i="18"/>
  <c r="F111" i="18"/>
  <c r="E111" i="18"/>
  <c r="D111" i="18"/>
  <c r="P111" i="17"/>
  <c r="O111" i="17"/>
  <c r="G111" i="17"/>
  <c r="B111" i="17"/>
  <c r="O111" i="16"/>
  <c r="N111" i="16"/>
  <c r="L111" i="16"/>
  <c r="F111" i="16"/>
  <c r="E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L111" i="14"/>
  <c r="K111" i="14"/>
  <c r="C111" i="14"/>
  <c r="Q111" i="13"/>
  <c r="N111" i="13"/>
  <c r="L111" i="13"/>
  <c r="K111" i="13"/>
  <c r="G111" i="13"/>
  <c r="F111" i="13"/>
  <c r="E111" i="13"/>
  <c r="C111" i="13"/>
  <c r="Q111" i="12"/>
  <c r="P111" i="12"/>
  <c r="N111" i="12"/>
  <c r="L111" i="12"/>
  <c r="E111" i="12"/>
  <c r="D111" i="12"/>
  <c r="C111" i="12"/>
  <c r="B111" i="12"/>
  <c r="O111" i="11"/>
  <c r="N111" i="11"/>
  <c r="M111" i="11"/>
  <c r="L111" i="11"/>
  <c r="K111" i="11"/>
  <c r="E111" i="11"/>
  <c r="P111" i="10"/>
  <c r="N111" i="10"/>
  <c r="K111" i="10"/>
  <c r="G111" i="10"/>
  <c r="C111" i="10"/>
  <c r="B111" i="10"/>
  <c r="P111" i="9"/>
  <c r="N111" i="9"/>
  <c r="M111" i="9"/>
  <c r="E111" i="9"/>
  <c r="C111" i="9"/>
  <c r="M111" i="8"/>
  <c r="E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G111" i="2"/>
  <c r="J112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1" i="10"/>
  <c r="I112" i="9"/>
  <c r="H112" i="9"/>
  <c r="B111" i="9"/>
  <c r="J112" i="8"/>
  <c r="P111" i="8"/>
  <c r="L111" i="8"/>
  <c r="B111" i="8"/>
  <c r="O111" i="8"/>
  <c r="I112" i="8"/>
  <c r="H112" i="8"/>
  <c r="G112" i="8"/>
  <c r="F112" i="8"/>
  <c r="N111" i="8"/>
  <c r="J111" i="13"/>
  <c r="P112" i="13"/>
  <c r="F112" i="12"/>
  <c r="J112" i="12"/>
  <c r="H112" i="12"/>
  <c r="O112" i="12"/>
  <c r="J112" i="11"/>
  <c r="Q112" i="11"/>
  <c r="P111" i="11"/>
  <c r="G111" i="11"/>
  <c r="D111" i="11"/>
  <c r="C111" i="11"/>
  <c r="C111" i="16"/>
  <c r="I112" i="16"/>
  <c r="P111" i="16"/>
  <c r="I111" i="15"/>
  <c r="Q112" i="15"/>
  <c r="H112" i="14"/>
  <c r="B112" i="14"/>
  <c r="J112" i="14"/>
  <c r="B112" i="18"/>
  <c r="J111" i="17"/>
  <c r="H111" i="17"/>
  <c r="N112" i="17"/>
  <c r="L112" i="17"/>
  <c r="M111" i="17"/>
  <c r="K112" i="17"/>
  <c r="F112" i="17"/>
  <c r="D112" i="17"/>
  <c r="E112" i="17"/>
  <c r="J112" i="20"/>
  <c r="J112" i="19"/>
  <c r="M112" i="19"/>
  <c r="C112" i="19"/>
  <c r="P112" i="25"/>
  <c r="O112" i="25"/>
  <c r="N112" i="25"/>
  <c r="L111" i="25"/>
  <c r="J111" i="25"/>
  <c r="H112" i="25"/>
  <c r="G112" i="25"/>
  <c r="F111" i="25"/>
  <c r="D111" i="25"/>
  <c r="K112" i="25"/>
  <c r="C112" i="25"/>
  <c r="J112" i="24"/>
  <c r="I111" i="24"/>
  <c r="H112" i="24"/>
  <c r="J111" i="22"/>
  <c r="H111" i="22"/>
  <c r="O112" i="22"/>
  <c r="J112" i="21"/>
  <c r="H112" i="21"/>
  <c r="P112" i="21"/>
  <c r="D112" i="27"/>
  <c r="C112" i="27"/>
  <c r="H111" i="27"/>
  <c r="J112" i="26"/>
  <c r="G111" i="26"/>
  <c r="F111" i="26"/>
  <c r="E111" i="26"/>
  <c r="C111" i="26"/>
  <c r="B111" i="26"/>
  <c r="H112" i="26"/>
  <c r="P112" i="26"/>
  <c r="O111" i="27"/>
  <c r="K111" i="27"/>
  <c r="J111" i="27"/>
  <c r="B112" i="32"/>
  <c r="J112" i="32"/>
  <c r="H112" i="32"/>
  <c r="G111" i="31"/>
  <c r="P111" i="31"/>
  <c r="J111" i="30"/>
  <c r="H111" i="30"/>
  <c r="J111" i="29"/>
  <c r="H111" i="29"/>
  <c r="O111" i="29"/>
  <c r="H112" i="28"/>
  <c r="J111" i="28"/>
  <c r="B111" i="28"/>
  <c r="J112" i="40"/>
  <c r="H112" i="40"/>
  <c r="D111" i="40"/>
  <c r="H111" i="33"/>
  <c r="J111" i="41"/>
  <c r="H111" i="41"/>
  <c r="P111" i="2"/>
  <c r="F111" i="2"/>
  <c r="B111" i="2"/>
  <c r="J112" i="3"/>
  <c r="L112" i="3"/>
  <c r="C112" i="3"/>
  <c r="K112" i="8"/>
  <c r="Q112" i="8"/>
  <c r="F112" i="9"/>
  <c r="J111" i="9"/>
  <c r="Q112" i="9"/>
  <c r="D112" i="9"/>
  <c r="O111" i="9"/>
  <c r="D111" i="10"/>
  <c r="O112" i="10"/>
  <c r="H111" i="10"/>
  <c r="F111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K112" i="19"/>
  <c r="P112" i="20"/>
  <c r="C111" i="20"/>
  <c r="N112" i="20"/>
  <c r="F111" i="21"/>
  <c r="D112" i="21"/>
  <c r="O111" i="21"/>
  <c r="I112" i="21"/>
  <c r="I111" i="22"/>
  <c r="L112" i="22"/>
  <c r="F112" i="22"/>
  <c r="G112" i="22"/>
  <c r="G111" i="24"/>
  <c r="M111" i="25"/>
  <c r="E112" i="25"/>
  <c r="O112" i="26"/>
  <c r="M112" i="26"/>
  <c r="F111" i="27"/>
  <c r="P112" i="28"/>
  <c r="F112" i="29"/>
  <c r="Q112" i="29"/>
  <c r="K111" i="30"/>
  <c r="F111" i="30"/>
  <c r="M112" i="31"/>
  <c r="H111" i="31"/>
  <c r="K112" i="31"/>
  <c r="J112" i="31"/>
  <c r="E112" i="32"/>
  <c r="P111" i="32"/>
  <c r="C112" i="32"/>
  <c r="N112" i="32"/>
  <c r="K112" i="33"/>
  <c r="E111" i="33"/>
  <c r="L111" i="40"/>
  <c r="P111" i="44"/>
  <c r="O111" i="44"/>
  <c r="N111" i="44"/>
  <c r="M111" i="44"/>
  <c r="L111" i="44"/>
  <c r="K111" i="44"/>
  <c r="J111" i="44"/>
  <c r="H111" i="44"/>
  <c r="F111" i="44"/>
  <c r="E111" i="44"/>
  <c r="D111" i="44"/>
  <c r="C111" i="44"/>
  <c r="B111" i="44"/>
  <c r="K112" i="9"/>
  <c r="H111" i="2"/>
  <c r="Q112" i="2"/>
  <c r="Q111" i="19"/>
  <c r="I112" i="19"/>
  <c r="E111" i="19"/>
  <c r="J112" i="18"/>
  <c r="H112" i="18"/>
  <c r="Q112" i="17"/>
  <c r="I112" i="17"/>
  <c r="Q112" i="16"/>
  <c r="G112" i="16"/>
  <c r="Q112" i="14"/>
  <c r="I112" i="14"/>
  <c r="G111" i="14"/>
  <c r="E111" i="14"/>
  <c r="I111" i="13"/>
  <c r="I112" i="12"/>
  <c r="G111" i="12"/>
  <c r="B112" i="11"/>
  <c r="I112" i="11"/>
  <c r="H112" i="11"/>
  <c r="Q111" i="10"/>
  <c r="F112" i="10"/>
  <c r="I112" i="20"/>
  <c r="L112" i="28"/>
  <c r="F112" i="24"/>
  <c r="Q112" i="24"/>
  <c r="G111" i="29"/>
  <c r="I111" i="29"/>
  <c r="G112" i="28"/>
  <c r="I111" i="28"/>
  <c r="Q111" i="27"/>
  <c r="G111" i="27"/>
  <c r="B112" i="27"/>
  <c r="Q112" i="26"/>
  <c r="I111" i="26"/>
  <c r="Q112" i="25"/>
  <c r="I112" i="25"/>
  <c r="B112" i="25"/>
  <c r="Q111" i="23"/>
  <c r="O111" i="23"/>
  <c r="J111" i="23"/>
  <c r="I112" i="23"/>
  <c r="G111" i="23"/>
  <c r="F112" i="23"/>
  <c r="E112" i="23"/>
  <c r="B111" i="23"/>
  <c r="Q111" i="22"/>
  <c r="G112" i="20"/>
  <c r="H112" i="20"/>
  <c r="Q112" i="44"/>
  <c r="I112" i="44"/>
  <c r="G112" i="44"/>
  <c r="I111" i="41"/>
  <c r="F112" i="41"/>
  <c r="Q111" i="41"/>
  <c r="Q111" i="40"/>
  <c r="I112" i="40"/>
  <c r="G112" i="40"/>
  <c r="G111" i="33"/>
  <c r="J111" i="33"/>
  <c r="Q111" i="33"/>
  <c r="Q111" i="32"/>
  <c r="I111" i="32"/>
  <c r="I111" i="31"/>
  <c r="Q112" i="30"/>
  <c r="I111" i="30"/>
  <c r="G112" i="30"/>
  <c r="D44" i="5" l="1"/>
  <c r="C42" i="39"/>
  <c r="C44" i="39"/>
  <c r="C45" i="39"/>
  <c r="C41" i="39"/>
  <c r="P43" i="39"/>
  <c r="P41" i="39"/>
  <c r="P42" i="39"/>
  <c r="P45" i="39"/>
  <c r="P44" i="39"/>
  <c r="J45" i="39"/>
  <c r="J43" i="39"/>
  <c r="J44" i="39"/>
  <c r="J42" i="39"/>
  <c r="J41" i="39"/>
  <c r="I45" i="39"/>
  <c r="I44" i="39"/>
  <c r="I41" i="39"/>
  <c r="I43" i="39"/>
  <c r="I42" i="39"/>
  <c r="O44" i="39"/>
  <c r="O41" i="39"/>
  <c r="O42" i="39"/>
  <c r="O43" i="39"/>
  <c r="O45" i="39"/>
  <c r="N42" i="39"/>
  <c r="N44" i="39"/>
  <c r="N43" i="39"/>
  <c r="N45" i="39"/>
  <c r="N41" i="39"/>
  <c r="H43" i="39"/>
  <c r="H42" i="39"/>
  <c r="H45" i="39"/>
  <c r="H44" i="39"/>
  <c r="H41" i="39"/>
  <c r="G41" i="39"/>
  <c r="G44" i="39"/>
  <c r="G43" i="39"/>
  <c r="G42" i="39"/>
  <c r="G45" i="39"/>
  <c r="E45" i="39"/>
  <c r="E41" i="39"/>
  <c r="E43" i="39"/>
  <c r="E44" i="39"/>
  <c r="E42" i="39"/>
  <c r="D44" i="39"/>
  <c r="D45" i="39"/>
  <c r="D42" i="39"/>
  <c r="D43" i="39"/>
  <c r="D41" i="39"/>
  <c r="Q45" i="39"/>
  <c r="Q43" i="39"/>
  <c r="Q42" i="39"/>
  <c r="Q41" i="39"/>
  <c r="Q44" i="39"/>
  <c r="K42" i="39"/>
  <c r="K44" i="39"/>
  <c r="K43" i="39"/>
  <c r="K45" i="39"/>
  <c r="K41" i="39"/>
  <c r="M43" i="39"/>
  <c r="M44" i="39"/>
  <c r="M42" i="39"/>
  <c r="M45" i="39"/>
  <c r="M41" i="39"/>
  <c r="L44" i="39"/>
  <c r="L41" i="39"/>
  <c r="L45" i="39"/>
  <c r="L42" i="39"/>
  <c r="L43" i="39"/>
  <c r="B44" i="39"/>
  <c r="B41" i="39"/>
  <c r="B45" i="39"/>
  <c r="B43" i="39"/>
  <c r="B42" i="39"/>
  <c r="F42" i="39"/>
  <c r="F43" i="39"/>
  <c r="F44" i="39"/>
  <c r="F45" i="39"/>
  <c r="F41" i="39"/>
  <c r="Q47" i="39" l="1"/>
  <c r="Q46" i="39"/>
  <c r="H47" i="39"/>
  <c r="H46" i="39"/>
  <c r="M47" i="39"/>
  <c r="M46" i="39"/>
  <c r="I47" i="39"/>
  <c r="I46" i="39"/>
  <c r="N46" i="39"/>
  <c r="N47" i="39"/>
  <c r="K47" i="39"/>
  <c r="K46" i="39"/>
  <c r="J47" i="39"/>
  <c r="J46" i="39"/>
  <c r="B47" i="39"/>
  <c r="B46" i="39"/>
  <c r="E46" i="39"/>
  <c r="E47" i="39"/>
  <c r="O46" i="39"/>
  <c r="O47" i="39"/>
  <c r="P47" i="39"/>
  <c r="P46" i="39"/>
  <c r="G46" i="39"/>
  <c r="G47" i="39"/>
  <c r="F47" i="39"/>
  <c r="F46" i="39"/>
  <c r="D46" i="39"/>
  <c r="D47" i="39"/>
  <c r="L47" i="39"/>
  <c r="L46" i="39"/>
  <c r="C46" i="39"/>
  <c r="C47" i="39"/>
</calcChain>
</file>

<file path=xl/sharedStrings.xml><?xml version="1.0" encoding="utf-8"?>
<sst xmlns="http://schemas.openxmlformats.org/spreadsheetml/2006/main" count="10448" uniqueCount="3230">
  <si>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</si>
  <si>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</si>
  <si>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</si>
  <si>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</si>
  <si>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</si>
  <si>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</si>
  <si>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</si>
  <si>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</si>
  <si>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</si>
  <si>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</si>
  <si>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</si>
  <si>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</si>
  <si>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</si>
  <si>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</si>
  <si>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</si>
  <si>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</si>
  <si>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</si>
  <si>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</si>
  <si>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</si>
  <si>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</si>
  <si>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</si>
  <si>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</si>
  <si>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</si>
  <si>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</si>
  <si>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</si>
  <si>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</si>
  <si>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</si>
  <si>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</si>
  <si>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</si>
  <si>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</si>
  <si>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</si>
  <si>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</si>
  <si>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</si>
  <si>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</si>
  <si>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</si>
  <si>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</si>
  <si>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</si>
  <si>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</si>
  <si>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</si>
  <si>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</si>
  <si>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</si>
  <si>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</si>
  <si>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</si>
  <si>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</si>
  <si>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</si>
  <si>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</si>
  <si>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</si>
  <si>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</si>
  <si>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</si>
  <si>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</si>
  <si>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</si>
  <si>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</si>
  <si>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</si>
  <si>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</si>
  <si>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</si>
  <si>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</si>
  <si>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</si>
  <si>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</si>
  <si>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</si>
  <si>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</si>
  <si>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</si>
  <si>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</si>
  <si>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</si>
  <si>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</si>
  <si>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</si>
  <si>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</si>
  <si>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</si>
  <si>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</si>
  <si>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</si>
  <si>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</si>
  <si>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</si>
  <si>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</si>
  <si>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</si>
  <si>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</si>
  <si>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</si>
  <si>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</si>
  <si>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</si>
  <si>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</si>
  <si>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</si>
  <si>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</si>
  <si>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</si>
  <si>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</si>
  <si>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</si>
  <si>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</si>
  <si>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</si>
  <si>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</si>
  <si>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</si>
  <si>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</si>
  <si>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</si>
  <si>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</si>
  <si>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</si>
  <si>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</si>
  <si>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</si>
  <si>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</si>
  <si>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</si>
  <si>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</si>
  <si>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</si>
  <si>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</si>
  <si>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</si>
  <si>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</si>
  <si>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</si>
  <si>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</si>
  <si>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</si>
  <si>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</si>
  <si>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</si>
  <si>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</si>
  <si>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</si>
  <si>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</si>
  <si>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</si>
  <si>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</si>
  <si>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</si>
  <si>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</si>
  <si>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</si>
  <si>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</si>
  <si>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</si>
  <si>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</si>
  <si>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</si>
  <si>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</si>
  <si>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</si>
  <si>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</si>
  <si>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</si>
  <si>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</si>
  <si>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</si>
  <si>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</si>
  <si>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</si>
  <si>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</si>
  <si>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</si>
  <si>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</si>
  <si>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</si>
  <si>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</si>
  <si>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</si>
  <si>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</si>
  <si>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</si>
  <si>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</si>
  <si>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</si>
  <si>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</si>
  <si>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</si>
  <si>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</si>
  <si>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</si>
  <si>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</si>
  <si>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</si>
  <si>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</si>
  <si>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</si>
  <si>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</si>
  <si>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</si>
  <si>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</si>
  <si>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</si>
  <si>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</si>
  <si>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</si>
  <si>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</si>
  <si>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</si>
  <si>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</si>
  <si>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</si>
  <si>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</si>
  <si>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</si>
  <si>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</si>
  <si>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</si>
  <si>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</si>
  <si>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</si>
  <si>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</si>
  <si>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</si>
  <si>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</si>
  <si>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</si>
  <si>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</si>
  <si>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</si>
  <si>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</si>
  <si>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</si>
  <si>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</si>
  <si>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</si>
  <si>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</si>
  <si>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</si>
  <si>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</si>
  <si>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</si>
  <si>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</si>
  <si>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</si>
  <si>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</si>
  <si>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</si>
  <si>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</si>
  <si>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</si>
  <si>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</si>
  <si>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</si>
  <si>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</si>
  <si>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</si>
  <si>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</si>
  <si>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</si>
  <si>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</si>
  <si>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</si>
  <si>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</si>
  <si>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</si>
  <si>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</si>
  <si>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</si>
  <si>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</si>
  <si>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</si>
  <si>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</si>
  <si>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</si>
  <si>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</si>
  <si>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</si>
  <si>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</si>
  <si>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</si>
  <si>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</si>
  <si>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</si>
  <si>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</si>
  <si>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</si>
  <si>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</si>
  <si>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</si>
  <si>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</si>
  <si>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</si>
  <si>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</si>
  <si>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</si>
  <si>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</si>
  <si>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</si>
  <si>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</si>
  <si>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</si>
  <si>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</si>
  <si>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</si>
  <si>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</si>
  <si>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</si>
  <si>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</si>
  <si>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</si>
  <si>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</si>
  <si>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</si>
  <si>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</si>
  <si>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</si>
  <si>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</si>
  <si>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</si>
  <si>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</si>
  <si>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</si>
  <si>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</si>
  <si>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</si>
  <si>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</si>
  <si>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</si>
  <si>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</si>
  <si>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</si>
  <si>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</si>
  <si>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</si>
  <si>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</si>
  <si>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</si>
  <si>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</si>
  <si>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</si>
  <si>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</si>
  <si>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</si>
  <si>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</si>
  <si>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</si>
  <si>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</si>
  <si>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</si>
  <si>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</si>
  <si>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ppb</t>
  </si>
  <si>
    <t>01/07/2023 - 31/07/2023</t>
  </si>
  <si>
    <t>01-07-2023 00:15</t>
  </si>
  <si>
    <t>01-07-2023 00:30</t>
  </si>
  <si>
    <t>01-07-2023 00:45</t>
  </si>
  <si>
    <t>01-07-2023 01:00</t>
  </si>
  <si>
    <t>01-07-2023 01:15</t>
  </si>
  <si>
    <t>01-07-2023 01:30</t>
  </si>
  <si>
    <t>01-07-2023 01:45</t>
  </si>
  <si>
    <t>01-07-2023 02:00</t>
  </si>
  <si>
    <t>01-07-2023 02:15</t>
  </si>
  <si>
    <t>01-07-2023 02:30</t>
  </si>
  <si>
    <t>01-07-2023 02:45</t>
  </si>
  <si>
    <t>01-07-2023 03:00</t>
  </si>
  <si>
    <t>01-07-2023 03:15</t>
  </si>
  <si>
    <t>01-07-2023 03:30</t>
  </si>
  <si>
    <t>01-07-2023 03:45</t>
  </si>
  <si>
    <t>01-07-2023 04:00</t>
  </si>
  <si>
    <t>01-07-2023 04:15</t>
  </si>
  <si>
    <t>01-07-2023 04:30</t>
  </si>
  <si>
    <t>01-07-2023 04:45</t>
  </si>
  <si>
    <t>01-07-2023 05:00</t>
  </si>
  <si>
    <t>01-07-2023 05:15</t>
  </si>
  <si>
    <t>01-07-2023 05:30</t>
  </si>
  <si>
    <t>01-07-2023 05:45</t>
  </si>
  <si>
    <t>01-07-2023 06:00</t>
  </si>
  <si>
    <t>01-07-2023 06:15</t>
  </si>
  <si>
    <t>01-07-2023 06:30</t>
  </si>
  <si>
    <t>01-07-2023 06:45</t>
  </si>
  <si>
    <t>01-07-2023 07:00</t>
  </si>
  <si>
    <t>01-07-2023 07:15</t>
  </si>
  <si>
    <t>01-07-2023 07:30</t>
  </si>
  <si>
    <t>01-07-2023 07:45</t>
  </si>
  <si>
    <t>01-07-2023 08:00</t>
  </si>
  <si>
    <t>01-07-2023 08:15</t>
  </si>
  <si>
    <t>01-07-2023 08:30</t>
  </si>
  <si>
    <t>01-07-2023 08:45</t>
  </si>
  <si>
    <t>01-07-2023 09:00</t>
  </si>
  <si>
    <t>01-07-2023 09:15</t>
  </si>
  <si>
    <t>01-07-2023 09:30</t>
  </si>
  <si>
    <t>01-07-2023 09:45</t>
  </si>
  <si>
    <t>01-07-2023 10:00</t>
  </si>
  <si>
    <t>01-07-2023 10:15</t>
  </si>
  <si>
    <t>01-07-2023 10:30</t>
  </si>
  <si>
    <t>01-07-2023 10:45</t>
  </si>
  <si>
    <t>01-07-2023 11:00</t>
  </si>
  <si>
    <t>01-07-2023 11:15</t>
  </si>
  <si>
    <t>01-07-2023 11:30</t>
  </si>
  <si>
    <t>01-07-2023 11:45</t>
  </si>
  <si>
    <t>01-07-2023 12:00</t>
  </si>
  <si>
    <t>01-07-2023 12:15</t>
  </si>
  <si>
    <t>01-07-2023 12:30</t>
  </si>
  <si>
    <t>01-07-2023 12:45</t>
  </si>
  <si>
    <t>01-07-2023 13:00</t>
  </si>
  <si>
    <t>01-07-2023 13:15</t>
  </si>
  <si>
    <t>01-07-2023 13:30</t>
  </si>
  <si>
    <t>01-07-2023 13:45</t>
  </si>
  <si>
    <t>01-07-2023 14:00</t>
  </si>
  <si>
    <t>01-07-2023 14:15</t>
  </si>
  <si>
    <t>01-07-2023 14:30</t>
  </si>
  <si>
    <t>01-07-2023 14:45</t>
  </si>
  <si>
    <t>01-07-2023 15:00</t>
  </si>
  <si>
    <t>01-07-2023 15:15</t>
  </si>
  <si>
    <t>01-07-2023 15:30</t>
  </si>
  <si>
    <t>01-07-2023 15:45</t>
  </si>
  <si>
    <t>01-07-2023 16:00</t>
  </si>
  <si>
    <t>01-07-2023 16:15</t>
  </si>
  <si>
    <t>01-07-2023 16:30</t>
  </si>
  <si>
    <t>01-07-2023 16:45</t>
  </si>
  <si>
    <t>01-07-2023 17:00</t>
  </si>
  <si>
    <t>01-07-2023 17:15</t>
  </si>
  <si>
    <t>01-07-2023 17:30</t>
  </si>
  <si>
    <t>01-07-2023 17:45</t>
  </si>
  <si>
    <t>01-07-2023 18:00</t>
  </si>
  <si>
    <t>01-07-2023 18:15</t>
  </si>
  <si>
    <t>01-07-2023 18:30</t>
  </si>
  <si>
    <t>01-07-2023 18:45</t>
  </si>
  <si>
    <t>01-07-2023 19:00</t>
  </si>
  <si>
    <t>01-07-2023 19:15</t>
  </si>
  <si>
    <t>01-07-2023 19:30</t>
  </si>
  <si>
    <t>01-07-2023 19:45</t>
  </si>
  <si>
    <t>01-07-2023 20:00</t>
  </si>
  <si>
    <t>01-07-2023 20:15</t>
  </si>
  <si>
    <t>01-07-2023 20:30</t>
  </si>
  <si>
    <t>01-07-2023 20:45</t>
  </si>
  <si>
    <t>01-07-2023 21:00</t>
  </si>
  <si>
    <t>01-07-2023 21:15</t>
  </si>
  <si>
    <t>01-07-2023 21:30</t>
  </si>
  <si>
    <t>01-07-2023 21:45</t>
  </si>
  <si>
    <t>01-07-2023 22:00</t>
  </si>
  <si>
    <t>01-07-2023 22:15</t>
  </si>
  <si>
    <t>01-07-2023 22:30</t>
  </si>
  <si>
    <t>01-07-2023 22:45</t>
  </si>
  <si>
    <t>01-07-2023 23:00</t>
  </si>
  <si>
    <t>01-07-2023 23:15</t>
  </si>
  <si>
    <t>01-07-2023 23:30</t>
  </si>
  <si>
    <t>01-07-2023 23:45</t>
  </si>
  <si>
    <t>01-07-2023 24:00</t>
  </si>
  <si>
    <t>02-07-2023 00:15</t>
  </si>
  <si>
    <t>02-07-2023 00:30</t>
  </si>
  <si>
    <t>02-07-2023 00:45</t>
  </si>
  <si>
    <t>02-07-2023 01:00</t>
  </si>
  <si>
    <t>02-07-2023 01:15</t>
  </si>
  <si>
    <t>02-07-2023 01:30</t>
  </si>
  <si>
    <t>02-07-2023 01:45</t>
  </si>
  <si>
    <t>02-07-2023 02:00</t>
  </si>
  <si>
    <t>02-07-2023 02:15</t>
  </si>
  <si>
    <t>02-07-2023 02:30</t>
  </si>
  <si>
    <t>02-07-2023 02:45</t>
  </si>
  <si>
    <t>02-07-2023 03:00</t>
  </si>
  <si>
    <t>02-07-2023 03:15</t>
  </si>
  <si>
    <t>02-07-2023 03:30</t>
  </si>
  <si>
    <t>02-07-2023 03:45</t>
  </si>
  <si>
    <t>02-07-2023 04:00</t>
  </si>
  <si>
    <t>02-07-2023 04:15</t>
  </si>
  <si>
    <t>02-07-2023 04:30</t>
  </si>
  <si>
    <t>02-07-2023 04:45</t>
  </si>
  <si>
    <t>02-07-2023 05:00</t>
  </si>
  <si>
    <t>02-07-2023 05:15</t>
  </si>
  <si>
    <t>02-07-2023 05:30</t>
  </si>
  <si>
    <t>02-07-2023 05:45</t>
  </si>
  <si>
    <t>02-07-2023 06:00</t>
  </si>
  <si>
    <t>02-07-2023 06:15</t>
  </si>
  <si>
    <t>02-07-2023 06:30</t>
  </si>
  <si>
    <t>02-07-2023 06:45</t>
  </si>
  <si>
    <t>02-07-2023 07:00</t>
  </si>
  <si>
    <t>02-07-2023 07:15</t>
  </si>
  <si>
    <t>02-07-2023 07:30</t>
  </si>
  <si>
    <t>02-07-2023 07:45</t>
  </si>
  <si>
    <t>02-07-2023 08:00</t>
  </si>
  <si>
    <t>02-07-2023 08:15</t>
  </si>
  <si>
    <t>02-07-2023 08:30</t>
  </si>
  <si>
    <t>02-07-2023 08:45</t>
  </si>
  <si>
    <t>02-07-2023 09:00</t>
  </si>
  <si>
    <t>02-07-2023 09:15</t>
  </si>
  <si>
    <t>02-07-2023 09:30</t>
  </si>
  <si>
    <t>02-07-2023 09:45</t>
  </si>
  <si>
    <t>02-07-2023 10:00</t>
  </si>
  <si>
    <t>02-07-2023 10:15</t>
  </si>
  <si>
    <t>02-07-2023 10:30</t>
  </si>
  <si>
    <t>02-07-2023 10:45</t>
  </si>
  <si>
    <t>02-07-2023 11:00</t>
  </si>
  <si>
    <t>02-07-2023 11:15</t>
  </si>
  <si>
    <t>02-07-2023 11:30</t>
  </si>
  <si>
    <t>02-07-2023 11:45</t>
  </si>
  <si>
    <t>02-07-2023 12:00</t>
  </si>
  <si>
    <t>02-07-2023 12:15</t>
  </si>
  <si>
    <t>02-07-2023 12:30</t>
  </si>
  <si>
    <t>02-07-2023 12:45</t>
  </si>
  <si>
    <t>02-07-2023 13:00</t>
  </si>
  <si>
    <t>02-07-2023 13:15</t>
  </si>
  <si>
    <t>02-07-2023 13:30</t>
  </si>
  <si>
    <t>02-07-2023 13:45</t>
  </si>
  <si>
    <t>02-07-2023 14:00</t>
  </si>
  <si>
    <t>02-07-2023 14:15</t>
  </si>
  <si>
    <t>02-07-2023 14:30</t>
  </si>
  <si>
    <t>02-07-2023 14:45</t>
  </si>
  <si>
    <t>02-07-2023 15:00</t>
  </si>
  <si>
    <t>02-07-2023 15:15</t>
  </si>
  <si>
    <t>02-07-2023 15:30</t>
  </si>
  <si>
    <t>02-07-2023 15:45</t>
  </si>
  <si>
    <t>02-07-2023 16:00</t>
  </si>
  <si>
    <t>02-07-2023 16:15</t>
  </si>
  <si>
    <t>02-07-2023 16:30</t>
  </si>
  <si>
    <t>02-07-2023 16:45</t>
  </si>
  <si>
    <t>02-07-2023 17:00</t>
  </si>
  <si>
    <t>02-07-2023 17:15</t>
  </si>
  <si>
    <t>02-07-2023 17:30</t>
  </si>
  <si>
    <t>02-07-2023 17:45</t>
  </si>
  <si>
    <t>02-07-2023 18:00</t>
  </si>
  <si>
    <t>02-07-2023 18:15</t>
  </si>
  <si>
    <t>02-07-2023 18:30</t>
  </si>
  <si>
    <t>02-07-2023 18:45</t>
  </si>
  <si>
    <t>02-07-2023 19:00</t>
  </si>
  <si>
    <t>02-07-2023 19:15</t>
  </si>
  <si>
    <t>02-07-2023 19:30</t>
  </si>
  <si>
    <t>02-07-2023 19:45</t>
  </si>
  <si>
    <t>02-07-2023 20:00</t>
  </si>
  <si>
    <t>02-07-2023 20:15</t>
  </si>
  <si>
    <t>02-07-2023 20:30</t>
  </si>
  <si>
    <t>02-07-2023 20:45</t>
  </si>
  <si>
    <t>02-07-2023 21:00</t>
  </si>
  <si>
    <t>02-07-2023 21:15</t>
  </si>
  <si>
    <t>02-07-2023 21:30</t>
  </si>
  <si>
    <t>02-07-2023 21:45</t>
  </si>
  <si>
    <t>02-07-2023 22:00</t>
  </si>
  <si>
    <t>02-07-2023 22:15</t>
  </si>
  <si>
    <t>02-07-2023 22:30</t>
  </si>
  <si>
    <t>02-07-2023 22:45</t>
  </si>
  <si>
    <t>02-07-2023 23:00</t>
  </si>
  <si>
    <t>02-07-2023 23:15</t>
  </si>
  <si>
    <t>02-07-2023 23:30</t>
  </si>
  <si>
    <t>02-07-2023 23:45</t>
  </si>
  <si>
    <t>02-07-2023 24:00</t>
  </si>
  <si>
    <t>03-07-2023 00:15</t>
  </si>
  <si>
    <t>03-07-2023 00:30</t>
  </si>
  <si>
    <t>03-07-2023 00:45</t>
  </si>
  <si>
    <t>03-07-2023 01:00</t>
  </si>
  <si>
    <t>03-07-2023 01:15</t>
  </si>
  <si>
    <t>03-07-2023 01:30</t>
  </si>
  <si>
    <t>03-07-2023 01:45</t>
  </si>
  <si>
    <t>03-07-2023 02:00</t>
  </si>
  <si>
    <t>03-07-2023 02:15</t>
  </si>
  <si>
    <t>03-07-2023 02:30</t>
  </si>
  <si>
    <t>03-07-2023 02:45</t>
  </si>
  <si>
    <t>03-07-2023 03:00</t>
  </si>
  <si>
    <t>03-07-2023 03:15</t>
  </si>
  <si>
    <t>03-07-2023 03:30</t>
  </si>
  <si>
    <t>03-07-2023 03:45</t>
  </si>
  <si>
    <t>03-07-2023 04:00</t>
  </si>
  <si>
    <t>03-07-2023 04:15</t>
  </si>
  <si>
    <t>03-07-2023 04:30</t>
  </si>
  <si>
    <t>03-07-2023 04:45</t>
  </si>
  <si>
    <t>03-07-2023 05:00</t>
  </si>
  <si>
    <t>03-07-2023 05:15</t>
  </si>
  <si>
    <t>03-07-2023 05:30</t>
  </si>
  <si>
    <t>03-07-2023 05:45</t>
  </si>
  <si>
    <t>03-07-2023 06:00</t>
  </si>
  <si>
    <t>03-07-2023 06:15</t>
  </si>
  <si>
    <t>03-07-2023 06:30</t>
  </si>
  <si>
    <t>03-07-2023 06:45</t>
  </si>
  <si>
    <t>03-07-2023 07:00</t>
  </si>
  <si>
    <t>03-07-2023 07:15</t>
  </si>
  <si>
    <t>03-07-2023 07:30</t>
  </si>
  <si>
    <t>03-07-2023 07:45</t>
  </si>
  <si>
    <t>03-07-2023 08:00</t>
  </si>
  <si>
    <t>03-07-2023 08:15</t>
  </si>
  <si>
    <t>03-07-2023 08:30</t>
  </si>
  <si>
    <t>03-07-2023 08:45</t>
  </si>
  <si>
    <t>03-07-2023 09:00</t>
  </si>
  <si>
    <t>03-07-2023 09:15</t>
  </si>
  <si>
    <t>03-07-2023 09:30</t>
  </si>
  <si>
    <t>03-07-2023 09:45</t>
  </si>
  <si>
    <t>03-07-2023 10:00</t>
  </si>
  <si>
    <t>03-07-2023 10:15</t>
  </si>
  <si>
    <t>03-07-2023 10:30</t>
  </si>
  <si>
    <t>03-07-2023 10:45</t>
  </si>
  <si>
    <t>03-07-2023 11:00</t>
  </si>
  <si>
    <t>03-07-2023 11:15</t>
  </si>
  <si>
    <t>03-07-2023 11:30</t>
  </si>
  <si>
    <t>03-07-2023 11:45</t>
  </si>
  <si>
    <t>03-07-2023 12:00</t>
  </si>
  <si>
    <t>03-07-2023 12:15</t>
  </si>
  <si>
    <t>03-07-2023 12:30</t>
  </si>
  <si>
    <t>03-07-2023 12:45</t>
  </si>
  <si>
    <t>03-07-2023 13:00</t>
  </si>
  <si>
    <t>03-07-2023 13:15</t>
  </si>
  <si>
    <t>03-07-2023 13:30</t>
  </si>
  <si>
    <t>03-07-2023 13:45</t>
  </si>
  <si>
    <t>03-07-2023 14:00</t>
  </si>
  <si>
    <t>03-07-2023 14:15</t>
  </si>
  <si>
    <t>03-07-2023 14:30</t>
  </si>
  <si>
    <t>03-07-2023 14:45</t>
  </si>
  <si>
    <t>03-07-2023 15:00</t>
  </si>
  <si>
    <t>03-07-2023 15:15</t>
  </si>
  <si>
    <t>03-07-2023 15:30</t>
  </si>
  <si>
    <t>03-07-2023 15:45</t>
  </si>
  <si>
    <t>03-07-2023 16:00</t>
  </si>
  <si>
    <t>03-07-2023 16:15</t>
  </si>
  <si>
    <t>03-07-2023 16:30</t>
  </si>
  <si>
    <t>03-07-2023 16:45</t>
  </si>
  <si>
    <t>03-07-2023 17:00</t>
  </si>
  <si>
    <t>03-07-2023 17:15</t>
  </si>
  <si>
    <t>03-07-2023 17:30</t>
  </si>
  <si>
    <t>03-07-2023 17:45</t>
  </si>
  <si>
    <t>03-07-2023 18:00</t>
  </si>
  <si>
    <t>03-07-2023 18:15</t>
  </si>
  <si>
    <t>03-07-2023 18:30</t>
  </si>
  <si>
    <t>03-07-2023 18:45</t>
  </si>
  <si>
    <t>03-07-2023 19:00</t>
  </si>
  <si>
    <t>03-07-2023 19:15</t>
  </si>
  <si>
    <t>03-07-2023 19:30</t>
  </si>
  <si>
    <t>03-07-2023 19:45</t>
  </si>
  <si>
    <t>03-07-2023 20:00</t>
  </si>
  <si>
    <t>03-07-2023 20:15</t>
  </si>
  <si>
    <t>03-07-2023 20:30</t>
  </si>
  <si>
    <t>03-07-2023 20:45</t>
  </si>
  <si>
    <t>03-07-2023 21:00</t>
  </si>
  <si>
    <t>03-07-2023 21:15</t>
  </si>
  <si>
    <t>03-07-2023 21:30</t>
  </si>
  <si>
    <t>03-07-2023 21:45</t>
  </si>
  <si>
    <t>03-07-2023 22:00</t>
  </si>
  <si>
    <t>03-07-2023 22:15</t>
  </si>
  <si>
    <t>03-07-2023 22:30</t>
  </si>
  <si>
    <t>03-07-2023 22:45</t>
  </si>
  <si>
    <t>03-07-2023 23:00</t>
  </si>
  <si>
    <t>03-07-2023 23:15</t>
  </si>
  <si>
    <t>03-07-2023 23:30</t>
  </si>
  <si>
    <t>03-07-2023 23:45</t>
  </si>
  <si>
    <t>03-07-2023 24:00</t>
  </si>
  <si>
    <t>04-07-2023 00:15</t>
  </si>
  <si>
    <t>04-07-2023 00:30</t>
  </si>
  <si>
    <t>04-07-2023 00:45</t>
  </si>
  <si>
    <t>04-07-2023 01:00</t>
  </si>
  <si>
    <t>04-07-2023 01:15</t>
  </si>
  <si>
    <t>04-07-2023 01:30</t>
  </si>
  <si>
    <t>04-07-2023 01:45</t>
  </si>
  <si>
    <t>04-07-2023 02:00</t>
  </si>
  <si>
    <t>04-07-2023 02:15</t>
  </si>
  <si>
    <t>04-07-2023 02:30</t>
  </si>
  <si>
    <t>04-07-2023 02:45</t>
  </si>
  <si>
    <t>04-07-2023 03:00</t>
  </si>
  <si>
    <t>04-07-2023 03:15</t>
  </si>
  <si>
    <t>04-07-2023 03:30</t>
  </si>
  <si>
    <t>04-07-2023 03:45</t>
  </si>
  <si>
    <t>04-07-2023 04:00</t>
  </si>
  <si>
    <t>04-07-2023 04:15</t>
  </si>
  <si>
    <t>04-07-2023 04:30</t>
  </si>
  <si>
    <t>04-07-2023 04:45</t>
  </si>
  <si>
    <t>04-07-2023 05:00</t>
  </si>
  <si>
    <t>04-07-2023 05:15</t>
  </si>
  <si>
    <t>04-07-2023 05:30</t>
  </si>
  <si>
    <t>04-07-2023 05:45</t>
  </si>
  <si>
    <t>04-07-2023 06:00</t>
  </si>
  <si>
    <t>04-07-2023 06:15</t>
  </si>
  <si>
    <t>04-07-2023 06:30</t>
  </si>
  <si>
    <t>04-07-2023 06:45</t>
  </si>
  <si>
    <t>04-07-2023 07:00</t>
  </si>
  <si>
    <t>04-07-2023 07:15</t>
  </si>
  <si>
    <t>04-07-2023 07:30</t>
  </si>
  <si>
    <t>04-07-2023 07:45</t>
  </si>
  <si>
    <t>04-07-2023 08:00</t>
  </si>
  <si>
    <t>04-07-2023 08:15</t>
  </si>
  <si>
    <t>04-07-2023 08:30</t>
  </si>
  <si>
    <t>04-07-2023 08:45</t>
  </si>
  <si>
    <t>04-07-2023 09:00</t>
  </si>
  <si>
    <t>04-07-2023 09:15</t>
  </si>
  <si>
    <t>04-07-2023 09:30</t>
  </si>
  <si>
    <t>04-07-2023 09:45</t>
  </si>
  <si>
    <t>04-07-2023 10:00</t>
  </si>
  <si>
    <t>04-07-2023 10:15</t>
  </si>
  <si>
    <t>04-07-2023 10:30</t>
  </si>
  <si>
    <t>04-07-2023 10:45</t>
  </si>
  <si>
    <t>04-07-2023 11:00</t>
  </si>
  <si>
    <t>04-07-2023 11:15</t>
  </si>
  <si>
    <t>04-07-2023 11:30</t>
  </si>
  <si>
    <t>04-07-2023 11:45</t>
  </si>
  <si>
    <t>04-07-2023 12:00</t>
  </si>
  <si>
    <t>04-07-2023 12:15</t>
  </si>
  <si>
    <t>04-07-2023 12:30</t>
  </si>
  <si>
    <t>04-07-2023 12:45</t>
  </si>
  <si>
    <t>04-07-2023 13:00</t>
  </si>
  <si>
    <t>04-07-2023 13:15</t>
  </si>
  <si>
    <t>04-07-2023 13:30</t>
  </si>
  <si>
    <t>04-07-2023 13:45</t>
  </si>
  <si>
    <t>04-07-2023 14:00</t>
  </si>
  <si>
    <t>04-07-2023 14:15</t>
  </si>
  <si>
    <t>04-07-2023 14:30</t>
  </si>
  <si>
    <t>04-07-2023 14:45</t>
  </si>
  <si>
    <t>04-07-2023 15:00</t>
  </si>
  <si>
    <t>04-07-2023 15:15</t>
  </si>
  <si>
    <t>04-07-2023 15:30</t>
  </si>
  <si>
    <t>04-07-2023 15:45</t>
  </si>
  <si>
    <t>04-07-2023 16:00</t>
  </si>
  <si>
    <t>04-07-2023 16:15</t>
  </si>
  <si>
    <t>04-07-2023 16:30</t>
  </si>
  <si>
    <t>04-07-2023 16:45</t>
  </si>
  <si>
    <t>04-07-2023 17:00</t>
  </si>
  <si>
    <t>04-07-2023 17:15</t>
  </si>
  <si>
    <t>04-07-2023 17:30</t>
  </si>
  <si>
    <t>04-07-2023 17:45</t>
  </si>
  <si>
    <t>04-07-2023 18:00</t>
  </si>
  <si>
    <t>04-07-2023 18:15</t>
  </si>
  <si>
    <t>04-07-2023 18:30</t>
  </si>
  <si>
    <t>04-07-2023 18:45</t>
  </si>
  <si>
    <t>04-07-2023 19:00</t>
  </si>
  <si>
    <t>04-07-2023 19:15</t>
  </si>
  <si>
    <t>04-07-2023 19:30</t>
  </si>
  <si>
    <t>04-07-2023 19:45</t>
  </si>
  <si>
    <t>04-07-2023 20:00</t>
  </si>
  <si>
    <t>04-07-2023 20:15</t>
  </si>
  <si>
    <t>04-07-2023 20:30</t>
  </si>
  <si>
    <t>04-07-2023 20:45</t>
  </si>
  <si>
    <t>04-07-2023 21:00</t>
  </si>
  <si>
    <t>04-07-2023 21:15</t>
  </si>
  <si>
    <t>04-07-2023 21:30</t>
  </si>
  <si>
    <t>04-07-2023 21:45</t>
  </si>
  <si>
    <t>04-07-2023 22:00</t>
  </si>
  <si>
    <t>04-07-2023 22:15</t>
  </si>
  <si>
    <t>04-07-2023 22:30</t>
  </si>
  <si>
    <t>04-07-2023 22:45</t>
  </si>
  <si>
    <t>04-07-2023 23:00</t>
  </si>
  <si>
    <t>04-07-2023 23:15</t>
  </si>
  <si>
    <t>04-07-2023 23:30</t>
  </si>
  <si>
    <t>04-07-2023 23:45</t>
  </si>
  <si>
    <t>04-07-2023 24:00</t>
  </si>
  <si>
    <t>05-07-2023 00:15</t>
  </si>
  <si>
    <t>05-07-2023 00:30</t>
  </si>
  <si>
    <t>05-07-2023 00:45</t>
  </si>
  <si>
    <t>05-07-2023 01:00</t>
  </si>
  <si>
    <t>05-07-2023 01:15</t>
  </si>
  <si>
    <t>05-07-2023 01:30</t>
  </si>
  <si>
    <t>05-07-2023 01:45</t>
  </si>
  <si>
    <t>05-07-2023 02:00</t>
  </si>
  <si>
    <t>05-07-2023 02:15</t>
  </si>
  <si>
    <t>05-07-2023 02:30</t>
  </si>
  <si>
    <t>05-07-2023 02:45</t>
  </si>
  <si>
    <t>05-07-2023 03:00</t>
  </si>
  <si>
    <t>05-07-2023 03:15</t>
  </si>
  <si>
    <t>05-07-2023 03:30</t>
  </si>
  <si>
    <t>05-07-2023 03:45</t>
  </si>
  <si>
    <t>05-07-2023 04:00</t>
  </si>
  <si>
    <t>05-07-2023 04:15</t>
  </si>
  <si>
    <t>05-07-2023 04:30</t>
  </si>
  <si>
    <t>05-07-2023 04:45</t>
  </si>
  <si>
    <t>05-07-2023 05:00</t>
  </si>
  <si>
    <t>05-07-2023 05:15</t>
  </si>
  <si>
    <t>05-07-2023 05:30</t>
  </si>
  <si>
    <t>05-07-2023 05:45</t>
  </si>
  <si>
    <t>05-07-2023 06:00</t>
  </si>
  <si>
    <t>05-07-2023 06:15</t>
  </si>
  <si>
    <t>05-07-2023 06:30</t>
  </si>
  <si>
    <t>05-07-2023 06:45</t>
  </si>
  <si>
    <t>05-07-2023 07:00</t>
  </si>
  <si>
    <t>05-07-2023 07:15</t>
  </si>
  <si>
    <t>05-07-2023 07:30</t>
  </si>
  <si>
    <t>05-07-2023 07:45</t>
  </si>
  <si>
    <t>05-07-2023 08:00</t>
  </si>
  <si>
    <t>05-07-2023 08:15</t>
  </si>
  <si>
    <t>05-07-2023 08:30</t>
  </si>
  <si>
    <t>05-07-2023 08:45</t>
  </si>
  <si>
    <t>05-07-2023 09:00</t>
  </si>
  <si>
    <t>05-07-2023 09:15</t>
  </si>
  <si>
    <t>05-07-2023 09:30</t>
  </si>
  <si>
    <t>05-07-2023 09:45</t>
  </si>
  <si>
    <t>05-07-2023 10:00</t>
  </si>
  <si>
    <t>05-07-2023 10:15</t>
  </si>
  <si>
    <t>05-07-2023 10:30</t>
  </si>
  <si>
    <t>05-07-2023 10:45</t>
  </si>
  <si>
    <t>05-07-2023 11:00</t>
  </si>
  <si>
    <t>05-07-2023 11:15</t>
  </si>
  <si>
    <t>05-07-2023 11:30</t>
  </si>
  <si>
    <t>05-07-2023 11:45</t>
  </si>
  <si>
    <t>05-07-2023 12:00</t>
  </si>
  <si>
    <t>05-07-2023 12:15</t>
  </si>
  <si>
    <t>05-07-2023 12:30</t>
  </si>
  <si>
    <t>05-07-2023 12:45</t>
  </si>
  <si>
    <t>05-07-2023 13:00</t>
  </si>
  <si>
    <t>05-07-2023 13:15</t>
  </si>
  <si>
    <t>05-07-2023 13:30</t>
  </si>
  <si>
    <t>05-07-2023 13:45</t>
  </si>
  <si>
    <t>05-07-2023 14:00</t>
  </si>
  <si>
    <t>05-07-2023 14:15</t>
  </si>
  <si>
    <t>05-07-2023 14:30</t>
  </si>
  <si>
    <t>05-07-2023 14:45</t>
  </si>
  <si>
    <t>05-07-2023 15:00</t>
  </si>
  <si>
    <t>05-07-2023 15:15</t>
  </si>
  <si>
    <t>05-07-2023 15:30</t>
  </si>
  <si>
    <t>05-07-2023 15:45</t>
  </si>
  <si>
    <t>05-07-2023 16:00</t>
  </si>
  <si>
    <t>05-07-2023 16:15</t>
  </si>
  <si>
    <t>05-07-2023 16:30</t>
  </si>
  <si>
    <t>05-07-2023 16:45</t>
  </si>
  <si>
    <t>05-07-2023 17:00</t>
  </si>
  <si>
    <t>05-07-2023 17:15</t>
  </si>
  <si>
    <t>05-07-2023 17:30</t>
  </si>
  <si>
    <t>05-07-2023 17:45</t>
  </si>
  <si>
    <t>05-07-2023 18:00</t>
  </si>
  <si>
    <t>05-07-2023 18:15</t>
  </si>
  <si>
    <t>05-07-2023 18:30</t>
  </si>
  <si>
    <t>05-07-2023 18:45</t>
  </si>
  <si>
    <t>05-07-2023 19:00</t>
  </si>
  <si>
    <t>05-07-2023 19:15</t>
  </si>
  <si>
    <t>05-07-2023 19:30</t>
  </si>
  <si>
    <t>05-07-2023 19:45</t>
  </si>
  <si>
    <t>05-07-2023 20:00</t>
  </si>
  <si>
    <t>05-07-2023 20:15</t>
  </si>
  <si>
    <t>05-07-2023 20:30</t>
  </si>
  <si>
    <t>05-07-2023 20:45</t>
  </si>
  <si>
    <t>05-07-2023 21:00</t>
  </si>
  <si>
    <t>05-07-2023 21:15</t>
  </si>
  <si>
    <t>05-07-2023 21:30</t>
  </si>
  <si>
    <t>05-07-2023 21:45</t>
  </si>
  <si>
    <t>05-07-2023 22:00</t>
  </si>
  <si>
    <t>05-07-2023 22:15</t>
  </si>
  <si>
    <t>05-07-2023 22:30</t>
  </si>
  <si>
    <t>05-07-2023 22:45</t>
  </si>
  <si>
    <t>05-07-2023 23:00</t>
  </si>
  <si>
    <t>05-07-2023 23:15</t>
  </si>
  <si>
    <t>05-07-2023 23:30</t>
  </si>
  <si>
    <t>05-07-2023 23:45</t>
  </si>
  <si>
    <t>05-07-2023 24:00</t>
  </si>
  <si>
    <t>06-07-2023 00:15</t>
  </si>
  <si>
    <t>06-07-2023 00:30</t>
  </si>
  <si>
    <t>06-07-2023 00:45</t>
  </si>
  <si>
    <t>06-07-2023 01:00</t>
  </si>
  <si>
    <t>06-07-2023 01:15</t>
  </si>
  <si>
    <t>06-07-2023 01:30</t>
  </si>
  <si>
    <t>06-07-2023 01:45</t>
  </si>
  <si>
    <t>06-07-2023 02:00</t>
  </si>
  <si>
    <t>06-07-2023 02:15</t>
  </si>
  <si>
    <t>06-07-2023 02:30</t>
  </si>
  <si>
    <t>06-07-2023 02:45</t>
  </si>
  <si>
    <t>06-07-2023 03:00</t>
  </si>
  <si>
    <t>06-07-2023 03:15</t>
  </si>
  <si>
    <t>06-07-2023 03:30</t>
  </si>
  <si>
    <t>06-07-2023 03:45</t>
  </si>
  <si>
    <t>06-07-2023 04:00</t>
  </si>
  <si>
    <t>06-07-2023 04:15</t>
  </si>
  <si>
    <t>06-07-2023 04:30</t>
  </si>
  <si>
    <t>06-07-2023 04:45</t>
  </si>
  <si>
    <t>06-07-2023 05:00</t>
  </si>
  <si>
    <t>06-07-2023 05:15</t>
  </si>
  <si>
    <t>06-07-2023 05:30</t>
  </si>
  <si>
    <t>06-07-2023 05:45</t>
  </si>
  <si>
    <t>06-07-2023 06:00</t>
  </si>
  <si>
    <t>06-07-2023 06:15</t>
  </si>
  <si>
    <t>06-07-2023 06:30</t>
  </si>
  <si>
    <t>06-07-2023 06:45</t>
  </si>
  <si>
    <t>06-07-2023 07:00</t>
  </si>
  <si>
    <t>06-07-2023 07:15</t>
  </si>
  <si>
    <t>06-07-2023 07:30</t>
  </si>
  <si>
    <t>06-07-2023 07:45</t>
  </si>
  <si>
    <t>06-07-2023 08:00</t>
  </si>
  <si>
    <t>06-07-2023 08:15</t>
  </si>
  <si>
    <t>06-07-2023 08:30</t>
  </si>
  <si>
    <t>06-07-2023 08:45</t>
  </si>
  <si>
    <t>06-07-2023 09:00</t>
  </si>
  <si>
    <t>06-07-2023 09:15</t>
  </si>
  <si>
    <t>06-07-2023 09:30</t>
  </si>
  <si>
    <t>06-07-2023 09:45</t>
  </si>
  <si>
    <t>06-07-2023 10:00</t>
  </si>
  <si>
    <t>06-07-2023 10:15</t>
  </si>
  <si>
    <t>06-07-2023 10:30</t>
  </si>
  <si>
    <t>06-07-2023 10:45</t>
  </si>
  <si>
    <t>06-07-2023 11:00</t>
  </si>
  <si>
    <t>06-07-2023 11:15</t>
  </si>
  <si>
    <t>06-07-2023 11:30</t>
  </si>
  <si>
    <t>06-07-2023 11:45</t>
  </si>
  <si>
    <t>06-07-2023 12:00</t>
  </si>
  <si>
    <t>06-07-2023 12:15</t>
  </si>
  <si>
    <t>06-07-2023 12:30</t>
  </si>
  <si>
    <t>06-07-2023 12:45</t>
  </si>
  <si>
    <t>06-07-2023 13:00</t>
  </si>
  <si>
    <t>06-07-2023 13:15</t>
  </si>
  <si>
    <t>06-07-2023 13:30</t>
  </si>
  <si>
    <t>06-07-2023 13:45</t>
  </si>
  <si>
    <t>06-07-2023 14:00</t>
  </si>
  <si>
    <t>06-07-2023 14:15</t>
  </si>
  <si>
    <t>06-07-2023 14:30</t>
  </si>
  <si>
    <t>06-07-2023 14:45</t>
  </si>
  <si>
    <t>06-07-2023 15:00</t>
  </si>
  <si>
    <t>06-07-2023 15:15</t>
  </si>
  <si>
    <t>06-07-2023 15:30</t>
  </si>
  <si>
    <t>06-07-2023 15:45</t>
  </si>
  <si>
    <t>06-07-2023 16:00</t>
  </si>
  <si>
    <t>06-07-2023 16:15</t>
  </si>
  <si>
    <t>06-07-2023 16:30</t>
  </si>
  <si>
    <t>06-07-2023 16:45</t>
  </si>
  <si>
    <t>06-07-2023 17:00</t>
  </si>
  <si>
    <t>06-07-2023 17:15</t>
  </si>
  <si>
    <t>06-07-2023 17:30</t>
  </si>
  <si>
    <t>06-07-2023 17:45</t>
  </si>
  <si>
    <t>06-07-2023 18:00</t>
  </si>
  <si>
    <t>06-07-2023 18:15</t>
  </si>
  <si>
    <t>06-07-2023 18:30</t>
  </si>
  <si>
    <t>06-07-2023 18:45</t>
  </si>
  <si>
    <t>06-07-2023 19:00</t>
  </si>
  <si>
    <t>06-07-2023 19:15</t>
  </si>
  <si>
    <t>06-07-2023 19:30</t>
  </si>
  <si>
    <t>06-07-2023 19:45</t>
  </si>
  <si>
    <t>06-07-2023 20:00</t>
  </si>
  <si>
    <t>06-07-2023 20:15</t>
  </si>
  <si>
    <t>06-07-2023 20:30</t>
  </si>
  <si>
    <t>06-07-2023 20:45</t>
  </si>
  <si>
    <t>06-07-2023 21:00</t>
  </si>
  <si>
    <t>06-07-2023 21:15</t>
  </si>
  <si>
    <t>06-07-2023 21:30</t>
  </si>
  <si>
    <t>06-07-2023 21:45</t>
  </si>
  <si>
    <t>06-07-2023 22:00</t>
  </si>
  <si>
    <t>06-07-2023 22:15</t>
  </si>
  <si>
    <t>06-07-2023 22:30</t>
  </si>
  <si>
    <t>06-07-2023 22:45</t>
  </si>
  <si>
    <t>06-07-2023 23:00</t>
  </si>
  <si>
    <t>06-07-2023 23:15</t>
  </si>
  <si>
    <t>06-07-2023 23:30</t>
  </si>
  <si>
    <t>06-07-2023 23:45</t>
  </si>
  <si>
    <t>06-07-2023 24:00</t>
  </si>
  <si>
    <t>07-07-2023 00:15</t>
  </si>
  <si>
    <t>07-07-2023 00:30</t>
  </si>
  <si>
    <t>07-07-2023 00:45</t>
  </si>
  <si>
    <t>07-07-2023 01:00</t>
  </si>
  <si>
    <t>07-07-2023 01:15</t>
  </si>
  <si>
    <t>07-07-2023 01:30</t>
  </si>
  <si>
    <t>07-07-2023 01:45</t>
  </si>
  <si>
    <t>07-07-2023 02:00</t>
  </si>
  <si>
    <t>07-07-2023 02:15</t>
  </si>
  <si>
    <t>07-07-2023 02:30</t>
  </si>
  <si>
    <t>07-07-2023 02:45</t>
  </si>
  <si>
    <t>07-07-2023 03:00</t>
  </si>
  <si>
    <t>07-07-2023 03:15</t>
  </si>
  <si>
    <t>07-07-2023 03:30</t>
  </si>
  <si>
    <t>07-07-2023 03:45</t>
  </si>
  <si>
    <t>07-07-2023 04:00</t>
  </si>
  <si>
    <t>07-07-2023 04:15</t>
  </si>
  <si>
    <t>07-07-2023 04:30</t>
  </si>
  <si>
    <t>07-07-2023 04:45</t>
  </si>
  <si>
    <t>07-07-2023 05:00</t>
  </si>
  <si>
    <t>07-07-2023 05:15</t>
  </si>
  <si>
    <t>07-07-2023 05:30</t>
  </si>
  <si>
    <t>07-07-2023 05:45</t>
  </si>
  <si>
    <t>07-07-2023 06:00</t>
  </si>
  <si>
    <t>07-07-2023 06:15</t>
  </si>
  <si>
    <t>07-07-2023 06:30</t>
  </si>
  <si>
    <t>07-07-2023 06:45</t>
  </si>
  <si>
    <t>07-07-2023 07:00</t>
  </si>
  <si>
    <t>07-07-2023 07:15</t>
  </si>
  <si>
    <t>07-07-2023 07:30</t>
  </si>
  <si>
    <t>07-07-2023 07:45</t>
  </si>
  <si>
    <t>07-07-2023 08:00</t>
  </si>
  <si>
    <t>07-07-2023 08:15</t>
  </si>
  <si>
    <t>07-07-2023 08:30</t>
  </si>
  <si>
    <t>07-07-2023 08:45</t>
  </si>
  <si>
    <t>07-07-2023 09:00</t>
  </si>
  <si>
    <t>07-07-2023 09:15</t>
  </si>
  <si>
    <t>07-07-2023 09:30</t>
  </si>
  <si>
    <t>07-07-2023 09:45</t>
  </si>
  <si>
    <t>07-07-2023 10:00</t>
  </si>
  <si>
    <t>07-07-2023 10:15</t>
  </si>
  <si>
    <t>07-07-2023 10:30</t>
  </si>
  <si>
    <t>07-07-2023 10:45</t>
  </si>
  <si>
    <t>07-07-2023 11:00</t>
  </si>
  <si>
    <t>07-07-2023 11:15</t>
  </si>
  <si>
    <t>07-07-2023 11:30</t>
  </si>
  <si>
    <t>07-07-2023 11:45</t>
  </si>
  <si>
    <t>07-07-2023 12:00</t>
  </si>
  <si>
    <t>07-07-2023 12:15</t>
  </si>
  <si>
    <t>07-07-2023 12:30</t>
  </si>
  <si>
    <t>07-07-2023 12:45</t>
  </si>
  <si>
    <t>07-07-2023 13:00</t>
  </si>
  <si>
    <t>07-07-2023 13:15</t>
  </si>
  <si>
    <t>07-07-2023 13:30</t>
  </si>
  <si>
    <t>07-07-2023 13:45</t>
  </si>
  <si>
    <t>07-07-2023 14:00</t>
  </si>
  <si>
    <t>07-07-2023 14:15</t>
  </si>
  <si>
    <t>07-07-2023 14:30</t>
  </si>
  <si>
    <t>07-07-2023 14:45</t>
  </si>
  <si>
    <t>07-07-2023 15:00</t>
  </si>
  <si>
    <t>07-07-2023 15:15</t>
  </si>
  <si>
    <t>07-07-2023 15:30</t>
  </si>
  <si>
    <t>07-07-2023 15:45</t>
  </si>
  <si>
    <t>07-07-2023 16:00</t>
  </si>
  <si>
    <t>07-07-2023 16:15</t>
  </si>
  <si>
    <t>07-07-2023 16:30</t>
  </si>
  <si>
    <t>07-07-2023 16:45</t>
  </si>
  <si>
    <t>07-07-2023 17:00</t>
  </si>
  <si>
    <t>07-07-2023 17:15</t>
  </si>
  <si>
    <t>07-07-2023 17:30</t>
  </si>
  <si>
    <t>07-07-2023 17:45</t>
  </si>
  <si>
    <t>07-07-2023 18:00</t>
  </si>
  <si>
    <t>07-07-2023 18:15</t>
  </si>
  <si>
    <t>07-07-2023 18:30</t>
  </si>
  <si>
    <t>07-07-2023 18:45</t>
  </si>
  <si>
    <t>07-07-2023 19:00</t>
  </si>
  <si>
    <t>07-07-2023 19:15</t>
  </si>
  <si>
    <t>07-07-2023 19:30</t>
  </si>
  <si>
    <t>07-07-2023 19:45</t>
  </si>
  <si>
    <t>07-07-2023 20:00</t>
  </si>
  <si>
    <t>07-07-2023 20:15</t>
  </si>
  <si>
    <t>07-07-2023 20:30</t>
  </si>
  <si>
    <t>07-07-2023 20:45</t>
  </si>
  <si>
    <t>07-07-2023 21:00</t>
  </si>
  <si>
    <t>07-07-2023 21:15</t>
  </si>
  <si>
    <t>07-07-2023 21:30</t>
  </si>
  <si>
    <t>07-07-2023 21:45</t>
  </si>
  <si>
    <t>07-07-2023 22:00</t>
  </si>
  <si>
    <t>07-07-2023 22:15</t>
  </si>
  <si>
    <t>07-07-2023 22:30</t>
  </si>
  <si>
    <t>07-07-2023 22:45</t>
  </si>
  <si>
    <t>07-07-2023 23:00</t>
  </si>
  <si>
    <t>07-07-2023 23:15</t>
  </si>
  <si>
    <t>07-07-2023 23:30</t>
  </si>
  <si>
    <t>07-07-2023 23:45</t>
  </si>
  <si>
    <t>07-07-2023 24:00</t>
  </si>
  <si>
    <t>08-07-2023 00:15</t>
  </si>
  <si>
    <t>08-07-2023 00:30</t>
  </si>
  <si>
    <t>08-07-2023 00:45</t>
  </si>
  <si>
    <t>08-07-2023 01:00</t>
  </si>
  <si>
    <t>08-07-2023 01:15</t>
  </si>
  <si>
    <t>08-07-2023 01:30</t>
  </si>
  <si>
    <t>08-07-2023 01:45</t>
  </si>
  <si>
    <t>08-07-2023 02:00</t>
  </si>
  <si>
    <t>08-07-2023 02:15</t>
  </si>
  <si>
    <t>08-07-2023 02:30</t>
  </si>
  <si>
    <t>08-07-2023 02:45</t>
  </si>
  <si>
    <t>08-07-2023 03:00</t>
  </si>
  <si>
    <t>08-07-2023 03:15</t>
  </si>
  <si>
    <t>08-07-2023 03:30</t>
  </si>
  <si>
    <t>08-07-2023 03:45</t>
  </si>
  <si>
    <t>08-07-2023 04:00</t>
  </si>
  <si>
    <t>08-07-2023 04:15</t>
  </si>
  <si>
    <t>08-07-2023 04:30</t>
  </si>
  <si>
    <t>08-07-2023 04:45</t>
  </si>
  <si>
    <t>08-07-2023 05:00</t>
  </si>
  <si>
    <t>08-07-2023 05:15</t>
  </si>
  <si>
    <t>08-07-2023 05:30</t>
  </si>
  <si>
    <t>08-07-2023 05:45</t>
  </si>
  <si>
    <t>08-07-2023 06:00</t>
  </si>
  <si>
    <t>08-07-2023 06:15</t>
  </si>
  <si>
    <t>08-07-2023 06:30</t>
  </si>
  <si>
    <t>08-07-2023 06:45</t>
  </si>
  <si>
    <t>08-07-2023 07:00</t>
  </si>
  <si>
    <t>08-07-2023 07:15</t>
  </si>
  <si>
    <t>08-07-2023 07:30</t>
  </si>
  <si>
    <t>08-07-2023 07:45</t>
  </si>
  <si>
    <t>08-07-2023 08:00</t>
  </si>
  <si>
    <t>08-07-2023 08:15</t>
  </si>
  <si>
    <t>08-07-2023 08:30</t>
  </si>
  <si>
    <t>08-07-2023 08:45</t>
  </si>
  <si>
    <t>08-07-2023 09:00</t>
  </si>
  <si>
    <t>08-07-2023 09:15</t>
  </si>
  <si>
    <t>08-07-2023 09:30</t>
  </si>
  <si>
    <t>08-07-2023 09:45</t>
  </si>
  <si>
    <t>08-07-2023 10:00</t>
  </si>
  <si>
    <t>08-07-2023 10:15</t>
  </si>
  <si>
    <t>08-07-2023 10:30</t>
  </si>
  <si>
    <t>08-07-2023 10:45</t>
  </si>
  <si>
    <t>08-07-2023 11:00</t>
  </si>
  <si>
    <t>08-07-2023 11:15</t>
  </si>
  <si>
    <t>08-07-2023 11:30</t>
  </si>
  <si>
    <t>08-07-2023 11:45</t>
  </si>
  <si>
    <t>08-07-2023 12:00</t>
  </si>
  <si>
    <t>08-07-2023 12:15</t>
  </si>
  <si>
    <t>08-07-2023 12:30</t>
  </si>
  <si>
    <t>08-07-2023 12:45</t>
  </si>
  <si>
    <t>08-07-2023 13:00</t>
  </si>
  <si>
    <t>08-07-2023 13:15</t>
  </si>
  <si>
    <t>08-07-2023 13:30</t>
  </si>
  <si>
    <t>08-07-2023 13:45</t>
  </si>
  <si>
    <t>08-07-2023 14:00</t>
  </si>
  <si>
    <t>08-07-2023 14:15</t>
  </si>
  <si>
    <t>08-07-2023 14:30</t>
  </si>
  <si>
    <t>08-07-2023 14:45</t>
  </si>
  <si>
    <t>08-07-2023 15:00</t>
  </si>
  <si>
    <t>08-07-2023 15:15</t>
  </si>
  <si>
    <t>08-07-2023 15:30</t>
  </si>
  <si>
    <t>08-07-2023 15:45</t>
  </si>
  <si>
    <t>08-07-2023 16:00</t>
  </si>
  <si>
    <t>08-07-2023 16:15</t>
  </si>
  <si>
    <t>08-07-2023 16:30</t>
  </si>
  <si>
    <t>08-07-2023 16:45</t>
  </si>
  <si>
    <t>08-07-2023 17:00</t>
  </si>
  <si>
    <t>08-07-2023 17:15</t>
  </si>
  <si>
    <t>08-07-2023 17:30</t>
  </si>
  <si>
    <t>08-07-2023 17:45</t>
  </si>
  <si>
    <t>08-07-2023 18:00</t>
  </si>
  <si>
    <t>08-07-2023 18:15</t>
  </si>
  <si>
    <t>08-07-2023 18:30</t>
  </si>
  <si>
    <t>08-07-2023 18:45</t>
  </si>
  <si>
    <t>08-07-2023 19:00</t>
  </si>
  <si>
    <t>08-07-2023 19:15</t>
  </si>
  <si>
    <t>08-07-2023 19:30</t>
  </si>
  <si>
    <t>08-07-2023 19:45</t>
  </si>
  <si>
    <t>08-07-2023 20:00</t>
  </si>
  <si>
    <t>08-07-2023 20:15</t>
  </si>
  <si>
    <t>08-07-2023 20:30</t>
  </si>
  <si>
    <t>08-07-2023 20:45</t>
  </si>
  <si>
    <t>08-07-2023 21:00</t>
  </si>
  <si>
    <t>08-07-2023 21:15</t>
  </si>
  <si>
    <t>08-07-2023 21:30</t>
  </si>
  <si>
    <t>08-07-2023 21:45</t>
  </si>
  <si>
    <t>08-07-2023 22:00</t>
  </si>
  <si>
    <t>08-07-2023 22:15</t>
  </si>
  <si>
    <t>08-07-2023 22:30</t>
  </si>
  <si>
    <t>08-07-2023 22:45</t>
  </si>
  <si>
    <t>08-07-2023 23:00</t>
  </si>
  <si>
    <t>08-07-2023 23:15</t>
  </si>
  <si>
    <t>08-07-2023 23:30</t>
  </si>
  <si>
    <t>08-07-2023 23:45</t>
  </si>
  <si>
    <t>08-07-2023 24:00</t>
  </si>
  <si>
    <t>09-07-2023 00:15</t>
  </si>
  <si>
    <t>09-07-2023 00:30</t>
  </si>
  <si>
    <t>09-07-2023 00:45</t>
  </si>
  <si>
    <t>09-07-2023 01:00</t>
  </si>
  <si>
    <t>09-07-2023 01:15</t>
  </si>
  <si>
    <t>09-07-2023 01:30</t>
  </si>
  <si>
    <t>09-07-2023 01:45</t>
  </si>
  <si>
    <t>09-07-2023 02:00</t>
  </si>
  <si>
    <t>09-07-2023 02:15</t>
  </si>
  <si>
    <t>09-07-2023 02:30</t>
  </si>
  <si>
    <t>09-07-2023 02:45</t>
  </si>
  <si>
    <t>09-07-2023 03:00</t>
  </si>
  <si>
    <t>09-07-2023 03:15</t>
  </si>
  <si>
    <t>09-07-2023 03:30</t>
  </si>
  <si>
    <t>09-07-2023 03:45</t>
  </si>
  <si>
    <t>09-07-2023 04:00</t>
  </si>
  <si>
    <t>09-07-2023 04:15</t>
  </si>
  <si>
    <t>09-07-2023 04:30</t>
  </si>
  <si>
    <t>09-07-2023 04:45</t>
  </si>
  <si>
    <t>09-07-2023 05:00</t>
  </si>
  <si>
    <t>09-07-2023 05:15</t>
  </si>
  <si>
    <t>09-07-2023 05:30</t>
  </si>
  <si>
    <t>09-07-2023 05:45</t>
  </si>
  <si>
    <t>09-07-2023 06:00</t>
  </si>
  <si>
    <t>09-07-2023 06:15</t>
  </si>
  <si>
    <t>09-07-2023 06:30</t>
  </si>
  <si>
    <t>09-07-2023 06:45</t>
  </si>
  <si>
    <t>09-07-2023 07:00</t>
  </si>
  <si>
    <t>09-07-2023 07:15</t>
  </si>
  <si>
    <t>09-07-2023 07:30</t>
  </si>
  <si>
    <t>09-07-2023 07:45</t>
  </si>
  <si>
    <t>09-07-2023 08:00</t>
  </si>
  <si>
    <t>09-07-2023 08:15</t>
  </si>
  <si>
    <t>09-07-2023 08:30</t>
  </si>
  <si>
    <t>09-07-2023 08:45</t>
  </si>
  <si>
    <t>09-07-2023 09:00</t>
  </si>
  <si>
    <t>09-07-2023 09:15</t>
  </si>
  <si>
    <t>09-07-2023 09:30</t>
  </si>
  <si>
    <t>09-07-2023 09:45</t>
  </si>
  <si>
    <t>09-07-2023 10:00</t>
  </si>
  <si>
    <t>09-07-2023 10:15</t>
  </si>
  <si>
    <t>09-07-2023 10:30</t>
  </si>
  <si>
    <t>09-07-2023 10:45</t>
  </si>
  <si>
    <t>09-07-2023 11:00</t>
  </si>
  <si>
    <t>09-07-2023 11:15</t>
  </si>
  <si>
    <t>09-07-2023 11:30</t>
  </si>
  <si>
    <t>09-07-2023 11:45</t>
  </si>
  <si>
    <t>09-07-2023 12:00</t>
  </si>
  <si>
    <t>09-07-2023 12:15</t>
  </si>
  <si>
    <t>09-07-2023 12:30</t>
  </si>
  <si>
    <t>09-07-2023 12:45</t>
  </si>
  <si>
    <t>09-07-2023 13:00</t>
  </si>
  <si>
    <t>09-07-2023 13:15</t>
  </si>
  <si>
    <t>09-07-2023 13:30</t>
  </si>
  <si>
    <t>09-07-2023 13:45</t>
  </si>
  <si>
    <t>09-07-2023 14:00</t>
  </si>
  <si>
    <t>09-07-2023 14:15</t>
  </si>
  <si>
    <t>09-07-2023 14:30</t>
  </si>
  <si>
    <t>09-07-2023 14:45</t>
  </si>
  <si>
    <t>09-07-2023 15:00</t>
  </si>
  <si>
    <t>09-07-2023 15:15</t>
  </si>
  <si>
    <t>09-07-2023 15:30</t>
  </si>
  <si>
    <t>09-07-2023 15:45</t>
  </si>
  <si>
    <t>09-07-2023 16:00</t>
  </si>
  <si>
    <t>09-07-2023 16:15</t>
  </si>
  <si>
    <t>09-07-2023 16:30</t>
  </si>
  <si>
    <t>09-07-2023 16:45</t>
  </si>
  <si>
    <t>09-07-2023 17:00</t>
  </si>
  <si>
    <t>09-07-2023 17:15</t>
  </si>
  <si>
    <t>09-07-2023 17:30</t>
  </si>
  <si>
    <t>09-07-2023 17:45</t>
  </si>
  <si>
    <t>09-07-2023 18:00</t>
  </si>
  <si>
    <t>09-07-2023 18:15</t>
  </si>
  <si>
    <t>09-07-2023 18:30</t>
  </si>
  <si>
    <t>09-07-2023 18:45</t>
  </si>
  <si>
    <t>09-07-2023 19:00</t>
  </si>
  <si>
    <t>09-07-2023 19:15</t>
  </si>
  <si>
    <t>09-07-2023 19:30</t>
  </si>
  <si>
    <t>09-07-2023 19:45</t>
  </si>
  <si>
    <t>09-07-2023 20:00</t>
  </si>
  <si>
    <t>09-07-2023 20:15</t>
  </si>
  <si>
    <t>09-07-2023 20:30</t>
  </si>
  <si>
    <t>09-07-2023 20:45</t>
  </si>
  <si>
    <t>09-07-2023 21:00</t>
  </si>
  <si>
    <t>09-07-2023 21:15</t>
  </si>
  <si>
    <t>09-07-2023 21:30</t>
  </si>
  <si>
    <t>09-07-2023 21:45</t>
  </si>
  <si>
    <t>09-07-2023 22:00</t>
  </si>
  <si>
    <t>09-07-2023 22:15</t>
  </si>
  <si>
    <t>09-07-2023 22:30</t>
  </si>
  <si>
    <t>09-07-2023 22:45</t>
  </si>
  <si>
    <t>09-07-2023 23:00</t>
  </si>
  <si>
    <t>09-07-2023 23:15</t>
  </si>
  <si>
    <t>09-07-2023 23:30</t>
  </si>
  <si>
    <t>09-07-2023 23:45</t>
  </si>
  <si>
    <t>09-07-2023 24:00</t>
  </si>
  <si>
    <t>10-07-2023 00:15</t>
  </si>
  <si>
    <t>10-07-2023 00:30</t>
  </si>
  <si>
    <t>10-07-2023 00:45</t>
  </si>
  <si>
    <t>10-07-2023 01:00</t>
  </si>
  <si>
    <t>10-07-2023 01:15</t>
  </si>
  <si>
    <t>10-07-2023 01:30</t>
  </si>
  <si>
    <t>10-07-2023 01:45</t>
  </si>
  <si>
    <t>10-07-2023 02:00</t>
  </si>
  <si>
    <t>10-07-2023 02:15</t>
  </si>
  <si>
    <t>10-07-2023 02:30</t>
  </si>
  <si>
    <t>10-07-2023 02:45</t>
  </si>
  <si>
    <t>10-07-2023 03:00</t>
  </si>
  <si>
    <t>10-07-2023 03:15</t>
  </si>
  <si>
    <t>10-07-2023 03:30</t>
  </si>
  <si>
    <t>10-07-2023 03:45</t>
  </si>
  <si>
    <t>10-07-2023 04:00</t>
  </si>
  <si>
    <t>10-07-2023 04:15</t>
  </si>
  <si>
    <t>10-07-2023 04:30</t>
  </si>
  <si>
    <t>10-07-2023 04:45</t>
  </si>
  <si>
    <t>10-07-2023 05:00</t>
  </si>
  <si>
    <t>10-07-2023 05:15</t>
  </si>
  <si>
    <t>10-07-2023 05:30</t>
  </si>
  <si>
    <t>10-07-2023 05:45</t>
  </si>
  <si>
    <t>10-07-2023 06:00</t>
  </si>
  <si>
    <t>10-07-2023 06:15</t>
  </si>
  <si>
    <t>10-07-2023 06:30</t>
  </si>
  <si>
    <t>10-07-2023 06:45</t>
  </si>
  <si>
    <t>10-07-2023 07:00</t>
  </si>
  <si>
    <t>10-07-2023 07:15</t>
  </si>
  <si>
    <t>10-07-2023 07:30</t>
  </si>
  <si>
    <t>10-07-2023 07:45</t>
  </si>
  <si>
    <t>10-07-2023 08:00</t>
  </si>
  <si>
    <t>10-07-2023 08:15</t>
  </si>
  <si>
    <t>10-07-2023 08:30</t>
  </si>
  <si>
    <t>10-07-2023 08:45</t>
  </si>
  <si>
    <t>10-07-2023 09:00</t>
  </si>
  <si>
    <t>10-07-2023 09:15</t>
  </si>
  <si>
    <t>10-07-2023 09:30</t>
  </si>
  <si>
    <t>10-07-2023 09:45</t>
  </si>
  <si>
    <t>10-07-2023 10:00</t>
  </si>
  <si>
    <t>10-07-2023 10:15</t>
  </si>
  <si>
    <t>10-07-2023 10:30</t>
  </si>
  <si>
    <t>10-07-2023 10:45</t>
  </si>
  <si>
    <t>10-07-2023 11:00</t>
  </si>
  <si>
    <t>10-07-2023 11:15</t>
  </si>
  <si>
    <t>10-07-2023 11:30</t>
  </si>
  <si>
    <t>10-07-2023 11:45</t>
  </si>
  <si>
    <t>10-07-2023 12:00</t>
  </si>
  <si>
    <t>10-07-2023 12:15</t>
  </si>
  <si>
    <t>10-07-2023 12:30</t>
  </si>
  <si>
    <t>10-07-2023 12:45</t>
  </si>
  <si>
    <t>10-07-2023 13:00</t>
  </si>
  <si>
    <t>10-07-2023 13:15</t>
  </si>
  <si>
    <t>10-07-2023 13:30</t>
  </si>
  <si>
    <t>10-07-2023 13:45</t>
  </si>
  <si>
    <t>10-07-2023 14:00</t>
  </si>
  <si>
    <t>10-07-2023 14:15</t>
  </si>
  <si>
    <t>10-07-2023 14:30</t>
  </si>
  <si>
    <t>10-07-2023 14:45</t>
  </si>
  <si>
    <t>10-07-2023 15:00</t>
  </si>
  <si>
    <t>10-07-2023 15:15</t>
  </si>
  <si>
    <t>10-07-2023 15:30</t>
  </si>
  <si>
    <t>10-07-2023 15:45</t>
  </si>
  <si>
    <t>10-07-2023 16:00</t>
  </si>
  <si>
    <t>10-07-2023 16:15</t>
  </si>
  <si>
    <t>10-07-2023 16:30</t>
  </si>
  <si>
    <t>10-07-2023 16:45</t>
  </si>
  <si>
    <t>10-07-2023 17:00</t>
  </si>
  <si>
    <t>10-07-2023 17:15</t>
  </si>
  <si>
    <t>10-07-2023 17:30</t>
  </si>
  <si>
    <t>10-07-2023 17:45</t>
  </si>
  <si>
    <t>10-07-2023 18:00</t>
  </si>
  <si>
    <t>10-07-2023 18:15</t>
  </si>
  <si>
    <t>10-07-2023 18:30</t>
  </si>
  <si>
    <t>10-07-2023 18:45</t>
  </si>
  <si>
    <t>10-07-2023 19:00</t>
  </si>
  <si>
    <t>10-07-2023 19:15</t>
  </si>
  <si>
    <t>10-07-2023 19:30</t>
  </si>
  <si>
    <t>10-07-2023 19:45</t>
  </si>
  <si>
    <t>10-07-2023 20:00</t>
  </si>
  <si>
    <t>10-07-2023 20:15</t>
  </si>
  <si>
    <t>10-07-2023 20:30</t>
  </si>
  <si>
    <t>10-07-2023 20:45</t>
  </si>
  <si>
    <t>10-07-2023 21:00</t>
  </si>
  <si>
    <t>10-07-2023 21:15</t>
  </si>
  <si>
    <t>10-07-2023 21:30</t>
  </si>
  <si>
    <t>10-07-2023 21:45</t>
  </si>
  <si>
    <t>10-07-2023 22:00</t>
  </si>
  <si>
    <t>10-07-2023 22:15</t>
  </si>
  <si>
    <t>10-07-2023 22:30</t>
  </si>
  <si>
    <t>10-07-2023 22:45</t>
  </si>
  <si>
    <t>10-07-2023 23:00</t>
  </si>
  <si>
    <t>10-07-2023 23:15</t>
  </si>
  <si>
    <t>10-07-2023 23:30</t>
  </si>
  <si>
    <t>10-07-2023 23:45</t>
  </si>
  <si>
    <t>10-07-2023 24:00</t>
  </si>
  <si>
    <t>11-07-2023 00:15</t>
  </si>
  <si>
    <t>11-07-2023 00:30</t>
  </si>
  <si>
    <t>11-07-2023 00:45</t>
  </si>
  <si>
    <t>11-07-2023 01:00</t>
  </si>
  <si>
    <t>11-07-2023 01:15</t>
  </si>
  <si>
    <t>11-07-2023 01:30</t>
  </si>
  <si>
    <t>11-07-2023 01:45</t>
  </si>
  <si>
    <t>11-07-2023 02:00</t>
  </si>
  <si>
    <t>11-07-2023 02:15</t>
  </si>
  <si>
    <t>11-07-2023 02:30</t>
  </si>
  <si>
    <t>11-07-2023 02:45</t>
  </si>
  <si>
    <t>11-07-2023 03:00</t>
  </si>
  <si>
    <t>11-07-2023 03:15</t>
  </si>
  <si>
    <t>11-07-2023 03:30</t>
  </si>
  <si>
    <t>11-07-2023 03:45</t>
  </si>
  <si>
    <t>11-07-2023 04:00</t>
  </si>
  <si>
    <t>11-07-2023 04:15</t>
  </si>
  <si>
    <t>11-07-2023 04:30</t>
  </si>
  <si>
    <t>11-07-2023 04:45</t>
  </si>
  <si>
    <t>11-07-2023 05:00</t>
  </si>
  <si>
    <t>11-07-2023 05:15</t>
  </si>
  <si>
    <t>11-07-2023 05:30</t>
  </si>
  <si>
    <t>11-07-2023 05:45</t>
  </si>
  <si>
    <t>11-07-2023 06:00</t>
  </si>
  <si>
    <t>11-07-2023 06:15</t>
  </si>
  <si>
    <t>11-07-2023 06:30</t>
  </si>
  <si>
    <t>11-07-2023 06:45</t>
  </si>
  <si>
    <t>11-07-2023 07:00</t>
  </si>
  <si>
    <t>11-07-2023 07:15</t>
  </si>
  <si>
    <t>11-07-2023 07:30</t>
  </si>
  <si>
    <t>11-07-2023 07:45</t>
  </si>
  <si>
    <t>11-07-2023 08:00</t>
  </si>
  <si>
    <t>11-07-2023 08:15</t>
  </si>
  <si>
    <t>11-07-2023 08:30</t>
  </si>
  <si>
    <t>11-07-2023 08:45</t>
  </si>
  <si>
    <t>11-07-2023 09:00</t>
  </si>
  <si>
    <t>11-07-2023 09:15</t>
  </si>
  <si>
    <t>11-07-2023 09:30</t>
  </si>
  <si>
    <t>11-07-2023 09:45</t>
  </si>
  <si>
    <t>11-07-2023 10:00</t>
  </si>
  <si>
    <t>11-07-2023 10:15</t>
  </si>
  <si>
    <t>11-07-2023 10:30</t>
  </si>
  <si>
    <t>11-07-2023 10:45</t>
  </si>
  <si>
    <t>11-07-2023 11:00</t>
  </si>
  <si>
    <t>11-07-2023 11:15</t>
  </si>
  <si>
    <t>11-07-2023 11:30</t>
  </si>
  <si>
    <t>11-07-2023 11:45</t>
  </si>
  <si>
    <t>11-07-2023 12:00</t>
  </si>
  <si>
    <t>11-07-2023 12:15</t>
  </si>
  <si>
    <t>11-07-2023 12:30</t>
  </si>
  <si>
    <t>11-07-2023 12:45</t>
  </si>
  <si>
    <t>11-07-2023 13:00</t>
  </si>
  <si>
    <t>11-07-2023 13:15</t>
  </si>
  <si>
    <t>11-07-2023 13:30</t>
  </si>
  <si>
    <t>11-07-2023 13:45</t>
  </si>
  <si>
    <t>11-07-2023 14:00</t>
  </si>
  <si>
    <t>11-07-2023 14:15</t>
  </si>
  <si>
    <t>11-07-2023 14:30</t>
  </si>
  <si>
    <t>11-07-2023 14:45</t>
  </si>
  <si>
    <t>11-07-2023 15:00</t>
  </si>
  <si>
    <t>11-07-2023 15:15</t>
  </si>
  <si>
    <t>11-07-2023 15:30</t>
  </si>
  <si>
    <t>11-07-2023 15:45</t>
  </si>
  <si>
    <t>11-07-2023 16:00</t>
  </si>
  <si>
    <t>11-07-2023 16:15</t>
  </si>
  <si>
    <t>11-07-2023 16:30</t>
  </si>
  <si>
    <t>11-07-2023 16:45</t>
  </si>
  <si>
    <t>11-07-2023 17:00</t>
  </si>
  <si>
    <t>11-07-2023 17:15</t>
  </si>
  <si>
    <t>11-07-2023 17:30</t>
  </si>
  <si>
    <t>11-07-2023 17:45</t>
  </si>
  <si>
    <t>11-07-2023 18:00</t>
  </si>
  <si>
    <t>11-07-2023 18:15</t>
  </si>
  <si>
    <t>11-07-2023 18:30</t>
  </si>
  <si>
    <t>11-07-2023 18:45</t>
  </si>
  <si>
    <t>11-07-2023 19:00</t>
  </si>
  <si>
    <t>11-07-2023 19:15</t>
  </si>
  <si>
    <t>11-07-2023 19:30</t>
  </si>
  <si>
    <t>11-07-2023 19:45</t>
  </si>
  <si>
    <t>11-07-2023 20:00</t>
  </si>
  <si>
    <t>11-07-2023 20:15</t>
  </si>
  <si>
    <t>11-07-2023 20:30</t>
  </si>
  <si>
    <t>11-07-2023 20:45</t>
  </si>
  <si>
    <t>11-07-2023 21:00</t>
  </si>
  <si>
    <t>11-07-2023 21:15</t>
  </si>
  <si>
    <t>11-07-2023 21:30</t>
  </si>
  <si>
    <t>11-07-2023 21:45</t>
  </si>
  <si>
    <t>11-07-2023 22:00</t>
  </si>
  <si>
    <t>11-07-2023 22:15</t>
  </si>
  <si>
    <t>11-07-2023 22:30</t>
  </si>
  <si>
    <t>11-07-2023 22:45</t>
  </si>
  <si>
    <t>11-07-2023 23:00</t>
  </si>
  <si>
    <t>11-07-2023 23:15</t>
  </si>
  <si>
    <t>11-07-2023 23:30</t>
  </si>
  <si>
    <t>11-07-2023 23:45</t>
  </si>
  <si>
    <t>11-07-2023 24:00</t>
  </si>
  <si>
    <t>12-07-2023 00:15</t>
  </si>
  <si>
    <t>12-07-2023 00:30</t>
  </si>
  <si>
    <t>12-07-2023 00:45</t>
  </si>
  <si>
    <t>12-07-2023 01:00</t>
  </si>
  <si>
    <t>12-07-2023 01:15</t>
  </si>
  <si>
    <t>12-07-2023 01:30</t>
  </si>
  <si>
    <t>12-07-2023 01:45</t>
  </si>
  <si>
    <t>12-07-2023 02:00</t>
  </si>
  <si>
    <t>12-07-2023 02:15</t>
  </si>
  <si>
    <t>12-07-2023 02:30</t>
  </si>
  <si>
    <t>12-07-2023 02:45</t>
  </si>
  <si>
    <t>12-07-2023 03:00</t>
  </si>
  <si>
    <t>12-07-2023 03:15</t>
  </si>
  <si>
    <t>12-07-2023 03:30</t>
  </si>
  <si>
    <t>12-07-2023 03:45</t>
  </si>
  <si>
    <t>12-07-2023 04:00</t>
  </si>
  <si>
    <t>12-07-2023 04:15</t>
  </si>
  <si>
    <t>12-07-2023 04:30</t>
  </si>
  <si>
    <t>12-07-2023 04:45</t>
  </si>
  <si>
    <t>12-07-2023 05:00</t>
  </si>
  <si>
    <t>12-07-2023 05:15</t>
  </si>
  <si>
    <t>12-07-2023 05:30</t>
  </si>
  <si>
    <t>12-07-2023 05:45</t>
  </si>
  <si>
    <t>12-07-2023 06:00</t>
  </si>
  <si>
    <t>12-07-2023 06:15</t>
  </si>
  <si>
    <t>12-07-2023 06:30</t>
  </si>
  <si>
    <t>12-07-2023 06:45</t>
  </si>
  <si>
    <t>12-07-2023 07:00</t>
  </si>
  <si>
    <t>12-07-2023 07:15</t>
  </si>
  <si>
    <t>12-07-2023 07:30</t>
  </si>
  <si>
    <t>12-07-2023 07:45</t>
  </si>
  <si>
    <t>12-07-2023 08:00</t>
  </si>
  <si>
    <t>12-07-2023 08:15</t>
  </si>
  <si>
    <t>12-07-2023 08:30</t>
  </si>
  <si>
    <t>12-07-2023 08:45</t>
  </si>
  <si>
    <t>12-07-2023 09:00</t>
  </si>
  <si>
    <t>12-07-2023 09:15</t>
  </si>
  <si>
    <t>12-07-2023 09:30</t>
  </si>
  <si>
    <t>12-07-2023 09:45</t>
  </si>
  <si>
    <t>12-07-2023 10:00</t>
  </si>
  <si>
    <t>12-07-2023 10:15</t>
  </si>
  <si>
    <t>12-07-2023 10:30</t>
  </si>
  <si>
    <t>12-07-2023 10:45</t>
  </si>
  <si>
    <t>12-07-2023 11:00</t>
  </si>
  <si>
    <t>12-07-2023 11:15</t>
  </si>
  <si>
    <t>12-07-2023 11:30</t>
  </si>
  <si>
    <t>12-07-2023 11:45</t>
  </si>
  <si>
    <t>12-07-2023 12:00</t>
  </si>
  <si>
    <t>12-07-2023 12:15</t>
  </si>
  <si>
    <t>12-07-2023 12:30</t>
  </si>
  <si>
    <t>12-07-2023 12:45</t>
  </si>
  <si>
    <t>12-07-2023 13:00</t>
  </si>
  <si>
    <t>12-07-2023 13:15</t>
  </si>
  <si>
    <t>12-07-2023 13:30</t>
  </si>
  <si>
    <t>12-07-2023 13:45</t>
  </si>
  <si>
    <t>12-07-2023 14:00</t>
  </si>
  <si>
    <t>12-07-2023 14:15</t>
  </si>
  <si>
    <t>12-07-2023 14:30</t>
  </si>
  <si>
    <t>12-07-2023 14:45</t>
  </si>
  <si>
    <t>12-07-2023 15:00</t>
  </si>
  <si>
    <t>12-07-2023 15:15</t>
  </si>
  <si>
    <t>12-07-2023 15:30</t>
  </si>
  <si>
    <t>12-07-2023 15:45</t>
  </si>
  <si>
    <t>12-07-2023 16:00</t>
  </si>
  <si>
    <t>12-07-2023 16:15</t>
  </si>
  <si>
    <t>12-07-2023 16:30</t>
  </si>
  <si>
    <t>12-07-2023 16:45</t>
  </si>
  <si>
    <t>12-07-2023 17:00</t>
  </si>
  <si>
    <t>12-07-2023 17:15</t>
  </si>
  <si>
    <t>12-07-2023 17:30</t>
  </si>
  <si>
    <t>12-07-2023 17:45</t>
  </si>
  <si>
    <t>12-07-2023 18:00</t>
  </si>
  <si>
    <t>12-07-2023 18:15</t>
  </si>
  <si>
    <t>12-07-2023 18:30</t>
  </si>
  <si>
    <t>12-07-2023 18:45</t>
  </si>
  <si>
    <t>12-07-2023 19:00</t>
  </si>
  <si>
    <t>12-07-2023 19:15</t>
  </si>
  <si>
    <t>12-07-2023 19:30</t>
  </si>
  <si>
    <t>12-07-2023 19:45</t>
  </si>
  <si>
    <t>12-07-2023 20:00</t>
  </si>
  <si>
    <t>12-07-2023 20:15</t>
  </si>
  <si>
    <t>12-07-2023 20:30</t>
  </si>
  <si>
    <t>12-07-2023 20:45</t>
  </si>
  <si>
    <t>12-07-2023 21:00</t>
  </si>
  <si>
    <t>12-07-2023 21:15</t>
  </si>
  <si>
    <t>12-07-2023 21:30</t>
  </si>
  <si>
    <t>12-07-2023 21:45</t>
  </si>
  <si>
    <t>12-07-2023 22:00</t>
  </si>
  <si>
    <t>12-07-2023 22:15</t>
  </si>
  <si>
    <t>12-07-2023 22:30</t>
  </si>
  <si>
    <t>12-07-2023 22:45</t>
  </si>
  <si>
    <t>12-07-2023 23:00</t>
  </si>
  <si>
    <t>12-07-2023 23:15</t>
  </si>
  <si>
    <t>12-07-2023 23:30</t>
  </si>
  <si>
    <t>12-07-2023 23:45</t>
  </si>
  <si>
    <t>12-07-2023 24:00</t>
  </si>
  <si>
    <t xml:space="preserve">voc set trap faulty  </t>
  </si>
  <si>
    <t>13-07-2023 00:15</t>
  </si>
  <si>
    <t>13-07-2023 00:30</t>
  </si>
  <si>
    <t>13-07-2023 00:45</t>
  </si>
  <si>
    <t>13-07-2023 01:00</t>
  </si>
  <si>
    <t>13-07-2023 01:15</t>
  </si>
  <si>
    <t>13-07-2023 01:30</t>
  </si>
  <si>
    <t>13-07-2023 01:45</t>
  </si>
  <si>
    <t>13-07-2023 02:00</t>
  </si>
  <si>
    <t>13-07-2023 02:15</t>
  </si>
  <si>
    <t>13-07-2023 02:30</t>
  </si>
  <si>
    <t>13-07-2023 02:45</t>
  </si>
  <si>
    <t>13-07-2023 03:00</t>
  </si>
  <si>
    <t>13-07-2023 03:15</t>
  </si>
  <si>
    <t>13-07-2023 03:30</t>
  </si>
  <si>
    <t>13-07-2023 03:45</t>
  </si>
  <si>
    <t>13-07-2023 04:00</t>
  </si>
  <si>
    <t>13-07-2023 04:15</t>
  </si>
  <si>
    <t>13-07-2023 04:30</t>
  </si>
  <si>
    <t>13-07-2023 04:45</t>
  </si>
  <si>
    <t>13-07-2023 05:00</t>
  </si>
  <si>
    <t>13-07-2023 05:15</t>
  </si>
  <si>
    <t>13-07-2023 05:30</t>
  </si>
  <si>
    <t>13-07-2023 05:45</t>
  </si>
  <si>
    <t>13-07-2023 06:00</t>
  </si>
  <si>
    <t>13-07-2023 06:15</t>
  </si>
  <si>
    <t>13-07-2023 06:30</t>
  </si>
  <si>
    <t>13-07-2023 06:45</t>
  </si>
  <si>
    <t>13-07-2023 07:00</t>
  </si>
  <si>
    <t>13-07-2023 07:15</t>
  </si>
  <si>
    <t>13-07-2023 07:30</t>
  </si>
  <si>
    <t>13-07-2023 07:45</t>
  </si>
  <si>
    <t>13-07-2023 08:00</t>
  </si>
  <si>
    <t>13-07-2023 08:15</t>
  </si>
  <si>
    <t>13-07-2023 08:30</t>
  </si>
  <si>
    <t>13-07-2023 08:45</t>
  </si>
  <si>
    <t>13-07-2023 09:00</t>
  </si>
  <si>
    <t>13-07-2023 09:15</t>
  </si>
  <si>
    <t>13-07-2023 09:30</t>
  </si>
  <si>
    <t>13-07-2023 09:45</t>
  </si>
  <si>
    <t>13-07-2023 10:00</t>
  </si>
  <si>
    <t>13-07-2023 10:15</t>
  </si>
  <si>
    <t>13-07-2023 10:30</t>
  </si>
  <si>
    <t>13-07-2023 10:45</t>
  </si>
  <si>
    <t>13-07-2023 11:00</t>
  </si>
  <si>
    <t>13-07-2023 11:15</t>
  </si>
  <si>
    <t>13-07-2023 11:30</t>
  </si>
  <si>
    <t>13-07-2023 11:45</t>
  </si>
  <si>
    <t>13-07-2023 12:00</t>
  </si>
  <si>
    <t>13-07-2023 12:15</t>
  </si>
  <si>
    <t>13-07-2023 12:30</t>
  </si>
  <si>
    <t>13-07-2023 12:45</t>
  </si>
  <si>
    <t>13-07-2023 13:00</t>
  </si>
  <si>
    <t>13-07-2023 13:15</t>
  </si>
  <si>
    <t>13-07-2023 13:30</t>
  </si>
  <si>
    <t>13-07-2023 13:45</t>
  </si>
  <si>
    <t>13-07-2023 14:00</t>
  </si>
  <si>
    <t>13-07-2023 14:15</t>
  </si>
  <si>
    <t>13-07-2023 14:30</t>
  </si>
  <si>
    <t>13-07-2023 14:45</t>
  </si>
  <si>
    <t>13-07-2023 15:00</t>
  </si>
  <si>
    <t>13-07-2023 15:15</t>
  </si>
  <si>
    <t>13-07-2023 15:30</t>
  </si>
  <si>
    <t>13-07-2023 15:45</t>
  </si>
  <si>
    <t>13-07-2023 16:00</t>
  </si>
  <si>
    <t>13-07-2023 16:15</t>
  </si>
  <si>
    <t>13-07-2023 16:30</t>
  </si>
  <si>
    <t>13-07-2023 16:45</t>
  </si>
  <si>
    <t>13-07-2023 17:00</t>
  </si>
  <si>
    <t>13-07-2023 17:15</t>
  </si>
  <si>
    <t>13-07-2023 17:30</t>
  </si>
  <si>
    <t>13-07-2023 17:45</t>
  </si>
  <si>
    <t>13-07-2023 18:00</t>
  </si>
  <si>
    <t>13-07-2023 18:15</t>
  </si>
  <si>
    <t>13-07-2023 18:30</t>
  </si>
  <si>
    <t>13-07-2023 18:45</t>
  </si>
  <si>
    <t>13-07-2023 19:00</t>
  </si>
  <si>
    <t>13-07-2023 19:15</t>
  </si>
  <si>
    <t>13-07-2023 19:30</t>
  </si>
  <si>
    <t>13-07-2023 19:45</t>
  </si>
  <si>
    <t>13-07-2023 20:00</t>
  </si>
  <si>
    <t>13-07-2023 20:15</t>
  </si>
  <si>
    <t>13-07-2023 20:30</t>
  </si>
  <si>
    <t>13-07-2023 20:45</t>
  </si>
  <si>
    <t>13-07-2023 21:00</t>
  </si>
  <si>
    <t>13-07-2023 21:15</t>
  </si>
  <si>
    <t>13-07-2023 21:30</t>
  </si>
  <si>
    <t>13-07-2023 21:45</t>
  </si>
  <si>
    <t>13-07-2023 22:00</t>
  </si>
  <si>
    <t>13-07-2023 22:15</t>
  </si>
  <si>
    <t>13-07-2023 22:30</t>
  </si>
  <si>
    <t>13-07-2023 22:45</t>
  </si>
  <si>
    <t>13-07-2023 23:00</t>
  </si>
  <si>
    <t>13-07-2023 23:15</t>
  </si>
  <si>
    <t>13-07-2023 23:30</t>
  </si>
  <si>
    <t>13-07-2023 23:45</t>
  </si>
  <si>
    <t>13-07-2023 24:00</t>
  </si>
  <si>
    <t>14-07-2023 00:15</t>
  </si>
  <si>
    <t>14-07-2023 00:30</t>
  </si>
  <si>
    <t>14-07-2023 00:45</t>
  </si>
  <si>
    <t>14-07-2023 01:00</t>
  </si>
  <si>
    <t>14-07-2023 01:15</t>
  </si>
  <si>
    <t>14-07-2023 01:30</t>
  </si>
  <si>
    <t>14-07-2023 01:45</t>
  </si>
  <si>
    <t>14-07-2023 02:00</t>
  </si>
  <si>
    <t>14-07-2023 02:15</t>
  </si>
  <si>
    <t>14-07-2023 02:30</t>
  </si>
  <si>
    <t>14-07-2023 02:45</t>
  </si>
  <si>
    <t>14-07-2023 03:00</t>
  </si>
  <si>
    <t>14-07-2023 03:15</t>
  </si>
  <si>
    <t>14-07-2023 03:30</t>
  </si>
  <si>
    <t>14-07-2023 03:45</t>
  </si>
  <si>
    <t>14-07-2023 04:00</t>
  </si>
  <si>
    <t>14-07-2023 04:15</t>
  </si>
  <si>
    <t>14-07-2023 04:30</t>
  </si>
  <si>
    <t>14-07-2023 04:45</t>
  </si>
  <si>
    <t>14-07-2023 05:00</t>
  </si>
  <si>
    <t>14-07-2023 05:15</t>
  </si>
  <si>
    <t>14-07-2023 05:30</t>
  </si>
  <si>
    <t>14-07-2023 05:45</t>
  </si>
  <si>
    <t>14-07-2023 06:00</t>
  </si>
  <si>
    <t>14-07-2023 06:15</t>
  </si>
  <si>
    <t>14-07-2023 06:30</t>
  </si>
  <si>
    <t>14-07-2023 06:45</t>
  </si>
  <si>
    <t>14-07-2023 07:00</t>
  </si>
  <si>
    <t>14-07-2023 07:15</t>
  </si>
  <si>
    <t>14-07-2023 07:30</t>
  </si>
  <si>
    <t>14-07-2023 07:45</t>
  </si>
  <si>
    <t>14-07-2023 08:00</t>
  </si>
  <si>
    <t>14-07-2023 08:15</t>
  </si>
  <si>
    <t>14-07-2023 08:30</t>
  </si>
  <si>
    <t>14-07-2023 08:45</t>
  </si>
  <si>
    <t>14-07-2023 09:00</t>
  </si>
  <si>
    <t>14-07-2023 09:15</t>
  </si>
  <si>
    <t>14-07-2023 09:30</t>
  </si>
  <si>
    <t>14-07-2023 09:45</t>
  </si>
  <si>
    <t>14-07-2023 10:00</t>
  </si>
  <si>
    <t>14-07-2023 10:15</t>
  </si>
  <si>
    <t>14-07-2023 10:30</t>
  </si>
  <si>
    <t>14-07-2023 10:45</t>
  </si>
  <si>
    <t>14-07-2023 11:00</t>
  </si>
  <si>
    <t>14-07-2023 11:15</t>
  </si>
  <si>
    <t>14-07-2023 11:30</t>
  </si>
  <si>
    <t>14-07-2023 11:45</t>
  </si>
  <si>
    <t>14-07-2023 12:00</t>
  </si>
  <si>
    <t>14-07-2023 12:15</t>
  </si>
  <si>
    <t>14-07-2023 12:30</t>
  </si>
  <si>
    <t>14-07-2023 12:45</t>
  </si>
  <si>
    <t>14-07-2023 13:00</t>
  </si>
  <si>
    <t>14-07-2023 13:15</t>
  </si>
  <si>
    <t>14-07-2023 13:30</t>
  </si>
  <si>
    <t>14-07-2023 13:45</t>
  </si>
  <si>
    <t>14-07-2023 14:00</t>
  </si>
  <si>
    <t>14-07-2023 14:15</t>
  </si>
  <si>
    <t>14-07-2023 14:30</t>
  </si>
  <si>
    <t>14-07-2023 14:45</t>
  </si>
  <si>
    <t>14-07-2023 15:00</t>
  </si>
  <si>
    <t>14-07-2023 15:15</t>
  </si>
  <si>
    <t>14-07-2023 15:30</t>
  </si>
  <si>
    <t>14-07-2023 15:45</t>
  </si>
  <si>
    <t>14-07-2023 16:00</t>
  </si>
  <si>
    <t>14-07-2023 16:15</t>
  </si>
  <si>
    <t>14-07-2023 16:30</t>
  </si>
  <si>
    <t>14-07-2023 16:45</t>
  </si>
  <si>
    <t>14-07-2023 17:00</t>
  </si>
  <si>
    <t>14-07-2023 17:15</t>
  </si>
  <si>
    <t>14-07-2023 17:30</t>
  </si>
  <si>
    <t>14-07-2023 17:45</t>
  </si>
  <si>
    <t>14-07-2023 18:00</t>
  </si>
  <si>
    <t>14-07-2023 18:15</t>
  </si>
  <si>
    <t>14-07-2023 18:30</t>
  </si>
  <si>
    <t>14-07-2023 18:45</t>
  </si>
  <si>
    <t>14-07-2023 19:00</t>
  </si>
  <si>
    <t>14-07-2023 19:15</t>
  </si>
  <si>
    <t>14-07-2023 19:30</t>
  </si>
  <si>
    <t>14-07-2023 19:45</t>
  </si>
  <si>
    <t>14-07-2023 20:00</t>
  </si>
  <si>
    <t>14-07-2023 20:15</t>
  </si>
  <si>
    <t>14-07-2023 20:30</t>
  </si>
  <si>
    <t>14-07-2023 20:45</t>
  </si>
  <si>
    <t>14-07-2023 21:00</t>
  </si>
  <si>
    <t>14-07-2023 21:15</t>
  </si>
  <si>
    <t>14-07-2023 21:30</t>
  </si>
  <si>
    <t>14-07-2023 21:45</t>
  </si>
  <si>
    <t>14-07-2023 22:00</t>
  </si>
  <si>
    <t>14-07-2023 22:15</t>
  </si>
  <si>
    <t>14-07-2023 22:30</t>
  </si>
  <si>
    <t>14-07-2023 22:45</t>
  </si>
  <si>
    <t>14-07-2023 23:00</t>
  </si>
  <si>
    <t>14-07-2023 23:15</t>
  </si>
  <si>
    <t>14-07-2023 23:30</t>
  </si>
  <si>
    <t>14-07-2023 23:45</t>
  </si>
  <si>
    <t>14-07-2023 24:00</t>
  </si>
  <si>
    <t>15-07-2023 00:15</t>
  </si>
  <si>
    <t>15-07-2023 00:30</t>
  </si>
  <si>
    <t>15-07-2023 00:45</t>
  </si>
  <si>
    <t>15-07-2023 01:00</t>
  </si>
  <si>
    <t>15-07-2023 01:15</t>
  </si>
  <si>
    <t>15-07-2023 01:30</t>
  </si>
  <si>
    <t>15-07-2023 01:45</t>
  </si>
  <si>
    <t>15-07-2023 02:00</t>
  </si>
  <si>
    <t>15-07-2023 02:15</t>
  </si>
  <si>
    <t>15-07-2023 02:30</t>
  </si>
  <si>
    <t>15-07-2023 02:45</t>
  </si>
  <si>
    <t>15-07-2023 03:00</t>
  </si>
  <si>
    <t>15-07-2023 03:15</t>
  </si>
  <si>
    <t>15-07-2023 03:30</t>
  </si>
  <si>
    <t>15-07-2023 03:45</t>
  </si>
  <si>
    <t>15-07-2023 04:00</t>
  </si>
  <si>
    <t>15-07-2023 04:15</t>
  </si>
  <si>
    <t>15-07-2023 04:30</t>
  </si>
  <si>
    <t>15-07-2023 04:45</t>
  </si>
  <si>
    <t>15-07-2023 05:00</t>
  </si>
  <si>
    <t>15-07-2023 05:15</t>
  </si>
  <si>
    <t>15-07-2023 05:30</t>
  </si>
  <si>
    <t>15-07-2023 05:45</t>
  </si>
  <si>
    <t>15-07-2023 06:00</t>
  </si>
  <si>
    <t>15-07-2023 06:15</t>
  </si>
  <si>
    <t>15-07-2023 06:30</t>
  </si>
  <si>
    <t>15-07-2023 06:45</t>
  </si>
  <si>
    <t>15-07-2023 07:00</t>
  </si>
  <si>
    <t>15-07-2023 07:15</t>
  </si>
  <si>
    <t>15-07-2023 07:30</t>
  </si>
  <si>
    <t>15-07-2023 07:45</t>
  </si>
  <si>
    <t>15-07-2023 08:00</t>
  </si>
  <si>
    <t>15-07-2023 08:15</t>
  </si>
  <si>
    <t>15-07-2023 08:30</t>
  </si>
  <si>
    <t>15-07-2023 08:45</t>
  </si>
  <si>
    <t>15-07-2023 09:00</t>
  </si>
  <si>
    <t>15-07-2023 09:15</t>
  </si>
  <si>
    <t>15-07-2023 09:30</t>
  </si>
  <si>
    <t>15-07-2023 09:45</t>
  </si>
  <si>
    <t>15-07-2023 10:00</t>
  </si>
  <si>
    <t>15-07-2023 10:15</t>
  </si>
  <si>
    <t>15-07-2023 10:30</t>
  </si>
  <si>
    <t>15-07-2023 10:45</t>
  </si>
  <si>
    <t>15-07-2023 11:00</t>
  </si>
  <si>
    <t>15-07-2023 11:15</t>
  </si>
  <si>
    <t>15-07-2023 11:30</t>
  </si>
  <si>
    <t>15-07-2023 11:45</t>
  </si>
  <si>
    <t>15-07-2023 12:00</t>
  </si>
  <si>
    <t>15-07-2023 12:15</t>
  </si>
  <si>
    <t>15-07-2023 12:30</t>
  </si>
  <si>
    <t>15-07-2023 12:45</t>
  </si>
  <si>
    <t>15-07-2023 13:00</t>
  </si>
  <si>
    <t>15-07-2023 13:15</t>
  </si>
  <si>
    <t>15-07-2023 13:30</t>
  </si>
  <si>
    <t>15-07-2023 13:45</t>
  </si>
  <si>
    <t>15-07-2023 14:00</t>
  </si>
  <si>
    <t>15-07-2023 14:15</t>
  </si>
  <si>
    <t>15-07-2023 14:30</t>
  </si>
  <si>
    <t>15-07-2023 14:45</t>
  </si>
  <si>
    <t>15-07-2023 15:00</t>
  </si>
  <si>
    <t>15-07-2023 15:15</t>
  </si>
  <si>
    <t>15-07-2023 15:30</t>
  </si>
  <si>
    <t>15-07-2023 15:45</t>
  </si>
  <si>
    <t>15-07-2023 16:00</t>
  </si>
  <si>
    <t>15-07-2023 16:15</t>
  </si>
  <si>
    <t>15-07-2023 16:30</t>
  </si>
  <si>
    <t>15-07-2023 16:45</t>
  </si>
  <si>
    <t>15-07-2023 17:00</t>
  </si>
  <si>
    <t>15-07-2023 17:15</t>
  </si>
  <si>
    <t>15-07-2023 17:30</t>
  </si>
  <si>
    <t>15-07-2023 17:45</t>
  </si>
  <si>
    <t>15-07-2023 18:00</t>
  </si>
  <si>
    <t>15-07-2023 18:15</t>
  </si>
  <si>
    <t>15-07-2023 18:30</t>
  </si>
  <si>
    <t>15-07-2023 18:45</t>
  </si>
  <si>
    <t>15-07-2023 19:00</t>
  </si>
  <si>
    <t>15-07-2023 19:15</t>
  </si>
  <si>
    <t>15-07-2023 19:30</t>
  </si>
  <si>
    <t>15-07-2023 19:45</t>
  </si>
  <si>
    <t>15-07-2023 20:00</t>
  </si>
  <si>
    <t>15-07-2023 20:15</t>
  </si>
  <si>
    <t>15-07-2023 20:30</t>
  </si>
  <si>
    <t>15-07-2023 20:45</t>
  </si>
  <si>
    <t>15-07-2023 21:00</t>
  </si>
  <si>
    <t>15-07-2023 21:15</t>
  </si>
  <si>
    <t>15-07-2023 21:30</t>
  </si>
  <si>
    <t>15-07-2023 21:45</t>
  </si>
  <si>
    <t>15-07-2023 22:00</t>
  </si>
  <si>
    <t>15-07-2023 22:15</t>
  </si>
  <si>
    <t>15-07-2023 22:30</t>
  </si>
  <si>
    <t>15-07-2023 22:45</t>
  </si>
  <si>
    <t>15-07-2023 23:00</t>
  </si>
  <si>
    <t>15-07-2023 23:15</t>
  </si>
  <si>
    <t>15-07-2023 23:30</t>
  </si>
  <si>
    <t>15-07-2023 23:45</t>
  </si>
  <si>
    <t>15-07-2023 24:00</t>
  </si>
  <si>
    <t>16-07-2023 00:15</t>
  </si>
  <si>
    <t>16-07-2023 00:30</t>
  </si>
  <si>
    <t>16-07-2023 00:45</t>
  </si>
  <si>
    <t>16-07-2023 01:00</t>
  </si>
  <si>
    <t>16-07-2023 01:15</t>
  </si>
  <si>
    <t>16-07-2023 01:30</t>
  </si>
  <si>
    <t>16-07-2023 01:45</t>
  </si>
  <si>
    <t>16-07-2023 02:00</t>
  </si>
  <si>
    <t>16-07-2023 02:15</t>
  </si>
  <si>
    <t>16-07-2023 02:30</t>
  </si>
  <si>
    <t>16-07-2023 02:45</t>
  </si>
  <si>
    <t>16-07-2023 03:00</t>
  </si>
  <si>
    <t>16-07-2023 03:15</t>
  </si>
  <si>
    <t>16-07-2023 03:30</t>
  </si>
  <si>
    <t>16-07-2023 03:45</t>
  </si>
  <si>
    <t>16-07-2023 04:00</t>
  </si>
  <si>
    <t>16-07-2023 04:15</t>
  </si>
  <si>
    <t>16-07-2023 04:30</t>
  </si>
  <si>
    <t>16-07-2023 04:45</t>
  </si>
  <si>
    <t>16-07-2023 05:00</t>
  </si>
  <si>
    <t>16-07-2023 05:15</t>
  </si>
  <si>
    <t>16-07-2023 05:30</t>
  </si>
  <si>
    <t>16-07-2023 05:45</t>
  </si>
  <si>
    <t>16-07-2023 06:00</t>
  </si>
  <si>
    <t>16-07-2023 06:15</t>
  </si>
  <si>
    <t>16-07-2023 06:30</t>
  </si>
  <si>
    <t>16-07-2023 06:45</t>
  </si>
  <si>
    <t>16-07-2023 07:00</t>
  </si>
  <si>
    <t>16-07-2023 07:15</t>
  </si>
  <si>
    <t>16-07-2023 07:30</t>
  </si>
  <si>
    <t>16-07-2023 07:45</t>
  </si>
  <si>
    <t>16-07-2023 08:00</t>
  </si>
  <si>
    <t>16-07-2023 08:15</t>
  </si>
  <si>
    <t>16-07-2023 08:30</t>
  </si>
  <si>
    <t>16-07-2023 08:45</t>
  </si>
  <si>
    <t>16-07-2023 09:00</t>
  </si>
  <si>
    <t>16-07-2023 09:15</t>
  </si>
  <si>
    <t>16-07-2023 09:30</t>
  </si>
  <si>
    <t>16-07-2023 09:45</t>
  </si>
  <si>
    <t>16-07-2023 10:00</t>
  </si>
  <si>
    <t>16-07-2023 10:15</t>
  </si>
  <si>
    <t>16-07-2023 10:30</t>
  </si>
  <si>
    <t>16-07-2023 10:45</t>
  </si>
  <si>
    <t>16-07-2023 11:00</t>
  </si>
  <si>
    <t>16-07-2023 11:15</t>
  </si>
  <si>
    <t>16-07-2023 11:30</t>
  </si>
  <si>
    <t>16-07-2023 11:45</t>
  </si>
  <si>
    <t>16-07-2023 12:00</t>
  </si>
  <si>
    <t>16-07-2023 12:15</t>
  </si>
  <si>
    <t>16-07-2023 12:30</t>
  </si>
  <si>
    <t>16-07-2023 12:45</t>
  </si>
  <si>
    <t>16-07-2023 13:00</t>
  </si>
  <si>
    <t>16-07-2023 13:15</t>
  </si>
  <si>
    <t>16-07-2023 13:30</t>
  </si>
  <si>
    <t>16-07-2023 13:45</t>
  </si>
  <si>
    <t>16-07-2023 14:00</t>
  </si>
  <si>
    <t>16-07-2023 14:15</t>
  </si>
  <si>
    <t>16-07-2023 14:30</t>
  </si>
  <si>
    <t>16-07-2023 14:45</t>
  </si>
  <si>
    <t>16-07-2023 15:00</t>
  </si>
  <si>
    <t>16-07-2023 15:15</t>
  </si>
  <si>
    <t>16-07-2023 15:30</t>
  </si>
  <si>
    <t>16-07-2023 15:45</t>
  </si>
  <si>
    <t>16-07-2023 16:00</t>
  </si>
  <si>
    <t>16-07-2023 16:15</t>
  </si>
  <si>
    <t>16-07-2023 16:30</t>
  </si>
  <si>
    <t>16-07-2023 16:45</t>
  </si>
  <si>
    <t>16-07-2023 17:00</t>
  </si>
  <si>
    <t>16-07-2023 17:15</t>
  </si>
  <si>
    <t>16-07-2023 17:30</t>
  </si>
  <si>
    <t>16-07-2023 17:45</t>
  </si>
  <si>
    <t>16-07-2023 18:00</t>
  </si>
  <si>
    <t>16-07-2023 18:15</t>
  </si>
  <si>
    <t>16-07-2023 18:30</t>
  </si>
  <si>
    <t>16-07-2023 18:45</t>
  </si>
  <si>
    <t>16-07-2023 19:00</t>
  </si>
  <si>
    <t>16-07-2023 19:15</t>
  </si>
  <si>
    <t>16-07-2023 19:30</t>
  </si>
  <si>
    <t>16-07-2023 19:45</t>
  </si>
  <si>
    <t>16-07-2023 20:00</t>
  </si>
  <si>
    <t>16-07-2023 20:15</t>
  </si>
  <si>
    <t>16-07-2023 20:30</t>
  </si>
  <si>
    <t>16-07-2023 20:45</t>
  </si>
  <si>
    <t>16-07-2023 21:00</t>
  </si>
  <si>
    <t>16-07-2023 21:15</t>
  </si>
  <si>
    <t>16-07-2023 21:30</t>
  </si>
  <si>
    <t>16-07-2023 21:45</t>
  </si>
  <si>
    <t>16-07-2023 22:00</t>
  </si>
  <si>
    <t>16-07-2023 22:15</t>
  </si>
  <si>
    <t>16-07-2023 22:30</t>
  </si>
  <si>
    <t>16-07-2023 22:45</t>
  </si>
  <si>
    <t>16-07-2023 23:00</t>
  </si>
  <si>
    <t>16-07-2023 23:15</t>
  </si>
  <si>
    <t>16-07-2023 23:30</t>
  </si>
  <si>
    <t>16-07-2023 23:45</t>
  </si>
  <si>
    <t>16-07-2023 24:00</t>
  </si>
  <si>
    <t>17-07-2023 00:15</t>
  </si>
  <si>
    <t>17-07-2023 00:30</t>
  </si>
  <si>
    <t>17-07-2023 00:45</t>
  </si>
  <si>
    <t>17-07-2023 01:00</t>
  </si>
  <si>
    <t>17-07-2023 01:15</t>
  </si>
  <si>
    <t>17-07-2023 01:30</t>
  </si>
  <si>
    <t>17-07-2023 01:45</t>
  </si>
  <si>
    <t>17-07-2023 02:00</t>
  </si>
  <si>
    <t>17-07-2023 02:15</t>
  </si>
  <si>
    <t>17-07-2023 02:30</t>
  </si>
  <si>
    <t>17-07-2023 02:45</t>
  </si>
  <si>
    <t>17-07-2023 03:00</t>
  </si>
  <si>
    <t>17-07-2023 03:15</t>
  </si>
  <si>
    <t>17-07-2023 03:30</t>
  </si>
  <si>
    <t>17-07-2023 03:45</t>
  </si>
  <si>
    <t>17-07-2023 04:00</t>
  </si>
  <si>
    <t>17-07-2023 04:15</t>
  </si>
  <si>
    <t>17-07-2023 04:30</t>
  </si>
  <si>
    <t>17-07-2023 04:45</t>
  </si>
  <si>
    <t>17-07-2023 05:00</t>
  </si>
  <si>
    <t>17-07-2023 05:15</t>
  </si>
  <si>
    <t>17-07-2023 05:30</t>
  </si>
  <si>
    <t>17-07-2023 05:45</t>
  </si>
  <si>
    <t>17-07-2023 06:00</t>
  </si>
  <si>
    <t>17-07-2023 06:15</t>
  </si>
  <si>
    <t>17-07-2023 06:30</t>
  </si>
  <si>
    <t>17-07-2023 06:45</t>
  </si>
  <si>
    <t>17-07-2023 07:00</t>
  </si>
  <si>
    <t>17-07-2023 07:15</t>
  </si>
  <si>
    <t>17-07-2023 07:30</t>
  </si>
  <si>
    <t>17-07-2023 07:45</t>
  </si>
  <si>
    <t>17-07-2023 08:00</t>
  </si>
  <si>
    <t>17-07-2023 08:15</t>
  </si>
  <si>
    <t>17-07-2023 08:30</t>
  </si>
  <si>
    <t>17-07-2023 08:45</t>
  </si>
  <si>
    <t>17-07-2023 09:00</t>
  </si>
  <si>
    <t>17-07-2023 09:15</t>
  </si>
  <si>
    <t>17-07-2023 09:30</t>
  </si>
  <si>
    <t>17-07-2023 09:45</t>
  </si>
  <si>
    <t>17-07-2023 10:00</t>
  </si>
  <si>
    <t>17-07-2023 10:15</t>
  </si>
  <si>
    <t>17-07-2023 10:30</t>
  </si>
  <si>
    <t>17-07-2023 10:45</t>
  </si>
  <si>
    <t>17-07-2023 11:00</t>
  </si>
  <si>
    <t>17-07-2023 11:15</t>
  </si>
  <si>
    <t>17-07-2023 11:30</t>
  </si>
  <si>
    <t>17-07-2023 11:45</t>
  </si>
  <si>
    <t>17-07-2023 12:00</t>
  </si>
  <si>
    <t>17-07-2023 12:15</t>
  </si>
  <si>
    <t>17-07-2023 12:30</t>
  </si>
  <si>
    <t>17-07-2023 12:45</t>
  </si>
  <si>
    <t>17-07-2023 13:00</t>
  </si>
  <si>
    <t>17-07-2023 13:15</t>
  </si>
  <si>
    <t>17-07-2023 13:30</t>
  </si>
  <si>
    <t>17-07-2023 13:45</t>
  </si>
  <si>
    <t>17-07-2023 14:00</t>
  </si>
  <si>
    <t>17-07-2023 14:15</t>
  </si>
  <si>
    <t>17-07-2023 14:30</t>
  </si>
  <si>
    <t>17-07-2023 14:45</t>
  </si>
  <si>
    <t>17-07-2023 15:00</t>
  </si>
  <si>
    <t>17-07-2023 15:15</t>
  </si>
  <si>
    <t>17-07-2023 15:30</t>
  </si>
  <si>
    <t>17-07-2023 15:45</t>
  </si>
  <si>
    <t>17-07-2023 16:00</t>
  </si>
  <si>
    <t>17-07-2023 16:15</t>
  </si>
  <si>
    <t>17-07-2023 16:30</t>
  </si>
  <si>
    <t>17-07-2023 16:45</t>
  </si>
  <si>
    <t>17-07-2023 17:00</t>
  </si>
  <si>
    <t>17-07-2023 17:15</t>
  </si>
  <si>
    <t>17-07-2023 17:30</t>
  </si>
  <si>
    <t>17-07-2023 17:45</t>
  </si>
  <si>
    <t>17-07-2023 18:00</t>
  </si>
  <si>
    <t>17-07-2023 18:15</t>
  </si>
  <si>
    <t>17-07-2023 18:30</t>
  </si>
  <si>
    <t>17-07-2023 18:45</t>
  </si>
  <si>
    <t>17-07-2023 19:00</t>
  </si>
  <si>
    <t>17-07-2023 19:15</t>
  </si>
  <si>
    <t>17-07-2023 19:30</t>
  </si>
  <si>
    <t>17-07-2023 19:45</t>
  </si>
  <si>
    <t>17-07-2023 20:00</t>
  </si>
  <si>
    <t>17-07-2023 20:15</t>
  </si>
  <si>
    <t>17-07-2023 20:30</t>
  </si>
  <si>
    <t>17-07-2023 20:45</t>
  </si>
  <si>
    <t>17-07-2023 21:00</t>
  </si>
  <si>
    <t>17-07-2023 21:15</t>
  </si>
  <si>
    <t>17-07-2023 21:30</t>
  </si>
  <si>
    <t>17-07-2023 21:45</t>
  </si>
  <si>
    <t>17-07-2023 22:00</t>
  </si>
  <si>
    <t>17-07-2023 22:15</t>
  </si>
  <si>
    <t>17-07-2023 22:30</t>
  </si>
  <si>
    <t>17-07-2023 22:45</t>
  </si>
  <si>
    <t>17-07-2023 23:00</t>
  </si>
  <si>
    <t>17-07-2023 23:15</t>
  </si>
  <si>
    <t>17-07-2023 23:30</t>
  </si>
  <si>
    <t>17-07-2023 23:45</t>
  </si>
  <si>
    <t>17-07-2023 24:00</t>
  </si>
  <si>
    <t>18-07-2023 00:15</t>
  </si>
  <si>
    <t>18-07-2023 00:30</t>
  </si>
  <si>
    <t>18-07-2023 00:45</t>
  </si>
  <si>
    <t>18-07-2023 01:00</t>
  </si>
  <si>
    <t>18-07-2023 01:15</t>
  </si>
  <si>
    <t>18-07-2023 01:30</t>
  </si>
  <si>
    <t>18-07-2023 01:45</t>
  </si>
  <si>
    <t>18-07-2023 02:00</t>
  </si>
  <si>
    <t>18-07-2023 02:15</t>
  </si>
  <si>
    <t>18-07-2023 02:30</t>
  </si>
  <si>
    <t>18-07-2023 02:45</t>
  </si>
  <si>
    <t>18-07-2023 03:00</t>
  </si>
  <si>
    <t>18-07-2023 03:15</t>
  </si>
  <si>
    <t>18-07-2023 03:30</t>
  </si>
  <si>
    <t>18-07-2023 03:45</t>
  </si>
  <si>
    <t>18-07-2023 04:00</t>
  </si>
  <si>
    <t>18-07-2023 04:15</t>
  </si>
  <si>
    <t>18-07-2023 04:30</t>
  </si>
  <si>
    <t>18-07-2023 04:45</t>
  </si>
  <si>
    <t>18-07-2023 05:00</t>
  </si>
  <si>
    <t>18-07-2023 05:15</t>
  </si>
  <si>
    <t>18-07-2023 05:30</t>
  </si>
  <si>
    <t>18-07-2023 05:45</t>
  </si>
  <si>
    <t>18-07-2023 06:00</t>
  </si>
  <si>
    <t>18-07-2023 06:15</t>
  </si>
  <si>
    <t>18-07-2023 06:30</t>
  </si>
  <si>
    <t>18-07-2023 06:45</t>
  </si>
  <si>
    <t>18-07-2023 07:00</t>
  </si>
  <si>
    <t>18-07-2023 07:15</t>
  </si>
  <si>
    <t>18-07-2023 07:30</t>
  </si>
  <si>
    <t>18-07-2023 07:45</t>
  </si>
  <si>
    <t>18-07-2023 08:00</t>
  </si>
  <si>
    <t>18-07-2023 08:15</t>
  </si>
  <si>
    <t>18-07-2023 08:30</t>
  </si>
  <si>
    <t>18-07-2023 08:45</t>
  </si>
  <si>
    <t>18-07-2023 09:00</t>
  </si>
  <si>
    <t>18-07-2023 09:15</t>
  </si>
  <si>
    <t>18-07-2023 09:30</t>
  </si>
  <si>
    <t>18-07-2023 09:45</t>
  </si>
  <si>
    <t>18-07-2023 10:00</t>
  </si>
  <si>
    <t>18-07-2023 10:15</t>
  </si>
  <si>
    <t>18-07-2023 10:30</t>
  </si>
  <si>
    <t>18-07-2023 10:45</t>
  </si>
  <si>
    <t>18-07-2023 11:00</t>
  </si>
  <si>
    <t>18-07-2023 11:15</t>
  </si>
  <si>
    <t>18-07-2023 11:30</t>
  </si>
  <si>
    <t>18-07-2023 11:45</t>
  </si>
  <si>
    <t>18-07-2023 12:00</t>
  </si>
  <si>
    <t>18-07-2023 12:15</t>
  </si>
  <si>
    <t>18-07-2023 12:30</t>
  </si>
  <si>
    <t>18-07-2023 12:45</t>
  </si>
  <si>
    <t>18-07-2023 13:00</t>
  </si>
  <si>
    <t>18-07-2023 13:15</t>
  </si>
  <si>
    <t>18-07-2023 13:30</t>
  </si>
  <si>
    <t>18-07-2023 13:45</t>
  </si>
  <si>
    <t>18-07-2023 14:00</t>
  </si>
  <si>
    <t>18-07-2023 14:15</t>
  </si>
  <si>
    <t>18-07-2023 14:30</t>
  </si>
  <si>
    <t>18-07-2023 14:45</t>
  </si>
  <si>
    <t>18-07-2023 15:00</t>
  </si>
  <si>
    <t>18-07-2023 15:15</t>
  </si>
  <si>
    <t>18-07-2023 15:30</t>
  </si>
  <si>
    <t>18-07-2023 15:45</t>
  </si>
  <si>
    <t>18-07-2023 16:00</t>
  </si>
  <si>
    <t>18-07-2023 16:15</t>
  </si>
  <si>
    <t>18-07-2023 16:30</t>
  </si>
  <si>
    <t>18-07-2023 16:45</t>
  </si>
  <si>
    <t>18-07-2023 17:00</t>
  </si>
  <si>
    <t>18-07-2023 17:15</t>
  </si>
  <si>
    <t>18-07-2023 17:30</t>
  </si>
  <si>
    <t>18-07-2023 17:45</t>
  </si>
  <si>
    <t>18-07-2023 18:00</t>
  </si>
  <si>
    <t>18-07-2023 18:15</t>
  </si>
  <si>
    <t>18-07-2023 18:30</t>
  </si>
  <si>
    <t>18-07-2023 18:45</t>
  </si>
  <si>
    <t>18-07-2023 19:00</t>
  </si>
  <si>
    <t>18-07-2023 19:15</t>
  </si>
  <si>
    <t>18-07-2023 19:30</t>
  </si>
  <si>
    <t>18-07-2023 19:45</t>
  </si>
  <si>
    <t>18-07-2023 20:00</t>
  </si>
  <si>
    <t>18-07-2023 20:15</t>
  </si>
  <si>
    <t>18-07-2023 20:30</t>
  </si>
  <si>
    <t>18-07-2023 20:45</t>
  </si>
  <si>
    <t>18-07-2023 21:00</t>
  </si>
  <si>
    <t>18-07-2023 21:15</t>
  </si>
  <si>
    <t>18-07-2023 21:30</t>
  </si>
  <si>
    <t>18-07-2023 21:45</t>
  </si>
  <si>
    <t>18-07-2023 22:00</t>
  </si>
  <si>
    <t>18-07-2023 22:15</t>
  </si>
  <si>
    <t>18-07-2023 22:30</t>
  </si>
  <si>
    <t>18-07-2023 22:45</t>
  </si>
  <si>
    <t>18-07-2023 23:00</t>
  </si>
  <si>
    <t>18-07-2023 23:15</t>
  </si>
  <si>
    <t>18-07-2023 23:30</t>
  </si>
  <si>
    <t>18-07-2023 23:45</t>
  </si>
  <si>
    <t>18-07-2023 24:00</t>
  </si>
  <si>
    <t>19-07-2023 00:15</t>
  </si>
  <si>
    <t>19-07-2023 00:30</t>
  </si>
  <si>
    <t>19-07-2023 00:45</t>
  </si>
  <si>
    <t>19-07-2023 01:00</t>
  </si>
  <si>
    <t>19-07-2023 01:15</t>
  </si>
  <si>
    <t>19-07-2023 01:30</t>
  </si>
  <si>
    <t>19-07-2023 01:45</t>
  </si>
  <si>
    <t>19-07-2023 02:00</t>
  </si>
  <si>
    <t>19-07-2023 02:15</t>
  </si>
  <si>
    <t>19-07-2023 02:30</t>
  </si>
  <si>
    <t>19-07-2023 02:45</t>
  </si>
  <si>
    <t>19-07-2023 03:00</t>
  </si>
  <si>
    <t>19-07-2023 03:15</t>
  </si>
  <si>
    <t>19-07-2023 03:30</t>
  </si>
  <si>
    <t>19-07-2023 03:45</t>
  </si>
  <si>
    <t>19-07-2023 04:00</t>
  </si>
  <si>
    <t>19-07-2023 04:15</t>
  </si>
  <si>
    <t>19-07-2023 04:30</t>
  </si>
  <si>
    <t>19-07-2023 04:45</t>
  </si>
  <si>
    <t>19-07-2023 05:00</t>
  </si>
  <si>
    <t>19-07-2023 05:15</t>
  </si>
  <si>
    <t>19-07-2023 05:30</t>
  </si>
  <si>
    <t>19-07-2023 05:45</t>
  </si>
  <si>
    <t>19-07-2023 06:00</t>
  </si>
  <si>
    <t>19-07-2023 06:15</t>
  </si>
  <si>
    <t>19-07-2023 06:30</t>
  </si>
  <si>
    <t>19-07-2023 06:45</t>
  </si>
  <si>
    <t>19-07-2023 07:00</t>
  </si>
  <si>
    <t>19-07-2023 07:15</t>
  </si>
  <si>
    <t>19-07-2023 07:30</t>
  </si>
  <si>
    <t>19-07-2023 07:45</t>
  </si>
  <si>
    <t>19-07-2023 08:00</t>
  </si>
  <si>
    <t>19-07-2023 08:15</t>
  </si>
  <si>
    <t>19-07-2023 08:30</t>
  </si>
  <si>
    <t>19-07-2023 08:45</t>
  </si>
  <si>
    <t>19-07-2023 09:00</t>
  </si>
  <si>
    <t>19-07-2023 09:15</t>
  </si>
  <si>
    <t>19-07-2023 09:30</t>
  </si>
  <si>
    <t>19-07-2023 09:45</t>
  </si>
  <si>
    <t>19-07-2023 10:00</t>
  </si>
  <si>
    <t>19-07-2023 10:15</t>
  </si>
  <si>
    <t>19-07-2023 10:30</t>
  </si>
  <si>
    <t>19-07-2023 10:45</t>
  </si>
  <si>
    <t>19-07-2023 11:00</t>
  </si>
  <si>
    <t>19-07-2023 11:15</t>
  </si>
  <si>
    <t>19-07-2023 11:30</t>
  </si>
  <si>
    <t>19-07-2023 11:45</t>
  </si>
  <si>
    <t>19-07-2023 12:00</t>
  </si>
  <si>
    <t>19-07-2023 12:15</t>
  </si>
  <si>
    <t>19-07-2023 12:30</t>
  </si>
  <si>
    <t>19-07-2023 12:45</t>
  </si>
  <si>
    <t>19-07-2023 13:00</t>
  </si>
  <si>
    <t>19-07-2023 13:15</t>
  </si>
  <si>
    <t>19-07-2023 13:30</t>
  </si>
  <si>
    <t>19-07-2023 13:45</t>
  </si>
  <si>
    <t>19-07-2023 14:00</t>
  </si>
  <si>
    <t>19-07-2023 14:15</t>
  </si>
  <si>
    <t>19-07-2023 14:30</t>
  </si>
  <si>
    <t>19-07-2023 14:45</t>
  </si>
  <si>
    <t>19-07-2023 15:00</t>
  </si>
  <si>
    <t>19-07-2023 15:15</t>
  </si>
  <si>
    <t>19-07-2023 15:30</t>
  </si>
  <si>
    <t>19-07-2023 15:45</t>
  </si>
  <si>
    <t>19-07-2023 16:00</t>
  </si>
  <si>
    <t>19-07-2023 16:15</t>
  </si>
  <si>
    <t>19-07-2023 16:30</t>
  </si>
  <si>
    <t>19-07-2023 16:45</t>
  </si>
  <si>
    <t>19-07-2023 17:00</t>
  </si>
  <si>
    <t>19-07-2023 17:15</t>
  </si>
  <si>
    <t>19-07-2023 17:30</t>
  </si>
  <si>
    <t>19-07-2023 17:45</t>
  </si>
  <si>
    <t>19-07-2023 18:00</t>
  </si>
  <si>
    <t>19-07-2023 18:15</t>
  </si>
  <si>
    <t>19-07-2023 18:30</t>
  </si>
  <si>
    <t>19-07-2023 18:45</t>
  </si>
  <si>
    <t>19-07-2023 19:00</t>
  </si>
  <si>
    <t>19-07-2023 19:15</t>
  </si>
  <si>
    <t>19-07-2023 19:30</t>
  </si>
  <si>
    <t>19-07-2023 19:45</t>
  </si>
  <si>
    <t>19-07-2023 20:00</t>
  </si>
  <si>
    <t>19-07-2023 20:15</t>
  </si>
  <si>
    <t>19-07-2023 20:30</t>
  </si>
  <si>
    <t>19-07-2023 20:45</t>
  </si>
  <si>
    <t>19-07-2023 21:00</t>
  </si>
  <si>
    <t>19-07-2023 21:15</t>
  </si>
  <si>
    <t>19-07-2023 21:30</t>
  </si>
  <si>
    <t>19-07-2023 21:45</t>
  </si>
  <si>
    <t>19-07-2023 22:00</t>
  </si>
  <si>
    <t>19-07-2023 22:15</t>
  </si>
  <si>
    <t>19-07-2023 22:30</t>
  </si>
  <si>
    <t>19-07-2023 22:45</t>
  </si>
  <si>
    <t>19-07-2023 23:00</t>
  </si>
  <si>
    <t>19-07-2023 23:15</t>
  </si>
  <si>
    <t>19-07-2023 23:30</t>
  </si>
  <si>
    <t>19-07-2023 23:45</t>
  </si>
  <si>
    <t>19-07-2023 24:00</t>
  </si>
  <si>
    <t>20-07-2023 00:15</t>
  </si>
  <si>
    <t>20-07-2023 00:30</t>
  </si>
  <si>
    <t>20-07-2023 00:45</t>
  </si>
  <si>
    <t>20-07-2023 01:00</t>
  </si>
  <si>
    <t>20-07-2023 01:15</t>
  </si>
  <si>
    <t>20-07-2023 01:30</t>
  </si>
  <si>
    <t>20-07-2023 01:45</t>
  </si>
  <si>
    <t>20-07-2023 02:00</t>
  </si>
  <si>
    <t>20-07-2023 02:15</t>
  </si>
  <si>
    <t>20-07-2023 02:30</t>
  </si>
  <si>
    <t>20-07-2023 02:45</t>
  </si>
  <si>
    <t>20-07-2023 03:00</t>
  </si>
  <si>
    <t>20-07-2023 03:15</t>
  </si>
  <si>
    <t>20-07-2023 03:30</t>
  </si>
  <si>
    <t>20-07-2023 03:45</t>
  </si>
  <si>
    <t>20-07-2023 04:00</t>
  </si>
  <si>
    <t>20-07-2023 04:15</t>
  </si>
  <si>
    <t>20-07-2023 04:30</t>
  </si>
  <si>
    <t>20-07-2023 04:45</t>
  </si>
  <si>
    <t>20-07-2023 05:00</t>
  </si>
  <si>
    <t>20-07-2023 05:15</t>
  </si>
  <si>
    <t>20-07-2023 05:30</t>
  </si>
  <si>
    <t>20-07-2023 05:45</t>
  </si>
  <si>
    <t>20-07-2023 06:00</t>
  </si>
  <si>
    <t>20-07-2023 06:15</t>
  </si>
  <si>
    <t>20-07-2023 06:30</t>
  </si>
  <si>
    <t>20-07-2023 06:45</t>
  </si>
  <si>
    <t>20-07-2023 07:00</t>
  </si>
  <si>
    <t>20-07-2023 07:15</t>
  </si>
  <si>
    <t>20-07-2023 07:30</t>
  </si>
  <si>
    <t>20-07-2023 07:45</t>
  </si>
  <si>
    <t>20-07-2023 08:00</t>
  </si>
  <si>
    <t>20-07-2023 08:15</t>
  </si>
  <si>
    <t>20-07-2023 08:30</t>
  </si>
  <si>
    <t>20-07-2023 08:45</t>
  </si>
  <si>
    <t>20-07-2023 09:00</t>
  </si>
  <si>
    <t>20-07-2023 09:15</t>
  </si>
  <si>
    <t>20-07-2023 09:30</t>
  </si>
  <si>
    <t>20-07-2023 09:45</t>
  </si>
  <si>
    <t>20-07-2023 10:00</t>
  </si>
  <si>
    <t>20-07-2023 10:15</t>
  </si>
  <si>
    <t>20-07-2023 10:30</t>
  </si>
  <si>
    <t>20-07-2023 10:45</t>
  </si>
  <si>
    <t>20-07-2023 11:00</t>
  </si>
  <si>
    <t>20-07-2023 11:15</t>
  </si>
  <si>
    <t>20-07-2023 11:30</t>
  </si>
  <si>
    <t>20-07-2023 11:45</t>
  </si>
  <si>
    <t>20-07-2023 12:00</t>
  </si>
  <si>
    <t>20-07-2023 12:15</t>
  </si>
  <si>
    <t>20-07-2023 12:30</t>
  </si>
  <si>
    <t>20-07-2023 12:45</t>
  </si>
  <si>
    <t>20-07-2023 13:00</t>
  </si>
  <si>
    <t>20-07-2023 13:15</t>
  </si>
  <si>
    <t>20-07-2023 13:30</t>
  </si>
  <si>
    <t>20-07-2023 13:45</t>
  </si>
  <si>
    <t>20-07-2023 14:00</t>
  </si>
  <si>
    <t>20-07-2023 14:15</t>
  </si>
  <si>
    <t>20-07-2023 14:30</t>
  </si>
  <si>
    <t>20-07-2023 14:45</t>
  </si>
  <si>
    <t>20-07-2023 15:00</t>
  </si>
  <si>
    <t>20-07-2023 15:15</t>
  </si>
  <si>
    <t>20-07-2023 15:30</t>
  </si>
  <si>
    <t>20-07-2023 15:45</t>
  </si>
  <si>
    <t>20-07-2023 16:00</t>
  </si>
  <si>
    <t>20-07-2023 16:15</t>
  </si>
  <si>
    <t>20-07-2023 16:30</t>
  </si>
  <si>
    <t>20-07-2023 16:45</t>
  </si>
  <si>
    <t>20-07-2023 17:00</t>
  </si>
  <si>
    <t>20-07-2023 17:15</t>
  </si>
  <si>
    <t>20-07-2023 17:30</t>
  </si>
  <si>
    <t>20-07-2023 17:45</t>
  </si>
  <si>
    <t>20-07-2023 18:00</t>
  </si>
  <si>
    <t>20-07-2023 18:15</t>
  </si>
  <si>
    <t>20-07-2023 18:30</t>
  </si>
  <si>
    <t>20-07-2023 18:45</t>
  </si>
  <si>
    <t>20-07-2023 19:00</t>
  </si>
  <si>
    <t>20-07-2023 19:15</t>
  </si>
  <si>
    <t>20-07-2023 19:30</t>
  </si>
  <si>
    <t>20-07-2023 19:45</t>
  </si>
  <si>
    <t>20-07-2023 20:00</t>
  </si>
  <si>
    <t>20-07-2023 20:15</t>
  </si>
  <si>
    <t>20-07-2023 20:30</t>
  </si>
  <si>
    <t>20-07-2023 20:45</t>
  </si>
  <si>
    <t>20-07-2023 21:00</t>
  </si>
  <si>
    <t>20-07-2023 21:15</t>
  </si>
  <si>
    <t>20-07-2023 21:30</t>
  </si>
  <si>
    <t>20-07-2023 21:45</t>
  </si>
  <si>
    <t>20-07-2023 22:00</t>
  </si>
  <si>
    <t>20-07-2023 22:15</t>
  </si>
  <si>
    <t>20-07-2023 22:30</t>
  </si>
  <si>
    <t>20-07-2023 22:45</t>
  </si>
  <si>
    <t>20-07-2023 23:00</t>
  </si>
  <si>
    <t>20-07-2023 23:15</t>
  </si>
  <si>
    <t>20-07-2023 23:30</t>
  </si>
  <si>
    <t>20-07-2023 23:45</t>
  </si>
  <si>
    <t>20-07-2023 24:00</t>
  </si>
  <si>
    <t>21-07-2023 00:15</t>
  </si>
  <si>
    <t>21-07-2023 00:30</t>
  </si>
  <si>
    <t>21-07-2023 00:45</t>
  </si>
  <si>
    <t>21-07-2023 01:00</t>
  </si>
  <si>
    <t>21-07-2023 01:15</t>
  </si>
  <si>
    <t>21-07-2023 01:30</t>
  </si>
  <si>
    <t>21-07-2023 01:45</t>
  </si>
  <si>
    <t>21-07-2023 02:00</t>
  </si>
  <si>
    <t>21-07-2023 02:15</t>
  </si>
  <si>
    <t>21-07-2023 02:30</t>
  </si>
  <si>
    <t>21-07-2023 02:45</t>
  </si>
  <si>
    <t>21-07-2023 03:00</t>
  </si>
  <si>
    <t>21-07-2023 03:15</t>
  </si>
  <si>
    <t>21-07-2023 03:30</t>
  </si>
  <si>
    <t>21-07-2023 03:45</t>
  </si>
  <si>
    <t>21-07-2023 04:00</t>
  </si>
  <si>
    <t>21-07-2023 04:15</t>
  </si>
  <si>
    <t>21-07-2023 04:30</t>
  </si>
  <si>
    <t>21-07-2023 04:45</t>
  </si>
  <si>
    <t>21-07-2023 05:00</t>
  </si>
  <si>
    <t>21-07-2023 05:15</t>
  </si>
  <si>
    <t>21-07-2023 05:30</t>
  </si>
  <si>
    <t>21-07-2023 05:45</t>
  </si>
  <si>
    <t>21-07-2023 06:00</t>
  </si>
  <si>
    <t>21-07-2023 06:15</t>
  </si>
  <si>
    <t>21-07-2023 06:30</t>
  </si>
  <si>
    <t>21-07-2023 06:45</t>
  </si>
  <si>
    <t>21-07-2023 07:00</t>
  </si>
  <si>
    <t>21-07-2023 07:15</t>
  </si>
  <si>
    <t>21-07-2023 07:30</t>
  </si>
  <si>
    <t>21-07-2023 07:45</t>
  </si>
  <si>
    <t>21-07-2023 08:00</t>
  </si>
  <si>
    <t>21-07-2023 08:15</t>
  </si>
  <si>
    <t>21-07-2023 08:30</t>
  </si>
  <si>
    <t>21-07-2023 08:45</t>
  </si>
  <si>
    <t>21-07-2023 09:00</t>
  </si>
  <si>
    <t>21-07-2023 09:15</t>
  </si>
  <si>
    <t>21-07-2023 09:30</t>
  </si>
  <si>
    <t>21-07-2023 09:45</t>
  </si>
  <si>
    <t>21-07-2023 10:00</t>
  </si>
  <si>
    <t>21-07-2023 10:15</t>
  </si>
  <si>
    <t>21-07-2023 10:30</t>
  </si>
  <si>
    <t>21-07-2023 10:45</t>
  </si>
  <si>
    <t>21-07-2023 11:00</t>
  </si>
  <si>
    <t>21-07-2023 11:15</t>
  </si>
  <si>
    <t>21-07-2023 11:30</t>
  </si>
  <si>
    <t>21-07-2023 11:45</t>
  </si>
  <si>
    <t>21-07-2023 12:00</t>
  </si>
  <si>
    <t>21-07-2023 12:15</t>
  </si>
  <si>
    <t>21-07-2023 12:30</t>
  </si>
  <si>
    <t>21-07-2023 12:45</t>
  </si>
  <si>
    <t>21-07-2023 13:00</t>
  </si>
  <si>
    <t>21-07-2023 13:15</t>
  </si>
  <si>
    <t>21-07-2023 13:30</t>
  </si>
  <si>
    <t>21-07-2023 13:45</t>
  </si>
  <si>
    <t>21-07-2023 14:00</t>
  </si>
  <si>
    <t>21-07-2023 14:15</t>
  </si>
  <si>
    <t>21-07-2023 14:30</t>
  </si>
  <si>
    <t>21-07-2023 14:45</t>
  </si>
  <si>
    <t>21-07-2023 15:00</t>
  </si>
  <si>
    <t>21-07-2023 15:15</t>
  </si>
  <si>
    <t>21-07-2023 15:30</t>
  </si>
  <si>
    <t>21-07-2023 15:45</t>
  </si>
  <si>
    <t>21-07-2023 16:00</t>
  </si>
  <si>
    <t>21-07-2023 16:15</t>
  </si>
  <si>
    <t>21-07-2023 16:30</t>
  </si>
  <si>
    <t>21-07-2023 16:45</t>
  </si>
  <si>
    <t>21-07-2023 17:00</t>
  </si>
  <si>
    <t>21-07-2023 17:15</t>
  </si>
  <si>
    <t>21-07-2023 17:30</t>
  </si>
  <si>
    <t>21-07-2023 17:45</t>
  </si>
  <si>
    <t>21-07-2023 18:00</t>
  </si>
  <si>
    <t>21-07-2023 18:15</t>
  </si>
  <si>
    <t>21-07-2023 18:30</t>
  </si>
  <si>
    <t>21-07-2023 18:45</t>
  </si>
  <si>
    <t>21-07-2023 19:00</t>
  </si>
  <si>
    <t>21-07-2023 19:15</t>
  </si>
  <si>
    <t>21-07-2023 19:30</t>
  </si>
  <si>
    <t>21-07-2023 19:45</t>
  </si>
  <si>
    <t>21-07-2023 20:00</t>
  </si>
  <si>
    <t>21-07-2023 20:15</t>
  </si>
  <si>
    <t>21-07-2023 20:30</t>
  </si>
  <si>
    <t>21-07-2023 20:45</t>
  </si>
  <si>
    <t>21-07-2023 21:00</t>
  </si>
  <si>
    <t>21-07-2023 21:15</t>
  </si>
  <si>
    <t>21-07-2023 21:30</t>
  </si>
  <si>
    <t>21-07-2023 21:45</t>
  </si>
  <si>
    <t>21-07-2023 22:00</t>
  </si>
  <si>
    <t>21-07-2023 22:15</t>
  </si>
  <si>
    <t>21-07-2023 22:30</t>
  </si>
  <si>
    <t>21-07-2023 22:45</t>
  </si>
  <si>
    <t>21-07-2023 23:00</t>
  </si>
  <si>
    <t>21-07-2023 23:15</t>
  </si>
  <si>
    <t>21-07-2023 23:30</t>
  </si>
  <si>
    <t>21-07-2023 23:45</t>
  </si>
  <si>
    <t>21-07-2023 24:00</t>
  </si>
  <si>
    <t>22-07-2023 00:15</t>
  </si>
  <si>
    <t>22-07-2023 00:30</t>
  </si>
  <si>
    <t>22-07-2023 00:45</t>
  </si>
  <si>
    <t>22-07-2023 01:00</t>
  </si>
  <si>
    <t>22-07-2023 01:15</t>
  </si>
  <si>
    <t>22-07-2023 01:30</t>
  </si>
  <si>
    <t>22-07-2023 01:45</t>
  </si>
  <si>
    <t>22-07-2023 02:00</t>
  </si>
  <si>
    <t>22-07-2023 02:15</t>
  </si>
  <si>
    <t>22-07-2023 02:30</t>
  </si>
  <si>
    <t>22-07-2023 02:45</t>
  </si>
  <si>
    <t>22-07-2023 03:00</t>
  </si>
  <si>
    <t>22-07-2023 03:15</t>
  </si>
  <si>
    <t>22-07-2023 03:30</t>
  </si>
  <si>
    <t>22-07-2023 03:45</t>
  </si>
  <si>
    <t>22-07-2023 04:00</t>
  </si>
  <si>
    <t>22-07-2023 04:15</t>
  </si>
  <si>
    <t>22-07-2023 04:30</t>
  </si>
  <si>
    <t>22-07-2023 04:45</t>
  </si>
  <si>
    <t>22-07-2023 05:00</t>
  </si>
  <si>
    <t>22-07-2023 05:15</t>
  </si>
  <si>
    <t>22-07-2023 05:30</t>
  </si>
  <si>
    <t>22-07-2023 05:45</t>
  </si>
  <si>
    <t>22-07-2023 06:00</t>
  </si>
  <si>
    <t>22-07-2023 06:15</t>
  </si>
  <si>
    <t>22-07-2023 06:30</t>
  </si>
  <si>
    <t>22-07-2023 06:45</t>
  </si>
  <si>
    <t>22-07-2023 07:00</t>
  </si>
  <si>
    <t>22-07-2023 07:15</t>
  </si>
  <si>
    <t>22-07-2023 07:30</t>
  </si>
  <si>
    <t>22-07-2023 07:45</t>
  </si>
  <si>
    <t>22-07-2023 08:00</t>
  </si>
  <si>
    <t>22-07-2023 08:15</t>
  </si>
  <si>
    <t>22-07-2023 08:30</t>
  </si>
  <si>
    <t>22-07-2023 08:45</t>
  </si>
  <si>
    <t>22-07-2023 09:00</t>
  </si>
  <si>
    <t>22-07-2023 09:15</t>
  </si>
  <si>
    <t>22-07-2023 09:30</t>
  </si>
  <si>
    <t>22-07-2023 09:45</t>
  </si>
  <si>
    <t>22-07-2023 10:00</t>
  </si>
  <si>
    <t>22-07-2023 10:15</t>
  </si>
  <si>
    <t>22-07-2023 10:30</t>
  </si>
  <si>
    <t>22-07-2023 10:45</t>
  </si>
  <si>
    <t>22-07-2023 11:00</t>
  </si>
  <si>
    <t>22-07-2023 11:15</t>
  </si>
  <si>
    <t>22-07-2023 11:30</t>
  </si>
  <si>
    <t>22-07-2023 11:45</t>
  </si>
  <si>
    <t>22-07-2023 12:00</t>
  </si>
  <si>
    <t>22-07-2023 12:15</t>
  </si>
  <si>
    <t>22-07-2023 12:30</t>
  </si>
  <si>
    <t>22-07-2023 12:45</t>
  </si>
  <si>
    <t>22-07-2023 13:00</t>
  </si>
  <si>
    <t>22-07-2023 13:15</t>
  </si>
  <si>
    <t>22-07-2023 13:30</t>
  </si>
  <si>
    <t>22-07-2023 13:45</t>
  </si>
  <si>
    <t>22-07-2023 14:00</t>
  </si>
  <si>
    <t>22-07-2023 14:15</t>
  </si>
  <si>
    <t>22-07-2023 14:30</t>
  </si>
  <si>
    <t>22-07-2023 14:45</t>
  </si>
  <si>
    <t>22-07-2023 15:00</t>
  </si>
  <si>
    <t>22-07-2023 15:15</t>
  </si>
  <si>
    <t>22-07-2023 15:30</t>
  </si>
  <si>
    <t>22-07-2023 15:45</t>
  </si>
  <si>
    <t>22-07-2023 16:00</t>
  </si>
  <si>
    <t>22-07-2023 16:15</t>
  </si>
  <si>
    <t>22-07-2023 16:30</t>
  </si>
  <si>
    <t>22-07-2023 16:45</t>
  </si>
  <si>
    <t>22-07-2023 17:00</t>
  </si>
  <si>
    <t>22-07-2023 17:15</t>
  </si>
  <si>
    <t>22-07-2023 17:30</t>
  </si>
  <si>
    <t>22-07-2023 17:45</t>
  </si>
  <si>
    <t>22-07-2023 18:00</t>
  </si>
  <si>
    <t>22-07-2023 18:15</t>
  </si>
  <si>
    <t>22-07-2023 18:30</t>
  </si>
  <si>
    <t>22-07-2023 18:45</t>
  </si>
  <si>
    <t>22-07-2023 19:00</t>
  </si>
  <si>
    <t>22-07-2023 19:15</t>
  </si>
  <si>
    <t>22-07-2023 19:30</t>
  </si>
  <si>
    <t>22-07-2023 19:45</t>
  </si>
  <si>
    <t>22-07-2023 20:00</t>
  </si>
  <si>
    <t>22-07-2023 20:15</t>
  </si>
  <si>
    <t>22-07-2023 20:30</t>
  </si>
  <si>
    <t>22-07-2023 20:45</t>
  </si>
  <si>
    <t>22-07-2023 21:00</t>
  </si>
  <si>
    <t>22-07-2023 21:15</t>
  </si>
  <si>
    <t>22-07-2023 21:30</t>
  </si>
  <si>
    <t>22-07-2023 21:45</t>
  </si>
  <si>
    <t>22-07-2023 22:00</t>
  </si>
  <si>
    <t>22-07-2023 22:15</t>
  </si>
  <si>
    <t>22-07-2023 22:30</t>
  </si>
  <si>
    <t>22-07-2023 22:45</t>
  </si>
  <si>
    <t>22-07-2023 23:00</t>
  </si>
  <si>
    <t>22-07-2023 23:15</t>
  </si>
  <si>
    <t>22-07-2023 23:30</t>
  </si>
  <si>
    <t>22-07-2023 23:45</t>
  </si>
  <si>
    <t>22-07-2023 24:00</t>
  </si>
  <si>
    <t>23-07-2023 00:15</t>
  </si>
  <si>
    <t>23-07-2023 00:30</t>
  </si>
  <si>
    <t>23-07-2023 00:45</t>
  </si>
  <si>
    <t>23-07-2023 01:00</t>
  </si>
  <si>
    <t>23-07-2023 01:15</t>
  </si>
  <si>
    <t>23-07-2023 01:30</t>
  </si>
  <si>
    <t>23-07-2023 01:45</t>
  </si>
  <si>
    <t>23-07-2023 02:00</t>
  </si>
  <si>
    <t>23-07-2023 02:15</t>
  </si>
  <si>
    <t>23-07-2023 02:30</t>
  </si>
  <si>
    <t>23-07-2023 02:45</t>
  </si>
  <si>
    <t>23-07-2023 03:00</t>
  </si>
  <si>
    <t>23-07-2023 03:15</t>
  </si>
  <si>
    <t>23-07-2023 03:30</t>
  </si>
  <si>
    <t>23-07-2023 03:45</t>
  </si>
  <si>
    <t>23-07-2023 04:00</t>
  </si>
  <si>
    <t>23-07-2023 04:15</t>
  </si>
  <si>
    <t>23-07-2023 04:30</t>
  </si>
  <si>
    <t>23-07-2023 04:45</t>
  </si>
  <si>
    <t>23-07-2023 05:00</t>
  </si>
  <si>
    <t>23-07-2023 05:15</t>
  </si>
  <si>
    <t>23-07-2023 05:30</t>
  </si>
  <si>
    <t>23-07-2023 05:45</t>
  </si>
  <si>
    <t>23-07-2023 06:00</t>
  </si>
  <si>
    <t>23-07-2023 06:15</t>
  </si>
  <si>
    <t>23-07-2023 06:30</t>
  </si>
  <si>
    <t>23-07-2023 06:45</t>
  </si>
  <si>
    <t>23-07-2023 07:00</t>
  </si>
  <si>
    <t>23-07-2023 07:15</t>
  </si>
  <si>
    <t>23-07-2023 07:30</t>
  </si>
  <si>
    <t>23-07-2023 07:45</t>
  </si>
  <si>
    <t>23-07-2023 08:00</t>
  </si>
  <si>
    <t>23-07-2023 08:15</t>
  </si>
  <si>
    <t>23-07-2023 08:30</t>
  </si>
  <si>
    <t>23-07-2023 08:45</t>
  </si>
  <si>
    <t>23-07-2023 09:00</t>
  </si>
  <si>
    <t>23-07-2023 09:15</t>
  </si>
  <si>
    <t>23-07-2023 09:30</t>
  </si>
  <si>
    <t>23-07-2023 09:45</t>
  </si>
  <si>
    <t>23-07-2023 10:00</t>
  </si>
  <si>
    <t>23-07-2023 10:15</t>
  </si>
  <si>
    <t>23-07-2023 10:30</t>
  </si>
  <si>
    <t>23-07-2023 10:45</t>
  </si>
  <si>
    <t>23-07-2023 11:00</t>
  </si>
  <si>
    <t>23-07-2023 11:15</t>
  </si>
  <si>
    <t>23-07-2023 11:30</t>
  </si>
  <si>
    <t>23-07-2023 11:45</t>
  </si>
  <si>
    <t>23-07-2023 12:00</t>
  </si>
  <si>
    <t>23-07-2023 12:15</t>
  </si>
  <si>
    <t>23-07-2023 12:30</t>
  </si>
  <si>
    <t>23-07-2023 12:45</t>
  </si>
  <si>
    <t>23-07-2023 13:00</t>
  </si>
  <si>
    <t>23-07-2023 13:15</t>
  </si>
  <si>
    <t>23-07-2023 13:30</t>
  </si>
  <si>
    <t>23-07-2023 13:45</t>
  </si>
  <si>
    <t>23-07-2023 14:00</t>
  </si>
  <si>
    <t>23-07-2023 14:15</t>
  </si>
  <si>
    <t>23-07-2023 14:30</t>
  </si>
  <si>
    <t>23-07-2023 14:45</t>
  </si>
  <si>
    <t>23-07-2023 15:00</t>
  </si>
  <si>
    <t>23-07-2023 15:15</t>
  </si>
  <si>
    <t>23-07-2023 15:30</t>
  </si>
  <si>
    <t>23-07-2023 15:45</t>
  </si>
  <si>
    <t>23-07-2023 16:00</t>
  </si>
  <si>
    <t>23-07-2023 16:15</t>
  </si>
  <si>
    <t>23-07-2023 16:30</t>
  </si>
  <si>
    <t>23-07-2023 16:45</t>
  </si>
  <si>
    <t>23-07-2023 17:00</t>
  </si>
  <si>
    <t>23-07-2023 17:15</t>
  </si>
  <si>
    <t>23-07-2023 17:30</t>
  </si>
  <si>
    <t>23-07-2023 17:45</t>
  </si>
  <si>
    <t>23-07-2023 18:00</t>
  </si>
  <si>
    <t>23-07-2023 18:15</t>
  </si>
  <si>
    <t>23-07-2023 18:30</t>
  </si>
  <si>
    <t>23-07-2023 18:45</t>
  </si>
  <si>
    <t>23-07-2023 19:00</t>
  </si>
  <si>
    <t>23-07-2023 19:15</t>
  </si>
  <si>
    <t>23-07-2023 19:30</t>
  </si>
  <si>
    <t>23-07-2023 19:45</t>
  </si>
  <si>
    <t>23-07-2023 20:00</t>
  </si>
  <si>
    <t>23-07-2023 20:15</t>
  </si>
  <si>
    <t>23-07-2023 20:30</t>
  </si>
  <si>
    <t>23-07-2023 20:45</t>
  </si>
  <si>
    <t>23-07-2023 21:00</t>
  </si>
  <si>
    <t>23-07-2023 21:15</t>
  </si>
  <si>
    <t>23-07-2023 21:30</t>
  </si>
  <si>
    <t>23-07-2023 21:45</t>
  </si>
  <si>
    <t>23-07-2023 22:00</t>
  </si>
  <si>
    <t>23-07-2023 22:15</t>
  </si>
  <si>
    <t>23-07-2023 22:30</t>
  </si>
  <si>
    <t>23-07-2023 22:45</t>
  </si>
  <si>
    <t>23-07-2023 23:00</t>
  </si>
  <si>
    <t>23-07-2023 23:15</t>
  </si>
  <si>
    <t>23-07-2023 23:30</t>
  </si>
  <si>
    <t>23-07-2023 23:45</t>
  </si>
  <si>
    <t>23-07-2023 24:00</t>
  </si>
  <si>
    <t>24-07-2023 00:15</t>
  </si>
  <si>
    <t>24-07-2023 00:30</t>
  </si>
  <si>
    <t>24-07-2023 00:45</t>
  </si>
  <si>
    <t>24-07-2023 01:00</t>
  </si>
  <si>
    <t>24-07-2023 01:15</t>
  </si>
  <si>
    <t>24-07-2023 01:30</t>
  </si>
  <si>
    <t>24-07-2023 01:45</t>
  </si>
  <si>
    <t>24-07-2023 02:00</t>
  </si>
  <si>
    <t>24-07-2023 02:15</t>
  </si>
  <si>
    <t>24-07-2023 02:30</t>
  </si>
  <si>
    <t>24-07-2023 02:45</t>
  </si>
  <si>
    <t>24-07-2023 03:00</t>
  </si>
  <si>
    <t>24-07-2023 03:15</t>
  </si>
  <si>
    <t>24-07-2023 03:30</t>
  </si>
  <si>
    <t>24-07-2023 03:45</t>
  </si>
  <si>
    <t>24-07-2023 04:00</t>
  </si>
  <si>
    <t>24-07-2023 04:15</t>
  </si>
  <si>
    <t>24-07-2023 04:30</t>
  </si>
  <si>
    <t>24-07-2023 04:45</t>
  </si>
  <si>
    <t>24-07-2023 05:00</t>
  </si>
  <si>
    <t>24-07-2023 05:15</t>
  </si>
  <si>
    <t>24-07-2023 05:30</t>
  </si>
  <si>
    <t>24-07-2023 05:45</t>
  </si>
  <si>
    <t>24-07-2023 06:00</t>
  </si>
  <si>
    <t>24-07-2023 06:15</t>
  </si>
  <si>
    <t>24-07-2023 06:30</t>
  </si>
  <si>
    <t>24-07-2023 06:45</t>
  </si>
  <si>
    <t>24-07-2023 07:00</t>
  </si>
  <si>
    <t>24-07-2023 07:15</t>
  </si>
  <si>
    <t>24-07-2023 07:30</t>
  </si>
  <si>
    <t>24-07-2023 07:45</t>
  </si>
  <si>
    <t>24-07-2023 08:00</t>
  </si>
  <si>
    <t>24-07-2023 08:15</t>
  </si>
  <si>
    <t>24-07-2023 08:30</t>
  </si>
  <si>
    <t>24-07-2023 08:45</t>
  </si>
  <si>
    <t>24-07-2023 09:00</t>
  </si>
  <si>
    <t>24-07-2023 09:15</t>
  </si>
  <si>
    <t>24-07-2023 09:30</t>
  </si>
  <si>
    <t>24-07-2023 09:45</t>
  </si>
  <si>
    <t>24-07-2023 10:00</t>
  </si>
  <si>
    <t>24-07-2023 10:15</t>
  </si>
  <si>
    <t>24-07-2023 10:30</t>
  </si>
  <si>
    <t>24-07-2023 10:45</t>
  </si>
  <si>
    <t>24-07-2023 11:00</t>
  </si>
  <si>
    <t>24-07-2023 11:15</t>
  </si>
  <si>
    <t>24-07-2023 11:30</t>
  </si>
  <si>
    <t>24-07-2023 11:45</t>
  </si>
  <si>
    <t>24-07-2023 12:00</t>
  </si>
  <si>
    <t>24-07-2023 12:15</t>
  </si>
  <si>
    <t>24-07-2023 12:30</t>
  </si>
  <si>
    <t>24-07-2023 12:45</t>
  </si>
  <si>
    <t>24-07-2023 13:00</t>
  </si>
  <si>
    <t>24-07-2023 13:15</t>
  </si>
  <si>
    <t>24-07-2023 13:30</t>
  </si>
  <si>
    <t>24-07-2023 13:45</t>
  </si>
  <si>
    <t>24-07-2023 14:00</t>
  </si>
  <si>
    <t>24-07-2023 14:15</t>
  </si>
  <si>
    <t>24-07-2023 14:30</t>
  </si>
  <si>
    <t>24-07-2023 14:45</t>
  </si>
  <si>
    <t>24-07-2023 15:00</t>
  </si>
  <si>
    <t>24-07-2023 15:15</t>
  </si>
  <si>
    <t>24-07-2023 15:30</t>
  </si>
  <si>
    <t>24-07-2023 15:45</t>
  </si>
  <si>
    <t>24-07-2023 16:00</t>
  </si>
  <si>
    <t>24-07-2023 16:15</t>
  </si>
  <si>
    <t>24-07-2023 16:30</t>
  </si>
  <si>
    <t>24-07-2023 16:45</t>
  </si>
  <si>
    <t>24-07-2023 17:00</t>
  </si>
  <si>
    <t>24-07-2023 17:15</t>
  </si>
  <si>
    <t>24-07-2023 17:30</t>
  </si>
  <si>
    <t>24-07-2023 17:45</t>
  </si>
  <si>
    <t>24-07-2023 18:00</t>
  </si>
  <si>
    <t>24-07-2023 18:15</t>
  </si>
  <si>
    <t>24-07-2023 18:30</t>
  </si>
  <si>
    <t>24-07-2023 18:45</t>
  </si>
  <si>
    <t>24-07-2023 19:00</t>
  </si>
  <si>
    <t>24-07-2023 19:15</t>
  </si>
  <si>
    <t>24-07-2023 19:30</t>
  </si>
  <si>
    <t>24-07-2023 19:45</t>
  </si>
  <si>
    <t>24-07-2023 20:00</t>
  </si>
  <si>
    <t>24-07-2023 20:15</t>
  </si>
  <si>
    <t>24-07-2023 20:30</t>
  </si>
  <si>
    <t>24-07-2023 20:45</t>
  </si>
  <si>
    <t>24-07-2023 21:00</t>
  </si>
  <si>
    <t>24-07-2023 21:15</t>
  </si>
  <si>
    <t>24-07-2023 21:30</t>
  </si>
  <si>
    <t>24-07-2023 21:45</t>
  </si>
  <si>
    <t>24-07-2023 22:00</t>
  </si>
  <si>
    <t>24-07-2023 22:15</t>
  </si>
  <si>
    <t>24-07-2023 22:30</t>
  </si>
  <si>
    <t>24-07-2023 22:45</t>
  </si>
  <si>
    <t>24-07-2023 23:00</t>
  </si>
  <si>
    <t>24-07-2023 23:15</t>
  </si>
  <si>
    <t>24-07-2023 23:30</t>
  </si>
  <si>
    <t>24-07-2023 23:45</t>
  </si>
  <si>
    <t>24-07-2023 24:00</t>
  </si>
  <si>
    <t>18/7/23 13:30</t>
  </si>
  <si>
    <t>18/7/23 16:45</t>
  </si>
  <si>
    <t>akash</t>
  </si>
  <si>
    <t>Akash</t>
  </si>
  <si>
    <t>25-07-2023 00:15</t>
  </si>
  <si>
    <t>25-07-2023 00:30</t>
  </si>
  <si>
    <t>25-07-2023 00:45</t>
  </si>
  <si>
    <t>25-07-2023 01:00</t>
  </si>
  <si>
    <t>25-07-2023 01:15</t>
  </si>
  <si>
    <t>25-07-2023 01:30</t>
  </si>
  <si>
    <t>25-07-2023 01:45</t>
  </si>
  <si>
    <t>25-07-2023 02:00</t>
  </si>
  <si>
    <t>25-07-2023 02:15</t>
  </si>
  <si>
    <t>25-07-2023 02:30</t>
  </si>
  <si>
    <t>25-07-2023 02:45</t>
  </si>
  <si>
    <t>25-07-2023 03:00</t>
  </si>
  <si>
    <t>25-07-2023 03:15</t>
  </si>
  <si>
    <t>25-07-2023 03:30</t>
  </si>
  <si>
    <t>25-07-2023 03:45</t>
  </si>
  <si>
    <t>25-07-2023 04:00</t>
  </si>
  <si>
    <t>25-07-2023 04:15</t>
  </si>
  <si>
    <t>25-07-2023 04:30</t>
  </si>
  <si>
    <t>25-07-2023 04:45</t>
  </si>
  <si>
    <t>25-07-2023 05:00</t>
  </si>
  <si>
    <t>25-07-2023 05:15</t>
  </si>
  <si>
    <t>25-07-2023 05:30</t>
  </si>
  <si>
    <t>25-07-2023 05:45</t>
  </si>
  <si>
    <t>25-07-2023 06:00</t>
  </si>
  <si>
    <t>25-07-2023 06:15</t>
  </si>
  <si>
    <t>25-07-2023 06:30</t>
  </si>
  <si>
    <t>25-07-2023 06:45</t>
  </si>
  <si>
    <t>25-07-2023 07:00</t>
  </si>
  <si>
    <t>25-07-2023 07:15</t>
  </si>
  <si>
    <t>25-07-2023 07:30</t>
  </si>
  <si>
    <t>25-07-2023 07:45</t>
  </si>
  <si>
    <t>25-07-2023 08:00</t>
  </si>
  <si>
    <t>25-07-2023 08:15</t>
  </si>
  <si>
    <t>25-07-2023 08:30</t>
  </si>
  <si>
    <t>25-07-2023 08:45</t>
  </si>
  <si>
    <t>25-07-2023 09:00</t>
  </si>
  <si>
    <t>25-07-2023 09:15</t>
  </si>
  <si>
    <t>25-07-2023 09:30</t>
  </si>
  <si>
    <t>25-07-2023 09:45</t>
  </si>
  <si>
    <t>25-07-2023 10:00</t>
  </si>
  <si>
    <t>25-07-2023 10:15</t>
  </si>
  <si>
    <t>25-07-2023 10:30</t>
  </si>
  <si>
    <t>25-07-2023 10:45</t>
  </si>
  <si>
    <t>25-07-2023 11:00</t>
  </si>
  <si>
    <t>25-07-2023 11:15</t>
  </si>
  <si>
    <t>25-07-2023 11:30</t>
  </si>
  <si>
    <t>25-07-2023 11:45</t>
  </si>
  <si>
    <t>25-07-2023 12:00</t>
  </si>
  <si>
    <t>25-07-2023 12:15</t>
  </si>
  <si>
    <t>25-07-2023 12:30</t>
  </si>
  <si>
    <t>25-07-2023 12:45</t>
  </si>
  <si>
    <t>25-07-2023 13:00</t>
  </si>
  <si>
    <t>25-07-2023 13:15</t>
  </si>
  <si>
    <t>25-07-2023 13:30</t>
  </si>
  <si>
    <t>25-07-2023 13:45</t>
  </si>
  <si>
    <t>25-07-2023 14:00</t>
  </si>
  <si>
    <t>25-07-2023 14:15</t>
  </si>
  <si>
    <t>25-07-2023 14:30</t>
  </si>
  <si>
    <t>25-07-2023 14:45</t>
  </si>
  <si>
    <t>25-07-2023 15:00</t>
  </si>
  <si>
    <t>25-07-2023 15:15</t>
  </si>
  <si>
    <t>25-07-2023 15:30</t>
  </si>
  <si>
    <t>25-07-2023 15:45</t>
  </si>
  <si>
    <t>25-07-2023 16:00</t>
  </si>
  <si>
    <t>25-07-2023 16:15</t>
  </si>
  <si>
    <t>25-07-2023 16:30</t>
  </si>
  <si>
    <t>25-07-2023 16:45</t>
  </si>
  <si>
    <t>25-07-2023 17:00</t>
  </si>
  <si>
    <t>25-07-2023 17:15</t>
  </si>
  <si>
    <t>25-07-2023 17:30</t>
  </si>
  <si>
    <t>25-07-2023 17:45</t>
  </si>
  <si>
    <t>25-07-2023 18:00</t>
  </si>
  <si>
    <t>25-07-2023 18:15</t>
  </si>
  <si>
    <t>25-07-2023 18:30</t>
  </si>
  <si>
    <t>25-07-2023 18:45</t>
  </si>
  <si>
    <t>25-07-2023 19:00</t>
  </si>
  <si>
    <t>25-07-2023 19:15</t>
  </si>
  <si>
    <t>25-07-2023 19:30</t>
  </si>
  <si>
    <t>25-07-2023 19:45</t>
  </si>
  <si>
    <t>25-07-2023 20:00</t>
  </si>
  <si>
    <t>25-07-2023 20:15</t>
  </si>
  <si>
    <t>25-07-2023 20:30</t>
  </si>
  <si>
    <t>25-07-2023 20:45</t>
  </si>
  <si>
    <t>25-07-2023 21:00</t>
  </si>
  <si>
    <t>25-07-2023 21:15</t>
  </si>
  <si>
    <t>25-07-2023 21:30</t>
  </si>
  <si>
    <t>25-07-2023 21:45</t>
  </si>
  <si>
    <t>25-07-2023 22:00</t>
  </si>
  <si>
    <t>25-07-2023 22:15</t>
  </si>
  <si>
    <t>25-07-2023 22:30</t>
  </si>
  <si>
    <t>25-07-2023 22:45</t>
  </si>
  <si>
    <t>25-07-2023 23:00</t>
  </si>
  <si>
    <t>25-07-2023 23:15</t>
  </si>
  <si>
    <t>25-07-2023 23:30</t>
  </si>
  <si>
    <t>25-07-2023 23:45</t>
  </si>
  <si>
    <t>25-07-2023 24:00</t>
  </si>
  <si>
    <t>26-07-2023 00:15</t>
  </si>
  <si>
    <t>26-07-2023 00:30</t>
  </si>
  <si>
    <t>26-07-2023 00:45</t>
  </si>
  <si>
    <t>26-07-2023 01:00</t>
  </si>
  <si>
    <t>26-07-2023 01:15</t>
  </si>
  <si>
    <t>26-07-2023 01:30</t>
  </si>
  <si>
    <t>26-07-2023 01:45</t>
  </si>
  <si>
    <t>26-07-2023 02:00</t>
  </si>
  <si>
    <t>26-07-2023 02:15</t>
  </si>
  <si>
    <t>26-07-2023 02:30</t>
  </si>
  <si>
    <t>26-07-2023 02:45</t>
  </si>
  <si>
    <t>26-07-2023 03:00</t>
  </si>
  <si>
    <t>26-07-2023 03:15</t>
  </si>
  <si>
    <t>26-07-2023 03:30</t>
  </si>
  <si>
    <t>26-07-2023 03:45</t>
  </si>
  <si>
    <t>26-07-2023 04:00</t>
  </si>
  <si>
    <t>26-07-2023 04:15</t>
  </si>
  <si>
    <t>26-07-2023 04:30</t>
  </si>
  <si>
    <t>26-07-2023 04:45</t>
  </si>
  <si>
    <t>26-07-2023 05:00</t>
  </si>
  <si>
    <t>26-07-2023 05:15</t>
  </si>
  <si>
    <t>26-07-2023 05:30</t>
  </si>
  <si>
    <t>26-07-2023 05:45</t>
  </si>
  <si>
    <t>26-07-2023 06:00</t>
  </si>
  <si>
    <t>26-07-2023 06:15</t>
  </si>
  <si>
    <t>26-07-2023 06:30</t>
  </si>
  <si>
    <t>26-07-2023 06:45</t>
  </si>
  <si>
    <t>26-07-2023 07:00</t>
  </si>
  <si>
    <t>26-07-2023 07:15</t>
  </si>
  <si>
    <t>26-07-2023 07:30</t>
  </si>
  <si>
    <t>26-07-2023 07:45</t>
  </si>
  <si>
    <t>26-07-2023 08:00</t>
  </si>
  <si>
    <t>26-07-2023 08:15</t>
  </si>
  <si>
    <t>26-07-2023 08:30</t>
  </si>
  <si>
    <t>26-07-2023 08:45</t>
  </si>
  <si>
    <t>26-07-2023 09:00</t>
  </si>
  <si>
    <t>26-07-2023 09:15</t>
  </si>
  <si>
    <t>26-07-2023 09:30</t>
  </si>
  <si>
    <t>26-07-2023 09:45</t>
  </si>
  <si>
    <t>26-07-2023 10:00</t>
  </si>
  <si>
    <t>26-07-2023 10:15</t>
  </si>
  <si>
    <t>26-07-2023 10:30</t>
  </si>
  <si>
    <t>26-07-2023 10:45</t>
  </si>
  <si>
    <t>26-07-2023 11:00</t>
  </si>
  <si>
    <t>26-07-2023 11:15</t>
  </si>
  <si>
    <t>26-07-2023 11:30</t>
  </si>
  <si>
    <t>26-07-2023 11:45</t>
  </si>
  <si>
    <t>26-07-2023 12:00</t>
  </si>
  <si>
    <t>26-07-2023 12:15</t>
  </si>
  <si>
    <t>26-07-2023 12:30</t>
  </si>
  <si>
    <t>26-07-2023 12:45</t>
  </si>
  <si>
    <t>26-07-2023 13:00</t>
  </si>
  <si>
    <t>26-07-2023 13:15</t>
  </si>
  <si>
    <t>26-07-2023 13:30</t>
  </si>
  <si>
    <t>26-07-2023 13:45</t>
  </si>
  <si>
    <t>26-07-2023 14:00</t>
  </si>
  <si>
    <t>26-07-2023 14:15</t>
  </si>
  <si>
    <t>26-07-2023 14:30</t>
  </si>
  <si>
    <t>26-07-2023 14:45</t>
  </si>
  <si>
    <t>26-07-2023 15:00</t>
  </si>
  <si>
    <t>26-07-2023 15:15</t>
  </si>
  <si>
    <t>26-07-2023 15:30</t>
  </si>
  <si>
    <t>26-07-2023 15:45</t>
  </si>
  <si>
    <t>26-07-2023 16:00</t>
  </si>
  <si>
    <t>26-07-2023 16:15</t>
  </si>
  <si>
    <t>26-07-2023 16:30</t>
  </si>
  <si>
    <t>26-07-2023 16:45</t>
  </si>
  <si>
    <t>26-07-2023 17:00</t>
  </si>
  <si>
    <t>26-07-2023 17:15</t>
  </si>
  <si>
    <t>26-07-2023 17:30</t>
  </si>
  <si>
    <t>26-07-2023 17:45</t>
  </si>
  <si>
    <t>26-07-2023 18:00</t>
  </si>
  <si>
    <t>26-07-2023 18:15</t>
  </si>
  <si>
    <t>26-07-2023 18:30</t>
  </si>
  <si>
    <t>26-07-2023 18:45</t>
  </si>
  <si>
    <t>26-07-2023 19:00</t>
  </si>
  <si>
    <t>26-07-2023 19:15</t>
  </si>
  <si>
    <t>26-07-2023 19:30</t>
  </si>
  <si>
    <t>26-07-2023 19:45</t>
  </si>
  <si>
    <t>26-07-2023 20:00</t>
  </si>
  <si>
    <t>26-07-2023 20:15</t>
  </si>
  <si>
    <t>26-07-2023 20:30</t>
  </si>
  <si>
    <t>26-07-2023 20:45</t>
  </si>
  <si>
    <t>26-07-2023 21:00</t>
  </si>
  <si>
    <t>26-07-2023 21:15</t>
  </si>
  <si>
    <t>26-07-2023 21:30</t>
  </si>
  <si>
    <t>26-07-2023 21:45</t>
  </si>
  <si>
    <t>26-07-2023 22:00</t>
  </si>
  <si>
    <t>26-07-2023 22:15</t>
  </si>
  <si>
    <t>26-07-2023 22:30</t>
  </si>
  <si>
    <t>26-07-2023 22:45</t>
  </si>
  <si>
    <t>26-07-2023 23:00</t>
  </si>
  <si>
    <t>26-07-2023 23:15</t>
  </si>
  <si>
    <t>26-07-2023 23:30</t>
  </si>
  <si>
    <t>26-07-2023 23:45</t>
  </si>
  <si>
    <t>26-07-2023 24:00</t>
  </si>
  <si>
    <t>27-07-2023 00:15</t>
  </si>
  <si>
    <t>27-07-2023 00:30</t>
  </si>
  <si>
    <t>27-07-2023 00:45</t>
  </si>
  <si>
    <t>27-07-2023 01:00</t>
  </si>
  <si>
    <t>27-07-2023 01:15</t>
  </si>
  <si>
    <t>27-07-2023 01:30</t>
  </si>
  <si>
    <t>27-07-2023 01:45</t>
  </si>
  <si>
    <t>27-07-2023 02:00</t>
  </si>
  <si>
    <t>27-07-2023 02:15</t>
  </si>
  <si>
    <t>27-07-2023 02:30</t>
  </si>
  <si>
    <t>27-07-2023 02:45</t>
  </si>
  <si>
    <t>27-07-2023 03:00</t>
  </si>
  <si>
    <t>27-07-2023 03:15</t>
  </si>
  <si>
    <t>27-07-2023 03:30</t>
  </si>
  <si>
    <t>27-07-2023 03:45</t>
  </si>
  <si>
    <t>27-07-2023 04:00</t>
  </si>
  <si>
    <t>27-07-2023 04:15</t>
  </si>
  <si>
    <t>27-07-2023 04:30</t>
  </si>
  <si>
    <t>27-07-2023 04:45</t>
  </si>
  <si>
    <t>27-07-2023 05:00</t>
  </si>
  <si>
    <t>27-07-2023 05:15</t>
  </si>
  <si>
    <t>27-07-2023 05:30</t>
  </si>
  <si>
    <t>27-07-2023 05:45</t>
  </si>
  <si>
    <t>27-07-2023 06:00</t>
  </si>
  <si>
    <t>27-07-2023 06:15</t>
  </si>
  <si>
    <t>27-07-2023 06:30</t>
  </si>
  <si>
    <t>27-07-2023 06:45</t>
  </si>
  <si>
    <t>27-07-2023 07:00</t>
  </si>
  <si>
    <t>27-07-2023 07:15</t>
  </si>
  <si>
    <t>27-07-2023 07:30</t>
  </si>
  <si>
    <t>27-07-2023 07:45</t>
  </si>
  <si>
    <t>27-07-2023 08:00</t>
  </si>
  <si>
    <t>27-07-2023 08:15</t>
  </si>
  <si>
    <t>27-07-2023 08:30</t>
  </si>
  <si>
    <t>27-07-2023 08:45</t>
  </si>
  <si>
    <t>27-07-2023 09:00</t>
  </si>
  <si>
    <t>27-07-2023 09:15</t>
  </si>
  <si>
    <t>27-07-2023 09:30</t>
  </si>
  <si>
    <t>27-07-2023 09:45</t>
  </si>
  <si>
    <t>27-07-2023 10:00</t>
  </si>
  <si>
    <t>27-07-2023 10:15</t>
  </si>
  <si>
    <t>27-07-2023 10:30</t>
  </si>
  <si>
    <t>27-07-2023 10:45</t>
  </si>
  <si>
    <t>27-07-2023 11:00</t>
  </si>
  <si>
    <t>27-07-2023 11:15</t>
  </si>
  <si>
    <t>27-07-2023 11:30</t>
  </si>
  <si>
    <t>27-07-2023 11:45</t>
  </si>
  <si>
    <t>27-07-2023 12:00</t>
  </si>
  <si>
    <t>27-07-2023 12:15</t>
  </si>
  <si>
    <t>27-07-2023 12:30</t>
  </si>
  <si>
    <t>27-07-2023 12:45</t>
  </si>
  <si>
    <t>27-07-2023 13:00</t>
  </si>
  <si>
    <t>27-07-2023 13:15</t>
  </si>
  <si>
    <t>27-07-2023 13:30</t>
  </si>
  <si>
    <t>27-07-2023 13:45</t>
  </si>
  <si>
    <t>27-07-2023 14:00</t>
  </si>
  <si>
    <t>27-07-2023 14:15</t>
  </si>
  <si>
    <t>27-07-2023 14:30</t>
  </si>
  <si>
    <t>27-07-2023 14:45</t>
  </si>
  <si>
    <t>27-07-2023 15:00</t>
  </si>
  <si>
    <t>27-07-2023 15:15</t>
  </si>
  <si>
    <t>27-07-2023 15:30</t>
  </si>
  <si>
    <t>27-07-2023 15:45</t>
  </si>
  <si>
    <t>27-07-2023 16:00</t>
  </si>
  <si>
    <t>27-07-2023 16:15</t>
  </si>
  <si>
    <t>27-07-2023 16:30</t>
  </si>
  <si>
    <t>27-07-2023 16:45</t>
  </si>
  <si>
    <t>27-07-2023 17:00</t>
  </si>
  <si>
    <t>27-07-2023 17:15</t>
  </si>
  <si>
    <t>27-07-2023 17:30</t>
  </si>
  <si>
    <t>27-07-2023 17:45</t>
  </si>
  <si>
    <t>27-07-2023 18:00</t>
  </si>
  <si>
    <t>27-07-2023 18:15</t>
  </si>
  <si>
    <t>27-07-2023 18:30</t>
  </si>
  <si>
    <t>27-07-2023 18:45</t>
  </si>
  <si>
    <t>27-07-2023 19:00</t>
  </si>
  <si>
    <t>27-07-2023 19:15</t>
  </si>
  <si>
    <t>27-07-2023 19:30</t>
  </si>
  <si>
    <t>27-07-2023 19:45</t>
  </si>
  <si>
    <t>27-07-2023 20:00</t>
  </si>
  <si>
    <t>27-07-2023 20:15</t>
  </si>
  <si>
    <t>27-07-2023 20:30</t>
  </si>
  <si>
    <t>27-07-2023 20:45</t>
  </si>
  <si>
    <t>27-07-2023 21:00</t>
  </si>
  <si>
    <t>27-07-2023 21:15</t>
  </si>
  <si>
    <t>27-07-2023 21:30</t>
  </si>
  <si>
    <t>27-07-2023 21:45</t>
  </si>
  <si>
    <t>27-07-2023 22:00</t>
  </si>
  <si>
    <t>27-07-2023 22:15</t>
  </si>
  <si>
    <t>27-07-2023 22:30</t>
  </si>
  <si>
    <t>27-07-2023 22:45</t>
  </si>
  <si>
    <t>27-07-2023 23:00</t>
  </si>
  <si>
    <t>27-07-2023 23:15</t>
  </si>
  <si>
    <t>27-07-2023 23:30</t>
  </si>
  <si>
    <t>27-07-2023 23:45</t>
  </si>
  <si>
    <t>27-07-2023 24:00</t>
  </si>
  <si>
    <t>28-07-2023 00:15</t>
  </si>
  <si>
    <t>28-07-2023 00:30</t>
  </si>
  <si>
    <t>28-07-2023 00:45</t>
  </si>
  <si>
    <t>28-07-2023 01:00</t>
  </si>
  <si>
    <t>28-07-2023 01:15</t>
  </si>
  <si>
    <t>28-07-2023 01:30</t>
  </si>
  <si>
    <t>28-07-2023 01:45</t>
  </si>
  <si>
    <t>28-07-2023 02:00</t>
  </si>
  <si>
    <t>28-07-2023 02:15</t>
  </si>
  <si>
    <t>28-07-2023 02:30</t>
  </si>
  <si>
    <t>28-07-2023 02:45</t>
  </si>
  <si>
    <t>28-07-2023 03:00</t>
  </si>
  <si>
    <t>28-07-2023 03:15</t>
  </si>
  <si>
    <t>28-07-2023 03:30</t>
  </si>
  <si>
    <t>28-07-2023 03:45</t>
  </si>
  <si>
    <t>28-07-2023 04:00</t>
  </si>
  <si>
    <t>28-07-2023 04:15</t>
  </si>
  <si>
    <t>28-07-2023 04:30</t>
  </si>
  <si>
    <t>28-07-2023 04:45</t>
  </si>
  <si>
    <t>28-07-2023 05:00</t>
  </si>
  <si>
    <t>28-07-2023 05:15</t>
  </si>
  <si>
    <t>28-07-2023 05:30</t>
  </si>
  <si>
    <t>28-07-2023 05:45</t>
  </si>
  <si>
    <t>28-07-2023 06:00</t>
  </si>
  <si>
    <t>28-07-2023 06:15</t>
  </si>
  <si>
    <t>28-07-2023 06:30</t>
  </si>
  <si>
    <t>28-07-2023 06:45</t>
  </si>
  <si>
    <t>28-07-2023 07:00</t>
  </si>
  <si>
    <t>28-07-2023 07:15</t>
  </si>
  <si>
    <t>28-07-2023 07:30</t>
  </si>
  <si>
    <t>28-07-2023 07:45</t>
  </si>
  <si>
    <t>28-07-2023 08:00</t>
  </si>
  <si>
    <t>28-07-2023 08:15</t>
  </si>
  <si>
    <t>28-07-2023 08:30</t>
  </si>
  <si>
    <t>28-07-2023 08:45</t>
  </si>
  <si>
    <t>28-07-2023 09:00</t>
  </si>
  <si>
    <t>28-07-2023 09:15</t>
  </si>
  <si>
    <t>28-07-2023 09:30</t>
  </si>
  <si>
    <t>28-07-2023 09:45</t>
  </si>
  <si>
    <t>28-07-2023 10:00</t>
  </si>
  <si>
    <t>28-07-2023 10:15</t>
  </si>
  <si>
    <t>28-07-2023 10:30</t>
  </si>
  <si>
    <t>28-07-2023 10:45</t>
  </si>
  <si>
    <t>28-07-2023 11:00</t>
  </si>
  <si>
    <t>28-07-2023 11:15</t>
  </si>
  <si>
    <t>28-07-2023 11:30</t>
  </si>
  <si>
    <t>28-07-2023 11:45</t>
  </si>
  <si>
    <t>28-07-2023 12:00</t>
  </si>
  <si>
    <t>28-07-2023 12:15</t>
  </si>
  <si>
    <t>28-07-2023 12:30</t>
  </si>
  <si>
    <t>28-07-2023 12:45</t>
  </si>
  <si>
    <t>28-07-2023 13:00</t>
  </si>
  <si>
    <t>28-07-2023 13:15</t>
  </si>
  <si>
    <t>28-07-2023 13:30</t>
  </si>
  <si>
    <t>28-07-2023 13:45</t>
  </si>
  <si>
    <t>28-07-2023 14:00</t>
  </si>
  <si>
    <t>28-07-2023 14:15</t>
  </si>
  <si>
    <t>28-07-2023 14:30</t>
  </si>
  <si>
    <t>28-07-2023 14:45</t>
  </si>
  <si>
    <t>28-07-2023 15:00</t>
  </si>
  <si>
    <t>28-07-2023 15:15</t>
  </si>
  <si>
    <t>28-07-2023 15:30</t>
  </si>
  <si>
    <t>28-07-2023 15:45</t>
  </si>
  <si>
    <t>28-07-2023 16:00</t>
  </si>
  <si>
    <t>28-07-2023 16:15</t>
  </si>
  <si>
    <t>28-07-2023 16:30</t>
  </si>
  <si>
    <t>28-07-2023 16:45</t>
  </si>
  <si>
    <t>28-07-2023 17:00</t>
  </si>
  <si>
    <t>28-07-2023 17:15</t>
  </si>
  <si>
    <t>28-07-2023 17:30</t>
  </si>
  <si>
    <t>28-07-2023 17:45</t>
  </si>
  <si>
    <t>28-07-2023 18:00</t>
  </si>
  <si>
    <t>28-07-2023 18:15</t>
  </si>
  <si>
    <t>28-07-2023 18:30</t>
  </si>
  <si>
    <t>28-07-2023 18:45</t>
  </si>
  <si>
    <t>28-07-2023 19:00</t>
  </si>
  <si>
    <t>28-07-2023 19:15</t>
  </si>
  <si>
    <t>28-07-2023 19:30</t>
  </si>
  <si>
    <t>28-07-2023 19:45</t>
  </si>
  <si>
    <t>28-07-2023 20:00</t>
  </si>
  <si>
    <t>28-07-2023 20:15</t>
  </si>
  <si>
    <t>28-07-2023 20:30</t>
  </si>
  <si>
    <t>28-07-2023 20:45</t>
  </si>
  <si>
    <t>28-07-2023 21:00</t>
  </si>
  <si>
    <t>28-07-2023 21:15</t>
  </si>
  <si>
    <t>28-07-2023 21:30</t>
  </si>
  <si>
    <t>28-07-2023 21:45</t>
  </si>
  <si>
    <t>28-07-2023 22:00</t>
  </si>
  <si>
    <t>28-07-2023 22:15</t>
  </si>
  <si>
    <t>28-07-2023 22:30</t>
  </si>
  <si>
    <t>28-07-2023 22:45</t>
  </si>
  <si>
    <t>28-07-2023 23:00</t>
  </si>
  <si>
    <t>28-07-2023 23:15</t>
  </si>
  <si>
    <t>28-07-2023 23:30</t>
  </si>
  <si>
    <t>28-07-2023 23:45</t>
  </si>
  <si>
    <t>28-07-2023 24:00</t>
  </si>
  <si>
    <t>29-07-2023 00:15</t>
  </si>
  <si>
    <t>29-07-2023 00:30</t>
  </si>
  <si>
    <t>29-07-2023 00:45</t>
  </si>
  <si>
    <t>29-07-2023 01:00</t>
  </si>
  <si>
    <t>29-07-2023 01:15</t>
  </si>
  <si>
    <t>29-07-2023 01:30</t>
  </si>
  <si>
    <t>29-07-2023 01:45</t>
  </si>
  <si>
    <t>29-07-2023 02:00</t>
  </si>
  <si>
    <t>29-07-2023 02:15</t>
  </si>
  <si>
    <t>29-07-2023 02:30</t>
  </si>
  <si>
    <t>29-07-2023 02:45</t>
  </si>
  <si>
    <t>29-07-2023 03:00</t>
  </si>
  <si>
    <t>29-07-2023 03:15</t>
  </si>
  <si>
    <t>29-07-2023 03:30</t>
  </si>
  <si>
    <t>29-07-2023 03:45</t>
  </si>
  <si>
    <t>29-07-2023 04:00</t>
  </si>
  <si>
    <t>29-07-2023 04:15</t>
  </si>
  <si>
    <t>29-07-2023 04:30</t>
  </si>
  <si>
    <t>29-07-2023 04:45</t>
  </si>
  <si>
    <t>29-07-2023 05:00</t>
  </si>
  <si>
    <t>29-07-2023 05:15</t>
  </si>
  <si>
    <t>29-07-2023 05:30</t>
  </si>
  <si>
    <t>29-07-2023 05:45</t>
  </si>
  <si>
    <t>29-07-2023 06:00</t>
  </si>
  <si>
    <t>29-07-2023 06:15</t>
  </si>
  <si>
    <t>29-07-2023 06:30</t>
  </si>
  <si>
    <t>29-07-2023 06:45</t>
  </si>
  <si>
    <t>29-07-2023 07:00</t>
  </si>
  <si>
    <t>29-07-2023 07:15</t>
  </si>
  <si>
    <t>29-07-2023 07:30</t>
  </si>
  <si>
    <t>29-07-2023 07:45</t>
  </si>
  <si>
    <t>29-07-2023 08:00</t>
  </si>
  <si>
    <t>29-07-2023 08:15</t>
  </si>
  <si>
    <t>29-07-2023 08:30</t>
  </si>
  <si>
    <t>29-07-2023 08:45</t>
  </si>
  <si>
    <t>29-07-2023 09:00</t>
  </si>
  <si>
    <t>29-07-2023 09:15</t>
  </si>
  <si>
    <t>29-07-2023 09:30</t>
  </si>
  <si>
    <t>29-07-2023 09:45</t>
  </si>
  <si>
    <t>29-07-2023 10:00</t>
  </si>
  <si>
    <t>29-07-2023 10:15</t>
  </si>
  <si>
    <t>29-07-2023 10:30</t>
  </si>
  <si>
    <t>29-07-2023 10:45</t>
  </si>
  <si>
    <t>29-07-2023 11:00</t>
  </si>
  <si>
    <t>29-07-2023 11:15</t>
  </si>
  <si>
    <t>29-07-2023 11:30</t>
  </si>
  <si>
    <t>29-07-2023 11:45</t>
  </si>
  <si>
    <t>29-07-2023 12:00</t>
  </si>
  <si>
    <t>29-07-2023 12:15</t>
  </si>
  <si>
    <t>29-07-2023 12:30</t>
  </si>
  <si>
    <t>29-07-2023 12:45</t>
  </si>
  <si>
    <t>29-07-2023 13:00</t>
  </si>
  <si>
    <t>29-07-2023 13:15</t>
  </si>
  <si>
    <t>29-07-2023 13:30</t>
  </si>
  <si>
    <t>29-07-2023 13:45</t>
  </si>
  <si>
    <t>29-07-2023 14:00</t>
  </si>
  <si>
    <t>29-07-2023 14:15</t>
  </si>
  <si>
    <t>29-07-2023 14:30</t>
  </si>
  <si>
    <t>29-07-2023 14:45</t>
  </si>
  <si>
    <t>29-07-2023 15:00</t>
  </si>
  <si>
    <t>29-07-2023 15:15</t>
  </si>
  <si>
    <t>29-07-2023 15:30</t>
  </si>
  <si>
    <t>29-07-2023 15:45</t>
  </si>
  <si>
    <t>29-07-2023 16:00</t>
  </si>
  <si>
    <t>29-07-2023 16:15</t>
  </si>
  <si>
    <t>29-07-2023 16:30</t>
  </si>
  <si>
    <t>29-07-2023 16:45</t>
  </si>
  <si>
    <t>29-07-2023 17:00</t>
  </si>
  <si>
    <t>29-07-2023 17:15</t>
  </si>
  <si>
    <t>29-07-2023 17:30</t>
  </si>
  <si>
    <t>29-07-2023 17:45</t>
  </si>
  <si>
    <t>29-07-2023 18:00</t>
  </si>
  <si>
    <t>29-07-2023 18:15</t>
  </si>
  <si>
    <t>29-07-2023 18:30</t>
  </si>
  <si>
    <t>29-07-2023 18:45</t>
  </si>
  <si>
    <t>29-07-2023 19:00</t>
  </si>
  <si>
    <t>29-07-2023 19:15</t>
  </si>
  <si>
    <t>29-07-2023 19:30</t>
  </si>
  <si>
    <t>29-07-2023 19:45</t>
  </si>
  <si>
    <t>29-07-2023 20:00</t>
  </si>
  <si>
    <t>29-07-2023 20:15</t>
  </si>
  <si>
    <t>29-07-2023 20:30</t>
  </si>
  <si>
    <t>29-07-2023 20:45</t>
  </si>
  <si>
    <t>29-07-2023 21:00</t>
  </si>
  <si>
    <t>29-07-2023 21:15</t>
  </si>
  <si>
    <t>29-07-2023 21:30</t>
  </si>
  <si>
    <t>29-07-2023 21:45</t>
  </si>
  <si>
    <t>29-07-2023 22:00</t>
  </si>
  <si>
    <t>29-07-2023 22:15</t>
  </si>
  <si>
    <t>29-07-2023 22:30</t>
  </si>
  <si>
    <t>29-07-2023 22:45</t>
  </si>
  <si>
    <t>29-07-2023 23:00</t>
  </si>
  <si>
    <t>29-07-2023 23:15</t>
  </si>
  <si>
    <t>29-07-2023 23:30</t>
  </si>
  <si>
    <t>29-07-2023 23:45</t>
  </si>
  <si>
    <t>29-07-2023 24:00</t>
  </si>
  <si>
    <t>30-07-2023 00:15</t>
  </si>
  <si>
    <t>30-07-2023 00:30</t>
  </si>
  <si>
    <t>30-07-2023 00:45</t>
  </si>
  <si>
    <t>30-07-2023 01:00</t>
  </si>
  <si>
    <t>30-07-2023 01:15</t>
  </si>
  <si>
    <t>30-07-2023 01:30</t>
  </si>
  <si>
    <t>30-07-2023 01:45</t>
  </si>
  <si>
    <t>30-07-2023 02:00</t>
  </si>
  <si>
    <t>30-07-2023 02:15</t>
  </si>
  <si>
    <t>30-07-2023 02:30</t>
  </si>
  <si>
    <t>30-07-2023 02:45</t>
  </si>
  <si>
    <t>30-07-2023 03:00</t>
  </si>
  <si>
    <t>30-07-2023 03:15</t>
  </si>
  <si>
    <t>30-07-2023 03:30</t>
  </si>
  <si>
    <t>30-07-2023 03:45</t>
  </si>
  <si>
    <t>30-07-2023 04:00</t>
  </si>
  <si>
    <t>30-07-2023 04:15</t>
  </si>
  <si>
    <t>30-07-2023 04:30</t>
  </si>
  <si>
    <t>30-07-2023 04:45</t>
  </si>
  <si>
    <t>30-07-2023 05:00</t>
  </si>
  <si>
    <t>30-07-2023 05:15</t>
  </si>
  <si>
    <t>30-07-2023 05:30</t>
  </si>
  <si>
    <t>30-07-2023 05:45</t>
  </si>
  <si>
    <t>30-07-2023 06:00</t>
  </si>
  <si>
    <t>30-07-2023 06:15</t>
  </si>
  <si>
    <t>30-07-2023 06:30</t>
  </si>
  <si>
    <t>30-07-2023 06:45</t>
  </si>
  <si>
    <t>30-07-2023 07:00</t>
  </si>
  <si>
    <t>30-07-2023 07:15</t>
  </si>
  <si>
    <t>30-07-2023 07:30</t>
  </si>
  <si>
    <t>30-07-2023 07:45</t>
  </si>
  <si>
    <t>30-07-2023 08:00</t>
  </si>
  <si>
    <t>30-07-2023 08:15</t>
  </si>
  <si>
    <t>30-07-2023 08:30</t>
  </si>
  <si>
    <t>30-07-2023 08:45</t>
  </si>
  <si>
    <t>30-07-2023 09:00</t>
  </si>
  <si>
    <t>30-07-2023 09:15</t>
  </si>
  <si>
    <t>30-07-2023 09:30</t>
  </si>
  <si>
    <t>30-07-2023 09:45</t>
  </si>
  <si>
    <t>30-07-2023 10:00</t>
  </si>
  <si>
    <t>30-07-2023 10:15</t>
  </si>
  <si>
    <t>30-07-2023 10:30</t>
  </si>
  <si>
    <t>30-07-2023 10:45</t>
  </si>
  <si>
    <t>30-07-2023 11:00</t>
  </si>
  <si>
    <t>30-07-2023 11:15</t>
  </si>
  <si>
    <t>30-07-2023 11:30</t>
  </si>
  <si>
    <t>30-07-2023 11:45</t>
  </si>
  <si>
    <t>30-07-2023 12:00</t>
  </si>
  <si>
    <t>30-07-2023 12:15</t>
  </si>
  <si>
    <t>30-07-2023 12:30</t>
  </si>
  <si>
    <t>30-07-2023 12:45</t>
  </si>
  <si>
    <t>30-07-2023 13:00</t>
  </si>
  <si>
    <t>30-07-2023 13:15</t>
  </si>
  <si>
    <t>30-07-2023 13:30</t>
  </si>
  <si>
    <t>30-07-2023 13:45</t>
  </si>
  <si>
    <t>30-07-2023 14:00</t>
  </si>
  <si>
    <t>30-07-2023 14:15</t>
  </si>
  <si>
    <t>30-07-2023 14:30</t>
  </si>
  <si>
    <t>30-07-2023 14:45</t>
  </si>
  <si>
    <t>30-07-2023 15:00</t>
  </si>
  <si>
    <t>30-07-2023 15:15</t>
  </si>
  <si>
    <t>30-07-2023 15:30</t>
  </si>
  <si>
    <t>30-07-2023 15:45</t>
  </si>
  <si>
    <t>30-07-2023 16:00</t>
  </si>
  <si>
    <t>30-07-2023 16:15</t>
  </si>
  <si>
    <t>30-07-2023 16:30</t>
  </si>
  <si>
    <t>30-07-2023 16:45</t>
  </si>
  <si>
    <t>30-07-2023 17:00</t>
  </si>
  <si>
    <t>30-07-2023 17:15</t>
  </si>
  <si>
    <t>30-07-2023 17:30</t>
  </si>
  <si>
    <t>30-07-2023 17:45</t>
  </si>
  <si>
    <t>30-07-2023 18:00</t>
  </si>
  <si>
    <t>30-07-2023 18:15</t>
  </si>
  <si>
    <t>30-07-2023 18:30</t>
  </si>
  <si>
    <t>30-07-2023 18:45</t>
  </si>
  <si>
    <t>30-07-2023 19:00</t>
  </si>
  <si>
    <t>30-07-2023 19:15</t>
  </si>
  <si>
    <t>30-07-2023 19:30</t>
  </si>
  <si>
    <t>30-07-2023 19:45</t>
  </si>
  <si>
    <t>30-07-2023 20:00</t>
  </si>
  <si>
    <t>30-07-2023 20:15</t>
  </si>
  <si>
    <t>30-07-2023 20:30</t>
  </si>
  <si>
    <t>30-07-2023 20:45</t>
  </si>
  <si>
    <t>30-07-2023 21:00</t>
  </si>
  <si>
    <t>30-07-2023 21:15</t>
  </si>
  <si>
    <t>30-07-2023 21:30</t>
  </si>
  <si>
    <t>30-07-2023 21:45</t>
  </si>
  <si>
    <t>30-07-2023 22:00</t>
  </si>
  <si>
    <t>30-07-2023 22:15</t>
  </si>
  <si>
    <t>30-07-2023 22:30</t>
  </si>
  <si>
    <t>30-07-2023 22:45</t>
  </si>
  <si>
    <t>30-07-2023 23:00</t>
  </si>
  <si>
    <t>30-07-2023 23:15</t>
  </si>
  <si>
    <t>30-07-2023 23:30</t>
  </si>
  <si>
    <t>30-07-2023 23:45</t>
  </si>
  <si>
    <t>30-07-2023 24:00</t>
  </si>
  <si>
    <t>31-07-2023 00:15</t>
  </si>
  <si>
    <t>31-07-2023 00:30</t>
  </si>
  <si>
    <t>31-07-2023 00:45</t>
  </si>
  <si>
    <t>31-07-2023 01:00</t>
  </si>
  <si>
    <t>31-07-2023 01:15</t>
  </si>
  <si>
    <t>31-07-2023 01:30</t>
  </si>
  <si>
    <t>31-07-2023 01:45</t>
  </si>
  <si>
    <t>31-07-2023 02:00</t>
  </si>
  <si>
    <t>31-07-2023 02:15</t>
  </si>
  <si>
    <t>31-07-2023 02:30</t>
  </si>
  <si>
    <t>31-07-2023 02:45</t>
  </si>
  <si>
    <t>31-07-2023 03:00</t>
  </si>
  <si>
    <t>31-07-2023 03:15</t>
  </si>
  <si>
    <t>31-07-2023 03:30</t>
  </si>
  <si>
    <t>31-07-2023 03:45</t>
  </si>
  <si>
    <t>31-07-2023 04:00</t>
  </si>
  <si>
    <t>31-07-2023 04:15</t>
  </si>
  <si>
    <t>31-07-2023 04:30</t>
  </si>
  <si>
    <t>31-07-2023 04:45</t>
  </si>
  <si>
    <t>31-07-2023 05:00</t>
  </si>
  <si>
    <t>31-07-2023 05:15</t>
  </si>
  <si>
    <t>31-07-2023 05:30</t>
  </si>
  <si>
    <t>31-07-2023 05:45</t>
  </si>
  <si>
    <t>31-07-2023 06:00</t>
  </si>
  <si>
    <t>31-07-2023 06:15</t>
  </si>
  <si>
    <t>31-07-2023 06:30</t>
  </si>
  <si>
    <t>31-07-2023 06:45</t>
  </si>
  <si>
    <t>31-07-2023 07:00</t>
  </si>
  <si>
    <t>31-07-2023 07:15</t>
  </si>
  <si>
    <t>31-07-2023 07:30</t>
  </si>
  <si>
    <t>31-07-2023 07:45</t>
  </si>
  <si>
    <t>31-07-2023 08:00</t>
  </si>
  <si>
    <t>31-07-2023 08:15</t>
  </si>
  <si>
    <t>31-07-2023 08:30</t>
  </si>
  <si>
    <t>31-07-2023 08:45</t>
  </si>
  <si>
    <t>31-07-2023 09:00</t>
  </si>
  <si>
    <t>31-07-2023 09:15</t>
  </si>
  <si>
    <t>31-07-2023 09:30</t>
  </si>
  <si>
    <t>31-07-2023 09:45</t>
  </si>
  <si>
    <t>31-07-2023 10:00</t>
  </si>
  <si>
    <t>31-07-2023 10:15</t>
  </si>
  <si>
    <t>31-07-2023 10:30</t>
  </si>
  <si>
    <t>31-07-2023 10:45</t>
  </si>
  <si>
    <t>31-07-2023 11:00</t>
  </si>
  <si>
    <t>31-07-2023 11:15</t>
  </si>
  <si>
    <t>31-07-2023 11:30</t>
  </si>
  <si>
    <t>31-07-2023 11:45</t>
  </si>
  <si>
    <t>31-07-2023 12:00</t>
  </si>
  <si>
    <t>31-07-2023 12:15</t>
  </si>
  <si>
    <t>31-07-2023 12:30</t>
  </si>
  <si>
    <t>31-07-2023 12:45</t>
  </si>
  <si>
    <t>31-07-2023 13:00</t>
  </si>
  <si>
    <t>31-07-2023 13:15</t>
  </si>
  <si>
    <t>31-07-2023 13:30</t>
  </si>
  <si>
    <t>31-07-2023 13:45</t>
  </si>
  <si>
    <t>31-07-2023 14:00</t>
  </si>
  <si>
    <t>31-07-2023 14:15</t>
  </si>
  <si>
    <t>31-07-2023 14:30</t>
  </si>
  <si>
    <t>31-07-2023 14:45</t>
  </si>
  <si>
    <t>31-07-2023 15:00</t>
  </si>
  <si>
    <t>31-07-2023 15:15</t>
  </si>
  <si>
    <t>31-07-2023 15:30</t>
  </si>
  <si>
    <t>31-07-2023 15:45</t>
  </si>
  <si>
    <t>31-07-2023 16:00</t>
  </si>
  <si>
    <t>31-07-2023 16:15</t>
  </si>
  <si>
    <t>31-07-2023 16:30</t>
  </si>
  <si>
    <t>31-07-2023 16:45</t>
  </si>
  <si>
    <t>31-07-2023 17:00</t>
  </si>
  <si>
    <t>31-07-2023 17:15</t>
  </si>
  <si>
    <t>31-07-2023 17:30</t>
  </si>
  <si>
    <t>31-07-2023 17:45</t>
  </si>
  <si>
    <t>31-07-2023 18:00</t>
  </si>
  <si>
    <t>31-07-2023 18:15</t>
  </si>
  <si>
    <t>31-07-2023 18:30</t>
  </si>
  <si>
    <t>31-07-2023 18:45</t>
  </si>
  <si>
    <t>31-07-2023 19:00</t>
  </si>
  <si>
    <t>31-07-2023 19:15</t>
  </si>
  <si>
    <t>31-07-2023 19:30</t>
  </si>
  <si>
    <t>31-07-2023 19:45</t>
  </si>
  <si>
    <t>31-07-2023 20:00</t>
  </si>
  <si>
    <t>31-07-2023 20:15</t>
  </si>
  <si>
    <t>31-07-2023 20:30</t>
  </si>
  <si>
    <t>31-07-2023 20:45</t>
  </si>
  <si>
    <t>31-07-2023 21:00</t>
  </si>
  <si>
    <t>31-07-2023 21:15</t>
  </si>
  <si>
    <t>31-07-2023 21:30</t>
  </si>
  <si>
    <t>31-07-2023 21:45</t>
  </si>
  <si>
    <t>31-07-2023 22:00</t>
  </si>
  <si>
    <t>31-07-2023 22:15</t>
  </si>
  <si>
    <t>31-07-2023 22:30</t>
  </si>
  <si>
    <t>31-07-2023 22:45</t>
  </si>
  <si>
    <t>31-07-2023 23:00</t>
  </si>
  <si>
    <t>31-07-2023 23:15</t>
  </si>
  <si>
    <t>31-07-2023 23:30</t>
  </si>
  <si>
    <t>31-07-2023 23:45</t>
  </si>
  <si>
    <t>31-07-2023 24:00</t>
  </si>
  <si>
    <t>31/07/2023 11;44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</si>
</sst>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248</v>
      </c>
      <c r="B9" s="64">
        <v>9.64</v>
      </c>
      <c r="C9" s="64">
        <v>17.28</v>
      </c>
      <c r="D9" s="64">
        <v>17.920000000000002</v>
      </c>
      <c r="E9" s="64">
        <v>2.08</v>
      </c>
      <c r="F9" s="64">
        <v>13.86</v>
      </c>
      <c r="G9" s="216" t="s">
        <v>43</v>
      </c>
      <c r="H9" s="216" t="s">
        <v>43</v>
      </c>
      <c r="I9" s="64">
        <v>0.65</v>
      </c>
      <c r="J9" s="64">
        <v>0.19</v>
      </c>
      <c r="K9" s="64">
        <v>182.97</v>
      </c>
      <c r="L9" s="64">
        <v>25.16</v>
      </c>
      <c r="M9" s="64">
        <v>82.22</v>
      </c>
      <c r="N9" s="64">
        <v>34.799999999999997</v>
      </c>
      <c r="O9" s="64">
        <v>0</v>
      </c>
      <c r="P9" s="64">
        <v>0.84</v>
      </c>
      <c r="Q9" s="64">
        <v>20.72</v>
      </c>
      <c r="R9" s="198"/>
      <c r="S9" s="198"/>
      <c r="T9" s="198"/>
      <c r="U9" s="198"/>
    </row>
    <row r="10" spans="1:21" s="12" customFormat="1" x14ac:dyDescent="0.25">
      <c r="A10" s="215" t="s">
        <v>249</v>
      </c>
      <c r="B10" s="64">
        <v>9.34</v>
      </c>
      <c r="C10" s="64">
        <v>15.43</v>
      </c>
      <c r="D10" s="64">
        <v>16.66</v>
      </c>
      <c r="E10" s="64">
        <v>1.78</v>
      </c>
      <c r="F10" s="64">
        <v>12.85</v>
      </c>
      <c r="G10" s="216" t="s">
        <v>43</v>
      </c>
      <c r="H10" s="216" t="s">
        <v>43</v>
      </c>
      <c r="I10" s="64">
        <v>0.62</v>
      </c>
      <c r="J10" s="64">
        <v>7.0000000000000007E-2</v>
      </c>
      <c r="K10" s="64">
        <v>129.85</v>
      </c>
      <c r="L10" s="64">
        <v>25.12</v>
      </c>
      <c r="M10" s="64">
        <v>82.48</v>
      </c>
      <c r="N10" s="64">
        <v>34.9</v>
      </c>
      <c r="O10" s="64">
        <v>0</v>
      </c>
      <c r="P10" s="64">
        <v>0.84</v>
      </c>
      <c r="Q10" s="64">
        <v>21.05</v>
      </c>
      <c r="R10" s="198"/>
      <c r="S10" s="198"/>
      <c r="T10" s="198"/>
      <c r="U10" s="198"/>
    </row>
    <row r="11" spans="1:21" s="12" customFormat="1" x14ac:dyDescent="0.25">
      <c r="A11" s="215" t="s">
        <v>250</v>
      </c>
      <c r="B11" s="64">
        <v>9.33</v>
      </c>
      <c r="C11" s="64">
        <v>15.02</v>
      </c>
      <c r="D11" s="64">
        <v>16.420000000000002</v>
      </c>
      <c r="E11" s="64">
        <v>2.0099999999999998</v>
      </c>
      <c r="F11" s="64">
        <v>13.18</v>
      </c>
      <c r="G11" s="216" t="s">
        <v>43</v>
      </c>
      <c r="H11" s="216" t="s">
        <v>43</v>
      </c>
      <c r="I11" s="64">
        <v>0.56999999999999995</v>
      </c>
      <c r="J11" s="64">
        <v>0.14000000000000001</v>
      </c>
      <c r="K11" s="64">
        <v>149.71</v>
      </c>
      <c r="L11" s="64">
        <v>25.14</v>
      </c>
      <c r="M11" s="64">
        <v>81.819999999999993</v>
      </c>
      <c r="N11" s="64">
        <v>34.799999999999997</v>
      </c>
      <c r="O11" s="64">
        <v>0</v>
      </c>
      <c r="P11" s="64">
        <v>0.83</v>
      </c>
      <c r="Q11" s="64">
        <v>21.95</v>
      </c>
      <c r="R11" s="198"/>
      <c r="S11" s="198"/>
      <c r="T11" s="198"/>
      <c r="U11" s="198"/>
    </row>
    <row r="12" spans="1:21" s="12" customFormat="1" x14ac:dyDescent="0.25">
      <c r="A12" s="215" t="s">
        <v>251</v>
      </c>
      <c r="B12" s="64">
        <v>10.52</v>
      </c>
      <c r="C12" s="64">
        <v>14.06</v>
      </c>
      <c r="D12" s="64">
        <v>16.850000000000001</v>
      </c>
      <c r="E12" s="64">
        <v>2.4500000000000002</v>
      </c>
      <c r="F12" s="64">
        <v>11.75</v>
      </c>
      <c r="G12" s="216" t="s">
        <v>43</v>
      </c>
      <c r="H12" s="216" t="s">
        <v>43</v>
      </c>
      <c r="I12" s="64">
        <v>0.56000000000000005</v>
      </c>
      <c r="J12" s="64">
        <v>0.24</v>
      </c>
      <c r="K12" s="64">
        <v>208.65</v>
      </c>
      <c r="L12" s="64">
        <v>25.17</v>
      </c>
      <c r="M12" s="64">
        <v>80.48</v>
      </c>
      <c r="N12" s="64">
        <v>34.700000000000003</v>
      </c>
      <c r="O12" s="64">
        <v>0</v>
      </c>
      <c r="P12" s="64">
        <v>0.82</v>
      </c>
      <c r="Q12" s="64">
        <v>22.54</v>
      </c>
      <c r="R12" s="198"/>
      <c r="S12" s="198"/>
      <c r="T12" s="198"/>
      <c r="U12" s="198"/>
    </row>
    <row r="13" spans="1:21" s="12" customFormat="1" x14ac:dyDescent="0.25">
      <c r="A13" s="215" t="s">
        <v>252</v>
      </c>
      <c r="B13" s="64">
        <v>10.57</v>
      </c>
      <c r="C13" s="64">
        <v>12.37</v>
      </c>
      <c r="D13" s="64">
        <v>15.95</v>
      </c>
      <c r="E13" s="64">
        <v>2.0699999999999998</v>
      </c>
      <c r="F13" s="64">
        <v>11.15</v>
      </c>
      <c r="G13" s="216" t="s">
        <v>43</v>
      </c>
      <c r="H13" s="216" t="s">
        <v>43</v>
      </c>
      <c r="I13" s="64">
        <v>0.54</v>
      </c>
      <c r="J13" s="64">
        <v>0.24</v>
      </c>
      <c r="K13" s="64">
        <v>178.72</v>
      </c>
      <c r="L13" s="64">
        <v>25.31</v>
      </c>
      <c r="M13" s="64">
        <v>78.63</v>
      </c>
      <c r="N13" s="64">
        <v>34.799999999999997</v>
      </c>
      <c r="O13" s="64">
        <v>0</v>
      </c>
      <c r="P13" s="64">
        <v>0.76</v>
      </c>
      <c r="Q13" s="64">
        <v>21.97</v>
      </c>
      <c r="R13" s="198"/>
      <c r="S13" s="198"/>
      <c r="T13" s="198"/>
      <c r="U13" s="198"/>
    </row>
    <row r="14" spans="1:21" s="12" customFormat="1" x14ac:dyDescent="0.25">
      <c r="A14" s="215" t="s">
        <v>253</v>
      </c>
      <c r="B14" s="64">
        <v>11.5</v>
      </c>
      <c r="C14" s="64">
        <v>12.42</v>
      </c>
      <c r="D14" s="64">
        <v>16.73</v>
      </c>
      <c r="E14" s="64">
        <v>2.2799999999999998</v>
      </c>
      <c r="F14" s="64">
        <v>6.63</v>
      </c>
      <c r="G14" s="216" t="s">
        <v>43</v>
      </c>
      <c r="H14" s="216" t="s">
        <v>43</v>
      </c>
      <c r="I14" s="64">
        <v>0.59</v>
      </c>
      <c r="J14" s="64">
        <v>0.38</v>
      </c>
      <c r="K14" s="64">
        <v>194.41</v>
      </c>
      <c r="L14" s="64">
        <v>25.28</v>
      </c>
      <c r="M14" s="64">
        <v>77.94</v>
      </c>
      <c r="N14" s="64">
        <v>35.200000000000003</v>
      </c>
      <c r="O14" s="64">
        <v>0</v>
      </c>
      <c r="P14" s="64">
        <v>0.79</v>
      </c>
      <c r="Q14" s="64">
        <v>21.52</v>
      </c>
      <c r="R14" s="198"/>
      <c r="S14" s="198"/>
      <c r="T14" s="198"/>
      <c r="U14" s="198"/>
    </row>
    <row r="15" spans="1:21" s="12" customFormat="1" x14ac:dyDescent="0.25">
      <c r="A15" s="215" t="s">
        <v>254</v>
      </c>
      <c r="B15" s="64">
        <v>10.63</v>
      </c>
      <c r="C15" s="64">
        <v>13.93</v>
      </c>
      <c r="D15" s="64">
        <v>16.86</v>
      </c>
      <c r="E15" s="64">
        <v>2.14</v>
      </c>
      <c r="F15" s="64">
        <v>7.14</v>
      </c>
      <c r="G15" s="216" t="s">
        <v>43</v>
      </c>
      <c r="H15" s="216" t="s">
        <v>43</v>
      </c>
      <c r="I15" s="64">
        <v>0.6</v>
      </c>
      <c r="J15" s="64">
        <v>0.36</v>
      </c>
      <c r="K15" s="64">
        <v>196.57</v>
      </c>
      <c r="L15" s="64">
        <v>25.19</v>
      </c>
      <c r="M15" s="64">
        <v>77.23</v>
      </c>
      <c r="N15" s="64">
        <v>35.4</v>
      </c>
      <c r="O15" s="64">
        <v>0</v>
      </c>
      <c r="P15" s="64">
        <v>0.75</v>
      </c>
      <c r="Q15" s="64">
        <v>21.02</v>
      </c>
      <c r="R15" s="198"/>
      <c r="S15" s="198"/>
      <c r="T15" s="198"/>
      <c r="U15" s="198"/>
    </row>
    <row r="16" spans="1:21" s="12" customFormat="1" x14ac:dyDescent="0.25">
      <c r="A16" s="215" t="s">
        <v>255</v>
      </c>
      <c r="B16" s="64">
        <v>9.5500000000000007</v>
      </c>
      <c r="C16" s="64">
        <v>12.52</v>
      </c>
      <c r="D16" s="64">
        <v>15.22</v>
      </c>
      <c r="E16" s="64">
        <v>2.06</v>
      </c>
      <c r="F16" s="64">
        <v>9.48</v>
      </c>
      <c r="G16" s="216" t="s">
        <v>43</v>
      </c>
      <c r="H16" s="216" t="s">
        <v>43</v>
      </c>
      <c r="I16" s="64">
        <v>0.64</v>
      </c>
      <c r="J16" s="64">
        <v>0.22</v>
      </c>
      <c r="K16" s="64">
        <v>215.64</v>
      </c>
      <c r="L16" s="64">
        <v>24.96</v>
      </c>
      <c r="M16" s="64">
        <v>76.97</v>
      </c>
      <c r="N16" s="64">
        <v>35.5</v>
      </c>
      <c r="O16" s="64">
        <v>0</v>
      </c>
      <c r="P16" s="64">
        <v>0.74</v>
      </c>
      <c r="Q16" s="64">
        <v>17.350000000000001</v>
      </c>
      <c r="R16" s="198"/>
      <c r="S16" s="198"/>
      <c r="T16" s="198"/>
      <c r="U16" s="198"/>
    </row>
    <row r="17" spans="1:21" s="12" customFormat="1" x14ac:dyDescent="0.25">
      <c r="A17" s="215" t="s">
        <v>256</v>
      </c>
      <c r="B17" s="64">
        <v>9.1999999999999993</v>
      </c>
      <c r="C17" s="64">
        <v>12.87</v>
      </c>
      <c r="D17" s="64">
        <v>15.13</v>
      </c>
      <c r="E17" s="64">
        <v>2.37</v>
      </c>
      <c r="F17" s="64">
        <v>7.45</v>
      </c>
      <c r="G17" s="216" t="s">
        <v>43</v>
      </c>
      <c r="H17" s="216" t="s">
        <v>43</v>
      </c>
      <c r="I17" s="64">
        <v>0.59</v>
      </c>
      <c r="J17" s="64">
        <v>0.09</v>
      </c>
      <c r="K17" s="64">
        <v>260.72000000000003</v>
      </c>
      <c r="L17" s="64">
        <v>24.68</v>
      </c>
      <c r="M17" s="64">
        <v>76.86</v>
      </c>
      <c r="N17" s="64">
        <v>35.799999999999997</v>
      </c>
      <c r="O17" s="64">
        <v>0</v>
      </c>
      <c r="P17" s="64">
        <v>0.7</v>
      </c>
      <c r="Q17" s="64">
        <v>17.82</v>
      </c>
      <c r="R17" s="198"/>
      <c r="S17" s="198"/>
      <c r="T17" s="198"/>
      <c r="U17" s="198"/>
    </row>
    <row r="18" spans="1:21" s="12" customFormat="1" x14ac:dyDescent="0.25">
      <c r="A18" s="215" t="s">
        <v>257</v>
      </c>
      <c r="B18" s="64">
        <v>8.4499999999999993</v>
      </c>
      <c r="C18" s="64">
        <v>14.14</v>
      </c>
      <c r="D18" s="64">
        <v>15.22</v>
      </c>
      <c r="E18" s="64">
        <v>2.48</v>
      </c>
      <c r="F18" s="64">
        <v>7.68</v>
      </c>
      <c r="G18" s="216" t="s">
        <v>43</v>
      </c>
      <c r="H18" s="216" t="s">
        <v>43</v>
      </c>
      <c r="I18" s="64">
        <v>0.6</v>
      </c>
      <c r="J18" s="64">
        <v>0.48</v>
      </c>
      <c r="K18" s="64">
        <v>188.6</v>
      </c>
      <c r="L18" s="64">
        <v>24.48</v>
      </c>
      <c r="M18" s="64">
        <v>78.7</v>
      </c>
      <c r="N18" s="64">
        <v>35.700000000000003</v>
      </c>
      <c r="O18" s="64">
        <v>0</v>
      </c>
      <c r="P18" s="64">
        <v>0.68</v>
      </c>
      <c r="Q18" s="64">
        <v>18.239999999999998</v>
      </c>
      <c r="R18" s="198"/>
      <c r="S18" s="198"/>
      <c r="T18" s="198"/>
      <c r="U18" s="198"/>
    </row>
    <row r="19" spans="1:21" s="12" customFormat="1" x14ac:dyDescent="0.25">
      <c r="A19" s="215" t="s">
        <v>258</v>
      </c>
      <c r="B19" s="64">
        <v>8.0299999999999994</v>
      </c>
      <c r="C19" s="64">
        <v>12.37</v>
      </c>
      <c r="D19" s="64">
        <v>13.92</v>
      </c>
      <c r="E19" s="64">
        <v>2.2200000000000002</v>
      </c>
      <c r="F19" s="64">
        <v>8.5299999999999994</v>
      </c>
      <c r="G19" s="216" t="s">
        <v>43</v>
      </c>
      <c r="H19" s="216" t="s">
        <v>43</v>
      </c>
      <c r="I19" s="64">
        <v>0.6</v>
      </c>
      <c r="J19" s="64">
        <v>0.34</v>
      </c>
      <c r="K19" s="64">
        <v>187.35</v>
      </c>
      <c r="L19" s="64">
        <v>24.34</v>
      </c>
      <c r="M19" s="64">
        <v>81.33</v>
      </c>
      <c r="N19" s="64">
        <v>35.4</v>
      </c>
      <c r="O19" s="64">
        <v>0</v>
      </c>
      <c r="P19" s="64">
        <v>0.67</v>
      </c>
      <c r="Q19" s="64">
        <v>15.22</v>
      </c>
      <c r="R19" s="198"/>
      <c r="S19" s="198"/>
      <c r="T19" s="198"/>
      <c r="U19" s="198"/>
    </row>
    <row r="20" spans="1:21" s="12" customFormat="1" x14ac:dyDescent="0.25">
      <c r="A20" s="215" t="s">
        <v>259</v>
      </c>
      <c r="B20" s="64">
        <v>8.17</v>
      </c>
      <c r="C20" s="64">
        <v>12.18</v>
      </c>
      <c r="D20" s="64">
        <v>13.92</v>
      </c>
      <c r="E20" s="64">
        <v>2.02</v>
      </c>
      <c r="F20" s="64">
        <v>8.6300000000000008</v>
      </c>
      <c r="G20" s="216" t="s">
        <v>43</v>
      </c>
      <c r="H20" s="216" t="s">
        <v>43</v>
      </c>
      <c r="I20" s="64">
        <v>0.56000000000000005</v>
      </c>
      <c r="J20" s="64">
        <v>0.28000000000000003</v>
      </c>
      <c r="K20" s="64">
        <v>201.42</v>
      </c>
      <c r="L20" s="64">
        <v>24.25</v>
      </c>
      <c r="M20" s="64">
        <v>82.91</v>
      </c>
      <c r="N20" s="64">
        <v>35.4</v>
      </c>
      <c r="O20" s="64">
        <v>0</v>
      </c>
      <c r="P20" s="64">
        <v>0.66</v>
      </c>
      <c r="Q20" s="64">
        <v>16.510000000000002</v>
      </c>
      <c r="R20" s="198"/>
      <c r="S20" s="198"/>
      <c r="T20" s="198"/>
      <c r="U20" s="198"/>
    </row>
    <row r="21" spans="1:21" s="12" customFormat="1" x14ac:dyDescent="0.25">
      <c r="A21" s="215" t="s">
        <v>260</v>
      </c>
      <c r="B21" s="64">
        <v>7.14</v>
      </c>
      <c r="C21" s="64">
        <v>12.6</v>
      </c>
      <c r="D21" s="64">
        <v>13.33</v>
      </c>
      <c r="E21" s="64">
        <v>2.13</v>
      </c>
      <c r="F21" s="64">
        <v>13.31</v>
      </c>
      <c r="G21" s="216" t="s">
        <v>43</v>
      </c>
      <c r="H21" s="216" t="s">
        <v>43</v>
      </c>
      <c r="I21" s="64">
        <v>0.56000000000000005</v>
      </c>
      <c r="J21" s="64">
        <v>0.35</v>
      </c>
      <c r="K21" s="64">
        <v>191.96</v>
      </c>
      <c r="L21" s="64">
        <v>24.23</v>
      </c>
      <c r="M21" s="64">
        <v>83.61</v>
      </c>
      <c r="N21" s="64">
        <v>35.4</v>
      </c>
      <c r="O21" s="64">
        <v>0</v>
      </c>
      <c r="P21" s="64">
        <v>0.65</v>
      </c>
      <c r="Q21" s="64">
        <v>18.18</v>
      </c>
      <c r="R21" s="198"/>
      <c r="S21" s="198"/>
      <c r="T21" s="198"/>
      <c r="U21" s="198"/>
    </row>
    <row r="22" spans="1:21" s="12" customFormat="1" x14ac:dyDescent="0.25">
      <c r="A22" s="215" t="s">
        <v>261</v>
      </c>
      <c r="B22" s="64">
        <v>7.95</v>
      </c>
      <c r="C22" s="64">
        <v>10.97</v>
      </c>
      <c r="D22" s="64">
        <v>13.08</v>
      </c>
      <c r="E22" s="64">
        <v>2.4900000000000002</v>
      </c>
      <c r="F22" s="64">
        <v>11.05</v>
      </c>
      <c r="G22" s="216" t="s">
        <v>43</v>
      </c>
      <c r="H22" s="216" t="s">
        <v>43</v>
      </c>
      <c r="I22" s="64">
        <v>0.54</v>
      </c>
      <c r="J22" s="64">
        <v>0.32</v>
      </c>
      <c r="K22" s="64">
        <v>186.98</v>
      </c>
      <c r="L22" s="64">
        <v>24.26</v>
      </c>
      <c r="M22" s="64">
        <v>83.56</v>
      </c>
      <c r="N22" s="64">
        <v>35.6</v>
      </c>
      <c r="O22" s="64">
        <v>0</v>
      </c>
      <c r="P22" s="64">
        <v>0.65</v>
      </c>
      <c r="Q22" s="64">
        <v>18.64</v>
      </c>
      <c r="R22" s="198"/>
      <c r="S22" s="198"/>
      <c r="T22" s="198"/>
      <c r="U22" s="198"/>
    </row>
    <row r="23" spans="1:21" s="12" customFormat="1" x14ac:dyDescent="0.25">
      <c r="A23" s="215" t="s">
        <v>262</v>
      </c>
      <c r="B23" s="64">
        <v>7.81</v>
      </c>
      <c r="C23" s="64">
        <v>12.47</v>
      </c>
      <c r="D23" s="64">
        <v>13.79</v>
      </c>
      <c r="E23" s="64">
        <v>2.5499999999999998</v>
      </c>
      <c r="F23" s="64">
        <v>13.13</v>
      </c>
      <c r="G23" s="216" t="s">
        <v>43</v>
      </c>
      <c r="H23" s="216" t="s">
        <v>43</v>
      </c>
      <c r="I23" s="64">
        <v>0.51</v>
      </c>
      <c r="J23" s="64">
        <v>0.2</v>
      </c>
      <c r="K23" s="64">
        <v>208.98</v>
      </c>
      <c r="L23" s="64">
        <v>24.11</v>
      </c>
      <c r="M23" s="64">
        <v>84.63</v>
      </c>
      <c r="N23" s="64">
        <v>35.799999999999997</v>
      </c>
      <c r="O23" s="64">
        <v>0</v>
      </c>
      <c r="P23" s="64">
        <v>0.62</v>
      </c>
      <c r="Q23" s="64">
        <v>20.65</v>
      </c>
      <c r="R23" s="198"/>
      <c r="S23" s="198"/>
      <c r="T23" s="198"/>
      <c r="U23" s="198"/>
    </row>
    <row r="24" spans="1:21" s="12" customFormat="1" x14ac:dyDescent="0.25">
      <c r="A24" s="215" t="s">
        <v>263</v>
      </c>
      <c r="B24" s="64">
        <v>8.75</v>
      </c>
      <c r="C24" s="64">
        <v>10.94</v>
      </c>
      <c r="D24" s="64">
        <v>13.7</v>
      </c>
      <c r="E24" s="64">
        <v>2.08</v>
      </c>
      <c r="F24" s="64">
        <v>10.61</v>
      </c>
      <c r="G24" s="216" t="s">
        <v>43</v>
      </c>
      <c r="H24" s="216" t="s">
        <v>43</v>
      </c>
      <c r="I24" s="64">
        <v>0.56999999999999995</v>
      </c>
      <c r="J24" s="64">
        <v>0.03</v>
      </c>
      <c r="K24" s="64">
        <v>108.72</v>
      </c>
      <c r="L24" s="64">
        <v>23.88</v>
      </c>
      <c r="M24" s="64">
        <v>85.67</v>
      </c>
      <c r="N24" s="64">
        <v>35.700000000000003</v>
      </c>
      <c r="O24" s="64">
        <v>0</v>
      </c>
      <c r="P24" s="64">
        <v>0.64</v>
      </c>
      <c r="Q24" s="64">
        <v>20.51</v>
      </c>
      <c r="R24" s="198"/>
      <c r="S24" s="198"/>
      <c r="T24" s="198"/>
      <c r="U24" s="198"/>
    </row>
    <row r="25" spans="1:21" s="12" customFormat="1" x14ac:dyDescent="0.25">
      <c r="A25" s="215" t="s">
        <v>264</v>
      </c>
      <c r="B25" s="64">
        <v>9.68</v>
      </c>
      <c r="C25" s="64">
        <v>12.46</v>
      </c>
      <c r="D25" s="64">
        <v>15.28</v>
      </c>
      <c r="E25" s="64">
        <v>2.56</v>
      </c>
      <c r="F25" s="64">
        <v>4.62</v>
      </c>
      <c r="G25" s="216" t="s">
        <v>43</v>
      </c>
      <c r="H25" s="216" t="s">
        <v>43</v>
      </c>
      <c r="I25" s="64">
        <v>0.52</v>
      </c>
      <c r="J25" s="64">
        <v>7.0000000000000007E-2</v>
      </c>
      <c r="K25" s="64">
        <v>5.51</v>
      </c>
      <c r="L25" s="64">
        <v>23.85</v>
      </c>
      <c r="M25" s="64">
        <v>84.96</v>
      </c>
      <c r="N25" s="64">
        <v>35.700000000000003</v>
      </c>
      <c r="O25" s="64">
        <v>0</v>
      </c>
      <c r="P25" s="64">
        <v>0.61</v>
      </c>
      <c r="Q25" s="64">
        <v>22.12</v>
      </c>
      <c r="R25" s="198"/>
      <c r="S25" s="198"/>
      <c r="T25" s="198"/>
      <c r="U25" s="198"/>
    </row>
    <row r="26" spans="1:21" s="12" customFormat="1" x14ac:dyDescent="0.25">
      <c r="A26" s="215" t="s">
        <v>265</v>
      </c>
      <c r="B26" s="64">
        <v>9.4700000000000006</v>
      </c>
      <c r="C26" s="64">
        <v>14.3</v>
      </c>
      <c r="D26" s="64">
        <v>16.13</v>
      </c>
      <c r="E26" s="64">
        <v>2.19</v>
      </c>
      <c r="F26" s="64">
        <v>5.03</v>
      </c>
      <c r="G26" s="216" t="s">
        <v>43</v>
      </c>
      <c r="H26" s="216" t="s">
        <v>43</v>
      </c>
      <c r="I26" s="64">
        <v>0.55000000000000004</v>
      </c>
      <c r="J26" s="64">
        <v>0.08</v>
      </c>
      <c r="K26" s="64">
        <v>21.74</v>
      </c>
      <c r="L26" s="64">
        <v>23.7</v>
      </c>
      <c r="M26" s="64">
        <v>85.45</v>
      </c>
      <c r="N26" s="64">
        <v>35.5</v>
      </c>
      <c r="O26" s="64">
        <v>0</v>
      </c>
      <c r="P26" s="64">
        <v>0.6</v>
      </c>
      <c r="Q26" s="64">
        <v>19.96</v>
      </c>
      <c r="R26" s="198"/>
      <c r="S26" s="198"/>
      <c r="T26" s="198"/>
      <c r="U26" s="198"/>
    </row>
    <row r="27" spans="1:21" s="12" customFormat="1" x14ac:dyDescent="0.25">
      <c r="A27" s="215" t="s">
        <v>266</v>
      </c>
      <c r="B27" s="64">
        <v>9.2200000000000006</v>
      </c>
      <c r="C27" s="64">
        <v>12.39</v>
      </c>
      <c r="D27" s="64">
        <v>14.87</v>
      </c>
      <c r="E27" s="64">
        <v>2.4</v>
      </c>
      <c r="F27" s="64">
        <v>6</v>
      </c>
      <c r="G27" s="216" t="s">
        <v>43</v>
      </c>
      <c r="H27" s="216" t="s">
        <v>43</v>
      </c>
      <c r="I27" s="64">
        <v>0.55000000000000004</v>
      </c>
      <c r="J27" s="217" t="s">
        <v>42</v>
      </c>
      <c r="K27" s="64">
        <v>56.78</v>
      </c>
      <c r="L27" s="64">
        <v>23.43</v>
      </c>
      <c r="M27" s="64">
        <v>86.49</v>
      </c>
      <c r="N27" s="64">
        <v>34.5</v>
      </c>
      <c r="O27" s="64">
        <v>0</v>
      </c>
      <c r="P27" s="64">
        <v>0.61</v>
      </c>
      <c r="Q27" s="64">
        <v>17.5</v>
      </c>
      <c r="R27" s="198"/>
      <c r="S27" s="198"/>
      <c r="T27" s="198"/>
      <c r="U27" s="198"/>
    </row>
    <row r="28" spans="1:21" s="12" customFormat="1" x14ac:dyDescent="0.25">
      <c r="A28" s="215" t="s">
        <v>267</v>
      </c>
      <c r="B28" s="64">
        <v>8.98</v>
      </c>
      <c r="C28" s="64">
        <v>13.33</v>
      </c>
      <c r="D28" s="64">
        <v>15.21</v>
      </c>
      <c r="E28" s="64">
        <v>2.5499999999999998</v>
      </c>
      <c r="F28" s="64">
        <v>5.0999999999999996</v>
      </c>
      <c r="G28" s="216" t="s">
        <v>43</v>
      </c>
      <c r="H28" s="216" t="s">
        <v>43</v>
      </c>
      <c r="I28" s="64">
        <v>0.56000000000000005</v>
      </c>
      <c r="J28" s="64">
        <v>7.0000000000000007E-2</v>
      </c>
      <c r="K28" s="64">
        <v>250.67</v>
      </c>
      <c r="L28" s="64">
        <v>23.23</v>
      </c>
      <c r="M28" s="64">
        <v>87.46</v>
      </c>
      <c r="N28" s="64">
        <v>34.700000000000003</v>
      </c>
      <c r="O28" s="64">
        <v>0</v>
      </c>
      <c r="P28" s="64">
        <v>0.59</v>
      </c>
      <c r="Q28" s="64">
        <v>18.809999999999999</v>
      </c>
      <c r="R28" s="198"/>
      <c r="S28" s="198"/>
      <c r="T28" s="198"/>
      <c r="U28" s="198"/>
    </row>
    <row r="29" spans="1:21" s="12" customFormat="1" x14ac:dyDescent="0.25">
      <c r="A29" s="215" t="s">
        <v>268</v>
      </c>
      <c r="B29" s="64">
        <v>8.9499999999999993</v>
      </c>
      <c r="C29" s="64">
        <v>13.8</v>
      </c>
      <c r="D29" s="64">
        <v>15.44</v>
      </c>
      <c r="E29" s="64">
        <v>2.52</v>
      </c>
      <c r="F29" s="64">
        <v>6.14</v>
      </c>
      <c r="G29" s="216" t="s">
        <v>43</v>
      </c>
      <c r="H29" s="216" t="s">
        <v>43</v>
      </c>
      <c r="I29" s="64">
        <v>0.6</v>
      </c>
      <c r="J29" s="64">
        <v>0.05</v>
      </c>
      <c r="K29" s="64">
        <v>346.66</v>
      </c>
      <c r="L29" s="64">
        <v>23.13</v>
      </c>
      <c r="M29" s="64">
        <v>88.63</v>
      </c>
      <c r="N29" s="64">
        <v>35.700000000000003</v>
      </c>
      <c r="O29" s="64">
        <v>0</v>
      </c>
      <c r="P29" s="64">
        <v>0.57999999999999996</v>
      </c>
      <c r="Q29" s="64">
        <v>17.23</v>
      </c>
      <c r="R29" s="198"/>
      <c r="S29" s="198"/>
      <c r="T29" s="198"/>
      <c r="U29" s="198"/>
    </row>
    <row r="30" spans="1:21" s="12" customFormat="1" x14ac:dyDescent="0.25">
      <c r="A30" s="215" t="s">
        <v>269</v>
      </c>
      <c r="B30" s="64">
        <v>9.69</v>
      </c>
      <c r="C30" s="64">
        <v>12.43</v>
      </c>
      <c r="D30" s="64">
        <v>15.28</v>
      </c>
      <c r="E30" s="64">
        <v>2.5099999999999998</v>
      </c>
      <c r="F30" s="64">
        <v>5.37</v>
      </c>
      <c r="G30" s="216" t="s">
        <v>43</v>
      </c>
      <c r="H30" s="216" t="s">
        <v>43</v>
      </c>
      <c r="I30" s="64">
        <v>0.52</v>
      </c>
      <c r="J30" s="64">
        <v>0.03</v>
      </c>
      <c r="K30" s="64">
        <v>274.5</v>
      </c>
      <c r="L30" s="64">
        <v>23.13</v>
      </c>
      <c r="M30" s="64">
        <v>88.47</v>
      </c>
      <c r="N30" s="64">
        <v>41.4</v>
      </c>
      <c r="O30" s="64">
        <v>0</v>
      </c>
      <c r="P30" s="64">
        <v>0.57999999999999996</v>
      </c>
      <c r="Q30" s="64">
        <v>17.07</v>
      </c>
      <c r="R30" s="198"/>
      <c r="S30" s="198"/>
      <c r="T30" s="198"/>
      <c r="U30" s="198"/>
    </row>
    <row r="31" spans="1:21" s="12" customFormat="1" x14ac:dyDescent="0.25">
      <c r="A31" s="215" t="s">
        <v>270</v>
      </c>
      <c r="B31" s="64">
        <v>9.48</v>
      </c>
      <c r="C31" s="64">
        <v>14.54</v>
      </c>
      <c r="D31" s="64">
        <v>16.27</v>
      </c>
      <c r="E31" s="64">
        <v>2.75</v>
      </c>
      <c r="F31" s="64">
        <v>5.42</v>
      </c>
      <c r="G31" s="216" t="s">
        <v>43</v>
      </c>
      <c r="H31" s="216" t="s">
        <v>43</v>
      </c>
      <c r="I31" s="64">
        <v>0.56999999999999995</v>
      </c>
      <c r="J31" s="64">
        <v>0.13</v>
      </c>
      <c r="K31" s="64">
        <v>202.42</v>
      </c>
      <c r="L31" s="64">
        <v>23.25</v>
      </c>
      <c r="M31" s="64">
        <v>87.91</v>
      </c>
      <c r="N31" s="64">
        <v>57</v>
      </c>
      <c r="O31" s="64">
        <v>0</v>
      </c>
      <c r="P31" s="64">
        <v>0.59</v>
      </c>
      <c r="Q31" s="64">
        <v>17.95</v>
      </c>
      <c r="R31" s="198"/>
      <c r="S31" s="198"/>
      <c r="T31" s="198"/>
      <c r="U31" s="198"/>
    </row>
    <row r="32" spans="1:21" s="12" customFormat="1" x14ac:dyDescent="0.25">
      <c r="A32" s="215" t="s">
        <v>271</v>
      </c>
      <c r="B32" s="64">
        <v>9.6999999999999993</v>
      </c>
      <c r="C32" s="64">
        <v>15.81</v>
      </c>
      <c r="D32" s="64">
        <v>17.149999999999999</v>
      </c>
      <c r="E32" s="64">
        <v>2.1</v>
      </c>
      <c r="F32" s="64">
        <v>7.83</v>
      </c>
      <c r="G32" s="216" t="s">
        <v>43</v>
      </c>
      <c r="H32" s="216" t="s">
        <v>43</v>
      </c>
      <c r="I32" s="64">
        <v>0.57999999999999996</v>
      </c>
      <c r="J32" s="64">
        <v>7.0000000000000007E-2</v>
      </c>
      <c r="K32" s="64">
        <v>50.77</v>
      </c>
      <c r="L32" s="64">
        <v>23.45</v>
      </c>
      <c r="M32" s="64">
        <v>87.25</v>
      </c>
      <c r="N32" s="64">
        <v>79</v>
      </c>
      <c r="O32" s="64">
        <v>0</v>
      </c>
      <c r="P32" s="64">
        <v>0.56000000000000005</v>
      </c>
      <c r="Q32" s="64">
        <v>16.93</v>
      </c>
      <c r="R32" s="198"/>
      <c r="S32" s="198"/>
      <c r="T32" s="198"/>
      <c r="U32" s="198"/>
    </row>
    <row r="33" spans="1:21" s="12" customFormat="1" x14ac:dyDescent="0.25">
      <c r="A33" s="215" t="s">
        <v>272</v>
      </c>
      <c r="B33" s="64">
        <v>12.81</v>
      </c>
      <c r="C33" s="64">
        <v>18.82</v>
      </c>
      <c r="D33" s="64">
        <v>21.3</v>
      </c>
      <c r="E33" s="64">
        <v>2.0499999999999998</v>
      </c>
      <c r="F33" s="64">
        <v>7.96</v>
      </c>
      <c r="G33" s="216" t="s">
        <v>43</v>
      </c>
      <c r="H33" s="216" t="s">
        <v>43</v>
      </c>
      <c r="I33" s="64">
        <v>0.52</v>
      </c>
      <c r="J33" s="64">
        <v>0.1</v>
      </c>
      <c r="K33" s="64">
        <v>207.45</v>
      </c>
      <c r="L33" s="64">
        <v>24.06</v>
      </c>
      <c r="M33" s="64">
        <v>84.45</v>
      </c>
      <c r="N33" s="64">
        <v>151.69999999999999</v>
      </c>
      <c r="O33" s="64">
        <v>0</v>
      </c>
      <c r="P33" s="64">
        <v>0.56999999999999995</v>
      </c>
      <c r="Q33" s="64">
        <v>19.02</v>
      </c>
      <c r="R33" s="198"/>
      <c r="S33" s="198"/>
      <c r="T33" s="198"/>
      <c r="U33" s="198"/>
    </row>
    <row r="34" spans="1:21" s="12" customFormat="1" x14ac:dyDescent="0.25">
      <c r="A34" s="215" t="s">
        <v>273</v>
      </c>
      <c r="B34" s="64">
        <v>11.29</v>
      </c>
      <c r="C34" s="64">
        <v>15.93</v>
      </c>
      <c r="D34" s="64">
        <v>18.489999999999998</v>
      </c>
      <c r="E34" s="64">
        <v>2.11</v>
      </c>
      <c r="F34" s="64">
        <v>7.79</v>
      </c>
      <c r="G34" s="216" t="s">
        <v>43</v>
      </c>
      <c r="H34" s="216" t="s">
        <v>43</v>
      </c>
      <c r="I34" s="64">
        <v>0.54</v>
      </c>
      <c r="J34" s="64">
        <v>0.17</v>
      </c>
      <c r="K34" s="64">
        <v>203.22</v>
      </c>
      <c r="L34" s="64">
        <v>25</v>
      </c>
      <c r="M34" s="64">
        <v>81.11</v>
      </c>
      <c r="N34" s="64">
        <v>204.9</v>
      </c>
      <c r="O34" s="64">
        <v>0</v>
      </c>
      <c r="P34" s="64">
        <v>0.56999999999999995</v>
      </c>
      <c r="Q34" s="64">
        <v>20.54</v>
      </c>
      <c r="R34" s="198"/>
      <c r="S34" s="198"/>
      <c r="T34" s="198"/>
      <c r="U34" s="198"/>
    </row>
    <row r="35" spans="1:21" s="12" customFormat="1" x14ac:dyDescent="0.25">
      <c r="A35" s="215" t="s">
        <v>274</v>
      </c>
      <c r="B35" s="64">
        <v>11.46</v>
      </c>
      <c r="C35" s="64">
        <v>14.65</v>
      </c>
      <c r="D35" s="64">
        <v>17.920000000000002</v>
      </c>
      <c r="E35" s="64">
        <v>2.31</v>
      </c>
      <c r="F35" s="64">
        <v>7.4</v>
      </c>
      <c r="G35" s="216" t="s">
        <v>43</v>
      </c>
      <c r="H35" s="216" t="s">
        <v>43</v>
      </c>
      <c r="I35" s="64">
        <v>0.54</v>
      </c>
      <c r="J35" s="64">
        <v>0.09</v>
      </c>
      <c r="K35" s="64">
        <v>194.81</v>
      </c>
      <c r="L35" s="64">
        <v>25.73</v>
      </c>
      <c r="M35" s="64">
        <v>77.540000000000006</v>
      </c>
      <c r="N35" s="64">
        <v>254.5</v>
      </c>
      <c r="O35" s="64">
        <v>0</v>
      </c>
      <c r="P35" s="64">
        <v>0.56999999999999995</v>
      </c>
      <c r="Q35" s="64">
        <v>21.54</v>
      </c>
      <c r="R35" s="198"/>
      <c r="S35" s="198"/>
      <c r="T35" s="198"/>
      <c r="U35" s="198"/>
    </row>
    <row r="36" spans="1:21" s="12" customFormat="1" x14ac:dyDescent="0.25">
      <c r="A36" s="215" t="s">
        <v>275</v>
      </c>
      <c r="B36" s="64">
        <v>11.28</v>
      </c>
      <c r="C36" s="64">
        <v>12.85</v>
      </c>
      <c r="D36" s="64">
        <v>16.78</v>
      </c>
      <c r="E36" s="64">
        <v>2.09</v>
      </c>
      <c r="F36" s="64">
        <v>8.1300000000000008</v>
      </c>
      <c r="G36" s="216" t="s">
        <v>43</v>
      </c>
      <c r="H36" s="216" t="s">
        <v>43</v>
      </c>
      <c r="I36" s="64">
        <v>0.52</v>
      </c>
      <c r="J36" s="64">
        <v>0.09</v>
      </c>
      <c r="K36" s="64">
        <v>198.8</v>
      </c>
      <c r="L36" s="64">
        <v>26.07</v>
      </c>
      <c r="M36" s="64">
        <v>75.73</v>
      </c>
      <c r="N36" s="64">
        <v>327.9</v>
      </c>
      <c r="O36" s="64">
        <v>0</v>
      </c>
      <c r="P36" s="64">
        <v>0.57999999999999996</v>
      </c>
      <c r="Q36" s="64">
        <v>21.29</v>
      </c>
      <c r="R36" s="198"/>
      <c r="S36" s="198"/>
      <c r="T36" s="198"/>
      <c r="U36" s="198"/>
    </row>
    <row r="37" spans="1:21" s="12" customFormat="1" x14ac:dyDescent="0.25">
      <c r="A37" s="215" t="s">
        <v>276</v>
      </c>
      <c r="B37" s="64">
        <v>11.64</v>
      </c>
      <c r="C37" s="64">
        <v>12.11</v>
      </c>
      <c r="D37" s="64">
        <v>16.66</v>
      </c>
      <c r="E37" s="64">
        <v>2.2999999999999998</v>
      </c>
      <c r="F37" s="64">
        <v>6.9</v>
      </c>
      <c r="G37" s="216" t="s">
        <v>43</v>
      </c>
      <c r="H37" s="216" t="s">
        <v>43</v>
      </c>
      <c r="I37" s="64">
        <v>0.56999999999999995</v>
      </c>
      <c r="J37" s="64">
        <v>0.08</v>
      </c>
      <c r="K37" s="64">
        <v>40.520000000000003</v>
      </c>
      <c r="L37" s="64">
        <v>26.69</v>
      </c>
      <c r="M37" s="64">
        <v>71.959999999999994</v>
      </c>
      <c r="N37" s="64">
        <v>305.7</v>
      </c>
      <c r="O37" s="64">
        <v>0</v>
      </c>
      <c r="P37" s="64">
        <v>0.56000000000000005</v>
      </c>
      <c r="Q37" s="64">
        <v>21.11</v>
      </c>
      <c r="R37" s="198"/>
      <c r="S37" s="198"/>
      <c r="T37" s="198"/>
      <c r="U37" s="198"/>
    </row>
    <row r="38" spans="1:21" s="12" customFormat="1" x14ac:dyDescent="0.25">
      <c r="A38" s="215" t="s">
        <v>277</v>
      </c>
      <c r="B38" s="64">
        <v>11.15</v>
      </c>
      <c r="C38" s="64">
        <v>14.82</v>
      </c>
      <c r="D38" s="64">
        <v>17.77</v>
      </c>
      <c r="E38" s="64">
        <v>2.44</v>
      </c>
      <c r="F38" s="64">
        <v>0.95</v>
      </c>
      <c r="G38" s="216" t="s">
        <v>43</v>
      </c>
      <c r="H38" s="216" t="s">
        <v>43</v>
      </c>
      <c r="I38" s="64">
        <v>0.54</v>
      </c>
      <c r="J38" s="64">
        <v>0.23</v>
      </c>
      <c r="K38" s="64">
        <v>30.35</v>
      </c>
      <c r="L38" s="64">
        <v>27.11</v>
      </c>
      <c r="M38" s="64">
        <v>69.28</v>
      </c>
      <c r="N38" s="64">
        <v>426.3</v>
      </c>
      <c r="O38" s="64">
        <v>0</v>
      </c>
      <c r="P38" s="64">
        <v>0.59</v>
      </c>
      <c r="Q38" s="64">
        <v>21.19</v>
      </c>
      <c r="R38" s="198"/>
      <c r="S38" s="198"/>
      <c r="T38" s="198"/>
      <c r="U38" s="198"/>
    </row>
    <row r="39" spans="1:21" s="12" customFormat="1" x14ac:dyDescent="0.25">
      <c r="A39" s="215" t="s">
        <v>278</v>
      </c>
      <c r="B39" s="64">
        <v>10.23</v>
      </c>
      <c r="C39" s="64">
        <v>15.08</v>
      </c>
      <c r="D39" s="64">
        <v>17.170000000000002</v>
      </c>
      <c r="E39" s="64">
        <v>1.9</v>
      </c>
      <c r="F39" s="64">
        <v>5.25</v>
      </c>
      <c r="G39" s="216" t="s">
        <v>43</v>
      </c>
      <c r="H39" s="216" t="s">
        <v>43</v>
      </c>
      <c r="I39" s="64">
        <v>0.55000000000000004</v>
      </c>
      <c r="J39" s="64">
        <v>0.35</v>
      </c>
      <c r="K39" s="64">
        <v>29.28</v>
      </c>
      <c r="L39" s="64">
        <v>27.04</v>
      </c>
      <c r="M39" s="64">
        <v>67.98</v>
      </c>
      <c r="N39" s="64">
        <v>510.9</v>
      </c>
      <c r="O39" s="64">
        <v>0</v>
      </c>
      <c r="P39" s="64">
        <v>0.6</v>
      </c>
      <c r="Q39" s="64">
        <v>17.329999999999998</v>
      </c>
      <c r="R39" s="198"/>
      <c r="S39" s="198"/>
      <c r="T39" s="198"/>
      <c r="U39" s="198"/>
    </row>
    <row r="40" spans="1:21" s="12" customFormat="1" x14ac:dyDescent="0.25">
      <c r="A40" s="215" t="s">
        <v>279</v>
      </c>
      <c r="B40" s="64">
        <v>9.1300000000000008</v>
      </c>
      <c r="C40" s="64">
        <v>15.1</v>
      </c>
      <c r="D40" s="64">
        <v>16.3</v>
      </c>
      <c r="E40" s="64">
        <v>1.86</v>
      </c>
      <c r="F40" s="64">
        <v>6.02</v>
      </c>
      <c r="G40" s="216" t="s">
        <v>43</v>
      </c>
      <c r="H40" s="216" t="s">
        <v>43</v>
      </c>
      <c r="I40" s="64">
        <v>0.57999999999999996</v>
      </c>
      <c r="J40" s="64">
        <v>0.33</v>
      </c>
      <c r="K40" s="64">
        <v>32.630000000000003</v>
      </c>
      <c r="L40" s="64">
        <v>28.16</v>
      </c>
      <c r="M40" s="64">
        <v>63.98</v>
      </c>
      <c r="N40" s="64">
        <v>532.6</v>
      </c>
      <c r="O40" s="64">
        <v>0</v>
      </c>
      <c r="P40" s="64">
        <v>0.62</v>
      </c>
      <c r="Q40" s="64">
        <v>16.02</v>
      </c>
      <c r="R40" s="198"/>
      <c r="S40" s="198"/>
      <c r="T40" s="198"/>
      <c r="U40" s="198"/>
    </row>
    <row r="41" spans="1:21" s="12" customFormat="1" x14ac:dyDescent="0.25">
      <c r="A41" s="215" t="s">
        <v>280</v>
      </c>
      <c r="B41" s="64">
        <v>8.2200000000000006</v>
      </c>
      <c r="C41" s="64">
        <v>17.2</v>
      </c>
      <c r="D41" s="64">
        <v>16.73</v>
      </c>
      <c r="E41" s="64">
        <v>2.12</v>
      </c>
      <c r="F41" s="64">
        <v>1.54</v>
      </c>
      <c r="G41" s="216" t="s">
        <v>43</v>
      </c>
      <c r="H41" s="216" t="s">
        <v>43</v>
      </c>
      <c r="I41" s="64">
        <v>0.56999999999999995</v>
      </c>
      <c r="J41" s="64">
        <v>0.28999999999999998</v>
      </c>
      <c r="K41" s="64">
        <v>25.01</v>
      </c>
      <c r="L41" s="64">
        <v>27.56</v>
      </c>
      <c r="M41" s="64">
        <v>64.97</v>
      </c>
      <c r="N41" s="64">
        <v>562.4</v>
      </c>
      <c r="O41" s="64">
        <v>0</v>
      </c>
      <c r="P41" s="64">
        <v>0.64</v>
      </c>
      <c r="Q41" s="64">
        <v>15.42</v>
      </c>
      <c r="R41" s="198"/>
      <c r="S41" s="198"/>
      <c r="T41" s="198"/>
      <c r="U41" s="198"/>
    </row>
    <row r="42" spans="1:21" s="12" customFormat="1" x14ac:dyDescent="0.25">
      <c r="A42" s="215" t="s">
        <v>281</v>
      </c>
      <c r="B42" s="64">
        <v>7.05</v>
      </c>
      <c r="C42" s="64">
        <v>16.66</v>
      </c>
      <c r="D42" s="64">
        <v>15.49</v>
      </c>
      <c r="E42" s="64">
        <v>1.88</v>
      </c>
      <c r="F42" s="64">
        <v>5.08</v>
      </c>
      <c r="G42" s="216" t="s">
        <v>43</v>
      </c>
      <c r="H42" s="216" t="s">
        <v>43</v>
      </c>
      <c r="I42" s="64">
        <v>0.53</v>
      </c>
      <c r="J42" s="64">
        <v>0.33</v>
      </c>
      <c r="K42" s="64">
        <v>28.6</v>
      </c>
      <c r="L42" s="64">
        <v>28.01</v>
      </c>
      <c r="M42" s="64">
        <v>64.290000000000006</v>
      </c>
      <c r="N42" s="64">
        <v>580.79999999999995</v>
      </c>
      <c r="O42" s="64">
        <v>0</v>
      </c>
      <c r="P42" s="64">
        <v>0.61</v>
      </c>
      <c r="Q42" s="64">
        <v>11.17</v>
      </c>
      <c r="R42" s="198"/>
      <c r="S42" s="198"/>
      <c r="T42" s="198"/>
      <c r="U42" s="198"/>
    </row>
    <row r="43" spans="1:21" s="12" customFormat="1" x14ac:dyDescent="0.25">
      <c r="A43" s="215" t="s">
        <v>282</v>
      </c>
      <c r="B43" s="64">
        <v>6.59</v>
      </c>
      <c r="C43" s="64">
        <v>16.28</v>
      </c>
      <c r="D43" s="64">
        <v>14.92</v>
      </c>
      <c r="E43" s="64">
        <v>2.04</v>
      </c>
      <c r="F43" s="64">
        <v>6.25</v>
      </c>
      <c r="G43" s="216" t="s">
        <v>43</v>
      </c>
      <c r="H43" s="216" t="s">
        <v>43</v>
      </c>
      <c r="I43" s="64">
        <v>0.55000000000000004</v>
      </c>
      <c r="J43" s="64">
        <v>0.27</v>
      </c>
      <c r="K43" s="64">
        <v>34.42</v>
      </c>
      <c r="L43" s="64">
        <v>28.29</v>
      </c>
      <c r="M43" s="64">
        <v>63.07</v>
      </c>
      <c r="N43" s="64">
        <v>685.3</v>
      </c>
      <c r="O43" s="64">
        <v>0</v>
      </c>
      <c r="P43" s="64">
        <v>0.63</v>
      </c>
      <c r="Q43" s="64">
        <v>10.94</v>
      </c>
      <c r="R43" s="198"/>
      <c r="S43" s="198"/>
      <c r="T43" s="198"/>
      <c r="U43" s="198"/>
    </row>
    <row r="44" spans="1:21" s="12" customFormat="1" x14ac:dyDescent="0.25">
      <c r="A44" s="215" t="s">
        <v>283</v>
      </c>
      <c r="B44" s="64">
        <v>6.54</v>
      </c>
      <c r="C44" s="64">
        <v>18.48</v>
      </c>
      <c r="D44" s="64">
        <v>16.09</v>
      </c>
      <c r="E44" s="64">
        <v>2.0299999999999998</v>
      </c>
      <c r="F44" s="64">
        <v>3.59</v>
      </c>
      <c r="G44" s="216" t="s">
        <v>43</v>
      </c>
      <c r="H44" s="216" t="s">
        <v>43</v>
      </c>
      <c r="I44" s="64">
        <v>0.54</v>
      </c>
      <c r="J44" s="64">
        <v>0.2</v>
      </c>
      <c r="K44" s="64">
        <v>31.53</v>
      </c>
      <c r="L44" s="64">
        <v>28.34</v>
      </c>
      <c r="M44" s="64">
        <v>63.22</v>
      </c>
      <c r="N44" s="64">
        <v>567.5</v>
      </c>
      <c r="O44" s="64">
        <v>0</v>
      </c>
      <c r="P44" s="64">
        <v>0.63</v>
      </c>
      <c r="Q44" s="64">
        <v>12.22</v>
      </c>
      <c r="R44" s="198"/>
      <c r="S44" s="198"/>
      <c r="T44" s="198"/>
      <c r="U44" s="198"/>
    </row>
    <row r="45" spans="1:21" s="12" customFormat="1" x14ac:dyDescent="0.25">
      <c r="A45" s="215" t="s">
        <v>284</v>
      </c>
      <c r="B45" s="64">
        <v>6.31</v>
      </c>
      <c r="C45" s="64">
        <v>16.100000000000001</v>
      </c>
      <c r="D45" s="64">
        <v>14.59</v>
      </c>
      <c r="E45" s="64">
        <v>1.95</v>
      </c>
      <c r="F45" s="64">
        <v>6.83</v>
      </c>
      <c r="G45" s="216" t="s">
        <v>43</v>
      </c>
      <c r="H45" s="216" t="s">
        <v>43</v>
      </c>
      <c r="I45" s="64">
        <v>0.54</v>
      </c>
      <c r="J45" s="64">
        <v>0.3</v>
      </c>
      <c r="K45" s="64">
        <v>26.03</v>
      </c>
      <c r="L45" s="64">
        <v>27.99</v>
      </c>
      <c r="M45" s="64">
        <v>63.82</v>
      </c>
      <c r="N45" s="64">
        <v>693.4</v>
      </c>
      <c r="O45" s="64">
        <v>0</v>
      </c>
      <c r="P45" s="64">
        <v>0.64</v>
      </c>
      <c r="Q45" s="64">
        <v>9.36</v>
      </c>
      <c r="R45" s="198"/>
      <c r="S45" s="198"/>
      <c r="T45" s="198"/>
      <c r="U45" s="198"/>
    </row>
    <row r="46" spans="1:21" s="12" customFormat="1" x14ac:dyDescent="0.25">
      <c r="A46" s="215" t="s">
        <v>285</v>
      </c>
      <c r="B46" s="64">
        <v>5.9</v>
      </c>
      <c r="C46" s="64">
        <v>16.86</v>
      </c>
      <c r="D46" s="64">
        <v>14.68</v>
      </c>
      <c r="E46" s="64">
        <v>1.91</v>
      </c>
      <c r="F46" s="64">
        <v>5.14</v>
      </c>
      <c r="G46" s="216" t="s">
        <v>43</v>
      </c>
      <c r="H46" s="216" t="s">
        <v>43</v>
      </c>
      <c r="I46" s="64">
        <v>0.53</v>
      </c>
      <c r="J46" s="64">
        <v>0.28999999999999998</v>
      </c>
      <c r="K46" s="64">
        <v>23.34</v>
      </c>
      <c r="L46" s="64">
        <v>28.48</v>
      </c>
      <c r="M46" s="64">
        <v>61.37</v>
      </c>
      <c r="N46" s="64">
        <v>857.5</v>
      </c>
      <c r="O46" s="64">
        <v>0</v>
      </c>
      <c r="P46" s="64">
        <v>0.63</v>
      </c>
      <c r="Q46" s="64">
        <v>10.27</v>
      </c>
      <c r="R46" s="198"/>
      <c r="S46" s="198"/>
      <c r="T46" s="198"/>
      <c r="U46" s="198"/>
    </row>
    <row r="47" spans="1:21" s="12" customFormat="1" x14ac:dyDescent="0.25">
      <c r="A47" s="215" t="s">
        <v>286</v>
      </c>
      <c r="B47" s="64">
        <v>5.64</v>
      </c>
      <c r="C47" s="64">
        <v>15.9</v>
      </c>
      <c r="D47" s="64">
        <v>13.94</v>
      </c>
      <c r="E47" s="64">
        <v>2.2799999999999998</v>
      </c>
      <c r="F47" s="64">
        <v>6.45</v>
      </c>
      <c r="G47" s="216" t="s">
        <v>43</v>
      </c>
      <c r="H47" s="216" t="s">
        <v>43</v>
      </c>
      <c r="I47" s="64">
        <v>0.52</v>
      </c>
      <c r="J47" s="64">
        <v>0.25</v>
      </c>
      <c r="K47" s="64">
        <v>23.92</v>
      </c>
      <c r="L47" s="64">
        <v>28.76</v>
      </c>
      <c r="M47" s="64">
        <v>61.07</v>
      </c>
      <c r="N47" s="64">
        <v>750.2</v>
      </c>
      <c r="O47" s="64">
        <v>0</v>
      </c>
      <c r="P47" s="64">
        <v>0.64</v>
      </c>
      <c r="Q47" s="64">
        <v>8.3800000000000008</v>
      </c>
      <c r="R47" s="198"/>
      <c r="S47" s="198"/>
      <c r="T47" s="198"/>
      <c r="U47" s="198"/>
    </row>
    <row r="48" spans="1:21" s="12" customFormat="1" x14ac:dyDescent="0.25">
      <c r="A48" s="215" t="s">
        <v>287</v>
      </c>
      <c r="B48" s="64">
        <v>5.64</v>
      </c>
      <c r="C48" s="64">
        <v>16.54</v>
      </c>
      <c r="D48" s="64">
        <v>14.3</v>
      </c>
      <c r="E48" s="64">
        <v>2.2999999999999998</v>
      </c>
      <c r="F48" s="64">
        <v>4.59</v>
      </c>
      <c r="G48" s="216" t="s">
        <v>43</v>
      </c>
      <c r="H48" s="216" t="s">
        <v>43</v>
      </c>
      <c r="I48" s="64">
        <v>0.52</v>
      </c>
      <c r="J48" s="64">
        <v>0.32</v>
      </c>
      <c r="K48" s="64">
        <v>22.83</v>
      </c>
      <c r="L48" s="64">
        <v>29.52</v>
      </c>
      <c r="M48" s="64">
        <v>58.13</v>
      </c>
      <c r="N48" s="64">
        <v>772.6</v>
      </c>
      <c r="O48" s="64">
        <v>0</v>
      </c>
      <c r="P48" s="64">
        <v>0.67</v>
      </c>
      <c r="Q48" s="64">
        <v>9.3800000000000008</v>
      </c>
      <c r="R48" s="198"/>
      <c r="S48" s="198"/>
      <c r="T48" s="198"/>
      <c r="U48" s="198"/>
    </row>
    <row r="49" spans="1:21" s="12" customFormat="1" x14ac:dyDescent="0.25">
      <c r="A49" s="215" t="s">
        <v>288</v>
      </c>
      <c r="B49" s="64">
        <v>5.53</v>
      </c>
      <c r="C49" s="64">
        <v>18.809999999999999</v>
      </c>
      <c r="D49" s="64">
        <v>15.47</v>
      </c>
      <c r="E49" s="64">
        <v>1.91</v>
      </c>
      <c r="F49" s="64">
        <v>4.5999999999999996</v>
      </c>
      <c r="G49" s="216" t="s">
        <v>43</v>
      </c>
      <c r="H49" s="216" t="s">
        <v>43</v>
      </c>
      <c r="I49" s="64">
        <v>0.53</v>
      </c>
      <c r="J49" s="64">
        <v>0.32</v>
      </c>
      <c r="K49" s="64">
        <v>31.18</v>
      </c>
      <c r="L49" s="64">
        <v>29.37</v>
      </c>
      <c r="M49" s="64">
        <v>58.12</v>
      </c>
      <c r="N49" s="64">
        <v>856.5</v>
      </c>
      <c r="O49" s="64">
        <v>0</v>
      </c>
      <c r="P49" s="64">
        <v>0.67</v>
      </c>
      <c r="Q49" s="64">
        <v>9.25</v>
      </c>
      <c r="R49" s="198"/>
      <c r="S49" s="198"/>
      <c r="T49" s="198"/>
      <c r="U49" s="198"/>
    </row>
    <row r="50" spans="1:21" s="12" customFormat="1" x14ac:dyDescent="0.25">
      <c r="A50" s="215" t="s">
        <v>289</v>
      </c>
      <c r="B50" s="64">
        <v>5.33</v>
      </c>
      <c r="C50" s="64">
        <v>18.29</v>
      </c>
      <c r="D50" s="64">
        <v>15.01</v>
      </c>
      <c r="E50" s="64">
        <v>1.99</v>
      </c>
      <c r="F50" s="64">
        <v>9.5399999999999991</v>
      </c>
      <c r="G50" s="216" t="s">
        <v>43</v>
      </c>
      <c r="H50" s="216" t="s">
        <v>43</v>
      </c>
      <c r="I50" s="64">
        <v>0.49</v>
      </c>
      <c r="J50" s="64">
        <v>0.35</v>
      </c>
      <c r="K50" s="64">
        <v>20.04</v>
      </c>
      <c r="L50" s="64">
        <v>29.6</v>
      </c>
      <c r="M50" s="64">
        <v>57.77</v>
      </c>
      <c r="N50" s="64">
        <v>545.79999999999995</v>
      </c>
      <c r="O50" s="64">
        <v>0</v>
      </c>
      <c r="P50" s="64">
        <v>0.71</v>
      </c>
      <c r="Q50" s="64">
        <v>5.76</v>
      </c>
      <c r="R50" s="198"/>
      <c r="S50" s="198"/>
      <c r="T50" s="198"/>
      <c r="U50" s="198"/>
    </row>
    <row r="51" spans="1:21" s="12" customFormat="1" x14ac:dyDescent="0.25">
      <c r="A51" s="215" t="s">
        <v>290</v>
      </c>
      <c r="B51" s="64">
        <v>5.14</v>
      </c>
      <c r="C51" s="64">
        <v>21.31</v>
      </c>
      <c r="D51" s="64">
        <v>16.53</v>
      </c>
      <c r="E51" s="64">
        <v>1.56</v>
      </c>
      <c r="F51" s="64">
        <v>11.85</v>
      </c>
      <c r="G51" s="216" t="s">
        <v>43</v>
      </c>
      <c r="H51" s="216" t="s">
        <v>43</v>
      </c>
      <c r="I51" s="64">
        <v>0.49</v>
      </c>
      <c r="J51" s="64">
        <v>0.11</v>
      </c>
      <c r="K51" s="64">
        <v>46.61</v>
      </c>
      <c r="L51" s="64">
        <v>29.36</v>
      </c>
      <c r="M51" s="64">
        <v>58.24</v>
      </c>
      <c r="N51" s="64">
        <v>900.5</v>
      </c>
      <c r="O51" s="64">
        <v>0</v>
      </c>
      <c r="P51" s="64">
        <v>0.78</v>
      </c>
      <c r="Q51" s="64">
        <v>3.78</v>
      </c>
      <c r="R51" s="198"/>
      <c r="S51" s="198"/>
      <c r="T51" s="198"/>
      <c r="U51" s="198"/>
    </row>
    <row r="52" spans="1:21" s="12" customFormat="1" x14ac:dyDescent="0.25">
      <c r="A52" s="215" t="s">
        <v>291</v>
      </c>
      <c r="B52" s="64">
        <v>4.78</v>
      </c>
      <c r="C52" s="64">
        <v>20.100000000000001</v>
      </c>
      <c r="D52" s="64">
        <v>15.57</v>
      </c>
      <c r="E52" s="64">
        <v>1.25</v>
      </c>
      <c r="F52" s="64">
        <v>12.8</v>
      </c>
      <c r="G52" s="216" t="s">
        <v>43</v>
      </c>
      <c r="H52" s="216" t="s">
        <v>43</v>
      </c>
      <c r="I52" s="64">
        <v>0.51</v>
      </c>
      <c r="J52" s="64">
        <v>0.31</v>
      </c>
      <c r="K52" s="64">
        <v>20.47</v>
      </c>
      <c r="L52" s="64">
        <v>29.56</v>
      </c>
      <c r="M52" s="64">
        <v>57.43</v>
      </c>
      <c r="N52" s="64">
        <v>593</v>
      </c>
      <c r="O52" s="64">
        <v>0</v>
      </c>
      <c r="P52" s="64">
        <v>0.72</v>
      </c>
      <c r="Q52" s="64">
        <v>2.48</v>
      </c>
      <c r="R52" s="198"/>
      <c r="S52" s="198"/>
      <c r="T52" s="198"/>
      <c r="U52" s="198"/>
    </row>
    <row r="53" spans="1:21" s="12" customFormat="1" x14ac:dyDescent="0.25">
      <c r="A53" s="215" t="s">
        <v>292</v>
      </c>
      <c r="B53" s="64">
        <v>5.03</v>
      </c>
      <c r="C53" s="64">
        <v>18.739999999999998</v>
      </c>
      <c r="D53" s="64">
        <v>15.02</v>
      </c>
      <c r="E53" s="64">
        <v>1.71</v>
      </c>
      <c r="F53" s="64">
        <v>9.6999999999999993</v>
      </c>
      <c r="G53" s="216" t="s">
        <v>43</v>
      </c>
      <c r="H53" s="216" t="s">
        <v>43</v>
      </c>
      <c r="I53" s="64">
        <v>0.55000000000000004</v>
      </c>
      <c r="J53" s="64">
        <v>0.15</v>
      </c>
      <c r="K53" s="64">
        <v>25.3</v>
      </c>
      <c r="L53" s="64">
        <v>29.77</v>
      </c>
      <c r="M53" s="64">
        <v>57.24</v>
      </c>
      <c r="N53" s="64">
        <v>657.1</v>
      </c>
      <c r="O53" s="64">
        <v>0</v>
      </c>
      <c r="P53" s="64">
        <v>0.71</v>
      </c>
      <c r="Q53" s="64">
        <v>4.22</v>
      </c>
      <c r="R53" s="198"/>
      <c r="S53" s="198"/>
      <c r="T53" s="198"/>
      <c r="U53" s="198"/>
    </row>
    <row r="54" spans="1:21" s="12" customFormat="1" x14ac:dyDescent="0.25">
      <c r="A54" s="215" t="s">
        <v>293</v>
      </c>
      <c r="B54" s="64">
        <v>5.62</v>
      </c>
      <c r="C54" s="64">
        <v>18.079999999999998</v>
      </c>
      <c r="D54" s="64">
        <v>15.13</v>
      </c>
      <c r="E54" s="64">
        <v>1.86</v>
      </c>
      <c r="F54" s="64">
        <v>4.51</v>
      </c>
      <c r="G54" s="216" t="s">
        <v>43</v>
      </c>
      <c r="H54" s="216" t="s">
        <v>43</v>
      </c>
      <c r="I54" s="64">
        <v>0.53</v>
      </c>
      <c r="J54" s="64">
        <v>0.05</v>
      </c>
      <c r="K54" s="64">
        <v>321.95999999999998</v>
      </c>
      <c r="L54" s="64">
        <v>29.72</v>
      </c>
      <c r="M54" s="64">
        <v>56.76</v>
      </c>
      <c r="N54" s="64">
        <v>800.6</v>
      </c>
      <c r="O54" s="64">
        <v>0</v>
      </c>
      <c r="P54" s="64">
        <v>0.7</v>
      </c>
      <c r="Q54" s="64">
        <v>6.02</v>
      </c>
      <c r="R54" s="198"/>
      <c r="S54" s="198"/>
      <c r="T54" s="198"/>
      <c r="U54" s="198"/>
    </row>
    <row r="55" spans="1:21" s="12" customFormat="1" x14ac:dyDescent="0.25">
      <c r="A55" s="215" t="s">
        <v>294</v>
      </c>
      <c r="B55" s="64">
        <v>5.64</v>
      </c>
      <c r="C55" s="64">
        <v>16.71</v>
      </c>
      <c r="D55" s="64">
        <v>14.39</v>
      </c>
      <c r="E55" s="64">
        <v>1.66</v>
      </c>
      <c r="F55" s="64">
        <v>7.31</v>
      </c>
      <c r="G55" s="216" t="s">
        <v>43</v>
      </c>
      <c r="H55" s="216" t="s">
        <v>43</v>
      </c>
      <c r="I55" s="64">
        <v>0.51</v>
      </c>
      <c r="J55" s="64">
        <v>0.1</v>
      </c>
      <c r="K55" s="64">
        <v>354.31</v>
      </c>
      <c r="L55" s="64">
        <v>29.33</v>
      </c>
      <c r="M55" s="64">
        <v>58.56</v>
      </c>
      <c r="N55" s="64">
        <v>844.7</v>
      </c>
      <c r="O55" s="64">
        <v>0</v>
      </c>
      <c r="P55" s="64">
        <v>0.68</v>
      </c>
      <c r="Q55" s="64">
        <v>4.93</v>
      </c>
      <c r="R55" s="198"/>
      <c r="S55" s="198"/>
      <c r="T55" s="198"/>
      <c r="U55" s="198"/>
    </row>
    <row r="56" spans="1:21" s="12" customFormat="1" x14ac:dyDescent="0.25">
      <c r="A56" s="215" t="s">
        <v>295</v>
      </c>
      <c r="B56" s="64">
        <v>5.72</v>
      </c>
      <c r="C56" s="64">
        <v>16.45</v>
      </c>
      <c r="D56" s="64">
        <v>14.31</v>
      </c>
      <c r="E56" s="64">
        <v>1.08</v>
      </c>
      <c r="F56" s="64">
        <v>9.17</v>
      </c>
      <c r="G56" s="216" t="s">
        <v>43</v>
      </c>
      <c r="H56" s="216" t="s">
        <v>43</v>
      </c>
      <c r="I56" s="64">
        <v>0.51</v>
      </c>
      <c r="J56" s="64">
        <v>0.27</v>
      </c>
      <c r="K56" s="64">
        <v>216.2</v>
      </c>
      <c r="L56" s="64">
        <v>29.88</v>
      </c>
      <c r="M56" s="64">
        <v>56.36</v>
      </c>
      <c r="N56" s="64">
        <v>996.8</v>
      </c>
      <c r="O56" s="64">
        <v>0</v>
      </c>
      <c r="P56" s="64">
        <v>0.67</v>
      </c>
      <c r="Q56" s="64">
        <v>6.03</v>
      </c>
      <c r="R56" s="198"/>
      <c r="S56" s="198"/>
      <c r="T56" s="198"/>
      <c r="U56" s="198"/>
    </row>
    <row r="57" spans="1:21" s="12" customFormat="1" x14ac:dyDescent="0.25">
      <c r="A57" s="215" t="s">
        <v>296</v>
      </c>
      <c r="B57" s="64">
        <v>5.5</v>
      </c>
      <c r="C57" s="64">
        <v>14.33</v>
      </c>
      <c r="D57" s="64">
        <v>12.96</v>
      </c>
      <c r="E57" s="64">
        <v>1.47</v>
      </c>
      <c r="F57" s="64">
        <v>10.64</v>
      </c>
      <c r="G57" s="216" t="s">
        <v>43</v>
      </c>
      <c r="H57" s="216" t="s">
        <v>43</v>
      </c>
      <c r="I57" s="64">
        <v>0.49</v>
      </c>
      <c r="J57" s="64">
        <v>0.14000000000000001</v>
      </c>
      <c r="K57" s="64">
        <v>229.51</v>
      </c>
      <c r="L57" s="64">
        <v>29.51</v>
      </c>
      <c r="M57" s="64">
        <v>57.11</v>
      </c>
      <c r="N57" s="64">
        <v>792.6</v>
      </c>
      <c r="O57" s="64">
        <v>0</v>
      </c>
      <c r="P57" s="64">
        <v>0.66</v>
      </c>
      <c r="Q57" s="64">
        <v>4.83</v>
      </c>
      <c r="R57" s="198"/>
      <c r="S57" s="198"/>
      <c r="T57" s="198"/>
      <c r="U57" s="198"/>
    </row>
    <row r="58" spans="1:21" s="12" customFormat="1" x14ac:dyDescent="0.25">
      <c r="A58" s="215" t="s">
        <v>297</v>
      </c>
      <c r="B58" s="64">
        <v>5.41</v>
      </c>
      <c r="C58" s="64">
        <v>15.74</v>
      </c>
      <c r="D58" s="64">
        <v>13.67</v>
      </c>
      <c r="E58" s="64">
        <v>1.78</v>
      </c>
      <c r="F58" s="64">
        <v>9.75</v>
      </c>
      <c r="G58" s="216" t="s">
        <v>43</v>
      </c>
      <c r="H58" s="216" t="s">
        <v>43</v>
      </c>
      <c r="I58" s="64">
        <v>0.53</v>
      </c>
      <c r="J58" s="64">
        <v>0.1</v>
      </c>
      <c r="K58" s="64">
        <v>265.47000000000003</v>
      </c>
      <c r="L58" s="64">
        <v>30.02</v>
      </c>
      <c r="M58" s="64">
        <v>56.24</v>
      </c>
      <c r="N58" s="64">
        <v>947.3</v>
      </c>
      <c r="O58" s="64">
        <v>0</v>
      </c>
      <c r="P58" s="64">
        <v>0.62</v>
      </c>
      <c r="Q58" s="64">
        <v>6.79</v>
      </c>
      <c r="R58" s="198"/>
      <c r="S58" s="198"/>
      <c r="T58" s="198"/>
      <c r="U58" s="198"/>
    </row>
    <row r="59" spans="1:21" s="12" customFormat="1" x14ac:dyDescent="0.25">
      <c r="A59" s="215" t="s">
        <v>298</v>
      </c>
      <c r="B59" s="64">
        <v>5.21</v>
      </c>
      <c r="C59" s="64">
        <v>13.87</v>
      </c>
      <c r="D59" s="64">
        <v>12.48</v>
      </c>
      <c r="E59" s="64">
        <v>1.1100000000000001</v>
      </c>
      <c r="F59" s="64">
        <v>10.91</v>
      </c>
      <c r="G59" s="216" t="s">
        <v>43</v>
      </c>
      <c r="H59" s="216" t="s">
        <v>43</v>
      </c>
      <c r="I59" s="64">
        <v>0.51</v>
      </c>
      <c r="J59" s="64">
        <v>0.08</v>
      </c>
      <c r="K59" s="64">
        <v>344.25</v>
      </c>
      <c r="L59" s="64">
        <v>29.75</v>
      </c>
      <c r="M59" s="64">
        <v>55.55</v>
      </c>
      <c r="N59" s="64">
        <v>545</v>
      </c>
      <c r="O59" s="64">
        <v>0</v>
      </c>
      <c r="P59" s="64">
        <v>0.6</v>
      </c>
      <c r="Q59" s="64">
        <v>4.88</v>
      </c>
      <c r="R59" s="198"/>
      <c r="S59" s="198"/>
      <c r="T59" s="198"/>
      <c r="U59" s="198"/>
    </row>
    <row r="60" spans="1:21" s="12" customFormat="1" x14ac:dyDescent="0.25">
      <c r="A60" s="215" t="s">
        <v>299</v>
      </c>
      <c r="B60" s="64">
        <v>5.28</v>
      </c>
      <c r="C60" s="64">
        <v>13.51</v>
      </c>
      <c r="D60" s="64">
        <v>12.33</v>
      </c>
      <c r="E60" s="64">
        <v>1.34</v>
      </c>
      <c r="F60" s="64">
        <v>8.09</v>
      </c>
      <c r="G60" s="216" t="s">
        <v>43</v>
      </c>
      <c r="H60" s="216" t="s">
        <v>43</v>
      </c>
      <c r="I60" s="64">
        <v>0.56000000000000005</v>
      </c>
      <c r="J60" s="64">
        <v>0.06</v>
      </c>
      <c r="K60" s="64">
        <v>7.63</v>
      </c>
      <c r="L60" s="64">
        <v>29.89</v>
      </c>
      <c r="M60" s="64">
        <v>56.15</v>
      </c>
      <c r="N60" s="64">
        <v>729.7</v>
      </c>
      <c r="O60" s="64">
        <v>0</v>
      </c>
      <c r="P60" s="64">
        <v>0.63</v>
      </c>
      <c r="Q60" s="64">
        <v>5.15</v>
      </c>
      <c r="R60" s="198"/>
      <c r="S60" s="198"/>
      <c r="T60" s="198"/>
      <c r="U60" s="198"/>
    </row>
    <row r="61" spans="1:21" s="12" customFormat="1" x14ac:dyDescent="0.25">
      <c r="A61" s="215" t="s">
        <v>300</v>
      </c>
      <c r="B61" s="64">
        <v>5.19</v>
      </c>
      <c r="C61" s="64">
        <v>14.03</v>
      </c>
      <c r="D61" s="64">
        <v>12.55</v>
      </c>
      <c r="E61" s="64">
        <v>1.1599999999999999</v>
      </c>
      <c r="F61" s="64">
        <v>7.02</v>
      </c>
      <c r="G61" s="216" t="s">
        <v>43</v>
      </c>
      <c r="H61" s="216" t="s">
        <v>43</v>
      </c>
      <c r="I61" s="64">
        <v>0.5</v>
      </c>
      <c r="J61" s="64">
        <v>0.15</v>
      </c>
      <c r="K61" s="64">
        <v>6.68</v>
      </c>
      <c r="L61" s="64">
        <v>29.61</v>
      </c>
      <c r="M61" s="64">
        <v>57.29</v>
      </c>
      <c r="N61" s="64">
        <v>601.4</v>
      </c>
      <c r="O61" s="64">
        <v>0</v>
      </c>
      <c r="P61" s="64">
        <v>0.54</v>
      </c>
      <c r="Q61" s="64">
        <v>4.93</v>
      </c>
      <c r="R61" s="198"/>
      <c r="S61" s="198"/>
      <c r="T61" s="198"/>
      <c r="U61" s="198"/>
    </row>
    <row r="62" spans="1:21" s="12" customFormat="1" x14ac:dyDescent="0.25">
      <c r="A62" s="215" t="s">
        <v>301</v>
      </c>
      <c r="B62" s="64">
        <v>5.21</v>
      </c>
      <c r="C62" s="64">
        <v>14.08</v>
      </c>
      <c r="D62" s="64">
        <v>12.59</v>
      </c>
      <c r="E62" s="64">
        <v>1.17</v>
      </c>
      <c r="F62" s="64">
        <v>9.17</v>
      </c>
      <c r="G62" s="216" t="s">
        <v>43</v>
      </c>
      <c r="H62" s="216" t="s">
        <v>43</v>
      </c>
      <c r="I62" s="64">
        <v>0.52</v>
      </c>
      <c r="J62" s="64">
        <v>0.09</v>
      </c>
      <c r="K62" s="64">
        <v>38.06</v>
      </c>
      <c r="L62" s="64">
        <v>30.34</v>
      </c>
      <c r="M62" s="64">
        <v>55.67</v>
      </c>
      <c r="N62" s="64">
        <v>650</v>
      </c>
      <c r="O62" s="64">
        <v>0</v>
      </c>
      <c r="P62" s="64">
        <v>0.64</v>
      </c>
      <c r="Q62" s="64">
        <v>3.09</v>
      </c>
      <c r="R62" s="198"/>
      <c r="S62" s="198"/>
      <c r="T62" s="198"/>
      <c r="U62" s="198"/>
    </row>
    <row r="63" spans="1:21" s="12" customFormat="1" x14ac:dyDescent="0.25">
      <c r="A63" s="215" t="s">
        <v>302</v>
      </c>
      <c r="B63" s="64">
        <v>5.54</v>
      </c>
      <c r="C63" s="64">
        <v>14.11</v>
      </c>
      <c r="D63" s="64">
        <v>12.88</v>
      </c>
      <c r="E63" s="64">
        <v>0.08</v>
      </c>
      <c r="F63" s="64">
        <v>6.46</v>
      </c>
      <c r="G63" s="216" t="s">
        <v>43</v>
      </c>
      <c r="H63" s="216" t="s">
        <v>43</v>
      </c>
      <c r="I63" s="64">
        <v>0.56999999999999995</v>
      </c>
      <c r="J63" s="64">
        <v>0.31</v>
      </c>
      <c r="K63" s="64">
        <v>14.39</v>
      </c>
      <c r="L63" s="64">
        <v>30.51</v>
      </c>
      <c r="M63" s="64">
        <v>54.17</v>
      </c>
      <c r="N63" s="64">
        <v>562</v>
      </c>
      <c r="O63" s="64">
        <v>0</v>
      </c>
      <c r="P63" s="64">
        <v>0.67</v>
      </c>
      <c r="Q63" s="64">
        <v>2</v>
      </c>
      <c r="R63" s="198"/>
      <c r="S63" s="198"/>
      <c r="T63" s="198"/>
      <c r="U63" s="198"/>
    </row>
    <row r="64" spans="1:21" s="12" customFormat="1" x14ac:dyDescent="0.25">
      <c r="A64" s="215" t="s">
        <v>303</v>
      </c>
      <c r="B64" s="64">
        <v>5.65</v>
      </c>
      <c r="C64" s="64">
        <v>14.66</v>
      </c>
      <c r="D64" s="64">
        <v>13.27</v>
      </c>
      <c r="E64" s="64">
        <v>1.27</v>
      </c>
      <c r="F64" s="64">
        <v>6.8</v>
      </c>
      <c r="G64" s="216" t="s">
        <v>43</v>
      </c>
      <c r="H64" s="216" t="s">
        <v>43</v>
      </c>
      <c r="I64" s="64">
        <v>0.53</v>
      </c>
      <c r="J64" s="64">
        <v>0.26</v>
      </c>
      <c r="K64" s="64">
        <v>21.8</v>
      </c>
      <c r="L64" s="64">
        <v>30.47</v>
      </c>
      <c r="M64" s="64">
        <v>54.19</v>
      </c>
      <c r="N64" s="64">
        <v>407.8</v>
      </c>
      <c r="O64" s="64">
        <v>0</v>
      </c>
      <c r="P64" s="64">
        <v>0.62</v>
      </c>
      <c r="Q64" s="64">
        <v>1.71</v>
      </c>
      <c r="R64" s="198"/>
      <c r="S64" s="198"/>
      <c r="T64" s="198"/>
      <c r="U64" s="198"/>
    </row>
    <row r="65" spans="1:21" s="12" customFormat="1" x14ac:dyDescent="0.25">
      <c r="A65" s="215" t="s">
        <v>304</v>
      </c>
      <c r="B65" s="64">
        <v>6.18</v>
      </c>
      <c r="C65" s="64">
        <v>16.829999999999998</v>
      </c>
      <c r="D65" s="64">
        <v>14.89</v>
      </c>
      <c r="E65" s="64">
        <v>1.41</v>
      </c>
      <c r="F65" s="64">
        <v>7.18</v>
      </c>
      <c r="G65" s="216" t="s">
        <v>43</v>
      </c>
      <c r="H65" s="216" t="s">
        <v>43</v>
      </c>
      <c r="I65" s="64">
        <v>0.52</v>
      </c>
      <c r="J65" s="64">
        <v>0.2</v>
      </c>
      <c r="K65" s="64">
        <v>26.82</v>
      </c>
      <c r="L65" s="64">
        <v>30.26</v>
      </c>
      <c r="M65" s="64">
        <v>54.06</v>
      </c>
      <c r="N65" s="64">
        <v>450.7</v>
      </c>
      <c r="O65" s="64">
        <v>0</v>
      </c>
      <c r="P65" s="64">
        <v>0.63</v>
      </c>
      <c r="Q65" s="64">
        <v>5.25</v>
      </c>
      <c r="R65" s="198"/>
      <c r="S65" s="198"/>
      <c r="T65" s="198"/>
      <c r="U65" s="198"/>
    </row>
    <row r="66" spans="1:21" s="12" customFormat="1" x14ac:dyDescent="0.25">
      <c r="A66" s="215" t="s">
        <v>305</v>
      </c>
      <c r="B66" s="64">
        <v>5.97</v>
      </c>
      <c r="C66" s="64">
        <v>18.62</v>
      </c>
      <c r="D66" s="64">
        <v>15.71</v>
      </c>
      <c r="E66" s="64">
        <v>1.66</v>
      </c>
      <c r="F66" s="64">
        <v>7.63</v>
      </c>
      <c r="G66" s="216" t="s">
        <v>43</v>
      </c>
      <c r="H66" s="216" t="s">
        <v>43</v>
      </c>
      <c r="I66" s="64">
        <v>0.5</v>
      </c>
      <c r="J66" s="64">
        <v>0.12</v>
      </c>
      <c r="K66" s="64">
        <v>334.83</v>
      </c>
      <c r="L66" s="64">
        <v>30.46</v>
      </c>
      <c r="M66" s="64">
        <v>52.11</v>
      </c>
      <c r="N66" s="64">
        <v>345.2</v>
      </c>
      <c r="O66" s="64">
        <v>0</v>
      </c>
      <c r="P66" s="64">
        <v>0.62</v>
      </c>
      <c r="Q66" s="64">
        <v>6.95</v>
      </c>
      <c r="R66" s="198"/>
      <c r="S66" s="198"/>
      <c r="T66" s="198"/>
      <c r="U66" s="198"/>
    </row>
    <row r="67" spans="1:21" s="12" customFormat="1" x14ac:dyDescent="0.25">
      <c r="A67" s="215" t="s">
        <v>306</v>
      </c>
      <c r="B67" s="64">
        <v>5.57</v>
      </c>
      <c r="C67" s="64">
        <v>19.72</v>
      </c>
      <c r="D67" s="64">
        <v>16</v>
      </c>
      <c r="E67" s="64">
        <v>1.63</v>
      </c>
      <c r="F67" s="64">
        <v>7.7</v>
      </c>
      <c r="G67" s="216" t="s">
        <v>43</v>
      </c>
      <c r="H67" s="216" t="s">
        <v>43</v>
      </c>
      <c r="I67" s="64">
        <v>0.55000000000000004</v>
      </c>
      <c r="J67" s="64">
        <v>0.31</v>
      </c>
      <c r="K67" s="64">
        <v>17.649999999999999</v>
      </c>
      <c r="L67" s="64">
        <v>30.29</v>
      </c>
      <c r="M67" s="64">
        <v>52.8</v>
      </c>
      <c r="N67" s="64">
        <v>537.1</v>
      </c>
      <c r="O67" s="64">
        <v>0</v>
      </c>
      <c r="P67" s="64">
        <v>0.6</v>
      </c>
      <c r="Q67" s="64">
        <v>6.98</v>
      </c>
      <c r="R67" s="198"/>
      <c r="S67" s="198"/>
      <c r="T67" s="198"/>
      <c r="U67" s="198"/>
    </row>
    <row r="68" spans="1:21" s="12" customFormat="1" x14ac:dyDescent="0.25">
      <c r="A68" s="215" t="s">
        <v>307</v>
      </c>
      <c r="B68" s="64">
        <v>5.75</v>
      </c>
      <c r="C68" s="64">
        <v>19.8</v>
      </c>
      <c r="D68" s="64">
        <v>16.190000000000001</v>
      </c>
      <c r="E68" s="64">
        <v>1.48</v>
      </c>
      <c r="F68" s="64">
        <v>7.15</v>
      </c>
      <c r="G68" s="216" t="s">
        <v>43</v>
      </c>
      <c r="H68" s="216" t="s">
        <v>43</v>
      </c>
      <c r="I68" s="64">
        <v>0.55000000000000004</v>
      </c>
      <c r="J68" s="64">
        <v>0.28000000000000003</v>
      </c>
      <c r="K68" s="64">
        <v>21.05</v>
      </c>
      <c r="L68" s="64">
        <v>30.47</v>
      </c>
      <c r="M68" s="64">
        <v>51.99</v>
      </c>
      <c r="N68" s="64">
        <v>495.5</v>
      </c>
      <c r="O68" s="64">
        <v>0</v>
      </c>
      <c r="P68" s="64">
        <v>0.59</v>
      </c>
      <c r="Q68" s="64">
        <v>6.45</v>
      </c>
      <c r="R68" s="198"/>
      <c r="S68" s="198"/>
      <c r="T68" s="198"/>
      <c r="U68" s="198"/>
    </row>
    <row r="69" spans="1:21" s="12" customFormat="1" x14ac:dyDescent="0.25">
      <c r="A69" s="215" t="s">
        <v>308</v>
      </c>
      <c r="B69" s="64">
        <v>5.71</v>
      </c>
      <c r="C69" s="64">
        <v>16.61</v>
      </c>
      <c r="D69" s="64">
        <v>14.39</v>
      </c>
      <c r="E69" s="64">
        <v>1.03</v>
      </c>
      <c r="F69" s="64">
        <v>8.91</v>
      </c>
      <c r="G69" s="216" t="s">
        <v>43</v>
      </c>
      <c r="H69" s="216" t="s">
        <v>43</v>
      </c>
      <c r="I69" s="64">
        <v>0.51</v>
      </c>
      <c r="J69" s="64">
        <v>0.11</v>
      </c>
      <c r="K69" s="64">
        <v>20.59</v>
      </c>
      <c r="L69" s="64">
        <v>29.86</v>
      </c>
      <c r="M69" s="64">
        <v>53.28</v>
      </c>
      <c r="N69" s="64">
        <v>181</v>
      </c>
      <c r="O69" s="64">
        <v>0</v>
      </c>
      <c r="P69" s="64">
        <v>0.6</v>
      </c>
      <c r="Q69" s="64">
        <v>4.9800000000000004</v>
      </c>
      <c r="R69" s="198"/>
      <c r="S69" s="198"/>
      <c r="T69" s="198"/>
      <c r="U69" s="198"/>
    </row>
    <row r="70" spans="1:21" s="12" customFormat="1" x14ac:dyDescent="0.25">
      <c r="A70" s="215" t="s">
        <v>309</v>
      </c>
      <c r="B70" s="64">
        <v>5.57</v>
      </c>
      <c r="C70" s="64">
        <v>17.14</v>
      </c>
      <c r="D70" s="64">
        <v>14.57</v>
      </c>
      <c r="E70" s="64">
        <v>1.57</v>
      </c>
      <c r="F70" s="64">
        <v>8.1</v>
      </c>
      <c r="G70" s="216" t="s">
        <v>43</v>
      </c>
      <c r="H70" s="216" t="s">
        <v>43</v>
      </c>
      <c r="I70" s="64">
        <v>0.56000000000000005</v>
      </c>
      <c r="J70" s="64">
        <v>0.11</v>
      </c>
      <c r="K70" s="64">
        <v>357.04</v>
      </c>
      <c r="L70" s="64">
        <v>29.27</v>
      </c>
      <c r="M70" s="64">
        <v>55.49</v>
      </c>
      <c r="N70" s="64">
        <v>198.8</v>
      </c>
      <c r="O70" s="64">
        <v>0</v>
      </c>
      <c r="P70" s="64">
        <v>0.59</v>
      </c>
      <c r="Q70" s="64">
        <v>6.74</v>
      </c>
      <c r="R70" s="198"/>
      <c r="S70" s="198"/>
      <c r="T70" s="198"/>
      <c r="U70" s="198"/>
    </row>
    <row r="71" spans="1:21" s="12" customFormat="1" x14ac:dyDescent="0.25">
      <c r="A71" s="215" t="s">
        <v>310</v>
      </c>
      <c r="B71" s="64">
        <v>5.49</v>
      </c>
      <c r="C71" s="64">
        <v>15.54</v>
      </c>
      <c r="D71" s="64">
        <v>13.62</v>
      </c>
      <c r="E71" s="64">
        <v>1.62</v>
      </c>
      <c r="F71" s="64">
        <v>10.89</v>
      </c>
      <c r="G71" s="216" t="s">
        <v>43</v>
      </c>
      <c r="H71" s="216" t="s">
        <v>43</v>
      </c>
      <c r="I71" s="64">
        <v>0.54</v>
      </c>
      <c r="J71" s="64">
        <v>0.13</v>
      </c>
      <c r="K71" s="64">
        <v>16.149999999999999</v>
      </c>
      <c r="L71" s="64">
        <v>29.35</v>
      </c>
      <c r="M71" s="64">
        <v>55.82</v>
      </c>
      <c r="N71" s="64">
        <v>209.5</v>
      </c>
      <c r="O71" s="64">
        <v>0</v>
      </c>
      <c r="P71" s="64">
        <v>0.56999999999999995</v>
      </c>
      <c r="Q71" s="64">
        <v>4.42</v>
      </c>
      <c r="R71" s="198"/>
      <c r="S71" s="198"/>
      <c r="T71" s="198"/>
      <c r="U71" s="198"/>
    </row>
    <row r="72" spans="1:21" s="12" customFormat="1" x14ac:dyDescent="0.25">
      <c r="A72" s="215" t="s">
        <v>311</v>
      </c>
      <c r="B72" s="64">
        <v>5.49</v>
      </c>
      <c r="C72" s="64">
        <v>15.78</v>
      </c>
      <c r="D72" s="64">
        <v>13.76</v>
      </c>
      <c r="E72" s="64">
        <v>2.2400000000000002</v>
      </c>
      <c r="F72" s="64">
        <v>8.25</v>
      </c>
      <c r="G72" s="216" t="s">
        <v>43</v>
      </c>
      <c r="H72" s="216" t="s">
        <v>43</v>
      </c>
      <c r="I72" s="64">
        <v>0.53</v>
      </c>
      <c r="J72" s="64">
        <v>0.33</v>
      </c>
      <c r="K72" s="64">
        <v>42.05</v>
      </c>
      <c r="L72" s="64">
        <v>29.51</v>
      </c>
      <c r="M72" s="64">
        <v>55.89</v>
      </c>
      <c r="N72" s="64">
        <v>242.5</v>
      </c>
      <c r="O72" s="64">
        <v>0</v>
      </c>
      <c r="P72" s="64">
        <v>0.6</v>
      </c>
      <c r="Q72" s="64">
        <v>4.71</v>
      </c>
      <c r="R72" s="198"/>
      <c r="S72" s="198"/>
      <c r="T72" s="198"/>
      <c r="U72" s="198"/>
    </row>
    <row r="73" spans="1:21" s="12" customFormat="1" x14ac:dyDescent="0.25">
      <c r="A73" s="215" t="s">
        <v>312</v>
      </c>
      <c r="B73" s="64">
        <v>5.44</v>
      </c>
      <c r="C73" s="64">
        <v>17.170000000000002</v>
      </c>
      <c r="D73" s="64">
        <v>14.48</v>
      </c>
      <c r="E73" s="64">
        <v>2.36</v>
      </c>
      <c r="F73" s="64">
        <v>5.63</v>
      </c>
      <c r="G73" s="216" t="s">
        <v>43</v>
      </c>
      <c r="H73" s="216" t="s">
        <v>43</v>
      </c>
      <c r="I73" s="64">
        <v>0.54</v>
      </c>
      <c r="J73" s="64">
        <v>0.3</v>
      </c>
      <c r="K73" s="64">
        <v>37.200000000000003</v>
      </c>
      <c r="L73" s="64">
        <v>29.37</v>
      </c>
      <c r="M73" s="64">
        <v>56.97</v>
      </c>
      <c r="N73" s="64">
        <v>199.4</v>
      </c>
      <c r="O73" s="64">
        <v>0</v>
      </c>
      <c r="P73" s="64">
        <v>0.6</v>
      </c>
      <c r="Q73" s="64">
        <v>6.95</v>
      </c>
      <c r="R73" s="198"/>
      <c r="S73" s="198"/>
      <c r="T73" s="198"/>
      <c r="U73" s="198"/>
    </row>
    <row r="74" spans="1:21" s="12" customFormat="1" x14ac:dyDescent="0.25">
      <c r="A74" s="215" t="s">
        <v>313</v>
      </c>
      <c r="B74" s="64">
        <v>5.6</v>
      </c>
      <c r="C74" s="64">
        <v>15.9</v>
      </c>
      <c r="D74" s="64">
        <v>13.91</v>
      </c>
      <c r="E74" s="64">
        <v>2.13</v>
      </c>
      <c r="F74" s="64">
        <v>7.06</v>
      </c>
      <c r="G74" s="216" t="s">
        <v>43</v>
      </c>
      <c r="H74" s="216" t="s">
        <v>43</v>
      </c>
      <c r="I74" s="64">
        <v>0.55000000000000004</v>
      </c>
      <c r="J74" s="64">
        <v>0.26</v>
      </c>
      <c r="K74" s="64">
        <v>36.9</v>
      </c>
      <c r="L74" s="64">
        <v>28.99</v>
      </c>
      <c r="M74" s="64">
        <v>56.91</v>
      </c>
      <c r="N74" s="64">
        <v>174</v>
      </c>
      <c r="O74" s="64">
        <v>0</v>
      </c>
      <c r="P74" s="64">
        <v>0.63</v>
      </c>
      <c r="Q74" s="64">
        <v>4.8600000000000003</v>
      </c>
      <c r="R74" s="198"/>
      <c r="S74" s="198"/>
      <c r="T74" s="198"/>
      <c r="U74" s="198"/>
    </row>
    <row r="75" spans="1:21" s="12" customFormat="1" x14ac:dyDescent="0.25">
      <c r="A75" s="215" t="s">
        <v>314</v>
      </c>
      <c r="B75" s="64">
        <v>5.48</v>
      </c>
      <c r="C75" s="64">
        <v>16.079999999999998</v>
      </c>
      <c r="D75" s="64">
        <v>13.91</v>
      </c>
      <c r="E75" s="64">
        <v>2.0699999999999998</v>
      </c>
      <c r="F75" s="64">
        <v>7.13</v>
      </c>
      <c r="G75" s="216" t="s">
        <v>43</v>
      </c>
      <c r="H75" s="216" t="s">
        <v>43</v>
      </c>
      <c r="I75" s="64">
        <v>0.49</v>
      </c>
      <c r="J75" s="64">
        <v>0.19</v>
      </c>
      <c r="K75" s="64">
        <v>44.73</v>
      </c>
      <c r="L75" s="64">
        <v>28.74</v>
      </c>
      <c r="M75" s="64">
        <v>57.59</v>
      </c>
      <c r="N75" s="64">
        <v>154.30000000000001</v>
      </c>
      <c r="O75" s="64">
        <v>0</v>
      </c>
      <c r="P75" s="64">
        <v>0.62</v>
      </c>
      <c r="Q75" s="64">
        <v>3</v>
      </c>
      <c r="R75" s="198"/>
      <c r="S75" s="198"/>
      <c r="T75" s="198"/>
      <c r="U75" s="198"/>
    </row>
    <row r="76" spans="1:21" s="12" customFormat="1" x14ac:dyDescent="0.25">
      <c r="A76" s="215" t="s">
        <v>315</v>
      </c>
      <c r="B76" s="64">
        <v>5.23</v>
      </c>
      <c r="C76" s="64">
        <v>16.399999999999999</v>
      </c>
      <c r="D76" s="64">
        <v>13.89</v>
      </c>
      <c r="E76" s="64">
        <v>2.44</v>
      </c>
      <c r="F76" s="64">
        <v>8.8800000000000008</v>
      </c>
      <c r="G76" s="216" t="s">
        <v>43</v>
      </c>
      <c r="H76" s="216" t="s">
        <v>43</v>
      </c>
      <c r="I76" s="64">
        <v>0.49</v>
      </c>
      <c r="J76" s="64">
        <v>0.13</v>
      </c>
      <c r="K76" s="64">
        <v>10.78</v>
      </c>
      <c r="L76" s="64">
        <v>28.5</v>
      </c>
      <c r="M76" s="64">
        <v>58.46</v>
      </c>
      <c r="N76" s="64">
        <v>142.30000000000001</v>
      </c>
      <c r="O76" s="64">
        <v>0</v>
      </c>
      <c r="P76" s="64">
        <v>0.63</v>
      </c>
      <c r="Q76" s="64">
        <v>2.4700000000000002</v>
      </c>
      <c r="R76" s="198"/>
      <c r="S76" s="198"/>
      <c r="T76" s="198"/>
      <c r="U76" s="198"/>
    </row>
    <row r="77" spans="1:21" s="12" customFormat="1" x14ac:dyDescent="0.25">
      <c r="A77" s="215" t="s">
        <v>316</v>
      </c>
      <c r="B77" s="64">
        <v>5.27</v>
      </c>
      <c r="C77" s="64">
        <v>17.21</v>
      </c>
      <c r="D77" s="64">
        <v>14.37</v>
      </c>
      <c r="E77" s="64">
        <v>2.38</v>
      </c>
      <c r="F77" s="64">
        <v>6.05</v>
      </c>
      <c r="G77" s="216" t="s">
        <v>43</v>
      </c>
      <c r="H77" s="216" t="s">
        <v>43</v>
      </c>
      <c r="I77" s="64">
        <v>0.5</v>
      </c>
      <c r="J77" s="64">
        <v>0.22</v>
      </c>
      <c r="K77" s="64">
        <v>38.65</v>
      </c>
      <c r="L77" s="64">
        <v>28.71</v>
      </c>
      <c r="M77" s="64">
        <v>57.24</v>
      </c>
      <c r="N77" s="64">
        <v>90.3</v>
      </c>
      <c r="O77" s="64">
        <v>0</v>
      </c>
      <c r="P77" s="64">
        <v>0.62</v>
      </c>
      <c r="Q77" s="64">
        <v>5.72</v>
      </c>
      <c r="R77" s="198"/>
      <c r="S77" s="198"/>
      <c r="T77" s="198"/>
      <c r="U77" s="198"/>
    </row>
    <row r="78" spans="1:21" s="12" customFormat="1" x14ac:dyDescent="0.25">
      <c r="A78" s="215" t="s">
        <v>317</v>
      </c>
      <c r="B78" s="64">
        <v>5.52</v>
      </c>
      <c r="C78" s="64">
        <v>17.04</v>
      </c>
      <c r="D78" s="64">
        <v>14.48</v>
      </c>
      <c r="E78" s="64">
        <v>2.25</v>
      </c>
      <c r="F78" s="64">
        <v>5.54</v>
      </c>
      <c r="G78" s="216" t="s">
        <v>43</v>
      </c>
      <c r="H78" s="216" t="s">
        <v>43</v>
      </c>
      <c r="I78" s="64">
        <v>0.52</v>
      </c>
      <c r="J78" s="64">
        <v>0.01</v>
      </c>
      <c r="K78" s="64">
        <v>250.24</v>
      </c>
      <c r="L78" s="64">
        <v>28.3</v>
      </c>
      <c r="M78" s="64">
        <v>58.39</v>
      </c>
      <c r="N78" s="64">
        <v>67.3</v>
      </c>
      <c r="O78" s="64">
        <v>0</v>
      </c>
      <c r="P78" s="64">
        <v>0.61</v>
      </c>
      <c r="Q78" s="64">
        <v>6.44</v>
      </c>
      <c r="R78" s="198"/>
      <c r="S78" s="198"/>
      <c r="T78" s="198"/>
      <c r="U78" s="198"/>
    </row>
    <row r="79" spans="1:21" s="12" customFormat="1" x14ac:dyDescent="0.25">
      <c r="A79" s="215" t="s">
        <v>318</v>
      </c>
      <c r="B79" s="64">
        <v>7.28</v>
      </c>
      <c r="C79" s="64">
        <v>25.48</v>
      </c>
      <c r="D79" s="64">
        <v>20.55</v>
      </c>
      <c r="E79" s="64">
        <v>2.61</v>
      </c>
      <c r="F79" s="64">
        <v>13.98</v>
      </c>
      <c r="G79" s="216" t="s">
        <v>43</v>
      </c>
      <c r="H79" s="216" t="s">
        <v>43</v>
      </c>
      <c r="I79" s="64">
        <v>0.54</v>
      </c>
      <c r="J79" s="64">
        <v>0.32</v>
      </c>
      <c r="K79" s="64">
        <v>44.47</v>
      </c>
      <c r="L79" s="64">
        <v>28.31</v>
      </c>
      <c r="M79" s="64">
        <v>59.23</v>
      </c>
      <c r="N79" s="64">
        <v>61.9</v>
      </c>
      <c r="O79" s="64">
        <v>0</v>
      </c>
      <c r="P79" s="64">
        <v>0.65</v>
      </c>
      <c r="Q79" s="64">
        <v>7.11</v>
      </c>
      <c r="R79" s="198"/>
      <c r="S79" s="198"/>
      <c r="T79" s="198"/>
      <c r="U79" s="198"/>
    </row>
    <row r="80" spans="1:21" s="12" customFormat="1" x14ac:dyDescent="0.25">
      <c r="A80" s="215" t="s">
        <v>319</v>
      </c>
      <c r="B80" s="64">
        <v>5.57</v>
      </c>
      <c r="C80" s="64">
        <v>25.37</v>
      </c>
      <c r="D80" s="64">
        <v>19.11</v>
      </c>
      <c r="E80" s="64">
        <v>2.6</v>
      </c>
      <c r="F80" s="64">
        <v>10.8</v>
      </c>
      <c r="G80" s="216" t="s">
        <v>43</v>
      </c>
      <c r="H80" s="216" t="s">
        <v>43</v>
      </c>
      <c r="I80" s="64">
        <v>0.49</v>
      </c>
      <c r="J80" s="64">
        <v>0.16</v>
      </c>
      <c r="K80" s="64">
        <v>27.51</v>
      </c>
      <c r="L80" s="64">
        <v>28.13</v>
      </c>
      <c r="M80" s="64">
        <v>59.91</v>
      </c>
      <c r="N80" s="64">
        <v>57.6</v>
      </c>
      <c r="O80" s="64">
        <v>0</v>
      </c>
      <c r="P80" s="64">
        <v>0.68</v>
      </c>
      <c r="Q80" s="64">
        <v>6.32</v>
      </c>
      <c r="R80" s="198"/>
      <c r="S80" s="198"/>
      <c r="T80" s="198"/>
      <c r="U80" s="198"/>
    </row>
    <row r="81" spans="1:26" s="12" customFormat="1" x14ac:dyDescent="0.25">
      <c r="A81" s="215" t="s">
        <v>320</v>
      </c>
      <c r="B81" s="64">
        <v>5.6</v>
      </c>
      <c r="C81" s="64">
        <v>23.38</v>
      </c>
      <c r="D81" s="64">
        <v>18.04</v>
      </c>
      <c r="E81" s="64">
        <v>2.6</v>
      </c>
      <c r="F81" s="64">
        <v>8.7200000000000006</v>
      </c>
      <c r="G81" s="216" t="s">
        <v>43</v>
      </c>
      <c r="H81" s="216" t="s">
        <v>43</v>
      </c>
      <c r="I81" s="64">
        <v>0.55000000000000004</v>
      </c>
      <c r="J81" s="64">
        <v>0.23</v>
      </c>
      <c r="K81" s="64">
        <v>29.3</v>
      </c>
      <c r="L81" s="64">
        <v>27.83</v>
      </c>
      <c r="M81" s="64">
        <v>61.49</v>
      </c>
      <c r="N81" s="64">
        <v>49.7</v>
      </c>
      <c r="O81" s="64">
        <v>0</v>
      </c>
      <c r="P81" s="64">
        <v>0.69</v>
      </c>
      <c r="Q81" s="64">
        <v>7.25</v>
      </c>
      <c r="R81" s="198"/>
      <c r="S81" s="198"/>
      <c r="T81" s="198"/>
      <c r="U81" s="198"/>
    </row>
    <row r="82" spans="1:26" s="12" customFormat="1" x14ac:dyDescent="0.25">
      <c r="A82" s="215" t="s">
        <v>321</v>
      </c>
      <c r="B82" s="64">
        <v>5.49</v>
      </c>
      <c r="C82" s="64">
        <v>20.67</v>
      </c>
      <c r="D82" s="64">
        <v>16.46</v>
      </c>
      <c r="E82" s="64">
        <v>2.33</v>
      </c>
      <c r="F82" s="64">
        <v>8.64</v>
      </c>
      <c r="G82" s="216" t="s">
        <v>43</v>
      </c>
      <c r="H82" s="216" t="s">
        <v>43</v>
      </c>
      <c r="I82" s="64">
        <v>0.49</v>
      </c>
      <c r="J82" s="64">
        <v>0.31</v>
      </c>
      <c r="K82" s="64">
        <v>49.05</v>
      </c>
      <c r="L82" s="64">
        <v>27.66</v>
      </c>
      <c r="M82" s="64">
        <v>63.08</v>
      </c>
      <c r="N82" s="64">
        <v>32.9</v>
      </c>
      <c r="O82" s="64">
        <v>0</v>
      </c>
      <c r="P82" s="64">
        <v>0.7</v>
      </c>
      <c r="Q82" s="64">
        <v>5.49</v>
      </c>
      <c r="R82" s="198"/>
      <c r="S82" s="198"/>
      <c r="T82" s="198"/>
      <c r="U82" s="198"/>
    </row>
    <row r="83" spans="1:26" s="12" customFormat="1" x14ac:dyDescent="0.25">
      <c r="A83" s="215" t="s">
        <v>322</v>
      </c>
      <c r="B83" s="64">
        <v>5.8</v>
      </c>
      <c r="C83" s="64">
        <v>19.98</v>
      </c>
      <c r="D83" s="64">
        <v>16.32</v>
      </c>
      <c r="E83" s="64">
        <v>2.36</v>
      </c>
      <c r="F83" s="64">
        <v>7.36</v>
      </c>
      <c r="G83" s="216" t="s">
        <v>43</v>
      </c>
      <c r="H83" s="216" t="s">
        <v>43</v>
      </c>
      <c r="I83" s="64">
        <v>0.56000000000000005</v>
      </c>
      <c r="J83" s="64">
        <v>0.28999999999999998</v>
      </c>
      <c r="K83" s="64">
        <v>41.31</v>
      </c>
      <c r="L83" s="64">
        <v>27.39</v>
      </c>
      <c r="M83" s="64">
        <v>62.94</v>
      </c>
      <c r="N83" s="64">
        <v>22.3</v>
      </c>
      <c r="O83" s="64">
        <v>0</v>
      </c>
      <c r="P83" s="64">
        <v>0.72</v>
      </c>
      <c r="Q83" s="64">
        <v>6.38</v>
      </c>
      <c r="R83" s="198"/>
      <c r="S83" s="198"/>
      <c r="T83" s="198"/>
      <c r="U83" s="198"/>
    </row>
    <row r="84" spans="1:26" s="12" customFormat="1" x14ac:dyDescent="0.25">
      <c r="A84" s="215" t="s">
        <v>323</v>
      </c>
      <c r="B84" s="64">
        <v>5.69</v>
      </c>
      <c r="C84" s="64">
        <v>20.100000000000001</v>
      </c>
      <c r="D84" s="64">
        <v>16.3</v>
      </c>
      <c r="E84" s="64">
        <v>2.69</v>
      </c>
      <c r="F84" s="64">
        <v>4.6500000000000004</v>
      </c>
      <c r="G84" s="216" t="s">
        <v>43</v>
      </c>
      <c r="H84" s="216" t="s">
        <v>43</v>
      </c>
      <c r="I84" s="64">
        <v>0.52</v>
      </c>
      <c r="J84" s="64">
        <v>0.17</v>
      </c>
      <c r="K84" s="64">
        <v>41.27</v>
      </c>
      <c r="L84" s="64">
        <v>27.15</v>
      </c>
      <c r="M84" s="64">
        <v>63.32</v>
      </c>
      <c r="N84" s="64">
        <v>14.5</v>
      </c>
      <c r="O84" s="64">
        <v>0</v>
      </c>
      <c r="P84" s="64">
        <v>0.75</v>
      </c>
      <c r="Q84" s="64">
        <v>8.1</v>
      </c>
      <c r="R84" s="198"/>
      <c r="S84" s="198"/>
      <c r="T84" s="198"/>
      <c r="U84" s="198"/>
    </row>
    <row r="85" spans="1:26" s="12" customFormat="1" x14ac:dyDescent="0.25">
      <c r="A85" s="215" t="s">
        <v>324</v>
      </c>
      <c r="B85" s="64">
        <v>5.81</v>
      </c>
      <c r="C85" s="64">
        <v>21.14</v>
      </c>
      <c r="D85" s="64">
        <v>16.98</v>
      </c>
      <c r="E85" s="64">
        <v>2.63</v>
      </c>
      <c r="F85" s="64">
        <v>4.21</v>
      </c>
      <c r="G85" s="216" t="s">
        <v>43</v>
      </c>
      <c r="H85" s="216" t="s">
        <v>43</v>
      </c>
      <c r="I85" s="64">
        <v>0.51</v>
      </c>
      <c r="J85" s="64">
        <v>0.2</v>
      </c>
      <c r="K85" s="64">
        <v>25.14</v>
      </c>
      <c r="L85" s="64">
        <v>26.94</v>
      </c>
      <c r="M85" s="64">
        <v>65.02</v>
      </c>
      <c r="N85" s="64">
        <v>13.6</v>
      </c>
      <c r="O85" s="64">
        <v>0</v>
      </c>
      <c r="P85" s="64">
        <v>0.71</v>
      </c>
      <c r="Q85" s="64">
        <v>7.66</v>
      </c>
      <c r="R85" s="198"/>
      <c r="S85" s="198"/>
      <c r="T85" s="198"/>
      <c r="U85" s="198"/>
    </row>
    <row r="86" spans="1:26" s="12" customFormat="1" x14ac:dyDescent="0.25">
      <c r="A86" s="215" t="s">
        <v>325</v>
      </c>
      <c r="B86" s="64">
        <v>6.64</v>
      </c>
      <c r="C86" s="64">
        <v>21.38</v>
      </c>
      <c r="D86" s="64">
        <v>17.77</v>
      </c>
      <c r="E86" s="64">
        <v>2.13</v>
      </c>
      <c r="F86" s="64">
        <v>6.98</v>
      </c>
      <c r="G86" s="216" t="s">
        <v>43</v>
      </c>
      <c r="H86" s="216" t="s">
        <v>43</v>
      </c>
      <c r="I86" s="64">
        <v>0.54</v>
      </c>
      <c r="J86" s="64">
        <v>0.13</v>
      </c>
      <c r="K86" s="64">
        <v>36.75</v>
      </c>
      <c r="L86" s="64">
        <v>26.79</v>
      </c>
      <c r="M86" s="64">
        <v>66.33</v>
      </c>
      <c r="N86" s="64">
        <v>13.6</v>
      </c>
      <c r="O86" s="64">
        <v>0</v>
      </c>
      <c r="P86" s="64">
        <v>0.78</v>
      </c>
      <c r="Q86" s="64">
        <v>4.46</v>
      </c>
      <c r="R86" s="198"/>
      <c r="S86" s="198"/>
      <c r="T86" s="198"/>
      <c r="U86" s="198"/>
    </row>
    <row r="87" spans="1:26" s="12" customFormat="1" x14ac:dyDescent="0.25">
      <c r="A87" s="215" t="s">
        <v>326</v>
      </c>
      <c r="B87" s="64">
        <v>7.05</v>
      </c>
      <c r="C87" s="64">
        <v>19.05</v>
      </c>
      <c r="D87" s="64">
        <v>16.809999999999999</v>
      </c>
      <c r="E87" s="64">
        <v>2.46</v>
      </c>
      <c r="F87" s="64">
        <v>6.46</v>
      </c>
      <c r="G87" s="216" t="s">
        <v>43</v>
      </c>
      <c r="H87" s="216" t="s">
        <v>43</v>
      </c>
      <c r="I87" s="64">
        <v>0.5</v>
      </c>
      <c r="J87" s="64">
        <v>0.18</v>
      </c>
      <c r="K87" s="64">
        <v>42.26</v>
      </c>
      <c r="L87" s="64">
        <v>26.68</v>
      </c>
      <c r="M87" s="64">
        <v>67.02</v>
      </c>
      <c r="N87" s="64">
        <v>13.3</v>
      </c>
      <c r="O87" s="64">
        <v>0</v>
      </c>
      <c r="P87" s="64">
        <v>0.85</v>
      </c>
      <c r="Q87" s="64">
        <v>4.28</v>
      </c>
      <c r="R87" s="198"/>
      <c r="S87" s="198"/>
      <c r="T87" s="198"/>
      <c r="U87" s="198"/>
    </row>
    <row r="88" spans="1:26" s="12" customFormat="1" x14ac:dyDescent="0.25">
      <c r="A88" s="215" t="s">
        <v>327</v>
      </c>
      <c r="B88" s="64">
        <v>7.27</v>
      </c>
      <c r="C88" s="64">
        <v>18.71</v>
      </c>
      <c r="D88" s="64">
        <v>16.8</v>
      </c>
      <c r="E88" s="64">
        <v>1.97</v>
      </c>
      <c r="F88" s="64">
        <v>4.6500000000000004</v>
      </c>
      <c r="G88" s="216" t="s">
        <v>43</v>
      </c>
      <c r="H88" s="216" t="s">
        <v>43</v>
      </c>
      <c r="I88" s="64">
        <v>0.49</v>
      </c>
      <c r="J88" s="64">
        <v>0.13</v>
      </c>
      <c r="K88" s="64">
        <v>36.57</v>
      </c>
      <c r="L88" s="64">
        <v>26.61</v>
      </c>
      <c r="M88" s="64">
        <v>67.680000000000007</v>
      </c>
      <c r="N88" s="64">
        <v>13.3</v>
      </c>
      <c r="O88" s="64">
        <v>0</v>
      </c>
      <c r="P88" s="64">
        <v>0.87</v>
      </c>
      <c r="Q88" s="64">
        <v>7.6</v>
      </c>
      <c r="R88" s="198"/>
      <c r="S88" s="198"/>
      <c r="T88" s="198"/>
      <c r="U88" s="198"/>
    </row>
    <row r="89" spans="1:26" s="12" customFormat="1" x14ac:dyDescent="0.25">
      <c r="A89" s="215" t="s">
        <v>328</v>
      </c>
      <c r="B89" s="64">
        <v>11.58</v>
      </c>
      <c r="C89" s="64">
        <v>24.93</v>
      </c>
      <c r="D89" s="64">
        <v>23.69</v>
      </c>
      <c r="E89" s="64">
        <v>2.41</v>
      </c>
      <c r="F89" s="64">
        <v>5.51</v>
      </c>
      <c r="G89" s="216" t="s">
        <v>43</v>
      </c>
      <c r="H89" s="216" t="s">
        <v>43</v>
      </c>
      <c r="I89" s="64">
        <v>0.52</v>
      </c>
      <c r="J89" s="64">
        <v>0.09</v>
      </c>
      <c r="K89" s="64">
        <v>17.95</v>
      </c>
      <c r="L89" s="64">
        <v>26.48</v>
      </c>
      <c r="M89" s="64">
        <v>68.760000000000005</v>
      </c>
      <c r="N89" s="64">
        <v>13.3</v>
      </c>
      <c r="O89" s="64">
        <v>0</v>
      </c>
      <c r="P89" s="64">
        <v>0.92</v>
      </c>
      <c r="Q89" s="64">
        <v>7.89</v>
      </c>
      <c r="R89" s="198"/>
      <c r="S89" s="198"/>
      <c r="T89" s="198"/>
      <c r="U89" s="198"/>
    </row>
    <row r="90" spans="1:26" s="12" customFormat="1" x14ac:dyDescent="0.25">
      <c r="A90" s="215" t="s">
        <v>329</v>
      </c>
      <c r="B90" s="64">
        <v>13.31</v>
      </c>
      <c r="C90" s="64">
        <v>20.010000000000002</v>
      </c>
      <c r="D90" s="64">
        <v>22.36</v>
      </c>
      <c r="E90" s="64">
        <v>2.25</v>
      </c>
      <c r="F90" s="64">
        <v>8.11</v>
      </c>
      <c r="G90" s="216" t="s">
        <v>43</v>
      </c>
      <c r="H90" s="216" t="s">
        <v>43</v>
      </c>
      <c r="I90" s="64">
        <v>0.56999999999999995</v>
      </c>
      <c r="J90" s="64">
        <v>7.0000000000000007E-2</v>
      </c>
      <c r="K90" s="64">
        <v>36.049999999999997</v>
      </c>
      <c r="L90" s="64">
        <v>26.38</v>
      </c>
      <c r="M90" s="64">
        <v>69.540000000000006</v>
      </c>
      <c r="N90" s="64">
        <v>13.2</v>
      </c>
      <c r="O90" s="64">
        <v>0</v>
      </c>
      <c r="P90" s="64">
        <v>0.96</v>
      </c>
      <c r="Q90" s="64">
        <v>6.1</v>
      </c>
      <c r="R90" s="198"/>
      <c r="S90" s="198"/>
      <c r="T90" s="198"/>
      <c r="U90" s="198"/>
    </row>
    <row r="91" spans="1:26" s="12" customFormat="1" x14ac:dyDescent="0.25">
      <c r="A91" s="215" t="s">
        <v>330</v>
      </c>
      <c r="B91" s="64">
        <v>17.399999999999999</v>
      </c>
      <c r="C91" s="64">
        <v>25.78</v>
      </c>
      <c r="D91" s="64">
        <v>28.83</v>
      </c>
      <c r="E91" s="64">
        <v>2.2999999999999998</v>
      </c>
      <c r="F91" s="64">
        <v>11.06</v>
      </c>
      <c r="G91" s="216" t="s">
        <v>43</v>
      </c>
      <c r="H91" s="216" t="s">
        <v>43</v>
      </c>
      <c r="I91" s="64">
        <v>0.6</v>
      </c>
      <c r="J91" s="64">
        <v>0.14000000000000001</v>
      </c>
      <c r="K91" s="64">
        <v>38.61</v>
      </c>
      <c r="L91" s="64">
        <v>26.3</v>
      </c>
      <c r="M91" s="64">
        <v>70.03</v>
      </c>
      <c r="N91" s="64">
        <v>13.1</v>
      </c>
      <c r="O91" s="64">
        <v>0</v>
      </c>
      <c r="P91" s="64">
        <v>0.99</v>
      </c>
      <c r="Q91" s="64">
        <v>7.42</v>
      </c>
      <c r="R91" s="198"/>
      <c r="S91" s="198"/>
      <c r="T91" s="198"/>
      <c r="U91" s="198"/>
    </row>
    <row r="92" spans="1:26" s="12" customFormat="1" x14ac:dyDescent="0.25">
      <c r="A92" s="215" t="s">
        <v>331</v>
      </c>
      <c r="B92" s="64">
        <v>12.77</v>
      </c>
      <c r="C92" s="64">
        <v>25.08</v>
      </c>
      <c r="D92" s="64">
        <v>24.73</v>
      </c>
      <c r="E92" s="64">
        <v>2.33</v>
      </c>
      <c r="F92" s="64">
        <v>11.56</v>
      </c>
      <c r="G92" s="216" t="s">
        <v>43</v>
      </c>
      <c r="H92" s="216" t="s">
        <v>43</v>
      </c>
      <c r="I92" s="64">
        <v>0.56999999999999995</v>
      </c>
      <c r="J92" s="64">
        <v>0.05</v>
      </c>
      <c r="K92" s="64">
        <v>338.45</v>
      </c>
      <c r="L92" s="64">
        <v>26.07</v>
      </c>
      <c r="M92" s="64">
        <v>71.739999999999995</v>
      </c>
      <c r="N92" s="64">
        <v>13.2</v>
      </c>
      <c r="O92" s="64">
        <v>0</v>
      </c>
      <c r="P92" s="64">
        <v>0.99</v>
      </c>
      <c r="Q92" s="64">
        <v>8.31</v>
      </c>
      <c r="R92" s="198"/>
      <c r="S92" s="198"/>
      <c r="T92" s="198"/>
      <c r="U92" s="198"/>
    </row>
    <row r="93" spans="1:26" s="12" customFormat="1" x14ac:dyDescent="0.25">
      <c r="A93" s="215" t="s">
        <v>332</v>
      </c>
      <c r="B93" s="64">
        <v>10.51</v>
      </c>
      <c r="C93" s="64">
        <v>27.68</v>
      </c>
      <c r="D93" s="64">
        <v>24.35</v>
      </c>
      <c r="E93" s="64">
        <v>2.2200000000000002</v>
      </c>
      <c r="F93" s="64">
        <v>13.24</v>
      </c>
      <c r="G93" s="216" t="s">
        <v>43</v>
      </c>
      <c r="H93" s="216" t="s">
        <v>43</v>
      </c>
      <c r="I93" s="64">
        <v>0.56000000000000005</v>
      </c>
      <c r="J93" s="64">
        <v>7.0000000000000007E-2</v>
      </c>
      <c r="K93" s="64">
        <v>0.34</v>
      </c>
      <c r="L93" s="64">
        <v>25.89</v>
      </c>
      <c r="M93" s="64">
        <v>73.16</v>
      </c>
      <c r="N93" s="64">
        <v>13.2</v>
      </c>
      <c r="O93" s="64">
        <v>0</v>
      </c>
      <c r="P93" s="64">
        <v>0.97</v>
      </c>
      <c r="Q93" s="64">
        <v>9.31</v>
      </c>
      <c r="R93" s="198"/>
      <c r="S93" s="198"/>
      <c r="T93" s="198"/>
      <c r="U93" s="198"/>
    </row>
    <row r="94" spans="1:26" s="12" customFormat="1" x14ac:dyDescent="0.25">
      <c r="A94" s="215" t="s">
        <v>333</v>
      </c>
      <c r="B94" s="64">
        <v>9.67</v>
      </c>
      <c r="C94" s="64">
        <v>22.29</v>
      </c>
      <c r="D94" s="64">
        <v>20.7</v>
      </c>
      <c r="E94" s="64">
        <v>2.42</v>
      </c>
      <c r="F94" s="64">
        <v>11.67</v>
      </c>
      <c r="G94" s="216" t="s">
        <v>43</v>
      </c>
      <c r="H94" s="216" t="s">
        <v>43</v>
      </c>
      <c r="I94" s="64">
        <v>0.56000000000000005</v>
      </c>
      <c r="J94" s="64">
        <v>0.08</v>
      </c>
      <c r="K94" s="64">
        <v>19.22</v>
      </c>
      <c r="L94" s="64">
        <v>25.72</v>
      </c>
      <c r="M94" s="64">
        <v>74.540000000000006</v>
      </c>
      <c r="N94" s="64">
        <v>13.2</v>
      </c>
      <c r="O94" s="64">
        <v>0</v>
      </c>
      <c r="P94" s="64">
        <v>0.99</v>
      </c>
      <c r="Q94" s="64">
        <v>10.43</v>
      </c>
      <c r="R94" s="198"/>
      <c r="S94" s="198"/>
      <c r="T94" s="198"/>
      <c r="U94" s="198"/>
    </row>
    <row r="95" spans="1:26" s="12" customFormat="1" x14ac:dyDescent="0.25">
      <c r="A95" s="215" t="s">
        <v>334</v>
      </c>
      <c r="B95" s="64">
        <v>10.07</v>
      </c>
      <c r="C95" s="64">
        <v>18.97</v>
      </c>
      <c r="D95" s="64">
        <v>19.190000000000001</v>
      </c>
      <c r="E95" s="64">
        <v>2.58</v>
      </c>
      <c r="F95" s="64">
        <v>7.75</v>
      </c>
      <c r="G95" s="216" t="s">
        <v>43</v>
      </c>
      <c r="H95" s="216" t="s">
        <v>43</v>
      </c>
      <c r="I95" s="64">
        <v>0.57999999999999996</v>
      </c>
      <c r="J95" s="64">
        <v>0.05</v>
      </c>
      <c r="K95" s="64">
        <v>9.25</v>
      </c>
      <c r="L95" s="64">
        <v>25.63</v>
      </c>
      <c r="M95" s="64">
        <v>74.900000000000006</v>
      </c>
      <c r="N95" s="64">
        <v>13.2</v>
      </c>
      <c r="O95" s="64">
        <v>0</v>
      </c>
      <c r="P95" s="64">
        <v>0.98</v>
      </c>
      <c r="Q95" s="64">
        <v>11.46</v>
      </c>
      <c r="R95" s="198"/>
      <c r="S95" s="198"/>
      <c r="T95" s="198"/>
      <c r="U95" s="198"/>
    </row>
    <row r="96" spans="1:26" s="12" customFormat="1" x14ac:dyDescent="0.25">
      <c r="A96" s="215" t="s">
        <v>335</v>
      </c>
      <c r="B96" s="64">
        <v>10.93</v>
      </c>
      <c r="C96" s="64">
        <v>16.760000000000002</v>
      </c>
      <c r="D96" s="64">
        <v>18.66</v>
      </c>
      <c r="E96" s="64">
        <v>2.1</v>
      </c>
      <c r="F96" s="64">
        <v>5.69</v>
      </c>
      <c r="G96" s="216" t="s">
        <v>43</v>
      </c>
      <c r="H96" s="216" t="s">
        <v>43</v>
      </c>
      <c r="I96" s="64">
        <v>0.54</v>
      </c>
      <c r="J96" s="64">
        <v>0.06</v>
      </c>
      <c r="K96" s="64">
        <v>351.37</v>
      </c>
      <c r="L96" s="64">
        <v>25.64</v>
      </c>
      <c r="M96" s="64">
        <v>74.59</v>
      </c>
      <c r="N96" s="64">
        <v>13</v>
      </c>
      <c r="O96" s="64">
        <v>0</v>
      </c>
      <c r="P96" s="64">
        <v>1</v>
      </c>
      <c r="Q96" s="64">
        <v>13.67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336</v>
      </c>
      <c r="B97" s="64">
        <v>9.86</v>
      </c>
      <c r="C97" s="64">
        <v>18.329999999999998</v>
      </c>
      <c r="D97" s="64">
        <v>18.670000000000002</v>
      </c>
      <c r="E97" s="64">
        <v>2.88</v>
      </c>
      <c r="F97" s="64">
        <v>7.49</v>
      </c>
      <c r="G97" s="216" t="s">
        <v>43</v>
      </c>
      <c r="H97" s="216" t="s">
        <v>43</v>
      </c>
      <c r="I97" s="64">
        <v>0.59</v>
      </c>
      <c r="J97" s="64">
        <v>0.05</v>
      </c>
      <c r="K97" s="64">
        <v>217.06</v>
      </c>
      <c r="L97" s="64">
        <v>25.52</v>
      </c>
      <c r="M97" s="64">
        <v>76</v>
      </c>
      <c r="N97" s="64">
        <v>13.2</v>
      </c>
      <c r="O97" s="64">
        <v>0</v>
      </c>
      <c r="P97" s="64">
        <v>0.95</v>
      </c>
      <c r="Q97" s="64">
        <v>13.93</v>
      </c>
      <c r="R97" s="198"/>
      <c r="S97" s="198"/>
      <c r="T97" s="198"/>
      <c r="U97" s="198"/>
    </row>
    <row r="98" spans="1:33" s="12" customFormat="1" x14ac:dyDescent="0.25">
      <c r="A98" s="215" t="s">
        <v>337</v>
      </c>
      <c r="B98" s="64">
        <v>9.3000000000000007</v>
      </c>
      <c r="C98" s="64">
        <v>17.21</v>
      </c>
      <c r="D98" s="64">
        <v>17.600000000000001</v>
      </c>
      <c r="E98" s="64">
        <v>2.31</v>
      </c>
      <c r="F98" s="64">
        <v>9.35</v>
      </c>
      <c r="G98" s="216" t="s">
        <v>43</v>
      </c>
      <c r="H98" s="216" t="s">
        <v>43</v>
      </c>
      <c r="I98" s="64">
        <v>0.61</v>
      </c>
      <c r="J98" s="64">
        <v>0.11</v>
      </c>
      <c r="K98" s="64">
        <v>175.29</v>
      </c>
      <c r="L98" s="64">
        <v>25.49</v>
      </c>
      <c r="M98" s="64">
        <v>76.44</v>
      </c>
      <c r="N98" s="64">
        <v>13.3</v>
      </c>
      <c r="O98" s="64">
        <v>0</v>
      </c>
      <c r="P98" s="64">
        <v>0.94</v>
      </c>
      <c r="Q98" s="64">
        <v>10.51</v>
      </c>
      <c r="R98" s="198"/>
      <c r="S98" s="198"/>
      <c r="T98" s="198"/>
      <c r="U98" s="198"/>
    </row>
    <row r="99" spans="1:33" s="12" customFormat="1" x14ac:dyDescent="0.25">
      <c r="A99" s="215" t="s">
        <v>338</v>
      </c>
      <c r="B99" s="64">
        <v>9.9499999999999993</v>
      </c>
      <c r="C99" s="64">
        <v>15.7</v>
      </c>
      <c r="D99" s="64">
        <v>17.29</v>
      </c>
      <c r="E99" s="64">
        <v>2.65</v>
      </c>
      <c r="F99" s="64">
        <v>6.71</v>
      </c>
      <c r="G99" s="216" t="s">
        <v>43</v>
      </c>
      <c r="H99" s="216" t="s">
        <v>43</v>
      </c>
      <c r="I99" s="64">
        <v>0.56999999999999995</v>
      </c>
      <c r="J99" s="64">
        <v>0.16</v>
      </c>
      <c r="K99" s="64">
        <v>219.95</v>
      </c>
      <c r="L99" s="64">
        <v>25.43</v>
      </c>
      <c r="M99" s="64">
        <v>76.59</v>
      </c>
      <c r="N99" s="64">
        <v>13.5</v>
      </c>
      <c r="O99" s="64">
        <v>0</v>
      </c>
      <c r="P99" s="64">
        <v>0.93</v>
      </c>
      <c r="Q99" s="64">
        <v>10.97</v>
      </c>
      <c r="R99" s="198"/>
      <c r="S99" s="198"/>
      <c r="T99" s="198"/>
      <c r="U99" s="198"/>
    </row>
    <row r="100" spans="1:33" s="12" customFormat="1" x14ac:dyDescent="0.25">
      <c r="A100" s="215" t="s">
        <v>339</v>
      </c>
      <c r="B100" s="64">
        <v>9.9499999999999993</v>
      </c>
      <c r="C100" s="64">
        <v>16.559999999999999</v>
      </c>
      <c r="D100" s="64">
        <v>17.77</v>
      </c>
      <c r="E100" s="64">
        <v>2.52</v>
      </c>
      <c r="F100" s="64">
        <v>6.78</v>
      </c>
      <c r="G100" s="216" t="s">
        <v>43</v>
      </c>
      <c r="H100" s="216" t="s">
        <v>43</v>
      </c>
      <c r="I100" s="64">
        <v>0.57999999999999996</v>
      </c>
      <c r="J100" s="64">
        <v>0.24</v>
      </c>
      <c r="K100" s="64">
        <v>165.04</v>
      </c>
      <c r="L100" s="64">
        <v>25.35</v>
      </c>
      <c r="M100" s="64">
        <v>76.8</v>
      </c>
      <c r="N100" s="64">
        <v>13.3</v>
      </c>
      <c r="O100" s="64">
        <v>0</v>
      </c>
      <c r="P100" s="64">
        <v>0.9</v>
      </c>
      <c r="Q100" s="64">
        <v>14.04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340</v>
      </c>
      <c r="B101" s="64">
        <v>9.14</v>
      </c>
      <c r="C101" s="64">
        <v>17.510000000000002</v>
      </c>
      <c r="D101" s="64">
        <v>17.64</v>
      </c>
      <c r="E101" s="64">
        <v>2.72</v>
      </c>
      <c r="F101" s="64">
        <v>10.94</v>
      </c>
      <c r="G101" s="216" t="s">
        <v>43</v>
      </c>
      <c r="H101" s="216" t="s">
        <v>43</v>
      </c>
      <c r="I101" s="64">
        <v>0.6</v>
      </c>
      <c r="J101" s="64">
        <v>0.04</v>
      </c>
      <c r="K101" s="64">
        <v>229.31</v>
      </c>
      <c r="L101" s="64">
        <v>25.06</v>
      </c>
      <c r="M101" s="64">
        <v>78.599999999999994</v>
      </c>
      <c r="N101" s="64">
        <v>13.5</v>
      </c>
      <c r="O101" s="64">
        <v>0</v>
      </c>
      <c r="P101" s="64">
        <v>0.87</v>
      </c>
      <c r="Q101" s="64">
        <v>12.36</v>
      </c>
      <c r="R101" s="198"/>
      <c r="S101" s="198"/>
      <c r="T101" s="198"/>
      <c r="U101" s="198"/>
    </row>
    <row r="102" spans="1:33" s="12" customFormat="1" x14ac:dyDescent="0.25">
      <c r="A102" s="215" t="s">
        <v>341</v>
      </c>
      <c r="B102" s="64">
        <v>8.85</v>
      </c>
      <c r="C102" s="64">
        <v>15.03</v>
      </c>
      <c r="D102" s="64">
        <v>16.04</v>
      </c>
      <c r="E102" s="64">
        <v>1.91</v>
      </c>
      <c r="F102" s="64">
        <v>14.35</v>
      </c>
      <c r="G102" s="216" t="s">
        <v>43</v>
      </c>
      <c r="H102" s="216" t="s">
        <v>43</v>
      </c>
      <c r="I102" s="64">
        <v>0.55000000000000004</v>
      </c>
      <c r="J102" s="64">
        <v>0.15</v>
      </c>
      <c r="K102" s="64">
        <v>222.52</v>
      </c>
      <c r="L102" s="64">
        <v>24.95</v>
      </c>
      <c r="M102" s="64">
        <v>79.23</v>
      </c>
      <c r="N102" s="64">
        <v>13.2</v>
      </c>
      <c r="O102" s="64">
        <v>0</v>
      </c>
      <c r="P102" s="64">
        <v>0.87</v>
      </c>
      <c r="Q102" s="64">
        <v>10.24</v>
      </c>
      <c r="R102" s="198"/>
      <c r="S102" s="198"/>
      <c r="T102" s="198"/>
      <c r="U102" s="198"/>
    </row>
    <row r="103" spans="1:33" s="12" customFormat="1" x14ac:dyDescent="0.25">
      <c r="A103" s="215" t="s">
        <v>342</v>
      </c>
      <c r="B103" s="64">
        <v>7.53</v>
      </c>
      <c r="C103" s="64">
        <v>16.809999999999999</v>
      </c>
      <c r="D103" s="64">
        <v>15.96</v>
      </c>
      <c r="E103" s="64">
        <v>2.2799999999999998</v>
      </c>
      <c r="F103" s="64">
        <v>17.32</v>
      </c>
      <c r="G103" s="216" t="s">
        <v>43</v>
      </c>
      <c r="H103" s="216" t="s">
        <v>43</v>
      </c>
      <c r="I103" s="64">
        <v>0.55000000000000004</v>
      </c>
      <c r="J103" s="64">
        <v>0.02</v>
      </c>
      <c r="K103" s="64">
        <v>143.97</v>
      </c>
      <c r="L103" s="64">
        <v>24.88</v>
      </c>
      <c r="M103" s="64">
        <v>79.58</v>
      </c>
      <c r="N103" s="64">
        <v>13.1</v>
      </c>
      <c r="O103" s="64">
        <v>0</v>
      </c>
      <c r="P103" s="64">
        <v>0.85</v>
      </c>
      <c r="Q103" s="64">
        <v>12.19</v>
      </c>
      <c r="R103" s="198"/>
      <c r="S103" s="198"/>
      <c r="T103" s="198"/>
      <c r="U103" s="198"/>
    </row>
    <row r="104" spans="1:33" s="12" customFormat="1" x14ac:dyDescent="0.25">
      <c r="A104" s="215" t="s">
        <v>343</v>
      </c>
      <c r="B104" s="64">
        <v>7.78</v>
      </c>
      <c r="C104" s="64">
        <v>15.57</v>
      </c>
      <c r="D104" s="64">
        <v>15.48</v>
      </c>
      <c r="E104" s="64">
        <v>1.56</v>
      </c>
      <c r="F104" s="64">
        <v>16.79</v>
      </c>
      <c r="G104" s="216" t="s">
        <v>43</v>
      </c>
      <c r="H104" s="216" t="s">
        <v>43</v>
      </c>
      <c r="I104" s="64">
        <v>0.51</v>
      </c>
      <c r="J104" s="64">
        <v>0.04</v>
      </c>
      <c r="K104" s="64">
        <v>236.81</v>
      </c>
      <c r="L104" s="64">
        <v>24.84</v>
      </c>
      <c r="M104" s="64">
        <v>79.61</v>
      </c>
      <c r="N104" s="64">
        <v>13.2</v>
      </c>
      <c r="O104" s="64">
        <v>0</v>
      </c>
      <c r="P104" s="64">
        <v>0.84</v>
      </c>
      <c r="Q104" s="64">
        <v>13.41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4.78</v>
      </c>
      <c r="C106" s="67">
        <f>MIN(C9:C104)</f>
        <v>10.94</v>
      </c>
      <c r="D106" s="67">
        <f t="shared" ref="D106:Q106" si="0">MIN(D9:D104)</f>
        <v>12.33</v>
      </c>
      <c r="E106" s="67">
        <f t="shared" si="0"/>
        <v>0.08</v>
      </c>
      <c r="F106" s="67">
        <f t="shared" si="0"/>
        <v>0.95</v>
      </c>
      <c r="G106" s="67">
        <f t="shared" si="0"/>
        <v>0</v>
      </c>
      <c r="H106" s="67">
        <f t="shared" si="0"/>
        <v>0</v>
      </c>
      <c r="I106" s="67">
        <f t="shared" si="0"/>
        <v>0.49</v>
      </c>
      <c r="J106" s="67">
        <f t="shared" si="0"/>
        <v>0.01</v>
      </c>
      <c r="K106" s="67">
        <f t="shared" si="0"/>
        <v>0.34</v>
      </c>
      <c r="L106" s="67">
        <f t="shared" si="0"/>
        <v>23.13</v>
      </c>
      <c r="M106" s="67">
        <f t="shared" si="0"/>
        <v>51.99</v>
      </c>
      <c r="N106" s="67">
        <f t="shared" si="0"/>
        <v>13</v>
      </c>
      <c r="O106" s="67">
        <f t="shared" si="0"/>
        <v>0</v>
      </c>
      <c r="P106" s="67">
        <f t="shared" si="0"/>
        <v>0.54</v>
      </c>
      <c r="Q106" s="67">
        <f t="shared" si="0"/>
        <v>1.71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17.399999999999999</v>
      </c>
      <c r="C107" s="66">
        <f t="shared" ref="C107:Q107" si="1">MAX(C9:C104)</f>
        <v>27.68</v>
      </c>
      <c r="D107" s="66">
        <f t="shared" si="1"/>
        <v>28.83</v>
      </c>
      <c r="E107" s="66">
        <f t="shared" si="1"/>
        <v>2.88</v>
      </c>
      <c r="F107" s="66">
        <f t="shared" si="1"/>
        <v>17.32</v>
      </c>
      <c r="G107" s="66">
        <f t="shared" si="1"/>
        <v>0</v>
      </c>
      <c r="H107" s="66">
        <f t="shared" si="1"/>
        <v>0</v>
      </c>
      <c r="I107" s="66">
        <f t="shared" si="1"/>
        <v>0.65</v>
      </c>
      <c r="J107" s="66">
        <f t="shared" si="1"/>
        <v>0.48</v>
      </c>
      <c r="K107" s="66">
        <f t="shared" si="1"/>
        <v>357.04</v>
      </c>
      <c r="L107" s="66">
        <f t="shared" si="1"/>
        <v>30.51</v>
      </c>
      <c r="M107" s="66">
        <f t="shared" si="1"/>
        <v>88.63</v>
      </c>
      <c r="N107" s="66">
        <f t="shared" si="1"/>
        <v>996.8</v>
      </c>
      <c r="O107" s="66">
        <f t="shared" si="1"/>
        <v>0</v>
      </c>
      <c r="P107" s="66">
        <f t="shared" si="1"/>
        <v>1</v>
      </c>
      <c r="Q107" s="66">
        <f t="shared" si="1"/>
        <v>22.54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7.8904166666666624</v>
      </c>
      <c r="C108" s="67">
        <f t="shared" ref="C108:Q108" si="2">AVERAGE(C9:C104)</f>
        <v>16.730729166666666</v>
      </c>
      <c r="D108" s="67">
        <f t="shared" si="2"/>
        <v>16.207187499999996</v>
      </c>
      <c r="E108" s="67">
        <f t="shared" si="2"/>
        <v>2.0713541666666666</v>
      </c>
      <c r="F108" s="67">
        <f t="shared" si="2"/>
        <v>8.1979166666666661</v>
      </c>
      <c r="G108" s="67" t="e">
        <f t="shared" si="2"/>
        <v>#DIV/0!</v>
      </c>
      <c r="H108" s="67" t="e">
        <f t="shared" si="2"/>
        <v>#DIV/0!</v>
      </c>
      <c r="I108" s="67">
        <f t="shared" si="2"/>
        <v>0.54520833333333341</v>
      </c>
      <c r="J108" s="67">
        <f t="shared" si="2"/>
        <v>0.18115789473684205</v>
      </c>
      <c r="K108" s="67">
        <f t="shared" si="2"/>
        <v>118.40000000000003</v>
      </c>
      <c r="L108" s="67">
        <f t="shared" si="2"/>
        <v>26.994062499999995</v>
      </c>
      <c r="M108" s="67">
        <f t="shared" si="2"/>
        <v>68.787604166666654</v>
      </c>
      <c r="N108" s="67">
        <f t="shared" si="2"/>
        <v>255.47604166666665</v>
      </c>
      <c r="O108" s="67">
        <f t="shared" si="2"/>
        <v>0</v>
      </c>
      <c r="P108" s="67">
        <f t="shared" si="2"/>
        <v>0.70406250000000037</v>
      </c>
      <c r="Q108" s="67">
        <f t="shared" si="2"/>
        <v>11.409374999999999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2.4897367929654113</v>
      </c>
      <c r="C109" s="67">
        <f t="shared" ref="C109:Q109" si="3">STDEV(C9:C104)</f>
        <v>3.5310282518482969</v>
      </c>
      <c r="D109" s="67">
        <f t="shared" si="3"/>
        <v>2.7801290023552871</v>
      </c>
      <c r="E109" s="67">
        <f t="shared" si="3"/>
        <v>0.4697336754770659</v>
      </c>
      <c r="F109" s="67">
        <f t="shared" si="3"/>
        <v>3.061645899517961</v>
      </c>
      <c r="G109" s="67" t="e">
        <f t="shared" si="3"/>
        <v>#DIV/0!</v>
      </c>
      <c r="H109" s="67" t="e">
        <f t="shared" si="3"/>
        <v>#DIV/0!</v>
      </c>
      <c r="I109" s="67">
        <f t="shared" si="3"/>
        <v>3.5213010952641857E-2</v>
      </c>
      <c r="J109" s="67">
        <f t="shared" si="3"/>
        <v>0.10799786402433434</v>
      </c>
      <c r="K109" s="67">
        <f t="shared" si="3"/>
        <v>109.31095839513597</v>
      </c>
      <c r="L109" s="67">
        <f t="shared" si="3"/>
        <v>2.2525412914610117</v>
      </c>
      <c r="M109" s="67">
        <f t="shared" si="3"/>
        <v>11.308169635946902</v>
      </c>
      <c r="N109" s="67">
        <f t="shared" si="3"/>
        <v>297.67887068372028</v>
      </c>
      <c r="O109" s="67">
        <f t="shared" si="3"/>
        <v>0</v>
      </c>
      <c r="P109" s="67">
        <f t="shared" si="3"/>
        <v>0.12678683415792352</v>
      </c>
      <c r="Q109" s="67">
        <f t="shared" si="3"/>
        <v>6.3636872483440694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0</v>
      </c>
      <c r="H110" s="66">
        <f t="shared" si="4"/>
        <v>0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344</v>
      </c>
      <c r="B9" s="64">
        <v>7.6</v>
      </c>
      <c r="C9" s="64">
        <v>15.47</v>
      </c>
      <c r="D9" s="64">
        <v>15.28</v>
      </c>
      <c r="E9" s="64">
        <v>1.93</v>
      </c>
      <c r="F9" s="64">
        <v>17.34</v>
      </c>
      <c r="G9" s="216" t="s">
        <v>43</v>
      </c>
      <c r="H9" s="216" t="s">
        <v>43</v>
      </c>
      <c r="I9" s="64">
        <v>0.55000000000000004</v>
      </c>
      <c r="J9" s="64">
        <v>0.04</v>
      </c>
      <c r="K9" s="64">
        <v>215.15</v>
      </c>
      <c r="L9" s="64">
        <v>24.72</v>
      </c>
      <c r="M9" s="64">
        <v>81.099999999999994</v>
      </c>
      <c r="N9" s="64">
        <v>13.1</v>
      </c>
      <c r="O9" s="64">
        <v>0</v>
      </c>
      <c r="P9" s="64">
        <v>0.83</v>
      </c>
      <c r="Q9" s="64">
        <v>14.87</v>
      </c>
      <c r="R9" s="198"/>
      <c r="S9" s="198"/>
      <c r="T9" s="198"/>
      <c r="U9" s="198"/>
    </row>
    <row r="10" spans="1:21" s="12" customFormat="1" x14ac:dyDescent="0.25">
      <c r="A10" s="215" t="s">
        <v>345</v>
      </c>
      <c r="B10" s="64">
        <v>7.73</v>
      </c>
      <c r="C10" s="64">
        <v>14.38</v>
      </c>
      <c r="D10" s="64">
        <v>14.78</v>
      </c>
      <c r="E10" s="64">
        <v>1.69</v>
      </c>
      <c r="F10" s="64">
        <v>16.04</v>
      </c>
      <c r="G10" s="216" t="s">
        <v>43</v>
      </c>
      <c r="H10" s="216" t="s">
        <v>43</v>
      </c>
      <c r="I10" s="64">
        <v>0.54</v>
      </c>
      <c r="J10" s="64">
        <v>0.1</v>
      </c>
      <c r="K10" s="64">
        <v>207.05</v>
      </c>
      <c r="L10" s="64">
        <v>24.51</v>
      </c>
      <c r="M10" s="64">
        <v>82.44</v>
      </c>
      <c r="N10" s="64">
        <v>13.1</v>
      </c>
      <c r="O10" s="64">
        <v>0</v>
      </c>
      <c r="P10" s="64">
        <v>0.82</v>
      </c>
      <c r="Q10" s="64">
        <v>16.100000000000001</v>
      </c>
      <c r="R10" s="198"/>
      <c r="S10" s="198"/>
      <c r="T10" s="198"/>
      <c r="U10" s="198"/>
    </row>
    <row r="11" spans="1:21" s="12" customFormat="1" x14ac:dyDescent="0.25">
      <c r="A11" s="215" t="s">
        <v>346</v>
      </c>
      <c r="B11" s="64">
        <v>10.6</v>
      </c>
      <c r="C11" s="64">
        <v>13.01</v>
      </c>
      <c r="D11" s="64">
        <v>16.329999999999998</v>
      </c>
      <c r="E11" s="64">
        <v>1.81</v>
      </c>
      <c r="F11" s="64">
        <v>7.61</v>
      </c>
      <c r="G11" s="216" t="s">
        <v>43</v>
      </c>
      <c r="H11" s="216" t="s">
        <v>43</v>
      </c>
      <c r="I11" s="64">
        <v>0.51</v>
      </c>
      <c r="J11" s="64">
        <v>0.05</v>
      </c>
      <c r="K11" s="64">
        <v>338.85</v>
      </c>
      <c r="L11" s="64">
        <v>24.47</v>
      </c>
      <c r="M11" s="64">
        <v>82.3</v>
      </c>
      <c r="N11" s="64">
        <v>13.2</v>
      </c>
      <c r="O11" s="64">
        <v>0</v>
      </c>
      <c r="P11" s="64">
        <v>0.81</v>
      </c>
      <c r="Q11" s="64">
        <v>18.190000000000001</v>
      </c>
      <c r="R11" s="198"/>
      <c r="S11" s="198"/>
      <c r="T11" s="198"/>
      <c r="U11" s="198"/>
    </row>
    <row r="12" spans="1:21" s="12" customFormat="1" x14ac:dyDescent="0.25">
      <c r="A12" s="215" t="s">
        <v>347</v>
      </c>
      <c r="B12" s="64">
        <v>11.13</v>
      </c>
      <c r="C12" s="64">
        <v>14.46</v>
      </c>
      <c r="D12" s="64">
        <v>17.55</v>
      </c>
      <c r="E12" s="64">
        <v>2.4300000000000002</v>
      </c>
      <c r="F12" s="64">
        <v>7.64</v>
      </c>
      <c r="G12" s="216" t="s">
        <v>43</v>
      </c>
      <c r="H12" s="216" t="s">
        <v>43</v>
      </c>
      <c r="I12" s="64">
        <v>0.56999999999999995</v>
      </c>
      <c r="J12" s="64">
        <v>0.04</v>
      </c>
      <c r="K12" s="64">
        <v>217.87</v>
      </c>
      <c r="L12" s="64">
        <v>24.47</v>
      </c>
      <c r="M12" s="64">
        <v>81.760000000000005</v>
      </c>
      <c r="N12" s="64">
        <v>13.1</v>
      </c>
      <c r="O12" s="64">
        <v>0</v>
      </c>
      <c r="P12" s="64">
        <v>0.79</v>
      </c>
      <c r="Q12" s="64">
        <v>19.440000000000001</v>
      </c>
      <c r="R12" s="198"/>
      <c r="S12" s="198"/>
      <c r="T12" s="198"/>
      <c r="U12" s="198"/>
    </row>
    <row r="13" spans="1:21" s="12" customFormat="1" x14ac:dyDescent="0.25">
      <c r="A13" s="215" t="s">
        <v>348</v>
      </c>
      <c r="B13" s="64">
        <v>10.35</v>
      </c>
      <c r="C13" s="64">
        <v>13.39</v>
      </c>
      <c r="D13" s="64">
        <v>16.34</v>
      </c>
      <c r="E13" s="64">
        <v>1.87</v>
      </c>
      <c r="F13" s="64">
        <v>9.99</v>
      </c>
      <c r="G13" s="216" t="s">
        <v>43</v>
      </c>
      <c r="H13" s="216" t="s">
        <v>43</v>
      </c>
      <c r="I13" s="64">
        <v>0.62</v>
      </c>
      <c r="J13" s="64">
        <v>0.13</v>
      </c>
      <c r="K13" s="64">
        <v>211.94</v>
      </c>
      <c r="L13" s="64">
        <v>24.46</v>
      </c>
      <c r="M13" s="64">
        <v>81.86</v>
      </c>
      <c r="N13" s="64">
        <v>13</v>
      </c>
      <c r="O13" s="64">
        <v>0</v>
      </c>
      <c r="P13" s="64">
        <v>0.74</v>
      </c>
      <c r="Q13" s="64">
        <v>16.68</v>
      </c>
      <c r="R13" s="198"/>
      <c r="S13" s="198"/>
      <c r="T13" s="198"/>
      <c r="U13" s="198"/>
    </row>
    <row r="14" spans="1:21" s="12" customFormat="1" x14ac:dyDescent="0.25">
      <c r="A14" s="215" t="s">
        <v>349</v>
      </c>
      <c r="B14" s="64">
        <v>11.41</v>
      </c>
      <c r="C14" s="64">
        <v>12.48</v>
      </c>
      <c r="D14" s="64">
        <v>16.68</v>
      </c>
      <c r="E14" s="64">
        <v>2</v>
      </c>
      <c r="F14" s="64">
        <v>6.78</v>
      </c>
      <c r="G14" s="216" t="s">
        <v>43</v>
      </c>
      <c r="H14" s="216" t="s">
        <v>43</v>
      </c>
      <c r="I14" s="64">
        <v>0.61</v>
      </c>
      <c r="J14" s="64">
        <v>0.05</v>
      </c>
      <c r="K14" s="64">
        <v>213.1</v>
      </c>
      <c r="L14" s="64">
        <v>24.43</v>
      </c>
      <c r="M14" s="64">
        <v>81.33</v>
      </c>
      <c r="N14" s="64">
        <v>13</v>
      </c>
      <c r="O14" s="64">
        <v>0</v>
      </c>
      <c r="P14" s="64">
        <v>0.78</v>
      </c>
      <c r="Q14" s="64">
        <v>16.03</v>
      </c>
      <c r="R14" s="198"/>
      <c r="S14" s="198"/>
      <c r="T14" s="198"/>
      <c r="U14" s="198"/>
    </row>
    <row r="15" spans="1:21" s="12" customFormat="1" x14ac:dyDescent="0.25">
      <c r="A15" s="215" t="s">
        <v>350</v>
      </c>
      <c r="B15" s="64">
        <v>11.22</v>
      </c>
      <c r="C15" s="64">
        <v>14.22</v>
      </c>
      <c r="D15" s="64">
        <v>17.489999999999998</v>
      </c>
      <c r="E15" s="64">
        <v>1.9</v>
      </c>
      <c r="F15" s="64">
        <v>4.97</v>
      </c>
      <c r="G15" s="216" t="s">
        <v>43</v>
      </c>
      <c r="H15" s="216" t="s">
        <v>43</v>
      </c>
      <c r="I15" s="64">
        <v>0.6</v>
      </c>
      <c r="J15" s="64">
        <v>0.03</v>
      </c>
      <c r="K15" s="64">
        <v>263.86</v>
      </c>
      <c r="L15" s="64">
        <v>24.49</v>
      </c>
      <c r="M15" s="64">
        <v>80.3</v>
      </c>
      <c r="N15" s="64">
        <v>13.1</v>
      </c>
      <c r="O15" s="64">
        <v>0</v>
      </c>
      <c r="P15" s="64">
        <v>0.75</v>
      </c>
      <c r="Q15" s="64">
        <v>18.41</v>
      </c>
      <c r="R15" s="198"/>
      <c r="S15" s="198"/>
      <c r="T15" s="198"/>
      <c r="U15" s="198"/>
    </row>
    <row r="16" spans="1:21" s="12" customFormat="1" x14ac:dyDescent="0.25">
      <c r="A16" s="215" t="s">
        <v>351</v>
      </c>
      <c r="B16" s="64">
        <v>10.18</v>
      </c>
      <c r="C16" s="64">
        <v>13.9</v>
      </c>
      <c r="D16" s="64">
        <v>16.48</v>
      </c>
      <c r="E16" s="64">
        <v>1.72</v>
      </c>
      <c r="F16" s="64">
        <v>7.12</v>
      </c>
      <c r="G16" s="216" t="s">
        <v>43</v>
      </c>
      <c r="H16" s="216" t="s">
        <v>43</v>
      </c>
      <c r="I16" s="64">
        <v>0.62</v>
      </c>
      <c r="J16" s="64">
        <v>0.02</v>
      </c>
      <c r="K16" s="64">
        <v>352.85</v>
      </c>
      <c r="L16" s="64">
        <v>24.42</v>
      </c>
      <c r="M16" s="64">
        <v>80.28</v>
      </c>
      <c r="N16" s="64">
        <v>13.2</v>
      </c>
      <c r="O16" s="64">
        <v>0</v>
      </c>
      <c r="P16" s="64">
        <v>0.73</v>
      </c>
      <c r="Q16" s="64">
        <v>15.6</v>
      </c>
      <c r="R16" s="198"/>
      <c r="S16" s="198"/>
      <c r="T16" s="198"/>
      <c r="U16" s="198"/>
    </row>
    <row r="17" spans="1:21" s="12" customFormat="1" x14ac:dyDescent="0.25">
      <c r="A17" s="215" t="s">
        <v>352</v>
      </c>
      <c r="B17" s="64">
        <v>9.91</v>
      </c>
      <c r="C17" s="64">
        <v>13</v>
      </c>
      <c r="D17" s="64">
        <v>15.77</v>
      </c>
      <c r="E17" s="64">
        <v>1.76</v>
      </c>
      <c r="F17" s="64">
        <v>5.63</v>
      </c>
      <c r="G17" s="216" t="s">
        <v>43</v>
      </c>
      <c r="H17" s="216" t="s">
        <v>43</v>
      </c>
      <c r="I17" s="64">
        <v>0.61</v>
      </c>
      <c r="J17" s="64">
        <v>0.05</v>
      </c>
      <c r="K17" s="64">
        <v>9.8699999999999992</v>
      </c>
      <c r="L17" s="64">
        <v>24.42</v>
      </c>
      <c r="M17" s="64">
        <v>79.8</v>
      </c>
      <c r="N17" s="64">
        <v>13.1</v>
      </c>
      <c r="O17" s="64">
        <v>0</v>
      </c>
      <c r="P17" s="64">
        <v>0.72</v>
      </c>
      <c r="Q17" s="64">
        <v>13.68</v>
      </c>
      <c r="R17" s="198"/>
      <c r="S17" s="198"/>
      <c r="T17" s="198"/>
      <c r="U17" s="198"/>
    </row>
    <row r="18" spans="1:21" s="12" customFormat="1" x14ac:dyDescent="0.25">
      <c r="A18" s="215" t="s">
        <v>353</v>
      </c>
      <c r="B18" s="64">
        <v>8.06</v>
      </c>
      <c r="C18" s="64">
        <v>13.84</v>
      </c>
      <c r="D18" s="64">
        <v>14.75</v>
      </c>
      <c r="E18" s="64">
        <v>2.1</v>
      </c>
      <c r="F18" s="64">
        <v>15.99</v>
      </c>
      <c r="G18" s="216" t="s">
        <v>43</v>
      </c>
      <c r="H18" s="216" t="s">
        <v>43</v>
      </c>
      <c r="I18" s="64">
        <v>0.56999999999999995</v>
      </c>
      <c r="J18" s="64">
        <v>0.08</v>
      </c>
      <c r="K18" s="64">
        <v>254.87</v>
      </c>
      <c r="L18" s="64">
        <v>24.41</v>
      </c>
      <c r="M18" s="64">
        <v>79.72</v>
      </c>
      <c r="N18" s="64">
        <v>13.1</v>
      </c>
      <c r="O18" s="64">
        <v>0</v>
      </c>
      <c r="P18" s="64">
        <v>0.69</v>
      </c>
      <c r="Q18" s="64">
        <v>16.07</v>
      </c>
      <c r="R18" s="198"/>
      <c r="S18" s="198"/>
      <c r="T18" s="198"/>
      <c r="U18" s="198"/>
    </row>
    <row r="19" spans="1:21" s="12" customFormat="1" x14ac:dyDescent="0.25">
      <c r="A19" s="215" t="s">
        <v>354</v>
      </c>
      <c r="B19" s="64">
        <v>7.25</v>
      </c>
      <c r="C19" s="64">
        <v>13.14</v>
      </c>
      <c r="D19" s="64">
        <v>13.71</v>
      </c>
      <c r="E19" s="64">
        <v>1.77</v>
      </c>
      <c r="F19" s="64">
        <v>16.309999999999999</v>
      </c>
      <c r="G19" s="216" t="s">
        <v>43</v>
      </c>
      <c r="H19" s="216" t="s">
        <v>43</v>
      </c>
      <c r="I19" s="64">
        <v>0.57999999999999996</v>
      </c>
      <c r="J19" s="64">
        <v>0.2</v>
      </c>
      <c r="K19" s="64">
        <v>209.5</v>
      </c>
      <c r="L19" s="64">
        <v>24.3</v>
      </c>
      <c r="M19" s="64">
        <v>80.67</v>
      </c>
      <c r="N19" s="64">
        <v>13</v>
      </c>
      <c r="O19" s="64">
        <v>0</v>
      </c>
      <c r="P19" s="64">
        <v>0.68</v>
      </c>
      <c r="Q19" s="64">
        <v>14.56</v>
      </c>
      <c r="R19" s="198"/>
      <c r="S19" s="198"/>
      <c r="T19" s="198"/>
      <c r="U19" s="198"/>
    </row>
    <row r="20" spans="1:21" s="12" customFormat="1" x14ac:dyDescent="0.25">
      <c r="A20" s="215" t="s">
        <v>355</v>
      </c>
      <c r="B20" s="64">
        <v>7.34</v>
      </c>
      <c r="C20" s="64">
        <v>11.99</v>
      </c>
      <c r="D20" s="64">
        <v>13.15</v>
      </c>
      <c r="E20" s="64">
        <v>1.93</v>
      </c>
      <c r="F20" s="64">
        <v>16.350000000000001</v>
      </c>
      <c r="G20" s="216" t="s">
        <v>43</v>
      </c>
      <c r="H20" s="216" t="s">
        <v>43</v>
      </c>
      <c r="I20" s="64">
        <v>0.51</v>
      </c>
      <c r="J20" s="64">
        <v>0.1</v>
      </c>
      <c r="K20" s="64">
        <v>216.88</v>
      </c>
      <c r="L20" s="64">
        <v>24.12</v>
      </c>
      <c r="M20" s="64">
        <v>81.599999999999994</v>
      </c>
      <c r="N20" s="64">
        <v>13.2</v>
      </c>
      <c r="O20" s="64">
        <v>0</v>
      </c>
      <c r="P20" s="64">
        <v>0.68</v>
      </c>
      <c r="Q20" s="64">
        <v>16.399999999999999</v>
      </c>
      <c r="R20" s="198"/>
      <c r="S20" s="198"/>
      <c r="T20" s="198"/>
      <c r="U20" s="198"/>
    </row>
    <row r="21" spans="1:21" s="12" customFormat="1" x14ac:dyDescent="0.25">
      <c r="A21" s="215" t="s">
        <v>356</v>
      </c>
      <c r="B21" s="64">
        <v>7.3</v>
      </c>
      <c r="C21" s="64">
        <v>11.45</v>
      </c>
      <c r="D21" s="64">
        <v>12.82</v>
      </c>
      <c r="E21" s="64">
        <v>1.81</v>
      </c>
      <c r="F21" s="64">
        <v>17.5</v>
      </c>
      <c r="G21" s="216" t="s">
        <v>43</v>
      </c>
      <c r="H21" s="216" t="s">
        <v>43</v>
      </c>
      <c r="I21" s="64">
        <v>0.51</v>
      </c>
      <c r="J21" s="64">
        <v>0.05</v>
      </c>
      <c r="K21" s="64">
        <v>208.31</v>
      </c>
      <c r="L21" s="64">
        <v>24.08</v>
      </c>
      <c r="M21" s="64">
        <v>81.62</v>
      </c>
      <c r="N21" s="64">
        <v>13.2</v>
      </c>
      <c r="O21" s="64">
        <v>0</v>
      </c>
      <c r="P21" s="64">
        <v>0.67</v>
      </c>
      <c r="Q21" s="64">
        <v>16</v>
      </c>
      <c r="R21" s="198"/>
      <c r="S21" s="198"/>
      <c r="T21" s="198"/>
      <c r="U21" s="198"/>
    </row>
    <row r="22" spans="1:21" s="12" customFormat="1" x14ac:dyDescent="0.25">
      <c r="A22" s="215" t="s">
        <v>357</v>
      </c>
      <c r="B22" s="64">
        <v>8.2899999999999991</v>
      </c>
      <c r="C22" s="64">
        <v>11.72</v>
      </c>
      <c r="D22" s="64">
        <v>13.77</v>
      </c>
      <c r="E22" s="64">
        <v>1.97</v>
      </c>
      <c r="F22" s="64">
        <v>11.09</v>
      </c>
      <c r="G22" s="216" t="s">
        <v>43</v>
      </c>
      <c r="H22" s="216" t="s">
        <v>43</v>
      </c>
      <c r="I22" s="64">
        <v>0.52</v>
      </c>
      <c r="J22" s="64">
        <v>0.03</v>
      </c>
      <c r="K22" s="64">
        <v>304.44</v>
      </c>
      <c r="L22" s="64">
        <v>23.99</v>
      </c>
      <c r="M22" s="64">
        <v>82.13</v>
      </c>
      <c r="N22" s="64">
        <v>13.2</v>
      </c>
      <c r="O22" s="64">
        <v>0</v>
      </c>
      <c r="P22" s="64">
        <v>0.67</v>
      </c>
      <c r="Q22" s="64">
        <v>18.18</v>
      </c>
      <c r="R22" s="198"/>
      <c r="S22" s="198"/>
      <c r="T22" s="198"/>
      <c r="U22" s="198"/>
    </row>
    <row r="23" spans="1:21" s="12" customFormat="1" x14ac:dyDescent="0.25">
      <c r="A23" s="215" t="s">
        <v>358</v>
      </c>
      <c r="B23" s="64">
        <v>10.25</v>
      </c>
      <c r="C23" s="64">
        <v>13.97</v>
      </c>
      <c r="D23" s="64">
        <v>16.57</v>
      </c>
      <c r="E23" s="64">
        <v>2.42</v>
      </c>
      <c r="F23" s="64">
        <v>4.71</v>
      </c>
      <c r="G23" s="216" t="s">
        <v>43</v>
      </c>
      <c r="H23" s="216" t="s">
        <v>43</v>
      </c>
      <c r="I23" s="64">
        <v>0.51</v>
      </c>
      <c r="J23" s="64">
        <v>7.0000000000000007E-2</v>
      </c>
      <c r="K23" s="64">
        <v>0.32</v>
      </c>
      <c r="L23" s="64">
        <v>24.03</v>
      </c>
      <c r="M23" s="64">
        <v>81.33</v>
      </c>
      <c r="N23" s="64">
        <v>13.1</v>
      </c>
      <c r="O23" s="64">
        <v>0</v>
      </c>
      <c r="P23" s="64">
        <v>0.67</v>
      </c>
      <c r="Q23" s="64">
        <v>19.53</v>
      </c>
      <c r="R23" s="198"/>
      <c r="S23" s="198"/>
      <c r="T23" s="198"/>
      <c r="U23" s="198"/>
    </row>
    <row r="24" spans="1:21" s="12" customFormat="1" x14ac:dyDescent="0.25">
      <c r="A24" s="215" t="s">
        <v>359</v>
      </c>
      <c r="B24" s="64">
        <v>10.02</v>
      </c>
      <c r="C24" s="64">
        <v>14.42</v>
      </c>
      <c r="D24" s="64">
        <v>16.64</v>
      </c>
      <c r="E24" s="64">
        <v>0.96</v>
      </c>
      <c r="F24" s="64">
        <v>4.93</v>
      </c>
      <c r="G24" s="216" t="s">
        <v>43</v>
      </c>
      <c r="H24" s="216" t="s">
        <v>43</v>
      </c>
      <c r="I24" s="64">
        <v>0.55000000000000004</v>
      </c>
      <c r="J24" s="64">
        <v>7.0000000000000007E-2</v>
      </c>
      <c r="K24" s="64">
        <v>8.99</v>
      </c>
      <c r="L24" s="64">
        <v>23.99</v>
      </c>
      <c r="M24" s="64">
        <v>81.59</v>
      </c>
      <c r="N24" s="64">
        <v>13.2</v>
      </c>
      <c r="O24" s="64">
        <v>0</v>
      </c>
      <c r="P24" s="64">
        <v>0.65</v>
      </c>
      <c r="Q24" s="64">
        <v>19.059999999999999</v>
      </c>
      <c r="R24" s="198"/>
      <c r="S24" s="198"/>
      <c r="T24" s="198"/>
      <c r="U24" s="198"/>
    </row>
    <row r="25" spans="1:21" s="12" customFormat="1" x14ac:dyDescent="0.25">
      <c r="A25" s="215" t="s">
        <v>360</v>
      </c>
      <c r="B25" s="64">
        <v>9.6999999999999993</v>
      </c>
      <c r="C25" s="64">
        <v>12.82</v>
      </c>
      <c r="D25" s="64">
        <v>15.5</v>
      </c>
      <c r="E25" s="64">
        <v>1.37</v>
      </c>
      <c r="F25" s="64">
        <v>5.09</v>
      </c>
      <c r="G25" s="216" t="s">
        <v>43</v>
      </c>
      <c r="H25" s="216" t="s">
        <v>43</v>
      </c>
      <c r="I25" s="64">
        <v>0.61</v>
      </c>
      <c r="J25" s="64">
        <v>0.11</v>
      </c>
      <c r="K25" s="64">
        <v>22.86</v>
      </c>
      <c r="L25" s="64">
        <v>23.88</v>
      </c>
      <c r="M25" s="64">
        <v>82.37</v>
      </c>
      <c r="N25" s="64">
        <v>13.3</v>
      </c>
      <c r="O25" s="64">
        <v>0</v>
      </c>
      <c r="P25" s="64">
        <v>0.65</v>
      </c>
      <c r="Q25" s="64">
        <v>16.59</v>
      </c>
      <c r="R25" s="198"/>
      <c r="S25" s="198"/>
      <c r="T25" s="198"/>
      <c r="U25" s="198"/>
    </row>
    <row r="26" spans="1:21" s="12" customFormat="1" x14ac:dyDescent="0.25">
      <c r="A26" s="215" t="s">
        <v>361</v>
      </c>
      <c r="B26" s="64">
        <v>9.31</v>
      </c>
      <c r="C26" s="64">
        <v>14.6</v>
      </c>
      <c r="D26" s="64">
        <v>16.170000000000002</v>
      </c>
      <c r="E26" s="64">
        <v>1.28</v>
      </c>
      <c r="F26" s="64">
        <v>3.66</v>
      </c>
      <c r="G26" s="216" t="s">
        <v>43</v>
      </c>
      <c r="H26" s="216" t="s">
        <v>43</v>
      </c>
      <c r="I26" s="64">
        <v>0.59</v>
      </c>
      <c r="J26" s="64">
        <v>0.11</v>
      </c>
      <c r="K26" s="64">
        <v>28.41</v>
      </c>
      <c r="L26" s="64">
        <v>23.72</v>
      </c>
      <c r="M26" s="64">
        <v>83.57</v>
      </c>
      <c r="N26" s="64">
        <v>13.2</v>
      </c>
      <c r="O26" s="64">
        <v>0</v>
      </c>
      <c r="P26" s="64">
        <v>0.62</v>
      </c>
      <c r="Q26" s="64">
        <v>18.399999999999999</v>
      </c>
      <c r="R26" s="198"/>
      <c r="S26" s="198"/>
      <c r="T26" s="198"/>
      <c r="U26" s="198"/>
    </row>
    <row r="27" spans="1:21" s="12" customFormat="1" x14ac:dyDescent="0.25">
      <c r="A27" s="215" t="s">
        <v>362</v>
      </c>
      <c r="B27" s="64">
        <v>8.8699999999999992</v>
      </c>
      <c r="C27" s="64">
        <v>14.65</v>
      </c>
      <c r="D27" s="64">
        <v>15.84</v>
      </c>
      <c r="E27" s="64">
        <v>1.07</v>
      </c>
      <c r="F27" s="64">
        <v>6.72</v>
      </c>
      <c r="G27" s="216" t="s">
        <v>43</v>
      </c>
      <c r="H27" s="216" t="s">
        <v>43</v>
      </c>
      <c r="I27" s="64">
        <v>0.56000000000000005</v>
      </c>
      <c r="J27" s="64">
        <v>7.0000000000000007E-2</v>
      </c>
      <c r="K27" s="64">
        <v>12.33</v>
      </c>
      <c r="L27" s="64">
        <v>23.59</v>
      </c>
      <c r="M27" s="64">
        <v>84.54</v>
      </c>
      <c r="N27" s="64">
        <v>13.3</v>
      </c>
      <c r="O27" s="64">
        <v>0</v>
      </c>
      <c r="P27" s="64">
        <v>0.61</v>
      </c>
      <c r="Q27" s="64">
        <v>15.65</v>
      </c>
      <c r="R27" s="198"/>
      <c r="S27" s="198"/>
      <c r="T27" s="198"/>
      <c r="U27" s="198"/>
    </row>
    <row r="28" spans="1:21" s="12" customFormat="1" x14ac:dyDescent="0.25">
      <c r="A28" s="215" t="s">
        <v>363</v>
      </c>
      <c r="B28" s="64">
        <v>9.14</v>
      </c>
      <c r="C28" s="64">
        <v>13.02</v>
      </c>
      <c r="D28" s="64">
        <v>15.17</v>
      </c>
      <c r="E28" s="64">
        <v>1.42</v>
      </c>
      <c r="F28" s="64">
        <v>5.22</v>
      </c>
      <c r="G28" s="216" t="s">
        <v>43</v>
      </c>
      <c r="H28" s="216" t="s">
        <v>43</v>
      </c>
      <c r="I28" s="64">
        <v>0.56999999999999995</v>
      </c>
      <c r="J28" s="64">
        <v>0.01</v>
      </c>
      <c r="K28" s="64">
        <v>34.14</v>
      </c>
      <c r="L28" s="64">
        <v>23.46</v>
      </c>
      <c r="M28" s="64">
        <v>85.19</v>
      </c>
      <c r="N28" s="64">
        <v>13.3</v>
      </c>
      <c r="O28" s="64">
        <v>0</v>
      </c>
      <c r="P28" s="64">
        <v>0.62</v>
      </c>
      <c r="Q28" s="64">
        <v>13.75</v>
      </c>
      <c r="R28" s="198"/>
      <c r="S28" s="198"/>
      <c r="T28" s="198"/>
      <c r="U28" s="198"/>
    </row>
    <row r="29" spans="1:21" s="12" customFormat="1" x14ac:dyDescent="0.25">
      <c r="A29" s="215" t="s">
        <v>364</v>
      </c>
      <c r="B29" s="64">
        <v>9.34</v>
      </c>
      <c r="C29" s="64">
        <v>14.09</v>
      </c>
      <c r="D29" s="64">
        <v>15.91</v>
      </c>
      <c r="E29" s="64">
        <v>1.48</v>
      </c>
      <c r="F29" s="64">
        <v>4.57</v>
      </c>
      <c r="G29" s="216" t="s">
        <v>43</v>
      </c>
      <c r="H29" s="216" t="s">
        <v>43</v>
      </c>
      <c r="I29" s="64">
        <v>0.56999999999999995</v>
      </c>
      <c r="J29" s="64">
        <v>0.06</v>
      </c>
      <c r="K29" s="64">
        <v>13.02</v>
      </c>
      <c r="L29" s="64">
        <v>23.42</v>
      </c>
      <c r="M29" s="64">
        <v>85.6</v>
      </c>
      <c r="N29" s="64">
        <v>14.2</v>
      </c>
      <c r="O29" s="64">
        <v>0</v>
      </c>
      <c r="P29" s="64">
        <v>0.61</v>
      </c>
      <c r="Q29" s="64">
        <v>16.73</v>
      </c>
      <c r="R29" s="198"/>
      <c r="S29" s="198"/>
      <c r="T29" s="198"/>
      <c r="U29" s="198"/>
    </row>
    <row r="30" spans="1:21" s="12" customFormat="1" x14ac:dyDescent="0.25">
      <c r="A30" s="215" t="s">
        <v>365</v>
      </c>
      <c r="B30" s="64">
        <v>9.16</v>
      </c>
      <c r="C30" s="64">
        <v>18.11</v>
      </c>
      <c r="D30" s="64">
        <v>17.989999999999998</v>
      </c>
      <c r="E30" s="64">
        <v>1.03</v>
      </c>
      <c r="F30" s="64">
        <v>8.2799999999999994</v>
      </c>
      <c r="G30" s="216" t="s">
        <v>43</v>
      </c>
      <c r="H30" s="216" t="s">
        <v>43</v>
      </c>
      <c r="I30" s="64">
        <v>0.56999999999999995</v>
      </c>
      <c r="J30" s="64">
        <v>7.0000000000000007E-2</v>
      </c>
      <c r="K30" s="64">
        <v>354.83</v>
      </c>
      <c r="L30" s="64">
        <v>23.47</v>
      </c>
      <c r="M30" s="64">
        <v>85.33</v>
      </c>
      <c r="N30" s="64">
        <v>19</v>
      </c>
      <c r="O30" s="64">
        <v>0</v>
      </c>
      <c r="P30" s="64">
        <v>0.6</v>
      </c>
      <c r="Q30" s="64">
        <v>17.86</v>
      </c>
      <c r="R30" s="198"/>
      <c r="S30" s="198"/>
      <c r="T30" s="198"/>
      <c r="U30" s="198"/>
    </row>
    <row r="31" spans="1:21" s="12" customFormat="1" x14ac:dyDescent="0.25">
      <c r="A31" s="215" t="s">
        <v>366</v>
      </c>
      <c r="B31" s="64">
        <v>9.4700000000000006</v>
      </c>
      <c r="C31" s="64">
        <v>16.29</v>
      </c>
      <c r="D31" s="64">
        <v>17.23</v>
      </c>
      <c r="E31" s="64">
        <v>0.78</v>
      </c>
      <c r="F31" s="64">
        <v>8.43</v>
      </c>
      <c r="G31" s="216" t="s">
        <v>43</v>
      </c>
      <c r="H31" s="216" t="s">
        <v>43</v>
      </c>
      <c r="I31" s="64">
        <v>0.53</v>
      </c>
      <c r="J31" s="64">
        <v>0.05</v>
      </c>
      <c r="K31" s="64">
        <v>318.11</v>
      </c>
      <c r="L31" s="64">
        <v>23.57</v>
      </c>
      <c r="M31" s="64">
        <v>84.64</v>
      </c>
      <c r="N31" s="64">
        <v>35</v>
      </c>
      <c r="O31" s="64">
        <v>0</v>
      </c>
      <c r="P31" s="64">
        <v>0.61</v>
      </c>
      <c r="Q31" s="64">
        <v>15.42</v>
      </c>
      <c r="R31" s="198"/>
      <c r="S31" s="198"/>
      <c r="T31" s="198"/>
      <c r="U31" s="198"/>
    </row>
    <row r="32" spans="1:21" s="12" customFormat="1" x14ac:dyDescent="0.25">
      <c r="A32" s="215" t="s">
        <v>367</v>
      </c>
      <c r="B32" s="64">
        <v>10.24</v>
      </c>
      <c r="C32" s="64">
        <v>14.7</v>
      </c>
      <c r="D32" s="64">
        <v>16.97</v>
      </c>
      <c r="E32" s="64">
        <v>0.93</v>
      </c>
      <c r="F32" s="64">
        <v>9.17</v>
      </c>
      <c r="G32" s="216" t="s">
        <v>43</v>
      </c>
      <c r="H32" s="216" t="s">
        <v>43</v>
      </c>
      <c r="I32" s="64">
        <v>0.53</v>
      </c>
      <c r="J32" s="64">
        <v>0.03</v>
      </c>
      <c r="K32" s="64">
        <v>331.4</v>
      </c>
      <c r="L32" s="64">
        <v>23.91</v>
      </c>
      <c r="M32" s="64">
        <v>83.24</v>
      </c>
      <c r="N32" s="64">
        <v>62.7</v>
      </c>
      <c r="O32" s="64">
        <v>0</v>
      </c>
      <c r="P32" s="64">
        <v>0.59</v>
      </c>
      <c r="Q32" s="64">
        <v>16.95</v>
      </c>
      <c r="R32" s="198"/>
      <c r="S32" s="198"/>
      <c r="T32" s="198"/>
      <c r="U32" s="198"/>
    </row>
    <row r="33" spans="1:21" s="12" customFormat="1" x14ac:dyDescent="0.25">
      <c r="A33" s="215" t="s">
        <v>368</v>
      </c>
      <c r="B33" s="64">
        <v>13.2</v>
      </c>
      <c r="C33" s="64">
        <v>14.08</v>
      </c>
      <c r="D33" s="64">
        <v>19</v>
      </c>
      <c r="E33" s="64">
        <v>1.33</v>
      </c>
      <c r="F33" s="64">
        <v>8.83</v>
      </c>
      <c r="G33" s="216" t="s">
        <v>43</v>
      </c>
      <c r="H33" s="216" t="s">
        <v>43</v>
      </c>
      <c r="I33" s="64">
        <v>0.54</v>
      </c>
      <c r="J33" s="64">
        <v>0.06</v>
      </c>
      <c r="K33" s="64">
        <v>347.56</v>
      </c>
      <c r="L33" s="64">
        <v>24.22</v>
      </c>
      <c r="M33" s="64">
        <v>81.86</v>
      </c>
      <c r="N33" s="64">
        <v>99.7</v>
      </c>
      <c r="O33" s="64">
        <v>0</v>
      </c>
      <c r="P33" s="64">
        <v>0.61</v>
      </c>
      <c r="Q33" s="64">
        <v>16.399999999999999</v>
      </c>
      <c r="R33" s="198"/>
      <c r="S33" s="198"/>
      <c r="T33" s="198"/>
      <c r="U33" s="198"/>
    </row>
    <row r="34" spans="1:21" s="12" customFormat="1" x14ac:dyDescent="0.25">
      <c r="A34" s="215" t="s">
        <v>369</v>
      </c>
      <c r="B34" s="64">
        <v>11.68</v>
      </c>
      <c r="C34" s="64">
        <v>14.32</v>
      </c>
      <c r="D34" s="64">
        <v>17.91</v>
      </c>
      <c r="E34" s="64">
        <v>1.62</v>
      </c>
      <c r="F34" s="64">
        <v>5.48</v>
      </c>
      <c r="G34" s="216" t="s">
        <v>43</v>
      </c>
      <c r="H34" s="216" t="s">
        <v>43</v>
      </c>
      <c r="I34" s="64">
        <v>0.56000000000000005</v>
      </c>
      <c r="J34" s="64">
        <v>0.18</v>
      </c>
      <c r="K34" s="64">
        <v>26.17</v>
      </c>
      <c r="L34" s="64">
        <v>24.87</v>
      </c>
      <c r="M34" s="64">
        <v>79.040000000000006</v>
      </c>
      <c r="N34" s="64">
        <v>131</v>
      </c>
      <c r="O34" s="64">
        <v>0</v>
      </c>
      <c r="P34" s="64">
        <v>0.61</v>
      </c>
      <c r="Q34" s="64">
        <v>18.14</v>
      </c>
      <c r="R34" s="198"/>
      <c r="S34" s="198"/>
      <c r="T34" s="198"/>
      <c r="U34" s="198"/>
    </row>
    <row r="35" spans="1:21" s="12" customFormat="1" x14ac:dyDescent="0.25">
      <c r="A35" s="215" t="s">
        <v>370</v>
      </c>
      <c r="B35" s="64">
        <v>11.59</v>
      </c>
      <c r="C35" s="64">
        <v>15.56</v>
      </c>
      <c r="D35" s="64">
        <v>18.53</v>
      </c>
      <c r="E35" s="64">
        <v>1.07</v>
      </c>
      <c r="F35" s="64">
        <v>3.78</v>
      </c>
      <c r="G35" s="216" t="s">
        <v>43</v>
      </c>
      <c r="H35" s="216" t="s">
        <v>43</v>
      </c>
      <c r="I35" s="64">
        <v>0.56999999999999995</v>
      </c>
      <c r="J35" s="64">
        <v>0.14000000000000001</v>
      </c>
      <c r="K35" s="64">
        <v>43.95</v>
      </c>
      <c r="L35" s="64">
        <v>25.48</v>
      </c>
      <c r="M35" s="64">
        <v>76.25</v>
      </c>
      <c r="N35" s="64">
        <v>161</v>
      </c>
      <c r="O35" s="64">
        <v>0</v>
      </c>
      <c r="P35" s="64">
        <v>0.62</v>
      </c>
      <c r="Q35" s="64">
        <v>18.72</v>
      </c>
      <c r="R35" s="198"/>
      <c r="S35" s="198"/>
      <c r="T35" s="198"/>
      <c r="U35" s="198"/>
    </row>
    <row r="36" spans="1:21" s="12" customFormat="1" x14ac:dyDescent="0.25">
      <c r="A36" s="215" t="s">
        <v>371</v>
      </c>
      <c r="B36" s="64">
        <v>11.36</v>
      </c>
      <c r="C36" s="64">
        <v>14.25</v>
      </c>
      <c r="D36" s="64">
        <v>17.62</v>
      </c>
      <c r="E36" s="64">
        <v>1.1200000000000001</v>
      </c>
      <c r="F36" s="64">
        <v>4.16</v>
      </c>
      <c r="G36" s="216" t="s">
        <v>43</v>
      </c>
      <c r="H36" s="216" t="s">
        <v>43</v>
      </c>
      <c r="I36" s="64">
        <v>0.55000000000000004</v>
      </c>
      <c r="J36" s="64">
        <v>0.24</v>
      </c>
      <c r="K36" s="64">
        <v>35.07</v>
      </c>
      <c r="L36" s="64">
        <v>25.72</v>
      </c>
      <c r="M36" s="64">
        <v>74.53</v>
      </c>
      <c r="N36" s="64">
        <v>243</v>
      </c>
      <c r="O36" s="64">
        <v>0</v>
      </c>
      <c r="P36" s="64">
        <v>0.63</v>
      </c>
      <c r="Q36" s="64">
        <v>16.22</v>
      </c>
      <c r="R36" s="198"/>
      <c r="S36" s="198"/>
      <c r="T36" s="198"/>
      <c r="U36" s="198"/>
    </row>
    <row r="37" spans="1:21" s="12" customFormat="1" x14ac:dyDescent="0.25">
      <c r="A37" s="215" t="s">
        <v>372</v>
      </c>
      <c r="B37" s="64">
        <v>10.68</v>
      </c>
      <c r="C37" s="64">
        <v>15.74</v>
      </c>
      <c r="D37" s="64">
        <v>17.89</v>
      </c>
      <c r="E37" s="64">
        <v>1.48</v>
      </c>
      <c r="F37" s="64">
        <v>3.4</v>
      </c>
      <c r="G37" s="216" t="s">
        <v>43</v>
      </c>
      <c r="H37" s="216" t="s">
        <v>43</v>
      </c>
      <c r="I37" s="64">
        <v>0.57999999999999996</v>
      </c>
      <c r="J37" s="64">
        <v>0.22</v>
      </c>
      <c r="K37" s="64">
        <v>34.5</v>
      </c>
      <c r="L37" s="64">
        <v>26.4</v>
      </c>
      <c r="M37" s="64">
        <v>71.53</v>
      </c>
      <c r="N37" s="64">
        <v>288.7</v>
      </c>
      <c r="O37" s="64">
        <v>0</v>
      </c>
      <c r="P37" s="64">
        <v>0.6</v>
      </c>
      <c r="Q37" s="64">
        <v>17.05</v>
      </c>
      <c r="R37" s="198"/>
      <c r="S37" s="198"/>
      <c r="T37" s="198"/>
      <c r="U37" s="198"/>
    </row>
    <row r="38" spans="1:21" s="12" customFormat="1" x14ac:dyDescent="0.25">
      <c r="A38" s="215" t="s">
        <v>373</v>
      </c>
      <c r="B38" s="64">
        <v>10.65</v>
      </c>
      <c r="C38" s="64">
        <v>16.079999999999998</v>
      </c>
      <c r="D38" s="64">
        <v>18.059999999999999</v>
      </c>
      <c r="E38" s="64">
        <v>1.55</v>
      </c>
      <c r="F38" s="64">
        <v>3.33</v>
      </c>
      <c r="G38" s="216" t="s">
        <v>43</v>
      </c>
      <c r="H38" s="216" t="s">
        <v>43</v>
      </c>
      <c r="I38" s="64">
        <v>0.57999999999999996</v>
      </c>
      <c r="J38" s="64">
        <v>0.24</v>
      </c>
      <c r="K38" s="64">
        <v>30.46</v>
      </c>
      <c r="L38" s="64">
        <v>26.68</v>
      </c>
      <c r="M38" s="64">
        <v>69.97</v>
      </c>
      <c r="N38" s="64">
        <v>322.89999999999998</v>
      </c>
      <c r="O38" s="64">
        <v>0</v>
      </c>
      <c r="P38" s="64">
        <v>0.66</v>
      </c>
      <c r="Q38" s="64">
        <v>15.18</v>
      </c>
      <c r="R38" s="198"/>
      <c r="S38" s="198"/>
      <c r="T38" s="198"/>
      <c r="U38" s="198"/>
    </row>
    <row r="39" spans="1:21" s="12" customFormat="1" x14ac:dyDescent="0.25">
      <c r="A39" s="215" t="s">
        <v>374</v>
      </c>
      <c r="B39" s="64">
        <v>10.57</v>
      </c>
      <c r="C39" s="64">
        <v>15.92</v>
      </c>
      <c r="D39" s="64">
        <v>17.91</v>
      </c>
      <c r="E39" s="64">
        <v>0.99</v>
      </c>
      <c r="F39" s="64">
        <v>4.1500000000000004</v>
      </c>
      <c r="G39" s="216" t="s">
        <v>43</v>
      </c>
      <c r="H39" s="216" t="s">
        <v>43</v>
      </c>
      <c r="I39" s="64">
        <v>0.54</v>
      </c>
      <c r="J39" s="64">
        <v>0.21</v>
      </c>
      <c r="K39" s="64">
        <v>8.2799999999999994</v>
      </c>
      <c r="L39" s="64">
        <v>27.72</v>
      </c>
      <c r="M39" s="64">
        <v>66.33</v>
      </c>
      <c r="N39" s="64">
        <v>406.5</v>
      </c>
      <c r="O39" s="64">
        <v>0</v>
      </c>
      <c r="P39" s="64">
        <v>0.71</v>
      </c>
      <c r="Q39" s="64">
        <v>14.55</v>
      </c>
      <c r="R39" s="198"/>
      <c r="S39" s="198"/>
      <c r="T39" s="198"/>
      <c r="U39" s="198"/>
    </row>
    <row r="40" spans="1:21" s="12" customFormat="1" x14ac:dyDescent="0.25">
      <c r="A40" s="215" t="s">
        <v>375</v>
      </c>
      <c r="B40" s="64">
        <v>10.63</v>
      </c>
      <c r="C40" s="64">
        <v>17.27</v>
      </c>
      <c r="D40" s="64">
        <v>18.7</v>
      </c>
      <c r="E40" s="64">
        <v>0.97</v>
      </c>
      <c r="F40" s="64">
        <v>3.58</v>
      </c>
      <c r="G40" s="216" t="s">
        <v>43</v>
      </c>
      <c r="H40" s="216" t="s">
        <v>43</v>
      </c>
      <c r="I40" s="64">
        <v>0.55000000000000004</v>
      </c>
      <c r="J40" s="64">
        <v>0.16</v>
      </c>
      <c r="K40" s="64">
        <v>12.79</v>
      </c>
      <c r="L40" s="64">
        <v>28.22</v>
      </c>
      <c r="M40" s="64">
        <v>63.82</v>
      </c>
      <c r="N40" s="64">
        <v>433.5</v>
      </c>
      <c r="O40" s="64">
        <v>0</v>
      </c>
      <c r="P40" s="64">
        <v>0.74</v>
      </c>
      <c r="Q40" s="64">
        <v>15.26</v>
      </c>
      <c r="R40" s="198"/>
      <c r="S40" s="198"/>
      <c r="T40" s="198"/>
      <c r="U40" s="198"/>
    </row>
    <row r="41" spans="1:21" s="12" customFormat="1" x14ac:dyDescent="0.25">
      <c r="A41" s="215" t="s">
        <v>376</v>
      </c>
      <c r="B41" s="64">
        <v>10.86</v>
      </c>
      <c r="C41" s="64">
        <v>16.399999999999999</v>
      </c>
      <c r="D41" s="64">
        <v>18.399999999999999</v>
      </c>
      <c r="E41" s="64">
        <v>1.38</v>
      </c>
      <c r="F41" s="64">
        <v>4.21</v>
      </c>
      <c r="G41" s="216" t="s">
        <v>43</v>
      </c>
      <c r="H41" s="216" t="s">
        <v>43</v>
      </c>
      <c r="I41" s="64">
        <v>0.56999999999999995</v>
      </c>
      <c r="J41" s="64">
        <v>0.21</v>
      </c>
      <c r="K41" s="64">
        <v>35.200000000000003</v>
      </c>
      <c r="L41" s="64">
        <v>28.36</v>
      </c>
      <c r="M41" s="64">
        <v>63.02</v>
      </c>
      <c r="N41" s="64">
        <v>505.3</v>
      </c>
      <c r="O41" s="64">
        <v>0</v>
      </c>
      <c r="P41" s="64">
        <v>0.81</v>
      </c>
      <c r="Q41" s="64">
        <v>13.4</v>
      </c>
      <c r="R41" s="198"/>
      <c r="S41" s="198"/>
      <c r="T41" s="198"/>
      <c r="U41" s="198"/>
    </row>
    <row r="42" spans="1:21" s="12" customFormat="1" x14ac:dyDescent="0.25">
      <c r="A42" s="215" t="s">
        <v>377</v>
      </c>
      <c r="B42" s="64">
        <v>11.33</v>
      </c>
      <c r="C42" s="64">
        <v>15.98</v>
      </c>
      <c r="D42" s="64">
        <v>18.55</v>
      </c>
      <c r="E42" s="64">
        <v>1.79</v>
      </c>
      <c r="F42" s="64">
        <v>5.01</v>
      </c>
      <c r="G42" s="216" t="s">
        <v>43</v>
      </c>
      <c r="H42" s="216" t="s">
        <v>43</v>
      </c>
      <c r="I42" s="64">
        <v>0.55000000000000004</v>
      </c>
      <c r="J42" s="64">
        <v>0.59</v>
      </c>
      <c r="K42" s="64">
        <v>341.46</v>
      </c>
      <c r="L42" s="64">
        <v>29.32</v>
      </c>
      <c r="M42" s="64">
        <v>60.17</v>
      </c>
      <c r="N42" s="64">
        <v>543.20000000000005</v>
      </c>
      <c r="O42" s="64">
        <v>0</v>
      </c>
      <c r="P42" s="64">
        <v>0.83</v>
      </c>
      <c r="Q42" s="64">
        <v>12.32</v>
      </c>
      <c r="R42" s="198"/>
      <c r="S42" s="198"/>
      <c r="T42" s="198"/>
      <c r="U42" s="198"/>
    </row>
    <row r="43" spans="1:21" s="12" customFormat="1" x14ac:dyDescent="0.25">
      <c r="A43" s="215" t="s">
        <v>378</v>
      </c>
      <c r="B43" s="64">
        <v>11.36</v>
      </c>
      <c r="C43" s="64">
        <v>15.25</v>
      </c>
      <c r="D43" s="64">
        <v>18.170000000000002</v>
      </c>
      <c r="E43" s="64">
        <v>1.76</v>
      </c>
      <c r="F43" s="64">
        <v>4.76</v>
      </c>
      <c r="G43" s="216" t="s">
        <v>43</v>
      </c>
      <c r="H43" s="216" t="s">
        <v>43</v>
      </c>
      <c r="I43" s="64">
        <v>0.54</v>
      </c>
      <c r="J43" s="64">
        <v>0.35</v>
      </c>
      <c r="K43" s="64">
        <v>357.05</v>
      </c>
      <c r="L43" s="64">
        <v>30.39</v>
      </c>
      <c r="M43" s="64">
        <v>56.33</v>
      </c>
      <c r="N43" s="64">
        <v>550.4</v>
      </c>
      <c r="O43" s="64">
        <v>0</v>
      </c>
      <c r="P43" s="64">
        <v>0.87</v>
      </c>
      <c r="Q43" s="64">
        <v>11.98</v>
      </c>
      <c r="R43" s="198"/>
      <c r="S43" s="198"/>
      <c r="T43" s="198"/>
      <c r="U43" s="198"/>
    </row>
    <row r="44" spans="1:21" s="12" customFormat="1" x14ac:dyDescent="0.25">
      <c r="A44" s="215" t="s">
        <v>379</v>
      </c>
      <c r="B44" s="64">
        <v>10.92</v>
      </c>
      <c r="C44" s="64">
        <v>15.45</v>
      </c>
      <c r="D44" s="64">
        <v>17.93</v>
      </c>
      <c r="E44" s="64">
        <v>1.71</v>
      </c>
      <c r="F44" s="64">
        <v>6.32</v>
      </c>
      <c r="G44" s="216" t="s">
        <v>43</v>
      </c>
      <c r="H44" s="216" t="s">
        <v>43</v>
      </c>
      <c r="I44" s="64">
        <v>0.55000000000000004</v>
      </c>
      <c r="J44" s="64">
        <v>0.28000000000000003</v>
      </c>
      <c r="K44" s="64">
        <v>21.89</v>
      </c>
      <c r="L44" s="64">
        <v>30.42</v>
      </c>
      <c r="M44" s="64">
        <v>55.58</v>
      </c>
      <c r="N44" s="64">
        <v>604.79999999999995</v>
      </c>
      <c r="O44" s="64">
        <v>0</v>
      </c>
      <c r="P44" s="64">
        <v>0.86</v>
      </c>
      <c r="Q44" s="64">
        <v>10.75</v>
      </c>
      <c r="R44" s="198"/>
      <c r="S44" s="198"/>
      <c r="T44" s="198"/>
      <c r="U44" s="198"/>
    </row>
    <row r="45" spans="1:21" s="12" customFormat="1" x14ac:dyDescent="0.25">
      <c r="A45" s="215" t="s">
        <v>380</v>
      </c>
      <c r="B45" s="64">
        <v>10.09</v>
      </c>
      <c r="C45" s="64">
        <v>15.52</v>
      </c>
      <c r="D45" s="64">
        <v>17.3</v>
      </c>
      <c r="E45" s="64">
        <v>1.56</v>
      </c>
      <c r="F45" s="64">
        <v>5.24</v>
      </c>
      <c r="G45" s="216" t="s">
        <v>43</v>
      </c>
      <c r="H45" s="216" t="s">
        <v>43</v>
      </c>
      <c r="I45" s="64">
        <v>0.55000000000000004</v>
      </c>
      <c r="J45" s="64">
        <v>0.38</v>
      </c>
      <c r="K45" s="64">
        <v>0.36</v>
      </c>
      <c r="L45" s="64">
        <v>30.38</v>
      </c>
      <c r="M45" s="64">
        <v>55.63</v>
      </c>
      <c r="N45" s="64">
        <v>726.1</v>
      </c>
      <c r="O45" s="64">
        <v>0</v>
      </c>
      <c r="P45" s="64">
        <v>0.86</v>
      </c>
      <c r="Q45" s="64">
        <v>10.48</v>
      </c>
      <c r="R45" s="198"/>
      <c r="S45" s="198"/>
      <c r="T45" s="198"/>
      <c r="U45" s="198"/>
    </row>
    <row r="46" spans="1:21" s="12" customFormat="1" x14ac:dyDescent="0.25">
      <c r="A46" s="215" t="s">
        <v>381</v>
      </c>
      <c r="B46" s="64">
        <v>8.9600000000000009</v>
      </c>
      <c r="C46" s="64">
        <v>18.68</v>
      </c>
      <c r="D46" s="64">
        <v>18.14</v>
      </c>
      <c r="E46" s="64">
        <v>1.33</v>
      </c>
      <c r="F46" s="64">
        <v>4.43</v>
      </c>
      <c r="G46" s="216" t="s">
        <v>43</v>
      </c>
      <c r="H46" s="216" t="s">
        <v>43</v>
      </c>
      <c r="I46" s="64">
        <v>0.54</v>
      </c>
      <c r="J46" s="64">
        <v>0.26</v>
      </c>
      <c r="K46" s="64">
        <v>10.4</v>
      </c>
      <c r="L46" s="64">
        <v>30.69</v>
      </c>
      <c r="M46" s="64">
        <v>55.27</v>
      </c>
      <c r="N46" s="64">
        <v>512.4</v>
      </c>
      <c r="O46" s="64">
        <v>0</v>
      </c>
      <c r="P46" s="64">
        <v>0.83</v>
      </c>
      <c r="Q46" s="64">
        <v>11.05</v>
      </c>
      <c r="R46" s="198"/>
      <c r="S46" s="198"/>
      <c r="T46" s="198"/>
      <c r="U46" s="198"/>
    </row>
    <row r="47" spans="1:21" s="12" customFormat="1" x14ac:dyDescent="0.25">
      <c r="A47" s="215" t="s">
        <v>382</v>
      </c>
      <c r="B47" s="64">
        <v>7.92</v>
      </c>
      <c r="C47" s="64">
        <v>19.59</v>
      </c>
      <c r="D47" s="64">
        <v>17.8</v>
      </c>
      <c r="E47" s="64">
        <v>1.6</v>
      </c>
      <c r="F47" s="64">
        <v>4.49</v>
      </c>
      <c r="G47" s="216" t="s">
        <v>43</v>
      </c>
      <c r="H47" s="216" t="s">
        <v>43</v>
      </c>
      <c r="I47" s="64">
        <v>0.53</v>
      </c>
      <c r="J47" s="64">
        <v>0.39</v>
      </c>
      <c r="K47" s="64">
        <v>352.24</v>
      </c>
      <c r="L47" s="64">
        <v>30.59</v>
      </c>
      <c r="M47" s="64">
        <v>55.87</v>
      </c>
      <c r="N47" s="64">
        <v>470.3</v>
      </c>
      <c r="O47" s="64">
        <v>0</v>
      </c>
      <c r="P47" s="64">
        <v>0.84</v>
      </c>
      <c r="Q47" s="64">
        <v>10.46</v>
      </c>
      <c r="R47" s="198"/>
      <c r="S47" s="198"/>
      <c r="T47" s="198"/>
      <c r="U47" s="198"/>
    </row>
    <row r="48" spans="1:21" s="12" customFormat="1" x14ac:dyDescent="0.25">
      <c r="A48" s="215" t="s">
        <v>383</v>
      </c>
      <c r="B48" s="64">
        <v>7.37</v>
      </c>
      <c r="C48" s="64">
        <v>19.64</v>
      </c>
      <c r="D48" s="64">
        <v>17.399999999999999</v>
      </c>
      <c r="E48" s="64">
        <v>1.69</v>
      </c>
      <c r="F48" s="64">
        <v>4.24</v>
      </c>
      <c r="G48" s="216" t="s">
        <v>43</v>
      </c>
      <c r="H48" s="216" t="s">
        <v>43</v>
      </c>
      <c r="I48" s="64">
        <v>0.53</v>
      </c>
      <c r="J48" s="64">
        <v>0.45</v>
      </c>
      <c r="K48" s="64">
        <v>345.57</v>
      </c>
      <c r="L48" s="64">
        <v>30.7</v>
      </c>
      <c r="M48" s="64">
        <v>55.26</v>
      </c>
      <c r="N48" s="64">
        <v>600.4</v>
      </c>
      <c r="O48" s="64">
        <v>0</v>
      </c>
      <c r="P48" s="64">
        <v>0.84</v>
      </c>
      <c r="Q48" s="64">
        <v>10.7</v>
      </c>
      <c r="R48" s="198"/>
      <c r="S48" s="198"/>
      <c r="T48" s="198"/>
      <c r="U48" s="198"/>
    </row>
    <row r="49" spans="1:21" s="12" customFormat="1" x14ac:dyDescent="0.25">
      <c r="A49" s="215" t="s">
        <v>384</v>
      </c>
      <c r="B49" s="64">
        <v>6.78</v>
      </c>
      <c r="C49" s="64">
        <v>18.43</v>
      </c>
      <c r="D49" s="64">
        <v>16.260000000000002</v>
      </c>
      <c r="E49" s="64">
        <v>1.24</v>
      </c>
      <c r="F49" s="64">
        <v>4.7</v>
      </c>
      <c r="G49" s="216" t="s">
        <v>43</v>
      </c>
      <c r="H49" s="216" t="s">
        <v>43</v>
      </c>
      <c r="I49" s="64">
        <v>0.51</v>
      </c>
      <c r="J49" s="64">
        <v>0.22</v>
      </c>
      <c r="K49" s="64">
        <v>11.83</v>
      </c>
      <c r="L49" s="64">
        <v>29.95</v>
      </c>
      <c r="M49" s="64">
        <v>56.72</v>
      </c>
      <c r="N49" s="64">
        <v>396.5</v>
      </c>
      <c r="O49" s="64">
        <v>0</v>
      </c>
      <c r="P49" s="64">
        <v>0.83</v>
      </c>
      <c r="Q49" s="64">
        <v>8.57</v>
      </c>
      <c r="R49" s="198"/>
      <c r="S49" s="198"/>
      <c r="T49" s="198"/>
      <c r="U49" s="198"/>
    </row>
    <row r="50" spans="1:21" s="12" customFormat="1" x14ac:dyDescent="0.25">
      <c r="A50" s="215" t="s">
        <v>385</v>
      </c>
      <c r="B50" s="64">
        <v>6.45</v>
      </c>
      <c r="C50" s="64">
        <v>18.809999999999999</v>
      </c>
      <c r="D50" s="64">
        <v>16.2</v>
      </c>
      <c r="E50" s="64">
        <v>1.49</v>
      </c>
      <c r="F50" s="64">
        <v>4.76</v>
      </c>
      <c r="G50" s="216" t="s">
        <v>43</v>
      </c>
      <c r="H50" s="216" t="s">
        <v>43</v>
      </c>
      <c r="I50" s="64">
        <v>0.53</v>
      </c>
      <c r="J50" s="64">
        <v>0.26</v>
      </c>
      <c r="K50" s="64">
        <v>19.23</v>
      </c>
      <c r="L50" s="64">
        <v>29.56</v>
      </c>
      <c r="M50" s="64">
        <v>57.89</v>
      </c>
      <c r="N50" s="64">
        <v>555.20000000000005</v>
      </c>
      <c r="O50" s="64">
        <v>0</v>
      </c>
      <c r="P50" s="64">
        <v>0.87</v>
      </c>
      <c r="Q50" s="64">
        <v>8.57</v>
      </c>
      <c r="R50" s="198"/>
      <c r="S50" s="198"/>
      <c r="T50" s="198"/>
      <c r="U50" s="198"/>
    </row>
    <row r="51" spans="1:21" s="12" customFormat="1" x14ac:dyDescent="0.25">
      <c r="A51" s="215" t="s">
        <v>386</v>
      </c>
      <c r="B51" s="64">
        <v>6.25</v>
      </c>
      <c r="C51" s="64">
        <v>19.5</v>
      </c>
      <c r="D51" s="64">
        <v>16.420000000000002</v>
      </c>
      <c r="E51" s="64">
        <v>1.3</v>
      </c>
      <c r="F51" s="64">
        <v>4.33</v>
      </c>
      <c r="G51" s="216" t="s">
        <v>43</v>
      </c>
      <c r="H51" s="216" t="s">
        <v>43</v>
      </c>
      <c r="I51" s="64">
        <v>0.5</v>
      </c>
      <c r="J51" s="64">
        <v>0.26</v>
      </c>
      <c r="K51" s="64">
        <v>12.38</v>
      </c>
      <c r="L51" s="64">
        <v>29.66</v>
      </c>
      <c r="M51" s="64">
        <v>57.38</v>
      </c>
      <c r="N51" s="64">
        <v>488.9</v>
      </c>
      <c r="O51" s="64">
        <v>0</v>
      </c>
      <c r="P51" s="64">
        <v>0.85</v>
      </c>
      <c r="Q51" s="64">
        <v>8.89</v>
      </c>
      <c r="R51" s="198"/>
      <c r="S51" s="198"/>
      <c r="T51" s="198"/>
      <c r="U51" s="198"/>
    </row>
    <row r="52" spans="1:21" s="12" customFormat="1" x14ac:dyDescent="0.25">
      <c r="A52" s="215" t="s">
        <v>387</v>
      </c>
      <c r="B52" s="64">
        <v>5.92</v>
      </c>
      <c r="C52" s="64">
        <v>18.16</v>
      </c>
      <c r="D52" s="64">
        <v>15.41</v>
      </c>
      <c r="E52" s="64">
        <v>1.21</v>
      </c>
      <c r="F52" s="64">
        <v>5.28</v>
      </c>
      <c r="G52" s="216" t="s">
        <v>43</v>
      </c>
      <c r="H52" s="216" t="s">
        <v>43</v>
      </c>
      <c r="I52" s="64">
        <v>0.5</v>
      </c>
      <c r="J52" s="64">
        <v>0.4</v>
      </c>
      <c r="K52" s="64">
        <v>347.71</v>
      </c>
      <c r="L52" s="64">
        <v>30.17</v>
      </c>
      <c r="M52" s="64">
        <v>55.52</v>
      </c>
      <c r="N52" s="64">
        <v>545.6</v>
      </c>
      <c r="O52" s="64">
        <v>0</v>
      </c>
      <c r="P52" s="64">
        <v>0.85</v>
      </c>
      <c r="Q52" s="64">
        <v>6.5</v>
      </c>
      <c r="R52" s="198"/>
      <c r="S52" s="198"/>
      <c r="T52" s="198"/>
      <c r="U52" s="198"/>
    </row>
    <row r="53" spans="1:21" s="12" customFormat="1" x14ac:dyDescent="0.25">
      <c r="A53" s="215" t="s">
        <v>388</v>
      </c>
      <c r="B53" s="64">
        <v>6.14</v>
      </c>
      <c r="C53" s="64">
        <v>19.52</v>
      </c>
      <c r="D53" s="64">
        <v>16.34</v>
      </c>
      <c r="E53" s="64">
        <v>1.62</v>
      </c>
      <c r="F53" s="64">
        <v>7.43</v>
      </c>
      <c r="G53" s="216" t="s">
        <v>43</v>
      </c>
      <c r="H53" s="216" t="s">
        <v>43</v>
      </c>
      <c r="I53" s="64">
        <v>0.53</v>
      </c>
      <c r="J53" s="64">
        <v>0.25</v>
      </c>
      <c r="K53" s="64">
        <v>13.75</v>
      </c>
      <c r="L53" s="64">
        <v>30.23</v>
      </c>
      <c r="M53" s="64">
        <v>55.41</v>
      </c>
      <c r="N53" s="64">
        <v>649.79999999999995</v>
      </c>
      <c r="O53" s="64">
        <v>0</v>
      </c>
      <c r="P53" s="64">
        <v>0.84</v>
      </c>
      <c r="Q53" s="64">
        <v>8.67</v>
      </c>
      <c r="R53" s="198"/>
      <c r="S53" s="198"/>
      <c r="T53" s="198"/>
      <c r="U53" s="198"/>
    </row>
    <row r="54" spans="1:21" s="12" customFormat="1" x14ac:dyDescent="0.25">
      <c r="A54" s="215" t="s">
        <v>389</v>
      </c>
      <c r="B54" s="64">
        <v>6.62</v>
      </c>
      <c r="C54" s="64">
        <v>18.440000000000001</v>
      </c>
      <c r="D54" s="64">
        <v>16.13</v>
      </c>
      <c r="E54" s="64">
        <v>1.1299999999999999</v>
      </c>
      <c r="F54" s="64">
        <v>12.4</v>
      </c>
      <c r="G54" s="216" t="s">
        <v>43</v>
      </c>
      <c r="H54" s="216" t="s">
        <v>43</v>
      </c>
      <c r="I54" s="64">
        <v>0.52</v>
      </c>
      <c r="J54" s="64">
        <v>0.22</v>
      </c>
      <c r="K54" s="64">
        <v>350.6</v>
      </c>
      <c r="L54" s="64">
        <v>31.02</v>
      </c>
      <c r="M54" s="64">
        <v>53.86</v>
      </c>
      <c r="N54" s="64">
        <v>729.5</v>
      </c>
      <c r="O54" s="64">
        <v>0</v>
      </c>
      <c r="P54" s="64">
        <v>0.84</v>
      </c>
      <c r="Q54" s="64">
        <v>6.97</v>
      </c>
      <c r="R54" s="198"/>
      <c r="S54" s="198"/>
      <c r="T54" s="198"/>
      <c r="U54" s="198"/>
    </row>
    <row r="55" spans="1:21" s="12" customFormat="1" x14ac:dyDescent="0.25">
      <c r="A55" s="215" t="s">
        <v>390</v>
      </c>
      <c r="B55" s="64">
        <v>6.78</v>
      </c>
      <c r="C55" s="64">
        <v>17.28</v>
      </c>
      <c r="D55" s="64">
        <v>15.62</v>
      </c>
      <c r="E55" s="64">
        <v>1.73</v>
      </c>
      <c r="F55" s="64">
        <v>9.74</v>
      </c>
      <c r="G55" s="216" t="s">
        <v>43</v>
      </c>
      <c r="H55" s="216" t="s">
        <v>43</v>
      </c>
      <c r="I55" s="64">
        <v>0.51</v>
      </c>
      <c r="J55" s="64">
        <v>0.13</v>
      </c>
      <c r="K55" s="64">
        <v>20.13</v>
      </c>
      <c r="L55" s="64">
        <v>29.86</v>
      </c>
      <c r="M55" s="64">
        <v>55.5</v>
      </c>
      <c r="N55" s="64">
        <v>282.8</v>
      </c>
      <c r="O55" s="64">
        <v>0</v>
      </c>
      <c r="P55" s="64">
        <v>0.86</v>
      </c>
      <c r="Q55" s="64">
        <v>5.26</v>
      </c>
      <c r="R55" s="198"/>
      <c r="S55" s="198"/>
      <c r="T55" s="198"/>
      <c r="U55" s="198"/>
    </row>
    <row r="56" spans="1:21" s="12" customFormat="1" x14ac:dyDescent="0.25">
      <c r="A56" s="215" t="s">
        <v>391</v>
      </c>
      <c r="B56" s="64">
        <v>7.07</v>
      </c>
      <c r="C56" s="64">
        <v>22.87</v>
      </c>
      <c r="D56" s="64">
        <v>18.940000000000001</v>
      </c>
      <c r="E56" s="64">
        <v>2.41</v>
      </c>
      <c r="F56" s="64">
        <v>6.88</v>
      </c>
      <c r="G56" s="216" t="s">
        <v>43</v>
      </c>
      <c r="H56" s="216" t="s">
        <v>43</v>
      </c>
      <c r="I56" s="64">
        <v>0.49</v>
      </c>
      <c r="J56" s="64">
        <v>0.22</v>
      </c>
      <c r="K56" s="64">
        <v>19.89</v>
      </c>
      <c r="L56" s="64">
        <v>28.74</v>
      </c>
      <c r="M56" s="64">
        <v>59.13</v>
      </c>
      <c r="N56" s="64">
        <v>302.10000000000002</v>
      </c>
      <c r="O56" s="64">
        <v>0</v>
      </c>
      <c r="P56" s="64">
        <v>0.93</v>
      </c>
      <c r="Q56" s="64">
        <v>7.1</v>
      </c>
      <c r="R56" s="198"/>
      <c r="S56" s="198"/>
      <c r="T56" s="198"/>
      <c r="U56" s="198"/>
    </row>
    <row r="57" spans="1:21" s="12" customFormat="1" x14ac:dyDescent="0.25">
      <c r="A57" s="215" t="s">
        <v>392</v>
      </c>
      <c r="B57" s="64">
        <v>6.5</v>
      </c>
      <c r="C57" s="64">
        <v>20.04</v>
      </c>
      <c r="D57" s="64">
        <v>16.920000000000002</v>
      </c>
      <c r="E57" s="64">
        <v>2.2999999999999998</v>
      </c>
      <c r="F57" s="64">
        <v>6.64</v>
      </c>
      <c r="G57" s="216" t="s">
        <v>43</v>
      </c>
      <c r="H57" s="216" t="s">
        <v>43</v>
      </c>
      <c r="I57" s="64">
        <v>0.53</v>
      </c>
      <c r="J57" s="64">
        <v>0.24</v>
      </c>
      <c r="K57" s="64">
        <v>31.81</v>
      </c>
      <c r="L57" s="64">
        <v>29.27</v>
      </c>
      <c r="M57" s="64">
        <v>58.14</v>
      </c>
      <c r="N57" s="64">
        <v>469.8</v>
      </c>
      <c r="O57" s="64">
        <v>0</v>
      </c>
      <c r="P57" s="64">
        <v>0.97</v>
      </c>
      <c r="Q57" s="64">
        <v>5.8</v>
      </c>
      <c r="R57" s="198"/>
      <c r="S57" s="198"/>
      <c r="T57" s="198"/>
      <c r="U57" s="198"/>
    </row>
    <row r="58" spans="1:21" s="12" customFormat="1" x14ac:dyDescent="0.25">
      <c r="A58" s="215" t="s">
        <v>393</v>
      </c>
      <c r="B58" s="64">
        <v>6.13</v>
      </c>
      <c r="C58" s="64">
        <v>19.649999999999999</v>
      </c>
      <c r="D58" s="64">
        <v>16.41</v>
      </c>
      <c r="E58" s="64">
        <v>2.73</v>
      </c>
      <c r="F58" s="64">
        <v>4.68</v>
      </c>
      <c r="G58" s="216" t="s">
        <v>43</v>
      </c>
      <c r="H58" s="216" t="s">
        <v>43</v>
      </c>
      <c r="I58" s="64">
        <v>0.6</v>
      </c>
      <c r="J58" s="64">
        <v>0.18</v>
      </c>
      <c r="K58" s="64">
        <v>13.46</v>
      </c>
      <c r="L58" s="64">
        <v>29.49</v>
      </c>
      <c r="M58" s="64">
        <v>56.79</v>
      </c>
      <c r="N58" s="64">
        <v>621.6</v>
      </c>
      <c r="O58" s="64">
        <v>0</v>
      </c>
      <c r="P58" s="64">
        <v>1</v>
      </c>
      <c r="Q58" s="64">
        <v>6.73</v>
      </c>
      <c r="R58" s="198"/>
      <c r="S58" s="198"/>
      <c r="T58" s="198"/>
      <c r="U58" s="198"/>
    </row>
    <row r="59" spans="1:21" s="12" customFormat="1" x14ac:dyDescent="0.25">
      <c r="A59" s="215" t="s">
        <v>394</v>
      </c>
      <c r="B59" s="64">
        <v>5.7</v>
      </c>
      <c r="C59" s="64">
        <v>19.489999999999998</v>
      </c>
      <c r="D59" s="64">
        <v>15.97</v>
      </c>
      <c r="E59" s="64">
        <v>2.9</v>
      </c>
      <c r="F59" s="64">
        <v>5.51</v>
      </c>
      <c r="G59" s="216" t="s">
        <v>43</v>
      </c>
      <c r="H59" s="216" t="s">
        <v>43</v>
      </c>
      <c r="I59" s="64">
        <v>0.54</v>
      </c>
      <c r="J59" s="64">
        <v>0.18</v>
      </c>
      <c r="K59" s="64">
        <v>22.14</v>
      </c>
      <c r="L59" s="64">
        <v>29.97</v>
      </c>
      <c r="M59" s="64">
        <v>56.47</v>
      </c>
      <c r="N59" s="64">
        <v>390.3</v>
      </c>
      <c r="O59" s="64">
        <v>0</v>
      </c>
      <c r="P59" s="64">
        <v>1.06</v>
      </c>
      <c r="Q59" s="64">
        <v>6.2</v>
      </c>
      <c r="R59" s="198"/>
      <c r="S59" s="198"/>
      <c r="T59" s="198"/>
      <c r="U59" s="198"/>
    </row>
    <row r="60" spans="1:21" s="12" customFormat="1" x14ac:dyDescent="0.25">
      <c r="A60" s="215" t="s">
        <v>395</v>
      </c>
      <c r="B60" s="64">
        <v>5.93</v>
      </c>
      <c r="C60" s="64">
        <v>20.61</v>
      </c>
      <c r="D60" s="64">
        <v>16.78</v>
      </c>
      <c r="E60" s="64">
        <v>2.92</v>
      </c>
      <c r="F60" s="64">
        <v>5.0199999999999996</v>
      </c>
      <c r="G60" s="216" t="s">
        <v>43</v>
      </c>
      <c r="H60" s="216" t="s">
        <v>43</v>
      </c>
      <c r="I60" s="64">
        <v>0.55000000000000004</v>
      </c>
      <c r="J60" s="64">
        <v>0.28999999999999998</v>
      </c>
      <c r="K60" s="64">
        <v>13.57</v>
      </c>
      <c r="L60" s="64">
        <v>29.94</v>
      </c>
      <c r="M60" s="64">
        <v>55.59</v>
      </c>
      <c r="N60" s="64">
        <v>408.5</v>
      </c>
      <c r="O60" s="64">
        <v>0</v>
      </c>
      <c r="P60" s="64">
        <v>1.0900000000000001</v>
      </c>
      <c r="Q60" s="64">
        <v>7.88</v>
      </c>
      <c r="R60" s="198"/>
      <c r="S60" s="198"/>
      <c r="T60" s="198"/>
      <c r="U60" s="198"/>
    </row>
    <row r="61" spans="1:21" s="12" customFormat="1" x14ac:dyDescent="0.25">
      <c r="A61" s="215" t="s">
        <v>396</v>
      </c>
      <c r="B61" s="64">
        <v>5.67</v>
      </c>
      <c r="C61" s="64">
        <v>20.69</v>
      </c>
      <c r="D61" s="64">
        <v>16.61</v>
      </c>
      <c r="E61" s="64">
        <v>2.75</v>
      </c>
      <c r="F61" s="64">
        <v>17.72</v>
      </c>
      <c r="G61" s="216" t="s">
        <v>43</v>
      </c>
      <c r="H61" s="216" t="s">
        <v>43</v>
      </c>
      <c r="I61" s="64">
        <v>0.55000000000000004</v>
      </c>
      <c r="J61" s="64">
        <v>0.2</v>
      </c>
      <c r="K61" s="64">
        <v>353.62</v>
      </c>
      <c r="L61" s="64">
        <v>29.49</v>
      </c>
      <c r="M61" s="64">
        <v>57.28</v>
      </c>
      <c r="N61" s="64">
        <v>334.9</v>
      </c>
      <c r="O61" s="64">
        <v>0</v>
      </c>
      <c r="P61" s="64">
        <v>0.86</v>
      </c>
      <c r="Q61" s="64">
        <v>7.04</v>
      </c>
      <c r="R61" s="198"/>
      <c r="S61" s="198"/>
      <c r="T61" s="198"/>
      <c r="U61" s="198"/>
    </row>
    <row r="62" spans="1:21" s="12" customFormat="1" x14ac:dyDescent="0.25">
      <c r="A62" s="215" t="s">
        <v>397</v>
      </c>
      <c r="B62" s="64">
        <v>4.3600000000000003</v>
      </c>
      <c r="C62" s="64">
        <v>25.98</v>
      </c>
      <c r="D62" s="64">
        <v>18.48</v>
      </c>
      <c r="E62" s="64">
        <v>2.86</v>
      </c>
      <c r="F62" s="64">
        <v>33.11</v>
      </c>
      <c r="G62" s="216" t="s">
        <v>43</v>
      </c>
      <c r="H62" s="216" t="s">
        <v>43</v>
      </c>
      <c r="I62" s="218" t="s">
        <v>36</v>
      </c>
      <c r="J62" s="64">
        <v>0.17</v>
      </c>
      <c r="K62" s="64">
        <v>16.54</v>
      </c>
      <c r="L62" s="64">
        <v>28.71</v>
      </c>
      <c r="M62" s="64">
        <v>59.87</v>
      </c>
      <c r="N62" s="64">
        <v>162.6</v>
      </c>
      <c r="O62" s="64">
        <v>0</v>
      </c>
      <c r="P62" s="64">
        <v>0.79</v>
      </c>
      <c r="Q62" s="64">
        <v>7.37</v>
      </c>
      <c r="R62" s="198"/>
      <c r="S62" s="198"/>
      <c r="T62" s="198"/>
      <c r="U62" s="198"/>
    </row>
    <row r="63" spans="1:21" s="12" customFormat="1" x14ac:dyDescent="0.25">
      <c r="A63" s="215" t="s">
        <v>398</v>
      </c>
      <c r="B63" s="64">
        <v>3.76</v>
      </c>
      <c r="C63" s="64">
        <v>25.79</v>
      </c>
      <c r="D63" s="64">
        <v>17.89</v>
      </c>
      <c r="E63" s="64">
        <v>1.57</v>
      </c>
      <c r="F63" s="64">
        <v>19.21</v>
      </c>
      <c r="G63" s="216" t="s">
        <v>43</v>
      </c>
      <c r="H63" s="216" t="s">
        <v>43</v>
      </c>
      <c r="I63" s="218" t="s">
        <v>36</v>
      </c>
      <c r="J63" s="64">
        <v>0.27</v>
      </c>
      <c r="K63" s="64">
        <v>32.11</v>
      </c>
      <c r="L63" s="64">
        <v>28.4</v>
      </c>
      <c r="M63" s="64">
        <v>59.96</v>
      </c>
      <c r="N63" s="64">
        <v>165.6</v>
      </c>
      <c r="O63" s="64">
        <v>0</v>
      </c>
      <c r="P63" s="64">
        <v>0.82</v>
      </c>
      <c r="Q63" s="64">
        <v>5.79</v>
      </c>
      <c r="R63" s="198"/>
      <c r="S63" s="198"/>
      <c r="T63" s="198"/>
      <c r="U63" s="198"/>
    </row>
    <row r="64" spans="1:21" s="12" customFormat="1" x14ac:dyDescent="0.25">
      <c r="A64" s="215" t="s">
        <v>399</v>
      </c>
      <c r="B64" s="64">
        <v>3.73</v>
      </c>
      <c r="C64" s="64">
        <v>22.75</v>
      </c>
      <c r="D64" s="64">
        <v>16.190000000000001</v>
      </c>
      <c r="E64" s="64">
        <v>1.89</v>
      </c>
      <c r="F64" s="64">
        <v>12.43</v>
      </c>
      <c r="G64" s="216" t="s">
        <v>43</v>
      </c>
      <c r="H64" s="216" t="s">
        <v>43</v>
      </c>
      <c r="I64" s="218" t="s">
        <v>36</v>
      </c>
      <c r="J64" s="64">
        <v>0.15</v>
      </c>
      <c r="K64" s="64">
        <v>28.61</v>
      </c>
      <c r="L64" s="64">
        <v>28.03</v>
      </c>
      <c r="M64" s="64">
        <v>61.99</v>
      </c>
      <c r="N64" s="64">
        <v>143.19999999999999</v>
      </c>
      <c r="O64" s="64">
        <v>0</v>
      </c>
      <c r="P64" s="64">
        <v>0.73</v>
      </c>
      <c r="Q64" s="64">
        <v>2.84</v>
      </c>
      <c r="R64" s="198"/>
      <c r="S64" s="198"/>
      <c r="T64" s="198"/>
      <c r="U64" s="198"/>
    </row>
    <row r="65" spans="1:21" s="12" customFormat="1" x14ac:dyDescent="0.25">
      <c r="A65" s="215" t="s">
        <v>400</v>
      </c>
      <c r="B65" s="64">
        <v>4.46</v>
      </c>
      <c r="C65" s="64">
        <v>23.05</v>
      </c>
      <c r="D65" s="64">
        <v>16.940000000000001</v>
      </c>
      <c r="E65" s="64">
        <v>2.2599999999999998</v>
      </c>
      <c r="F65" s="64">
        <v>7.46</v>
      </c>
      <c r="G65" s="216" t="s">
        <v>43</v>
      </c>
      <c r="H65" s="216" t="s">
        <v>43</v>
      </c>
      <c r="I65" s="218" t="s">
        <v>36</v>
      </c>
      <c r="J65" s="64">
        <v>0.21</v>
      </c>
      <c r="K65" s="64">
        <v>40.81</v>
      </c>
      <c r="L65" s="64">
        <v>28.01</v>
      </c>
      <c r="M65" s="64">
        <v>63.15</v>
      </c>
      <c r="N65" s="64">
        <v>145</v>
      </c>
      <c r="O65" s="64">
        <v>0</v>
      </c>
      <c r="P65" s="64">
        <v>0.74</v>
      </c>
      <c r="Q65" s="64">
        <v>4.75</v>
      </c>
      <c r="R65" s="198"/>
      <c r="S65" s="198"/>
      <c r="T65" s="198"/>
      <c r="U65" s="198"/>
    </row>
    <row r="66" spans="1:21" s="12" customFormat="1" x14ac:dyDescent="0.25">
      <c r="A66" s="215" t="s">
        <v>401</v>
      </c>
      <c r="B66" s="64">
        <v>5.17</v>
      </c>
      <c r="C66" s="64">
        <v>22.79</v>
      </c>
      <c r="D66" s="64">
        <v>17.37</v>
      </c>
      <c r="E66" s="64">
        <v>2.29</v>
      </c>
      <c r="F66" s="64">
        <v>10.23</v>
      </c>
      <c r="G66" s="216" t="s">
        <v>43</v>
      </c>
      <c r="H66" s="216" t="s">
        <v>43</v>
      </c>
      <c r="I66" s="218" t="s">
        <v>36</v>
      </c>
      <c r="J66" s="64">
        <v>0.19</v>
      </c>
      <c r="K66" s="64">
        <v>27.33</v>
      </c>
      <c r="L66" s="64">
        <v>28.34</v>
      </c>
      <c r="M66" s="64">
        <v>62.28</v>
      </c>
      <c r="N66" s="64">
        <v>380.3</v>
      </c>
      <c r="O66" s="64">
        <v>0</v>
      </c>
      <c r="P66" s="64">
        <v>0.72</v>
      </c>
      <c r="Q66" s="64">
        <v>5.99</v>
      </c>
      <c r="R66" s="198"/>
      <c r="S66" s="198"/>
      <c r="T66" s="198"/>
      <c r="U66" s="198"/>
    </row>
    <row r="67" spans="1:21" s="12" customFormat="1" x14ac:dyDescent="0.25">
      <c r="A67" s="215" t="s">
        <v>402</v>
      </c>
      <c r="B67" s="64">
        <v>5.53</v>
      </c>
      <c r="C67" s="64">
        <v>20.27</v>
      </c>
      <c r="D67" s="64">
        <v>16.27</v>
      </c>
      <c r="E67" s="64">
        <v>2.25</v>
      </c>
      <c r="F67" s="64">
        <v>11.44</v>
      </c>
      <c r="G67" s="216" t="s">
        <v>43</v>
      </c>
      <c r="H67" s="216" t="s">
        <v>43</v>
      </c>
      <c r="I67" s="218" t="s">
        <v>36</v>
      </c>
      <c r="J67" s="64">
        <v>0.12</v>
      </c>
      <c r="K67" s="64">
        <v>31.33</v>
      </c>
      <c r="L67" s="64">
        <v>29.2</v>
      </c>
      <c r="M67" s="64">
        <v>60.26</v>
      </c>
      <c r="N67" s="64">
        <v>373.1</v>
      </c>
      <c r="O67" s="64">
        <v>0</v>
      </c>
      <c r="P67" s="64">
        <v>0.72</v>
      </c>
      <c r="Q67" s="64">
        <v>6.01</v>
      </c>
      <c r="R67" s="198"/>
      <c r="S67" s="198"/>
      <c r="T67" s="198"/>
      <c r="U67" s="198"/>
    </row>
    <row r="68" spans="1:21" s="12" customFormat="1" x14ac:dyDescent="0.25">
      <c r="A68" s="215" t="s">
        <v>403</v>
      </c>
      <c r="B68" s="64">
        <v>5.85</v>
      </c>
      <c r="C68" s="64">
        <v>20.420000000000002</v>
      </c>
      <c r="D68" s="64">
        <v>16.61</v>
      </c>
      <c r="E68" s="64">
        <v>2.61</v>
      </c>
      <c r="F68" s="64">
        <v>13.18</v>
      </c>
      <c r="G68" s="216" t="s">
        <v>43</v>
      </c>
      <c r="H68" s="216" t="s">
        <v>43</v>
      </c>
      <c r="I68" s="218" t="s">
        <v>36</v>
      </c>
      <c r="J68" s="64">
        <v>0.17</v>
      </c>
      <c r="K68" s="64">
        <v>17.36</v>
      </c>
      <c r="L68" s="64">
        <v>29.07</v>
      </c>
      <c r="M68" s="64">
        <v>60.1</v>
      </c>
      <c r="N68" s="64">
        <v>316.89999999999998</v>
      </c>
      <c r="O68" s="64">
        <v>0</v>
      </c>
      <c r="P68" s="64">
        <v>0.71</v>
      </c>
      <c r="Q68" s="64">
        <v>6.46</v>
      </c>
      <c r="R68" s="198"/>
      <c r="S68" s="198"/>
      <c r="T68" s="198"/>
      <c r="U68" s="198"/>
    </row>
    <row r="69" spans="1:21" s="12" customFormat="1" x14ac:dyDescent="0.25">
      <c r="A69" s="215" t="s">
        <v>404</v>
      </c>
      <c r="B69" s="64">
        <v>5.25</v>
      </c>
      <c r="C69" s="64">
        <v>16.46</v>
      </c>
      <c r="D69" s="64">
        <v>13.94</v>
      </c>
      <c r="E69" s="64">
        <v>2.63</v>
      </c>
      <c r="F69" s="64">
        <v>8.18</v>
      </c>
      <c r="G69" s="216" t="s">
        <v>43</v>
      </c>
      <c r="H69" s="216" t="s">
        <v>43</v>
      </c>
      <c r="I69" s="218" t="s">
        <v>36</v>
      </c>
      <c r="J69" s="64">
        <v>0.23</v>
      </c>
      <c r="K69" s="64">
        <v>28.96</v>
      </c>
      <c r="L69" s="64">
        <v>29.01</v>
      </c>
      <c r="M69" s="64">
        <v>60.25</v>
      </c>
      <c r="N69" s="64">
        <v>243.2</v>
      </c>
      <c r="O69" s="64">
        <v>0</v>
      </c>
      <c r="P69" s="64">
        <v>0.7</v>
      </c>
      <c r="Q69" s="64">
        <v>5.14</v>
      </c>
      <c r="R69" s="198"/>
      <c r="S69" s="198"/>
      <c r="T69" s="198"/>
      <c r="U69" s="198"/>
    </row>
    <row r="70" spans="1:21" s="12" customFormat="1" x14ac:dyDescent="0.25">
      <c r="A70" s="215" t="s">
        <v>405</v>
      </c>
      <c r="B70" s="64">
        <v>5.01</v>
      </c>
      <c r="C70" s="64">
        <v>15.66</v>
      </c>
      <c r="D70" s="64">
        <v>13.3</v>
      </c>
      <c r="E70" s="64">
        <v>2.85</v>
      </c>
      <c r="F70" s="64">
        <v>6.67</v>
      </c>
      <c r="G70" s="216" t="s">
        <v>43</v>
      </c>
      <c r="H70" s="216" t="s">
        <v>43</v>
      </c>
      <c r="I70" s="218" t="s">
        <v>36</v>
      </c>
      <c r="J70" s="64">
        <v>0.04</v>
      </c>
      <c r="K70" s="64">
        <v>3.34</v>
      </c>
      <c r="L70" s="64">
        <v>28.76</v>
      </c>
      <c r="M70" s="64">
        <v>60.63</v>
      </c>
      <c r="N70" s="64">
        <v>244.5</v>
      </c>
      <c r="O70" s="64">
        <v>0</v>
      </c>
      <c r="P70" s="64">
        <v>0.7</v>
      </c>
      <c r="Q70" s="64">
        <v>6.06</v>
      </c>
      <c r="R70" s="198"/>
      <c r="S70" s="198"/>
      <c r="T70" s="198"/>
      <c r="U70" s="198"/>
    </row>
    <row r="71" spans="1:21" s="12" customFormat="1" x14ac:dyDescent="0.25">
      <c r="A71" s="215" t="s">
        <v>406</v>
      </c>
      <c r="B71" s="64">
        <v>4.76</v>
      </c>
      <c r="C71" s="64">
        <v>15.62</v>
      </c>
      <c r="D71" s="64">
        <v>13.08</v>
      </c>
      <c r="E71" s="64">
        <v>2.61</v>
      </c>
      <c r="F71" s="64">
        <v>6.03</v>
      </c>
      <c r="G71" s="216" t="s">
        <v>43</v>
      </c>
      <c r="H71" s="216" t="s">
        <v>43</v>
      </c>
      <c r="I71" s="218" t="s">
        <v>36</v>
      </c>
      <c r="J71" s="64">
        <v>0.24</v>
      </c>
      <c r="K71" s="64">
        <v>34.92</v>
      </c>
      <c r="L71" s="64">
        <v>28.73</v>
      </c>
      <c r="M71" s="64">
        <v>60.43</v>
      </c>
      <c r="N71" s="64">
        <v>196</v>
      </c>
      <c r="O71" s="64">
        <v>0</v>
      </c>
      <c r="P71" s="64">
        <v>0.65</v>
      </c>
      <c r="Q71" s="64">
        <v>5.0999999999999996</v>
      </c>
      <c r="R71" s="198"/>
      <c r="S71" s="198"/>
      <c r="T71" s="198"/>
      <c r="U71" s="198"/>
    </row>
    <row r="72" spans="1:21" s="12" customFormat="1" x14ac:dyDescent="0.25">
      <c r="A72" s="215" t="s">
        <v>407</v>
      </c>
      <c r="B72" s="64">
        <v>4.62</v>
      </c>
      <c r="C72" s="64">
        <v>14.94</v>
      </c>
      <c r="D72" s="64">
        <v>12.6</v>
      </c>
      <c r="E72" s="64">
        <v>1.65</v>
      </c>
      <c r="F72" s="64">
        <v>7.52</v>
      </c>
      <c r="G72" s="216" t="s">
        <v>43</v>
      </c>
      <c r="H72" s="216" t="s">
        <v>43</v>
      </c>
      <c r="I72" s="218" t="s">
        <v>36</v>
      </c>
      <c r="J72" s="64">
        <v>0.24</v>
      </c>
      <c r="K72" s="64">
        <v>25.59</v>
      </c>
      <c r="L72" s="64">
        <v>29.16</v>
      </c>
      <c r="M72" s="64">
        <v>59.66</v>
      </c>
      <c r="N72" s="64">
        <v>276.10000000000002</v>
      </c>
      <c r="O72" s="64">
        <v>0</v>
      </c>
      <c r="P72" s="64">
        <v>0.65</v>
      </c>
      <c r="Q72" s="64">
        <v>2.69</v>
      </c>
      <c r="R72" s="198"/>
      <c r="S72" s="198"/>
      <c r="T72" s="198"/>
      <c r="U72" s="198"/>
    </row>
    <row r="73" spans="1:21" s="12" customFormat="1" x14ac:dyDescent="0.25">
      <c r="A73" s="215" t="s">
        <v>408</v>
      </c>
      <c r="B73" s="64">
        <v>4.51</v>
      </c>
      <c r="C73" s="64">
        <v>14.88</v>
      </c>
      <c r="D73" s="64">
        <v>12.48</v>
      </c>
      <c r="E73" s="64">
        <v>1.8</v>
      </c>
      <c r="F73" s="64">
        <v>7.31</v>
      </c>
      <c r="G73" s="216" t="s">
        <v>43</v>
      </c>
      <c r="H73" s="216" t="s">
        <v>43</v>
      </c>
      <c r="I73" s="218" t="s">
        <v>36</v>
      </c>
      <c r="J73" s="64">
        <v>0.25</v>
      </c>
      <c r="K73" s="64">
        <v>27.39</v>
      </c>
      <c r="L73" s="64">
        <v>29.14</v>
      </c>
      <c r="M73" s="64">
        <v>59.41</v>
      </c>
      <c r="N73" s="64">
        <v>172.5</v>
      </c>
      <c r="O73" s="64">
        <v>0</v>
      </c>
      <c r="P73" s="64">
        <v>0.65</v>
      </c>
      <c r="Q73" s="64">
        <v>3.31</v>
      </c>
      <c r="R73" s="198"/>
      <c r="S73" s="198"/>
      <c r="T73" s="198"/>
      <c r="U73" s="198"/>
    </row>
    <row r="74" spans="1:21" s="12" customFormat="1" x14ac:dyDescent="0.25">
      <c r="A74" s="215" t="s">
        <v>409</v>
      </c>
      <c r="B74" s="64">
        <v>4.5199999999999996</v>
      </c>
      <c r="C74" s="64">
        <v>15.73</v>
      </c>
      <c r="D74" s="64">
        <v>12.95</v>
      </c>
      <c r="E74" s="64">
        <v>1.84</v>
      </c>
      <c r="F74" s="64">
        <v>5.46</v>
      </c>
      <c r="G74" s="216" t="s">
        <v>43</v>
      </c>
      <c r="H74" s="216" t="s">
        <v>43</v>
      </c>
      <c r="I74" s="218" t="s">
        <v>36</v>
      </c>
      <c r="J74" s="64">
        <v>0.32</v>
      </c>
      <c r="K74" s="64">
        <v>24.63</v>
      </c>
      <c r="L74" s="64">
        <v>29.06</v>
      </c>
      <c r="M74" s="64">
        <v>59.49</v>
      </c>
      <c r="N74" s="64">
        <v>163</v>
      </c>
      <c r="O74" s="64">
        <v>0</v>
      </c>
      <c r="P74" s="64">
        <v>0.65</v>
      </c>
      <c r="Q74" s="64">
        <v>5.35</v>
      </c>
      <c r="R74" s="198"/>
      <c r="S74" s="198"/>
      <c r="T74" s="198"/>
      <c r="U74" s="198"/>
    </row>
    <row r="75" spans="1:21" s="12" customFormat="1" x14ac:dyDescent="0.25">
      <c r="A75" s="215" t="s">
        <v>410</v>
      </c>
      <c r="B75" s="64">
        <v>4.5599999999999996</v>
      </c>
      <c r="C75" s="64">
        <v>15.23</v>
      </c>
      <c r="D75" s="64">
        <v>12.71</v>
      </c>
      <c r="E75" s="64">
        <v>1.97</v>
      </c>
      <c r="F75" s="64">
        <v>6.84</v>
      </c>
      <c r="G75" s="216" t="s">
        <v>43</v>
      </c>
      <c r="H75" s="216" t="s">
        <v>43</v>
      </c>
      <c r="I75" s="218" t="s">
        <v>36</v>
      </c>
      <c r="J75" s="64">
        <v>0.23</v>
      </c>
      <c r="K75" s="64">
        <v>40.909999999999997</v>
      </c>
      <c r="L75" s="64">
        <v>29</v>
      </c>
      <c r="M75" s="64">
        <v>60.24</v>
      </c>
      <c r="N75" s="64">
        <v>150</v>
      </c>
      <c r="O75" s="64">
        <v>0</v>
      </c>
      <c r="P75" s="64">
        <v>0.62</v>
      </c>
      <c r="Q75" s="64">
        <v>3.53</v>
      </c>
      <c r="R75" s="198"/>
      <c r="S75" s="198"/>
      <c r="T75" s="198"/>
      <c r="U75" s="198"/>
    </row>
    <row r="76" spans="1:21" s="12" customFormat="1" x14ac:dyDescent="0.25">
      <c r="A76" s="215" t="s">
        <v>411</v>
      </c>
      <c r="B76" s="64">
        <v>4.41</v>
      </c>
      <c r="C76" s="64">
        <v>15.4</v>
      </c>
      <c r="D76" s="64">
        <v>12.68</v>
      </c>
      <c r="E76" s="64">
        <v>1.27</v>
      </c>
      <c r="F76" s="64">
        <v>8.14</v>
      </c>
      <c r="G76" s="216" t="s">
        <v>43</v>
      </c>
      <c r="H76" s="216" t="s">
        <v>43</v>
      </c>
      <c r="I76" s="218" t="s">
        <v>36</v>
      </c>
      <c r="J76" s="64">
        <v>7.0000000000000007E-2</v>
      </c>
      <c r="K76" s="64">
        <v>0.23</v>
      </c>
      <c r="L76" s="64">
        <v>28.35</v>
      </c>
      <c r="M76" s="64">
        <v>62.86</v>
      </c>
      <c r="N76" s="64">
        <v>105</v>
      </c>
      <c r="O76" s="64">
        <v>0</v>
      </c>
      <c r="P76" s="64">
        <v>0.62</v>
      </c>
      <c r="Q76" s="64">
        <v>2.31</v>
      </c>
      <c r="R76" s="198"/>
      <c r="S76" s="198"/>
      <c r="T76" s="198"/>
      <c r="U76" s="198"/>
    </row>
    <row r="77" spans="1:21" s="12" customFormat="1" x14ac:dyDescent="0.25">
      <c r="A77" s="215" t="s">
        <v>412</v>
      </c>
      <c r="B77" s="64">
        <v>4.5599999999999996</v>
      </c>
      <c r="C77" s="64">
        <v>17.100000000000001</v>
      </c>
      <c r="D77" s="64">
        <v>13.74</v>
      </c>
      <c r="E77" s="64">
        <v>1.69</v>
      </c>
      <c r="F77" s="64">
        <v>9.51</v>
      </c>
      <c r="G77" s="216" t="s">
        <v>43</v>
      </c>
      <c r="H77" s="216" t="s">
        <v>43</v>
      </c>
      <c r="I77" s="218" t="s">
        <v>36</v>
      </c>
      <c r="J77" s="64">
        <v>0.19</v>
      </c>
      <c r="K77" s="64">
        <v>20.85</v>
      </c>
      <c r="L77" s="64">
        <v>28.19</v>
      </c>
      <c r="M77" s="64">
        <v>62.09</v>
      </c>
      <c r="N77" s="64">
        <v>129.69999999999999</v>
      </c>
      <c r="O77" s="64">
        <v>0</v>
      </c>
      <c r="P77" s="64">
        <v>0.63</v>
      </c>
      <c r="Q77" s="64">
        <v>4.8899999999999997</v>
      </c>
      <c r="R77" s="198"/>
      <c r="S77" s="198"/>
      <c r="T77" s="198"/>
      <c r="U77" s="198"/>
    </row>
    <row r="78" spans="1:21" s="12" customFormat="1" x14ac:dyDescent="0.25">
      <c r="A78" s="215" t="s">
        <v>413</v>
      </c>
      <c r="B78" s="64">
        <v>4.93</v>
      </c>
      <c r="C78" s="64">
        <v>16.09</v>
      </c>
      <c r="D78" s="64">
        <v>13.48</v>
      </c>
      <c r="E78" s="64">
        <v>1.75</v>
      </c>
      <c r="F78" s="64">
        <v>10.96</v>
      </c>
      <c r="G78" s="216" t="s">
        <v>43</v>
      </c>
      <c r="H78" s="216" t="s">
        <v>43</v>
      </c>
      <c r="I78" s="218" t="s">
        <v>36</v>
      </c>
      <c r="J78" s="64">
        <v>0.22</v>
      </c>
      <c r="K78" s="64">
        <v>22.05</v>
      </c>
      <c r="L78" s="64">
        <v>28</v>
      </c>
      <c r="M78" s="64">
        <v>63.32</v>
      </c>
      <c r="N78" s="64">
        <v>116.6</v>
      </c>
      <c r="O78" s="64">
        <v>0</v>
      </c>
      <c r="P78" s="64">
        <v>0.65</v>
      </c>
      <c r="Q78" s="64">
        <v>4.75</v>
      </c>
      <c r="R78" s="198"/>
      <c r="S78" s="198"/>
      <c r="T78" s="198"/>
      <c r="U78" s="198"/>
    </row>
    <row r="79" spans="1:21" s="12" customFormat="1" x14ac:dyDescent="0.25">
      <c r="A79" s="215" t="s">
        <v>414</v>
      </c>
      <c r="B79" s="64">
        <v>6.95</v>
      </c>
      <c r="C79" s="64">
        <v>16.54</v>
      </c>
      <c r="D79" s="64">
        <v>15.34</v>
      </c>
      <c r="E79" s="64">
        <v>1.86</v>
      </c>
      <c r="F79" s="64">
        <v>15.12</v>
      </c>
      <c r="G79" s="216" t="s">
        <v>43</v>
      </c>
      <c r="H79" s="216" t="s">
        <v>43</v>
      </c>
      <c r="I79" s="218" t="s">
        <v>36</v>
      </c>
      <c r="J79" s="64">
        <v>0.09</v>
      </c>
      <c r="K79" s="64">
        <v>5.62</v>
      </c>
      <c r="L79" s="64">
        <v>27.9</v>
      </c>
      <c r="M79" s="64">
        <v>63.91</v>
      </c>
      <c r="N79" s="64">
        <v>104.1</v>
      </c>
      <c r="O79" s="64">
        <v>0</v>
      </c>
      <c r="P79" s="64">
        <v>0.63</v>
      </c>
      <c r="Q79" s="64">
        <v>5.71</v>
      </c>
      <c r="R79" s="198"/>
      <c r="S79" s="198"/>
      <c r="T79" s="198"/>
      <c r="U79" s="198"/>
    </row>
    <row r="80" spans="1:21" s="12" customFormat="1" x14ac:dyDescent="0.25">
      <c r="A80" s="215" t="s">
        <v>415</v>
      </c>
      <c r="B80" s="64">
        <v>7.04</v>
      </c>
      <c r="C80" s="64">
        <v>17.73</v>
      </c>
      <c r="D80" s="64">
        <v>16.07</v>
      </c>
      <c r="E80" s="64">
        <v>2.0299999999999998</v>
      </c>
      <c r="F80" s="64">
        <v>10.5</v>
      </c>
      <c r="G80" s="216" t="s">
        <v>43</v>
      </c>
      <c r="H80" s="216" t="s">
        <v>43</v>
      </c>
      <c r="I80" s="218" t="s">
        <v>36</v>
      </c>
      <c r="J80" s="64">
        <v>0.16</v>
      </c>
      <c r="K80" s="64">
        <v>40.4</v>
      </c>
      <c r="L80" s="64">
        <v>27.89</v>
      </c>
      <c r="M80" s="64">
        <v>63.6</v>
      </c>
      <c r="N80" s="64">
        <v>77.099999999999994</v>
      </c>
      <c r="O80" s="64">
        <v>0</v>
      </c>
      <c r="P80" s="64">
        <v>0.65</v>
      </c>
      <c r="Q80" s="64">
        <v>5.75</v>
      </c>
      <c r="R80" s="198"/>
      <c r="S80" s="198"/>
      <c r="T80" s="198"/>
      <c r="U80" s="198"/>
    </row>
    <row r="81" spans="1:26" s="12" customFormat="1" x14ac:dyDescent="0.25">
      <c r="A81" s="215" t="s">
        <v>416</v>
      </c>
      <c r="B81" s="64">
        <v>6.91</v>
      </c>
      <c r="C81" s="64">
        <v>17.68</v>
      </c>
      <c r="D81" s="64">
        <v>15.95</v>
      </c>
      <c r="E81" s="64">
        <v>2.25</v>
      </c>
      <c r="F81" s="64">
        <v>8.1199999999999992</v>
      </c>
      <c r="G81" s="216" t="s">
        <v>43</v>
      </c>
      <c r="H81" s="216" t="s">
        <v>43</v>
      </c>
      <c r="I81" s="218" t="s">
        <v>36</v>
      </c>
      <c r="J81" s="64">
        <v>7.0000000000000007E-2</v>
      </c>
      <c r="K81" s="64">
        <v>346.87</v>
      </c>
      <c r="L81" s="64">
        <v>27.67</v>
      </c>
      <c r="M81" s="64">
        <v>64.760000000000005</v>
      </c>
      <c r="N81" s="64">
        <v>59.8</v>
      </c>
      <c r="O81" s="64">
        <v>0</v>
      </c>
      <c r="P81" s="64">
        <v>0.66</v>
      </c>
      <c r="Q81" s="64">
        <v>7.9</v>
      </c>
      <c r="R81" s="198"/>
      <c r="S81" s="198"/>
      <c r="T81" s="198"/>
      <c r="U81" s="198"/>
    </row>
    <row r="82" spans="1:26" s="12" customFormat="1" x14ac:dyDescent="0.25">
      <c r="A82" s="215" t="s">
        <v>417</v>
      </c>
      <c r="B82" s="64">
        <v>6.15</v>
      </c>
      <c r="C82" s="64">
        <v>17.510000000000002</v>
      </c>
      <c r="D82" s="64">
        <v>15.24</v>
      </c>
      <c r="E82" s="64">
        <v>2.04</v>
      </c>
      <c r="F82" s="64">
        <v>5.88</v>
      </c>
      <c r="G82" s="216" t="s">
        <v>43</v>
      </c>
      <c r="H82" s="216" t="s">
        <v>43</v>
      </c>
      <c r="I82" s="218" t="s">
        <v>36</v>
      </c>
      <c r="J82" s="64">
        <v>0.09</v>
      </c>
      <c r="K82" s="64">
        <v>26.88</v>
      </c>
      <c r="L82" s="64">
        <v>27.52</v>
      </c>
      <c r="M82" s="64">
        <v>65.48</v>
      </c>
      <c r="N82" s="64">
        <v>48</v>
      </c>
      <c r="O82" s="64">
        <v>0</v>
      </c>
      <c r="P82" s="64">
        <v>0.65</v>
      </c>
      <c r="Q82" s="64">
        <v>8.0399999999999991</v>
      </c>
      <c r="R82" s="198"/>
      <c r="S82" s="198"/>
      <c r="T82" s="198"/>
      <c r="U82" s="198"/>
    </row>
    <row r="83" spans="1:26" s="12" customFormat="1" x14ac:dyDescent="0.25">
      <c r="A83" s="215" t="s">
        <v>418</v>
      </c>
      <c r="B83" s="64">
        <v>5.41</v>
      </c>
      <c r="C83" s="64">
        <v>16.98</v>
      </c>
      <c r="D83" s="64">
        <v>14.36</v>
      </c>
      <c r="E83" s="64">
        <v>2.0299999999999998</v>
      </c>
      <c r="F83" s="64">
        <v>13.26</v>
      </c>
      <c r="G83" s="216" t="s">
        <v>43</v>
      </c>
      <c r="H83" s="216" t="s">
        <v>43</v>
      </c>
      <c r="I83" s="218" t="s">
        <v>36</v>
      </c>
      <c r="J83" s="64">
        <v>0.08</v>
      </c>
      <c r="K83" s="64">
        <v>263.74</v>
      </c>
      <c r="L83" s="64">
        <v>27.39</v>
      </c>
      <c r="M83" s="64">
        <v>66.900000000000006</v>
      </c>
      <c r="N83" s="64">
        <v>39.4</v>
      </c>
      <c r="O83" s="64">
        <v>0</v>
      </c>
      <c r="P83" s="64">
        <v>0.65</v>
      </c>
      <c r="Q83" s="64">
        <v>5.24</v>
      </c>
      <c r="R83" s="198"/>
      <c r="S83" s="198"/>
      <c r="T83" s="198"/>
      <c r="U83" s="198"/>
    </row>
    <row r="84" spans="1:26" s="12" customFormat="1" x14ac:dyDescent="0.25">
      <c r="A84" s="215" t="s">
        <v>419</v>
      </c>
      <c r="B84" s="64">
        <v>5.16</v>
      </c>
      <c r="C84" s="64">
        <v>15.86</v>
      </c>
      <c r="D84" s="64">
        <v>13.54</v>
      </c>
      <c r="E84" s="64">
        <v>1.64</v>
      </c>
      <c r="F84" s="64">
        <v>10.54</v>
      </c>
      <c r="G84" s="216" t="s">
        <v>43</v>
      </c>
      <c r="H84" s="216" t="s">
        <v>43</v>
      </c>
      <c r="I84" s="218" t="s">
        <v>36</v>
      </c>
      <c r="J84" s="64">
        <v>0.04</v>
      </c>
      <c r="K84" s="64">
        <v>334.65</v>
      </c>
      <c r="L84" s="64">
        <v>27.22</v>
      </c>
      <c r="M84" s="64">
        <v>68.66</v>
      </c>
      <c r="N84" s="64">
        <v>34.799999999999997</v>
      </c>
      <c r="O84" s="64">
        <v>0</v>
      </c>
      <c r="P84" s="64">
        <v>0.68</v>
      </c>
      <c r="Q84" s="64">
        <v>3.46</v>
      </c>
      <c r="R84" s="198"/>
      <c r="S84" s="198"/>
      <c r="T84" s="198"/>
      <c r="U84" s="198"/>
    </row>
    <row r="85" spans="1:26" s="12" customFormat="1" x14ac:dyDescent="0.25">
      <c r="A85" s="215" t="s">
        <v>420</v>
      </c>
      <c r="B85" s="64">
        <v>5.18</v>
      </c>
      <c r="C85" s="64">
        <v>15.57</v>
      </c>
      <c r="D85" s="64">
        <v>13.4</v>
      </c>
      <c r="E85" s="64">
        <v>1.64</v>
      </c>
      <c r="F85" s="64">
        <v>8.6999999999999993</v>
      </c>
      <c r="G85" s="216" t="s">
        <v>43</v>
      </c>
      <c r="H85" s="216" t="s">
        <v>43</v>
      </c>
      <c r="I85" s="218" t="s">
        <v>36</v>
      </c>
      <c r="J85" s="64">
        <v>0.12</v>
      </c>
      <c r="K85" s="64">
        <v>207.28</v>
      </c>
      <c r="L85" s="64">
        <v>27.01</v>
      </c>
      <c r="M85" s="64">
        <v>70.209999999999994</v>
      </c>
      <c r="N85" s="64">
        <v>34.6</v>
      </c>
      <c r="O85" s="64">
        <v>0</v>
      </c>
      <c r="P85" s="64">
        <v>0.77</v>
      </c>
      <c r="Q85" s="64">
        <v>5.49</v>
      </c>
      <c r="R85" s="198"/>
      <c r="S85" s="198"/>
      <c r="T85" s="198"/>
      <c r="U85" s="198"/>
    </row>
    <row r="86" spans="1:26" s="12" customFormat="1" x14ac:dyDescent="0.25">
      <c r="A86" s="215" t="s">
        <v>421</v>
      </c>
      <c r="B86" s="64">
        <v>5.14</v>
      </c>
      <c r="C86" s="64">
        <v>18.170000000000002</v>
      </c>
      <c r="D86" s="64">
        <v>14.8</v>
      </c>
      <c r="E86" s="64">
        <v>2.17</v>
      </c>
      <c r="F86" s="64">
        <v>10.84</v>
      </c>
      <c r="G86" s="216" t="s">
        <v>43</v>
      </c>
      <c r="H86" s="216" t="s">
        <v>43</v>
      </c>
      <c r="I86" s="218" t="s">
        <v>36</v>
      </c>
      <c r="J86" s="64">
        <v>0.16</v>
      </c>
      <c r="K86" s="64">
        <v>203.91</v>
      </c>
      <c r="L86" s="64">
        <v>26.81</v>
      </c>
      <c r="M86" s="64">
        <v>71.42</v>
      </c>
      <c r="N86" s="64">
        <v>33.5</v>
      </c>
      <c r="O86" s="64">
        <v>0</v>
      </c>
      <c r="P86" s="64">
        <v>0.8</v>
      </c>
      <c r="Q86" s="64">
        <v>7.29</v>
      </c>
      <c r="R86" s="198"/>
      <c r="S86" s="198"/>
      <c r="T86" s="198"/>
      <c r="U86" s="198"/>
    </row>
    <row r="87" spans="1:26" s="12" customFormat="1" x14ac:dyDescent="0.25">
      <c r="A87" s="215" t="s">
        <v>422</v>
      </c>
      <c r="B87" s="64">
        <v>5.59</v>
      </c>
      <c r="C87" s="64">
        <v>21.54</v>
      </c>
      <c r="D87" s="64">
        <v>17.010000000000002</v>
      </c>
      <c r="E87" s="64">
        <v>1.97</v>
      </c>
      <c r="F87" s="64">
        <v>12.94</v>
      </c>
      <c r="G87" s="216" t="s">
        <v>43</v>
      </c>
      <c r="H87" s="216" t="s">
        <v>43</v>
      </c>
      <c r="I87" s="218" t="s">
        <v>36</v>
      </c>
      <c r="J87" s="64">
        <v>0.31</v>
      </c>
      <c r="K87" s="64">
        <v>198.24</v>
      </c>
      <c r="L87" s="64">
        <v>26.67</v>
      </c>
      <c r="M87" s="64">
        <v>72.08</v>
      </c>
      <c r="N87" s="64">
        <v>33.4</v>
      </c>
      <c r="O87" s="64">
        <v>0</v>
      </c>
      <c r="P87" s="64">
        <v>0.79</v>
      </c>
      <c r="Q87" s="64">
        <v>5.48</v>
      </c>
      <c r="R87" s="198"/>
      <c r="S87" s="198"/>
      <c r="T87" s="198"/>
      <c r="U87" s="198"/>
    </row>
    <row r="88" spans="1:26" s="12" customFormat="1" x14ac:dyDescent="0.25">
      <c r="A88" s="215" t="s">
        <v>423</v>
      </c>
      <c r="B88" s="64">
        <v>6.09</v>
      </c>
      <c r="C88" s="64">
        <v>21.62</v>
      </c>
      <c r="D88" s="64">
        <v>17.47</v>
      </c>
      <c r="E88" s="64">
        <v>2.2200000000000002</v>
      </c>
      <c r="F88" s="64">
        <v>15.27</v>
      </c>
      <c r="G88" s="216" t="s">
        <v>43</v>
      </c>
      <c r="H88" s="216" t="s">
        <v>43</v>
      </c>
      <c r="I88" s="218" t="s">
        <v>36</v>
      </c>
      <c r="J88" s="64">
        <v>0.09</v>
      </c>
      <c r="K88" s="64">
        <v>225.87</v>
      </c>
      <c r="L88" s="64">
        <v>26.48</v>
      </c>
      <c r="M88" s="64">
        <v>72.819999999999993</v>
      </c>
      <c r="N88" s="64">
        <v>33.5</v>
      </c>
      <c r="O88" s="64">
        <v>0</v>
      </c>
      <c r="P88" s="64">
        <v>0.8</v>
      </c>
      <c r="Q88" s="64">
        <v>6.04</v>
      </c>
      <c r="R88" s="198"/>
      <c r="S88" s="198"/>
      <c r="T88" s="198"/>
      <c r="U88" s="198"/>
    </row>
    <row r="89" spans="1:26" s="12" customFormat="1" x14ac:dyDescent="0.25">
      <c r="A89" s="215" t="s">
        <v>424</v>
      </c>
      <c r="B89" s="64">
        <v>6.88</v>
      </c>
      <c r="C89" s="64">
        <v>29.75</v>
      </c>
      <c r="D89" s="64">
        <v>22.58</v>
      </c>
      <c r="E89" s="64">
        <v>1.74</v>
      </c>
      <c r="F89" s="64">
        <v>19.18</v>
      </c>
      <c r="G89" s="216" t="s">
        <v>43</v>
      </c>
      <c r="H89" s="216" t="s">
        <v>43</v>
      </c>
      <c r="I89" s="218" t="s">
        <v>36</v>
      </c>
      <c r="J89" s="64">
        <v>0.05</v>
      </c>
      <c r="K89" s="64">
        <v>276.14</v>
      </c>
      <c r="L89" s="64">
        <v>26.36</v>
      </c>
      <c r="M89" s="64">
        <v>73.180000000000007</v>
      </c>
      <c r="N89" s="64">
        <v>33.299999999999997</v>
      </c>
      <c r="O89" s="64">
        <v>0</v>
      </c>
      <c r="P89" s="64">
        <v>0.78</v>
      </c>
      <c r="Q89" s="64">
        <v>8.64</v>
      </c>
      <c r="R89" s="198"/>
      <c r="S89" s="198"/>
      <c r="T89" s="198"/>
      <c r="U89" s="198"/>
    </row>
    <row r="90" spans="1:26" s="12" customFormat="1" x14ac:dyDescent="0.25">
      <c r="A90" s="215" t="s">
        <v>425</v>
      </c>
      <c r="B90" s="64">
        <v>6.05</v>
      </c>
      <c r="C90" s="64">
        <v>21.92</v>
      </c>
      <c r="D90" s="64">
        <v>17.59</v>
      </c>
      <c r="E90" s="64">
        <v>2.56</v>
      </c>
      <c r="F90" s="64">
        <v>20.29</v>
      </c>
      <c r="G90" s="216" t="s">
        <v>43</v>
      </c>
      <c r="H90" s="216" t="s">
        <v>43</v>
      </c>
      <c r="I90" s="218" t="s">
        <v>36</v>
      </c>
      <c r="J90" s="64">
        <v>0.01</v>
      </c>
      <c r="K90" s="64">
        <v>229.59</v>
      </c>
      <c r="L90" s="64">
        <v>26.33</v>
      </c>
      <c r="M90" s="64">
        <v>73.319999999999993</v>
      </c>
      <c r="N90" s="64">
        <v>33.200000000000003</v>
      </c>
      <c r="O90" s="64">
        <v>0</v>
      </c>
      <c r="P90" s="64">
        <v>0.81</v>
      </c>
      <c r="Q90" s="64">
        <v>9.9499999999999993</v>
      </c>
      <c r="R90" s="198"/>
      <c r="S90" s="198"/>
      <c r="T90" s="198"/>
      <c r="U90" s="198"/>
    </row>
    <row r="91" spans="1:26" s="12" customFormat="1" x14ac:dyDescent="0.25">
      <c r="A91" s="215" t="s">
        <v>426</v>
      </c>
      <c r="B91" s="64">
        <v>6.11</v>
      </c>
      <c r="C91" s="64">
        <v>23.79</v>
      </c>
      <c r="D91" s="64">
        <v>18.68</v>
      </c>
      <c r="E91" s="64">
        <v>2.58</v>
      </c>
      <c r="F91" s="64">
        <v>19.95</v>
      </c>
      <c r="G91" s="216" t="s">
        <v>43</v>
      </c>
      <c r="H91" s="216" t="s">
        <v>43</v>
      </c>
      <c r="I91" s="218" t="s">
        <v>36</v>
      </c>
      <c r="J91" s="64">
        <v>0.17</v>
      </c>
      <c r="K91" s="64">
        <v>225.53</v>
      </c>
      <c r="L91" s="64">
        <v>26.28</v>
      </c>
      <c r="M91" s="64">
        <v>74.08</v>
      </c>
      <c r="N91" s="64">
        <v>33.299999999999997</v>
      </c>
      <c r="O91" s="64">
        <v>0</v>
      </c>
      <c r="P91" s="64">
        <v>0.81</v>
      </c>
      <c r="Q91" s="64">
        <v>11.14</v>
      </c>
      <c r="R91" s="198"/>
      <c r="S91" s="198"/>
      <c r="T91" s="198"/>
      <c r="U91" s="198"/>
    </row>
    <row r="92" spans="1:26" s="12" customFormat="1" x14ac:dyDescent="0.25">
      <c r="A92" s="215" t="s">
        <v>427</v>
      </c>
      <c r="B92" s="64">
        <v>6.16</v>
      </c>
      <c r="C92" s="64">
        <v>20.48</v>
      </c>
      <c r="D92" s="64">
        <v>16.89</v>
      </c>
      <c r="E92" s="64">
        <v>2.48</v>
      </c>
      <c r="F92" s="64">
        <v>16.37</v>
      </c>
      <c r="G92" s="216" t="s">
        <v>43</v>
      </c>
      <c r="H92" s="216" t="s">
        <v>43</v>
      </c>
      <c r="I92" s="218" t="s">
        <v>36</v>
      </c>
      <c r="J92" s="64">
        <v>0.12</v>
      </c>
      <c r="K92" s="64">
        <v>220.23</v>
      </c>
      <c r="L92" s="64">
        <v>26.14</v>
      </c>
      <c r="M92" s="64">
        <v>75.27</v>
      </c>
      <c r="N92" s="64">
        <v>33.4</v>
      </c>
      <c r="O92" s="64">
        <v>0</v>
      </c>
      <c r="P92" s="64">
        <v>0.81</v>
      </c>
      <c r="Q92" s="64">
        <v>12.77</v>
      </c>
      <c r="R92" s="198"/>
      <c r="S92" s="198"/>
      <c r="T92" s="198"/>
      <c r="U92" s="198"/>
    </row>
    <row r="93" spans="1:26" s="12" customFormat="1" x14ac:dyDescent="0.25">
      <c r="A93" s="215" t="s">
        <v>428</v>
      </c>
      <c r="B93" s="64">
        <v>7.45</v>
      </c>
      <c r="C93" s="64">
        <v>17.7</v>
      </c>
      <c r="D93" s="64">
        <v>16.39</v>
      </c>
      <c r="E93" s="64">
        <v>2.6</v>
      </c>
      <c r="F93" s="64">
        <v>8.48</v>
      </c>
      <c r="G93" s="216" t="s">
        <v>43</v>
      </c>
      <c r="H93" s="216" t="s">
        <v>43</v>
      </c>
      <c r="I93" s="218" t="s">
        <v>36</v>
      </c>
      <c r="J93" s="64">
        <v>0.02</v>
      </c>
      <c r="K93" s="64">
        <v>267.87</v>
      </c>
      <c r="L93" s="64">
        <v>26.01</v>
      </c>
      <c r="M93" s="64">
        <v>76.05</v>
      </c>
      <c r="N93" s="64">
        <v>33.700000000000003</v>
      </c>
      <c r="O93" s="64">
        <v>0</v>
      </c>
      <c r="P93" s="64">
        <v>0.82</v>
      </c>
      <c r="Q93" s="64">
        <v>14.59</v>
      </c>
      <c r="R93" s="198"/>
      <c r="S93" s="198"/>
      <c r="T93" s="198"/>
      <c r="U93" s="198"/>
    </row>
    <row r="94" spans="1:26" s="12" customFormat="1" x14ac:dyDescent="0.25">
      <c r="A94" s="215" t="s">
        <v>429</v>
      </c>
      <c r="B94" s="64">
        <v>7.5</v>
      </c>
      <c r="C94" s="64">
        <v>18.37</v>
      </c>
      <c r="D94" s="64">
        <v>16.8</v>
      </c>
      <c r="E94" s="64">
        <v>2.23</v>
      </c>
      <c r="F94" s="64">
        <v>11.88</v>
      </c>
      <c r="G94" s="216" t="s">
        <v>43</v>
      </c>
      <c r="H94" s="216" t="s">
        <v>43</v>
      </c>
      <c r="I94" s="218" t="s">
        <v>36</v>
      </c>
      <c r="J94" s="64">
        <v>0.06</v>
      </c>
      <c r="K94" s="64">
        <v>186.86</v>
      </c>
      <c r="L94" s="64">
        <v>25.95</v>
      </c>
      <c r="M94" s="64">
        <v>76.52</v>
      </c>
      <c r="N94" s="64">
        <v>33.799999999999997</v>
      </c>
      <c r="O94" s="64">
        <v>0</v>
      </c>
      <c r="P94" s="64">
        <v>0.81</v>
      </c>
      <c r="Q94" s="64">
        <v>15.07</v>
      </c>
      <c r="R94" s="198"/>
      <c r="S94" s="198"/>
      <c r="T94" s="198"/>
      <c r="U94" s="198"/>
    </row>
    <row r="95" spans="1:26" s="12" customFormat="1" x14ac:dyDescent="0.25">
      <c r="A95" s="215" t="s">
        <v>430</v>
      </c>
      <c r="B95" s="64">
        <v>7</v>
      </c>
      <c r="C95" s="64">
        <v>16.97</v>
      </c>
      <c r="D95" s="64">
        <v>15.63</v>
      </c>
      <c r="E95" s="64">
        <v>2.4700000000000002</v>
      </c>
      <c r="F95" s="64">
        <v>11.08</v>
      </c>
      <c r="G95" s="216" t="s">
        <v>43</v>
      </c>
      <c r="H95" s="216" t="s">
        <v>43</v>
      </c>
      <c r="I95" s="218" t="s">
        <v>36</v>
      </c>
      <c r="J95" s="64">
        <v>0.12</v>
      </c>
      <c r="K95" s="64">
        <v>206.91</v>
      </c>
      <c r="L95" s="64">
        <v>25.83</v>
      </c>
      <c r="M95" s="64">
        <v>76.87</v>
      </c>
      <c r="N95" s="64">
        <v>33.700000000000003</v>
      </c>
      <c r="O95" s="64">
        <v>0</v>
      </c>
      <c r="P95" s="64">
        <v>0.81</v>
      </c>
      <c r="Q95" s="64">
        <v>11.99</v>
      </c>
      <c r="R95" s="198"/>
      <c r="S95" s="198"/>
      <c r="T95" s="198"/>
      <c r="U95" s="198"/>
    </row>
    <row r="96" spans="1:26" s="12" customFormat="1" x14ac:dyDescent="0.25">
      <c r="A96" s="215" t="s">
        <v>431</v>
      </c>
      <c r="B96" s="64">
        <v>6.94</v>
      </c>
      <c r="C96" s="64">
        <v>16.059999999999999</v>
      </c>
      <c r="D96" s="64">
        <v>15.08</v>
      </c>
      <c r="E96" s="64">
        <v>2.36</v>
      </c>
      <c r="F96" s="64">
        <v>9.9</v>
      </c>
      <c r="G96" s="216" t="s">
        <v>43</v>
      </c>
      <c r="H96" s="216" t="s">
        <v>43</v>
      </c>
      <c r="I96" s="218" t="s">
        <v>36</v>
      </c>
      <c r="J96" s="64">
        <v>0.05</v>
      </c>
      <c r="K96" s="64">
        <v>244.61</v>
      </c>
      <c r="L96" s="64">
        <v>25.58</v>
      </c>
      <c r="M96" s="64">
        <v>78.86</v>
      </c>
      <c r="N96" s="64">
        <v>33.9</v>
      </c>
      <c r="O96" s="64">
        <v>0</v>
      </c>
      <c r="P96" s="64">
        <v>0.81</v>
      </c>
      <c r="Q96" s="64">
        <v>11.66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432</v>
      </c>
      <c r="B97" s="64">
        <v>7.51</v>
      </c>
      <c r="C97" s="64">
        <v>17.32</v>
      </c>
      <c r="D97" s="64">
        <v>16.23</v>
      </c>
      <c r="E97" s="64">
        <v>2.4900000000000002</v>
      </c>
      <c r="F97" s="64">
        <v>8.3699999999999992</v>
      </c>
      <c r="G97" s="216" t="s">
        <v>43</v>
      </c>
      <c r="H97" s="216" t="s">
        <v>43</v>
      </c>
      <c r="I97" s="218" t="s">
        <v>36</v>
      </c>
      <c r="J97" s="64">
        <v>0.03</v>
      </c>
      <c r="K97" s="64">
        <v>346.99</v>
      </c>
      <c r="L97" s="64">
        <v>25.49</v>
      </c>
      <c r="M97" s="64">
        <v>79.12</v>
      </c>
      <c r="N97" s="64">
        <v>33.799999999999997</v>
      </c>
      <c r="O97" s="64">
        <v>0</v>
      </c>
      <c r="P97" s="64">
        <v>0.81</v>
      </c>
      <c r="Q97" s="64">
        <v>14.07</v>
      </c>
      <c r="R97" s="198"/>
      <c r="S97" s="198"/>
      <c r="T97" s="198"/>
      <c r="U97" s="198"/>
    </row>
    <row r="98" spans="1:33" s="12" customFormat="1" x14ac:dyDescent="0.25">
      <c r="A98" s="215" t="s">
        <v>433</v>
      </c>
      <c r="B98" s="64">
        <v>7.63</v>
      </c>
      <c r="C98" s="64">
        <v>17.48</v>
      </c>
      <c r="D98" s="64">
        <v>16.41</v>
      </c>
      <c r="E98" s="64">
        <v>2.37</v>
      </c>
      <c r="F98" s="64">
        <v>9.36</v>
      </c>
      <c r="G98" s="216" t="s">
        <v>43</v>
      </c>
      <c r="H98" s="216" t="s">
        <v>43</v>
      </c>
      <c r="I98" s="218" t="s">
        <v>36</v>
      </c>
      <c r="J98" s="64">
        <v>0.04</v>
      </c>
      <c r="K98" s="64">
        <v>250.36</v>
      </c>
      <c r="L98" s="64">
        <v>25.59</v>
      </c>
      <c r="M98" s="64">
        <v>78.02</v>
      </c>
      <c r="N98" s="64">
        <v>33.299999999999997</v>
      </c>
      <c r="O98" s="64">
        <v>0</v>
      </c>
      <c r="P98" s="64">
        <v>0.79</v>
      </c>
      <c r="Q98" s="64">
        <v>12.64</v>
      </c>
      <c r="R98" s="198"/>
      <c r="S98" s="198"/>
      <c r="T98" s="198"/>
      <c r="U98" s="198"/>
    </row>
    <row r="99" spans="1:33" s="12" customFormat="1" x14ac:dyDescent="0.25">
      <c r="A99" s="215" t="s">
        <v>434</v>
      </c>
      <c r="B99" s="64">
        <v>7.65</v>
      </c>
      <c r="C99" s="64">
        <v>15.39</v>
      </c>
      <c r="D99" s="64">
        <v>15.27</v>
      </c>
      <c r="E99" s="64">
        <v>2.36</v>
      </c>
      <c r="F99" s="64">
        <v>8.9</v>
      </c>
      <c r="G99" s="216" t="s">
        <v>43</v>
      </c>
      <c r="H99" s="216" t="s">
        <v>43</v>
      </c>
      <c r="I99" s="218" t="s">
        <v>36</v>
      </c>
      <c r="J99" s="64">
        <v>7.0000000000000007E-2</v>
      </c>
      <c r="K99" s="64">
        <v>15.27</v>
      </c>
      <c r="L99" s="64">
        <v>25.54</v>
      </c>
      <c r="M99" s="64">
        <v>78.73</v>
      </c>
      <c r="N99" s="64">
        <v>33.6</v>
      </c>
      <c r="O99" s="64">
        <v>0</v>
      </c>
      <c r="P99" s="64">
        <v>0.78</v>
      </c>
      <c r="Q99" s="64">
        <v>9.7799999999999994</v>
      </c>
      <c r="R99" s="198"/>
      <c r="S99" s="198"/>
      <c r="T99" s="198"/>
      <c r="U99" s="198"/>
    </row>
    <row r="100" spans="1:33" s="12" customFormat="1" x14ac:dyDescent="0.25">
      <c r="A100" s="215" t="s">
        <v>435</v>
      </c>
      <c r="B100" s="64">
        <v>8.94</v>
      </c>
      <c r="C100" s="64">
        <v>22.8</v>
      </c>
      <c r="D100" s="64">
        <v>20.399999999999999</v>
      </c>
      <c r="E100" s="64">
        <v>2.79</v>
      </c>
      <c r="F100" s="64">
        <v>12.1</v>
      </c>
      <c r="G100" s="216" t="s">
        <v>43</v>
      </c>
      <c r="H100" s="216" t="s">
        <v>43</v>
      </c>
      <c r="I100" s="218" t="s">
        <v>36</v>
      </c>
      <c r="J100" s="64">
        <v>0.1</v>
      </c>
      <c r="K100" s="64">
        <v>32.47</v>
      </c>
      <c r="L100" s="64">
        <v>25.41</v>
      </c>
      <c r="M100" s="64">
        <v>79.650000000000006</v>
      </c>
      <c r="N100" s="64">
        <v>33.6</v>
      </c>
      <c r="O100" s="64">
        <v>0</v>
      </c>
      <c r="P100" s="64">
        <v>0.78</v>
      </c>
      <c r="Q100" s="64">
        <v>12.04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436</v>
      </c>
      <c r="B101" s="64">
        <v>9.2899999999999991</v>
      </c>
      <c r="C101" s="64">
        <v>21.87</v>
      </c>
      <c r="D101" s="64">
        <v>20.170000000000002</v>
      </c>
      <c r="E101" s="64">
        <v>2.54</v>
      </c>
      <c r="F101" s="64">
        <v>10.85</v>
      </c>
      <c r="G101" s="216" t="s">
        <v>43</v>
      </c>
      <c r="H101" s="216" t="s">
        <v>43</v>
      </c>
      <c r="I101" s="218" t="s">
        <v>36</v>
      </c>
      <c r="J101" s="64">
        <v>0.1</v>
      </c>
      <c r="K101" s="64">
        <v>55.95</v>
      </c>
      <c r="L101" s="64">
        <v>25.38</v>
      </c>
      <c r="M101" s="64">
        <v>80.03</v>
      </c>
      <c r="N101" s="64">
        <v>33.6</v>
      </c>
      <c r="O101" s="64">
        <v>0</v>
      </c>
      <c r="P101" s="64">
        <v>0.81</v>
      </c>
      <c r="Q101" s="64">
        <v>12.62</v>
      </c>
      <c r="R101" s="198"/>
      <c r="S101" s="198"/>
      <c r="T101" s="198"/>
      <c r="U101" s="198"/>
    </row>
    <row r="102" spans="1:33" s="12" customFormat="1" x14ac:dyDescent="0.25">
      <c r="A102" s="215" t="s">
        <v>437</v>
      </c>
      <c r="B102" s="64">
        <v>27.54</v>
      </c>
      <c r="C102" s="64">
        <v>28.01</v>
      </c>
      <c r="D102" s="64">
        <v>38.19</v>
      </c>
      <c r="E102" s="64">
        <v>2.6</v>
      </c>
      <c r="F102" s="64">
        <v>10.66</v>
      </c>
      <c r="G102" s="216" t="s">
        <v>43</v>
      </c>
      <c r="H102" s="216" t="s">
        <v>43</v>
      </c>
      <c r="I102" s="218" t="s">
        <v>36</v>
      </c>
      <c r="J102" s="64">
        <v>0.06</v>
      </c>
      <c r="K102" s="64">
        <v>25.93</v>
      </c>
      <c r="L102" s="64">
        <v>25.3</v>
      </c>
      <c r="M102" s="64">
        <v>80.709999999999994</v>
      </c>
      <c r="N102" s="64">
        <v>33.6</v>
      </c>
      <c r="O102" s="64">
        <v>0</v>
      </c>
      <c r="P102" s="64">
        <v>0.8</v>
      </c>
      <c r="Q102" s="64">
        <v>14.84</v>
      </c>
      <c r="R102" s="198"/>
      <c r="S102" s="198"/>
      <c r="T102" s="198"/>
      <c r="U102" s="198"/>
    </row>
    <row r="103" spans="1:33" s="12" customFormat="1" x14ac:dyDescent="0.25">
      <c r="A103" s="215" t="s">
        <v>438</v>
      </c>
      <c r="B103" s="64">
        <v>11.38</v>
      </c>
      <c r="C103" s="64">
        <v>18.170000000000002</v>
      </c>
      <c r="D103" s="64">
        <v>19.8</v>
      </c>
      <c r="E103" s="64">
        <v>2.06</v>
      </c>
      <c r="F103" s="64">
        <v>15.02</v>
      </c>
      <c r="G103" s="216" t="s">
        <v>43</v>
      </c>
      <c r="H103" s="216" t="s">
        <v>43</v>
      </c>
      <c r="I103" s="218" t="s">
        <v>36</v>
      </c>
      <c r="J103" s="64">
        <v>0.09</v>
      </c>
      <c r="K103" s="64">
        <v>9.3000000000000007</v>
      </c>
      <c r="L103" s="64">
        <v>25.13</v>
      </c>
      <c r="M103" s="64">
        <v>81.39</v>
      </c>
      <c r="N103" s="64">
        <v>33.799999999999997</v>
      </c>
      <c r="O103" s="64">
        <v>0</v>
      </c>
      <c r="P103" s="64">
        <v>0.8</v>
      </c>
      <c r="Q103" s="64">
        <v>14.85</v>
      </c>
      <c r="R103" s="198"/>
      <c r="S103" s="198"/>
      <c r="T103" s="198"/>
      <c r="U103" s="198"/>
    </row>
    <row r="104" spans="1:33" s="12" customFormat="1" x14ac:dyDescent="0.25">
      <c r="A104" s="215" t="s">
        <v>439</v>
      </c>
      <c r="B104" s="64">
        <v>12.36</v>
      </c>
      <c r="C104" s="64">
        <v>19.02</v>
      </c>
      <c r="D104" s="64">
        <v>21.05</v>
      </c>
      <c r="E104" s="64">
        <v>1.73</v>
      </c>
      <c r="F104" s="64">
        <v>10.38</v>
      </c>
      <c r="G104" s="216" t="s">
        <v>43</v>
      </c>
      <c r="H104" s="216" t="s">
        <v>43</v>
      </c>
      <c r="I104" s="218" t="s">
        <v>36</v>
      </c>
      <c r="J104" s="64">
        <v>7.0000000000000007E-2</v>
      </c>
      <c r="K104" s="64">
        <v>31.48</v>
      </c>
      <c r="L104" s="64">
        <v>25.1</v>
      </c>
      <c r="M104" s="64">
        <v>80.92</v>
      </c>
      <c r="N104" s="64">
        <v>33.700000000000003</v>
      </c>
      <c r="O104" s="64">
        <v>0</v>
      </c>
      <c r="P104" s="64">
        <v>0.8</v>
      </c>
      <c r="Q104" s="64">
        <v>17.350000000000001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3.73</v>
      </c>
      <c r="C106" s="67">
        <f>MIN(C9:C104)</f>
        <v>11.45</v>
      </c>
      <c r="D106" s="67">
        <f t="shared" ref="D106:Q106" si="0">MIN(D9:D104)</f>
        <v>12.48</v>
      </c>
      <c r="E106" s="67">
        <f t="shared" si="0"/>
        <v>0.78</v>
      </c>
      <c r="F106" s="67">
        <f t="shared" si="0"/>
        <v>3.33</v>
      </c>
      <c r="G106" s="67">
        <f t="shared" si="0"/>
        <v>0</v>
      </c>
      <c r="H106" s="67">
        <f t="shared" si="0"/>
        <v>0</v>
      </c>
      <c r="I106" s="67">
        <f t="shared" si="0"/>
        <v>0.49</v>
      </c>
      <c r="J106" s="67">
        <f t="shared" si="0"/>
        <v>0.01</v>
      </c>
      <c r="K106" s="67">
        <f t="shared" si="0"/>
        <v>0.23</v>
      </c>
      <c r="L106" s="67">
        <f t="shared" si="0"/>
        <v>23.42</v>
      </c>
      <c r="M106" s="67">
        <f t="shared" si="0"/>
        <v>53.86</v>
      </c>
      <c r="N106" s="67">
        <f t="shared" si="0"/>
        <v>13</v>
      </c>
      <c r="O106" s="67">
        <f t="shared" si="0"/>
        <v>0</v>
      </c>
      <c r="P106" s="67">
        <f t="shared" si="0"/>
        <v>0.59</v>
      </c>
      <c r="Q106" s="67">
        <f t="shared" si="0"/>
        <v>2.31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27.54</v>
      </c>
      <c r="C107" s="66">
        <f t="shared" ref="C107:Q107" si="1">MAX(C9:C104)</f>
        <v>29.75</v>
      </c>
      <c r="D107" s="66">
        <f t="shared" si="1"/>
        <v>38.19</v>
      </c>
      <c r="E107" s="66">
        <f t="shared" si="1"/>
        <v>2.92</v>
      </c>
      <c r="F107" s="66">
        <f t="shared" si="1"/>
        <v>33.11</v>
      </c>
      <c r="G107" s="66">
        <f t="shared" si="1"/>
        <v>0</v>
      </c>
      <c r="H107" s="66">
        <f t="shared" si="1"/>
        <v>0</v>
      </c>
      <c r="I107" s="66">
        <f t="shared" si="1"/>
        <v>0.62</v>
      </c>
      <c r="J107" s="66">
        <f t="shared" si="1"/>
        <v>0.59</v>
      </c>
      <c r="K107" s="66">
        <f t="shared" si="1"/>
        <v>357.05</v>
      </c>
      <c r="L107" s="66">
        <f t="shared" si="1"/>
        <v>31.02</v>
      </c>
      <c r="M107" s="66">
        <f t="shared" si="1"/>
        <v>85.6</v>
      </c>
      <c r="N107" s="66">
        <f t="shared" si="1"/>
        <v>729.5</v>
      </c>
      <c r="O107" s="66">
        <f t="shared" si="1"/>
        <v>0</v>
      </c>
      <c r="P107" s="66">
        <f t="shared" si="1"/>
        <v>1.0900000000000001</v>
      </c>
      <c r="Q107" s="66">
        <f t="shared" si="1"/>
        <v>19.53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7.9268749999999955</v>
      </c>
      <c r="C108" s="67">
        <f t="shared" ref="C108:Q108" si="2">AVERAGE(C9:C104)</f>
        <v>17.383333333333329</v>
      </c>
      <c r="D108" s="67">
        <f t="shared" si="2"/>
        <v>16.596458333333334</v>
      </c>
      <c r="E108" s="67">
        <f t="shared" si="2"/>
        <v>1.8928124999999991</v>
      </c>
      <c r="F108" s="67">
        <f t="shared" si="2"/>
        <v>9.2631249999999987</v>
      </c>
      <c r="G108" s="67" t="e">
        <f t="shared" si="2"/>
        <v>#DIV/0!</v>
      </c>
      <c r="H108" s="67" t="e">
        <f t="shared" si="2"/>
        <v>#DIV/0!</v>
      </c>
      <c r="I108" s="67">
        <f t="shared" si="2"/>
        <v>0.55094339622641531</v>
      </c>
      <c r="J108" s="67">
        <f t="shared" si="2"/>
        <v>0.15322916666666661</v>
      </c>
      <c r="K108" s="67">
        <f t="shared" si="2"/>
        <v>130.04093750000001</v>
      </c>
      <c r="L108" s="67">
        <f t="shared" si="2"/>
        <v>26.947708333333342</v>
      </c>
      <c r="M108" s="67">
        <f t="shared" si="2"/>
        <v>69.885416666666657</v>
      </c>
      <c r="N108" s="67">
        <f t="shared" si="2"/>
        <v>184.24374999999989</v>
      </c>
      <c r="O108" s="67">
        <f t="shared" si="2"/>
        <v>0</v>
      </c>
      <c r="P108" s="67">
        <f t="shared" si="2"/>
        <v>0.75020833333333325</v>
      </c>
      <c r="Q108" s="67">
        <f t="shared" si="2"/>
        <v>11.080520833333331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3.1175369199687881</v>
      </c>
      <c r="C109" s="67">
        <f t="shared" ref="C109:Q109" si="3">STDEV(C9:C104)</f>
        <v>3.5778645988521585</v>
      </c>
      <c r="D109" s="67">
        <f t="shared" si="3"/>
        <v>2.9769153866541584</v>
      </c>
      <c r="E109" s="67">
        <f t="shared" si="3"/>
        <v>0.53098855795978583</v>
      </c>
      <c r="F109" s="67">
        <f t="shared" si="3"/>
        <v>5.0420906926226152</v>
      </c>
      <c r="G109" s="67" t="e">
        <f t="shared" si="3"/>
        <v>#DIV/0!</v>
      </c>
      <c r="H109" s="67" t="e">
        <f t="shared" si="3"/>
        <v>#DIV/0!</v>
      </c>
      <c r="I109" s="67">
        <f t="shared" si="3"/>
        <v>3.2890503126831908E-2</v>
      </c>
      <c r="J109" s="67">
        <f t="shared" si="3"/>
        <v>0.10977963373256523</v>
      </c>
      <c r="K109" s="67">
        <f t="shared" si="3"/>
        <v>131.85516137496134</v>
      </c>
      <c r="L109" s="67">
        <f t="shared" si="3"/>
        <v>2.2788401847692827</v>
      </c>
      <c r="M109" s="67">
        <f t="shared" si="3"/>
        <v>10.454723225379979</v>
      </c>
      <c r="N109" s="67">
        <f t="shared" si="3"/>
        <v>206.2594303107262</v>
      </c>
      <c r="O109" s="67">
        <f t="shared" si="3"/>
        <v>0</v>
      </c>
      <c r="P109" s="67">
        <f t="shared" si="3"/>
        <v>0.10492081391689133</v>
      </c>
      <c r="Q109" s="67">
        <f t="shared" si="3"/>
        <v>4.9905216201983018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0</v>
      </c>
      <c r="H110" s="66">
        <f t="shared" si="4"/>
        <v>0</v>
      </c>
      <c r="I110" s="66">
        <f>COUNT(I9:I104)+43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440</v>
      </c>
      <c r="B9" s="64">
        <v>11.09</v>
      </c>
      <c r="C9" s="64">
        <v>16.23</v>
      </c>
      <c r="D9" s="64">
        <v>18.5</v>
      </c>
      <c r="E9" s="64">
        <v>2.59</v>
      </c>
      <c r="F9" s="64">
        <v>6.17</v>
      </c>
      <c r="G9" s="216" t="s">
        <v>43</v>
      </c>
      <c r="H9" s="216" t="s">
        <v>43</v>
      </c>
      <c r="I9" s="218" t="s">
        <v>36</v>
      </c>
      <c r="J9" s="64">
        <v>0.08</v>
      </c>
      <c r="K9" s="64">
        <v>31.56</v>
      </c>
      <c r="L9" s="64">
        <v>25.15</v>
      </c>
      <c r="M9" s="64">
        <v>80.260000000000005</v>
      </c>
      <c r="N9" s="64">
        <v>33.5</v>
      </c>
      <c r="O9" s="64">
        <v>0</v>
      </c>
      <c r="P9" s="64">
        <v>0.81</v>
      </c>
      <c r="Q9" s="64">
        <v>18.350000000000001</v>
      </c>
      <c r="R9" s="198"/>
      <c r="S9" s="198"/>
      <c r="T9" s="198"/>
      <c r="U9" s="198"/>
    </row>
    <row r="10" spans="1:21" s="12" customFormat="1" x14ac:dyDescent="0.25">
      <c r="A10" s="215" t="s">
        <v>441</v>
      </c>
      <c r="B10" s="64">
        <v>9.25</v>
      </c>
      <c r="C10" s="64">
        <v>16.760000000000002</v>
      </c>
      <c r="D10" s="64">
        <v>17.309999999999999</v>
      </c>
      <c r="E10" s="64">
        <v>2.64</v>
      </c>
      <c r="F10" s="64">
        <v>9.49</v>
      </c>
      <c r="G10" s="216" t="s">
        <v>43</v>
      </c>
      <c r="H10" s="216" t="s">
        <v>43</v>
      </c>
      <c r="I10" s="218" t="s">
        <v>36</v>
      </c>
      <c r="J10" s="64">
        <v>0.05</v>
      </c>
      <c r="K10" s="64">
        <v>354.88</v>
      </c>
      <c r="L10" s="64">
        <v>25.01</v>
      </c>
      <c r="M10" s="64">
        <v>81.38</v>
      </c>
      <c r="N10" s="64">
        <v>33.700000000000003</v>
      </c>
      <c r="O10" s="64">
        <v>0</v>
      </c>
      <c r="P10" s="64">
        <v>0.79</v>
      </c>
      <c r="Q10" s="64">
        <v>18.04</v>
      </c>
      <c r="R10" s="198"/>
      <c r="S10" s="198"/>
      <c r="T10" s="198"/>
      <c r="U10" s="198"/>
    </row>
    <row r="11" spans="1:21" s="12" customFormat="1" x14ac:dyDescent="0.25">
      <c r="A11" s="215" t="s">
        <v>442</v>
      </c>
      <c r="B11" s="64">
        <v>8.66</v>
      </c>
      <c r="C11" s="64">
        <v>15</v>
      </c>
      <c r="D11" s="64">
        <v>15.87</v>
      </c>
      <c r="E11" s="64">
        <v>2.04</v>
      </c>
      <c r="F11" s="64">
        <v>8.81</v>
      </c>
      <c r="G11" s="216" t="s">
        <v>43</v>
      </c>
      <c r="H11" s="216" t="s">
        <v>43</v>
      </c>
      <c r="I11" s="218" t="s">
        <v>36</v>
      </c>
      <c r="J11" s="64">
        <v>0.12</v>
      </c>
      <c r="K11" s="64">
        <v>197.8</v>
      </c>
      <c r="L11" s="64">
        <v>24.81</v>
      </c>
      <c r="M11" s="64">
        <v>83.73</v>
      </c>
      <c r="N11" s="64">
        <v>33.5</v>
      </c>
      <c r="O11" s="64">
        <v>0</v>
      </c>
      <c r="P11" s="64">
        <v>0.77</v>
      </c>
      <c r="Q11" s="64">
        <v>14.61</v>
      </c>
      <c r="R11" s="198"/>
      <c r="S11" s="198"/>
      <c r="T11" s="198"/>
      <c r="U11" s="198"/>
    </row>
    <row r="12" spans="1:21" s="12" customFormat="1" x14ac:dyDescent="0.25">
      <c r="A12" s="215" t="s">
        <v>443</v>
      </c>
      <c r="B12" s="64">
        <v>9.4700000000000006</v>
      </c>
      <c r="C12" s="64">
        <v>14.43</v>
      </c>
      <c r="D12" s="64">
        <v>16.2</v>
      </c>
      <c r="E12" s="64">
        <v>2.42</v>
      </c>
      <c r="F12" s="64">
        <v>6.33</v>
      </c>
      <c r="G12" s="216" t="s">
        <v>43</v>
      </c>
      <c r="H12" s="216" t="s">
        <v>43</v>
      </c>
      <c r="I12" s="218" t="s">
        <v>36</v>
      </c>
      <c r="J12" s="64">
        <v>0.1</v>
      </c>
      <c r="K12" s="64">
        <v>186.44</v>
      </c>
      <c r="L12" s="64">
        <v>24.49</v>
      </c>
      <c r="M12" s="64">
        <v>86.33</v>
      </c>
      <c r="N12" s="64">
        <v>33.700000000000003</v>
      </c>
      <c r="O12" s="64">
        <v>0</v>
      </c>
      <c r="P12" s="64">
        <v>0.77</v>
      </c>
      <c r="Q12" s="64">
        <v>16.149999999999999</v>
      </c>
      <c r="R12" s="198"/>
      <c r="S12" s="198"/>
      <c r="T12" s="198"/>
      <c r="U12" s="198"/>
    </row>
    <row r="13" spans="1:21" s="12" customFormat="1" x14ac:dyDescent="0.25">
      <c r="A13" s="215" t="s">
        <v>444</v>
      </c>
      <c r="B13" s="64">
        <v>8.7799999999999994</v>
      </c>
      <c r="C13" s="64">
        <v>16.18</v>
      </c>
      <c r="D13" s="64">
        <v>16.62</v>
      </c>
      <c r="E13" s="64">
        <v>2.37</v>
      </c>
      <c r="F13" s="64">
        <v>7.35</v>
      </c>
      <c r="G13" s="216" t="s">
        <v>43</v>
      </c>
      <c r="H13" s="216" t="s">
        <v>43</v>
      </c>
      <c r="I13" s="218" t="s">
        <v>36</v>
      </c>
      <c r="J13" s="64">
        <v>0.06</v>
      </c>
      <c r="K13" s="64">
        <v>233.67</v>
      </c>
      <c r="L13" s="64">
        <v>24.43</v>
      </c>
      <c r="M13" s="64">
        <v>86.7</v>
      </c>
      <c r="N13" s="64">
        <v>33.6</v>
      </c>
      <c r="O13" s="64">
        <v>0</v>
      </c>
      <c r="P13" s="64">
        <v>0.71</v>
      </c>
      <c r="Q13" s="64">
        <v>17.13</v>
      </c>
      <c r="R13" s="198"/>
      <c r="S13" s="198"/>
      <c r="T13" s="198"/>
      <c r="U13" s="198"/>
    </row>
    <row r="14" spans="1:21" s="12" customFormat="1" x14ac:dyDescent="0.25">
      <c r="A14" s="215" t="s">
        <v>445</v>
      </c>
      <c r="B14" s="64">
        <v>9.3800000000000008</v>
      </c>
      <c r="C14" s="64">
        <v>14.08</v>
      </c>
      <c r="D14" s="64">
        <v>15.94</v>
      </c>
      <c r="E14" s="64">
        <v>2.2599999999999998</v>
      </c>
      <c r="F14" s="64">
        <v>6.68</v>
      </c>
      <c r="G14" s="216" t="s">
        <v>43</v>
      </c>
      <c r="H14" s="216" t="s">
        <v>43</v>
      </c>
      <c r="I14" s="218" t="s">
        <v>36</v>
      </c>
      <c r="J14" s="64">
        <v>0.22</v>
      </c>
      <c r="K14" s="64">
        <v>179.72</v>
      </c>
      <c r="L14" s="64">
        <v>24.38</v>
      </c>
      <c r="M14" s="64">
        <v>87.14</v>
      </c>
      <c r="N14" s="64">
        <v>33.299999999999997</v>
      </c>
      <c r="O14" s="64">
        <v>0</v>
      </c>
      <c r="P14" s="64">
        <v>0.73</v>
      </c>
      <c r="Q14" s="64">
        <v>14.81</v>
      </c>
      <c r="R14" s="198"/>
      <c r="S14" s="198"/>
      <c r="T14" s="198"/>
      <c r="U14" s="198"/>
    </row>
    <row r="15" spans="1:21" s="12" customFormat="1" x14ac:dyDescent="0.25">
      <c r="A15" s="215" t="s">
        <v>446</v>
      </c>
      <c r="B15" s="64">
        <v>9.4600000000000009</v>
      </c>
      <c r="C15" s="64">
        <v>14.31</v>
      </c>
      <c r="D15" s="64">
        <v>16.13</v>
      </c>
      <c r="E15" s="64">
        <v>2.2799999999999998</v>
      </c>
      <c r="F15" s="64">
        <v>8.43</v>
      </c>
      <c r="G15" s="216" t="s">
        <v>43</v>
      </c>
      <c r="H15" s="216" t="s">
        <v>43</v>
      </c>
      <c r="I15" s="218" t="s">
        <v>36</v>
      </c>
      <c r="J15" s="64">
        <v>0.14000000000000001</v>
      </c>
      <c r="K15" s="64">
        <v>198.09</v>
      </c>
      <c r="L15" s="64">
        <v>24.34</v>
      </c>
      <c r="M15" s="64">
        <v>87.13</v>
      </c>
      <c r="N15" s="64">
        <v>33.5</v>
      </c>
      <c r="O15" s="64">
        <v>0</v>
      </c>
      <c r="P15" s="64">
        <v>0.71</v>
      </c>
      <c r="Q15" s="64">
        <v>16.73</v>
      </c>
      <c r="R15" s="198"/>
      <c r="S15" s="198"/>
      <c r="T15" s="198"/>
      <c r="U15" s="198"/>
    </row>
    <row r="16" spans="1:21" s="12" customFormat="1" x14ac:dyDescent="0.25">
      <c r="A16" s="215" t="s">
        <v>447</v>
      </c>
      <c r="B16" s="64">
        <v>7.25</v>
      </c>
      <c r="C16" s="64">
        <v>14.13</v>
      </c>
      <c r="D16" s="64">
        <v>14.26</v>
      </c>
      <c r="E16" s="64">
        <v>2.19</v>
      </c>
      <c r="F16" s="64">
        <v>16.45</v>
      </c>
      <c r="G16" s="216" t="s">
        <v>43</v>
      </c>
      <c r="H16" s="216" t="s">
        <v>43</v>
      </c>
      <c r="I16" s="218" t="s">
        <v>36</v>
      </c>
      <c r="J16" s="64">
        <v>0.06</v>
      </c>
      <c r="K16" s="64">
        <v>252.95</v>
      </c>
      <c r="L16" s="64">
        <v>24.45</v>
      </c>
      <c r="M16" s="64">
        <v>85.35</v>
      </c>
      <c r="N16" s="64">
        <v>33.299999999999997</v>
      </c>
      <c r="O16" s="64">
        <v>0</v>
      </c>
      <c r="P16" s="64">
        <v>0.69</v>
      </c>
      <c r="Q16" s="64">
        <v>17.23</v>
      </c>
      <c r="R16" s="198"/>
      <c r="S16" s="198"/>
      <c r="T16" s="198"/>
      <c r="U16" s="198"/>
    </row>
    <row r="17" spans="1:21" s="12" customFormat="1" x14ac:dyDescent="0.25">
      <c r="A17" s="215" t="s">
        <v>448</v>
      </c>
      <c r="B17" s="64">
        <v>8.48</v>
      </c>
      <c r="C17" s="64">
        <v>12.68</v>
      </c>
      <c r="D17" s="64">
        <v>14.44</v>
      </c>
      <c r="E17" s="64">
        <v>2.35</v>
      </c>
      <c r="F17" s="64">
        <v>12.93</v>
      </c>
      <c r="G17" s="216" t="s">
        <v>43</v>
      </c>
      <c r="H17" s="216" t="s">
        <v>43</v>
      </c>
      <c r="I17" s="218" t="s">
        <v>36</v>
      </c>
      <c r="J17" s="64">
        <v>0.05</v>
      </c>
      <c r="K17" s="64">
        <v>351.55</v>
      </c>
      <c r="L17" s="64">
        <v>24.59</v>
      </c>
      <c r="M17" s="64">
        <v>84.16</v>
      </c>
      <c r="N17" s="64">
        <v>33.299999999999997</v>
      </c>
      <c r="O17" s="64">
        <v>0</v>
      </c>
      <c r="P17" s="64">
        <v>0.7</v>
      </c>
      <c r="Q17" s="64">
        <v>17.010000000000002</v>
      </c>
      <c r="R17" s="198"/>
      <c r="S17" s="198"/>
      <c r="T17" s="198"/>
      <c r="U17" s="198"/>
    </row>
    <row r="18" spans="1:21" s="12" customFormat="1" x14ac:dyDescent="0.25">
      <c r="A18" s="215" t="s">
        <v>449</v>
      </c>
      <c r="B18" s="64">
        <v>7.73</v>
      </c>
      <c r="C18" s="64">
        <v>13.85</v>
      </c>
      <c r="D18" s="64">
        <v>14.48</v>
      </c>
      <c r="E18" s="64">
        <v>2.3199999999999998</v>
      </c>
      <c r="F18" s="64">
        <v>16.28</v>
      </c>
      <c r="G18" s="216" t="s">
        <v>43</v>
      </c>
      <c r="H18" s="216" t="s">
        <v>43</v>
      </c>
      <c r="I18" s="218" t="s">
        <v>36</v>
      </c>
      <c r="J18" s="64">
        <v>0.04</v>
      </c>
      <c r="K18" s="64">
        <v>336.33</v>
      </c>
      <c r="L18" s="64">
        <v>24.55</v>
      </c>
      <c r="M18" s="64">
        <v>84.61</v>
      </c>
      <c r="N18" s="64">
        <v>33.5</v>
      </c>
      <c r="O18" s="64">
        <v>0</v>
      </c>
      <c r="P18" s="64">
        <v>0.69</v>
      </c>
      <c r="Q18" s="64">
        <v>18.63</v>
      </c>
      <c r="R18" s="198"/>
      <c r="S18" s="198"/>
      <c r="T18" s="198"/>
      <c r="U18" s="198"/>
    </row>
    <row r="19" spans="1:21" s="12" customFormat="1" x14ac:dyDescent="0.25">
      <c r="A19" s="215" t="s">
        <v>450</v>
      </c>
      <c r="B19" s="64">
        <v>8.26</v>
      </c>
      <c r="C19" s="64">
        <v>12.48</v>
      </c>
      <c r="D19" s="64">
        <v>14.16</v>
      </c>
      <c r="E19" s="64">
        <v>2.4300000000000002</v>
      </c>
      <c r="F19" s="64">
        <v>13.74</v>
      </c>
      <c r="G19" s="216" t="s">
        <v>43</v>
      </c>
      <c r="H19" s="216" t="s">
        <v>43</v>
      </c>
      <c r="I19" s="218" t="s">
        <v>36</v>
      </c>
      <c r="J19" s="64">
        <v>0.17</v>
      </c>
      <c r="K19" s="64">
        <v>200.19</v>
      </c>
      <c r="L19" s="64">
        <v>24.53</v>
      </c>
      <c r="M19" s="64">
        <v>84.68</v>
      </c>
      <c r="N19" s="64">
        <v>33.299999999999997</v>
      </c>
      <c r="O19" s="64">
        <v>0</v>
      </c>
      <c r="P19" s="64">
        <v>0.7</v>
      </c>
      <c r="Q19" s="64">
        <v>18.77</v>
      </c>
      <c r="R19" s="198"/>
      <c r="S19" s="198"/>
      <c r="T19" s="198"/>
      <c r="U19" s="198"/>
    </row>
    <row r="20" spans="1:21" s="12" customFormat="1" x14ac:dyDescent="0.25">
      <c r="A20" s="215" t="s">
        <v>451</v>
      </c>
      <c r="B20" s="64">
        <v>9.51</v>
      </c>
      <c r="C20" s="64">
        <v>12.64</v>
      </c>
      <c r="D20" s="64">
        <v>15.25</v>
      </c>
      <c r="E20" s="64">
        <v>2.98</v>
      </c>
      <c r="F20" s="64">
        <v>7.46</v>
      </c>
      <c r="G20" s="216" t="s">
        <v>43</v>
      </c>
      <c r="H20" s="216" t="s">
        <v>43</v>
      </c>
      <c r="I20" s="218" t="s">
        <v>36</v>
      </c>
      <c r="J20" s="64">
        <v>0.2</v>
      </c>
      <c r="K20" s="64">
        <v>195.25</v>
      </c>
      <c r="L20" s="64">
        <v>24.25</v>
      </c>
      <c r="M20" s="64">
        <v>87.01</v>
      </c>
      <c r="N20" s="64">
        <v>33.799999999999997</v>
      </c>
      <c r="O20" s="64">
        <v>0</v>
      </c>
      <c r="P20" s="64">
        <v>0.68</v>
      </c>
      <c r="Q20" s="64">
        <v>20.81</v>
      </c>
      <c r="R20" s="198"/>
      <c r="S20" s="198"/>
      <c r="T20" s="198"/>
      <c r="U20" s="198"/>
    </row>
    <row r="21" spans="1:21" s="12" customFormat="1" x14ac:dyDescent="0.25">
      <c r="A21" s="215" t="s">
        <v>452</v>
      </c>
      <c r="B21" s="64">
        <v>10.85</v>
      </c>
      <c r="C21" s="64">
        <v>13.8</v>
      </c>
      <c r="D21" s="64">
        <v>16.97</v>
      </c>
      <c r="E21" s="64">
        <v>2.78</v>
      </c>
      <c r="F21" s="64">
        <v>6.93</v>
      </c>
      <c r="G21" s="216" t="s">
        <v>43</v>
      </c>
      <c r="H21" s="216" t="s">
        <v>43</v>
      </c>
      <c r="I21" s="218" t="s">
        <v>36</v>
      </c>
      <c r="J21" s="64">
        <v>7.0000000000000007E-2</v>
      </c>
      <c r="K21" s="64">
        <v>202.2</v>
      </c>
      <c r="L21" s="64">
        <v>24.11</v>
      </c>
      <c r="M21" s="64">
        <v>87.76</v>
      </c>
      <c r="N21" s="64">
        <v>33.799999999999997</v>
      </c>
      <c r="O21" s="64">
        <v>0</v>
      </c>
      <c r="P21" s="64">
        <v>0.66</v>
      </c>
      <c r="Q21" s="64">
        <v>21</v>
      </c>
      <c r="R21" s="198"/>
      <c r="S21" s="198"/>
      <c r="T21" s="198"/>
      <c r="U21" s="198"/>
    </row>
    <row r="22" spans="1:21" s="12" customFormat="1" x14ac:dyDescent="0.25">
      <c r="A22" s="215" t="s">
        <v>453</v>
      </c>
      <c r="B22" s="64">
        <v>9.69</v>
      </c>
      <c r="C22" s="64">
        <v>12.7</v>
      </c>
      <c r="D22" s="64">
        <v>15.43</v>
      </c>
      <c r="E22" s="64">
        <v>2.4300000000000002</v>
      </c>
      <c r="F22" s="64">
        <v>9.73</v>
      </c>
      <c r="G22" s="216" t="s">
        <v>43</v>
      </c>
      <c r="H22" s="216" t="s">
        <v>43</v>
      </c>
      <c r="I22" s="218" t="s">
        <v>36</v>
      </c>
      <c r="J22" s="64">
        <v>0.1</v>
      </c>
      <c r="K22" s="64">
        <v>205.27</v>
      </c>
      <c r="L22" s="64">
        <v>23.99</v>
      </c>
      <c r="M22" s="64">
        <v>88.43</v>
      </c>
      <c r="N22" s="64">
        <v>33.4</v>
      </c>
      <c r="O22" s="64">
        <v>0</v>
      </c>
      <c r="P22" s="64">
        <v>0.62</v>
      </c>
      <c r="Q22" s="64">
        <v>18.97</v>
      </c>
      <c r="R22" s="198"/>
      <c r="S22" s="198"/>
      <c r="T22" s="198"/>
      <c r="U22" s="198"/>
    </row>
    <row r="23" spans="1:21" s="12" customFormat="1" x14ac:dyDescent="0.25">
      <c r="A23" s="215" t="s">
        <v>454</v>
      </c>
      <c r="B23" s="64">
        <v>10.39</v>
      </c>
      <c r="C23" s="64">
        <v>11.9</v>
      </c>
      <c r="D23" s="64">
        <v>15.55</v>
      </c>
      <c r="E23" s="64">
        <v>2.66</v>
      </c>
      <c r="F23" s="64">
        <v>6.78</v>
      </c>
      <c r="G23" s="216" t="s">
        <v>43</v>
      </c>
      <c r="H23" s="216" t="s">
        <v>43</v>
      </c>
      <c r="I23" s="218" t="s">
        <v>36</v>
      </c>
      <c r="J23" s="64">
        <v>0.08</v>
      </c>
      <c r="K23" s="64">
        <v>205.58</v>
      </c>
      <c r="L23" s="64">
        <v>23.92</v>
      </c>
      <c r="M23" s="64">
        <v>88.76</v>
      </c>
      <c r="N23" s="64">
        <v>33.1</v>
      </c>
      <c r="O23" s="64">
        <v>0</v>
      </c>
      <c r="P23" s="64">
        <v>0.64</v>
      </c>
      <c r="Q23" s="64">
        <v>17.690000000000001</v>
      </c>
      <c r="R23" s="198"/>
      <c r="S23" s="198"/>
      <c r="T23" s="198"/>
      <c r="U23" s="198"/>
    </row>
    <row r="24" spans="1:21" s="12" customFormat="1" x14ac:dyDescent="0.25">
      <c r="A24" s="215" t="s">
        <v>455</v>
      </c>
      <c r="B24" s="64">
        <v>10.16</v>
      </c>
      <c r="C24" s="64">
        <v>13.62</v>
      </c>
      <c r="D24" s="64">
        <v>16.32</v>
      </c>
      <c r="E24" s="64">
        <v>1.59</v>
      </c>
      <c r="F24" s="64">
        <v>6.36</v>
      </c>
      <c r="G24" s="216" t="s">
        <v>43</v>
      </c>
      <c r="H24" s="216" t="s">
        <v>43</v>
      </c>
      <c r="I24" s="218" t="s">
        <v>36</v>
      </c>
      <c r="J24" s="64">
        <v>0.28000000000000003</v>
      </c>
      <c r="K24" s="64">
        <v>168.34</v>
      </c>
      <c r="L24" s="64">
        <v>23.96</v>
      </c>
      <c r="M24" s="64">
        <v>88.93</v>
      </c>
      <c r="N24" s="64">
        <v>33</v>
      </c>
      <c r="O24" s="64">
        <v>0</v>
      </c>
      <c r="P24" s="64">
        <v>0.61</v>
      </c>
      <c r="Q24" s="64">
        <v>19.97</v>
      </c>
      <c r="R24" s="198"/>
      <c r="S24" s="198"/>
      <c r="T24" s="198"/>
      <c r="U24" s="198"/>
    </row>
    <row r="25" spans="1:21" s="12" customFormat="1" x14ac:dyDescent="0.25">
      <c r="A25" s="215" t="s">
        <v>456</v>
      </c>
      <c r="B25" s="64">
        <v>10.51</v>
      </c>
      <c r="C25" s="64">
        <v>15.25</v>
      </c>
      <c r="D25" s="64">
        <v>17.5</v>
      </c>
      <c r="E25" s="64">
        <v>1.71</v>
      </c>
      <c r="F25" s="64">
        <v>7.51</v>
      </c>
      <c r="G25" s="216" t="s">
        <v>43</v>
      </c>
      <c r="H25" s="216" t="s">
        <v>43</v>
      </c>
      <c r="I25" s="218" t="s">
        <v>36</v>
      </c>
      <c r="J25" s="64">
        <v>0.12</v>
      </c>
      <c r="K25" s="64">
        <v>194.69</v>
      </c>
      <c r="L25" s="64">
        <v>23.95</v>
      </c>
      <c r="M25" s="64">
        <v>88.84</v>
      </c>
      <c r="N25" s="64">
        <v>33.1</v>
      </c>
      <c r="O25" s="64">
        <v>0</v>
      </c>
      <c r="P25" s="64">
        <v>0.59</v>
      </c>
      <c r="Q25" s="64">
        <v>18.079999999999998</v>
      </c>
      <c r="R25" s="198"/>
      <c r="S25" s="198"/>
      <c r="T25" s="198"/>
      <c r="U25" s="198"/>
    </row>
    <row r="26" spans="1:21" s="12" customFormat="1" x14ac:dyDescent="0.25">
      <c r="A26" s="215" t="s">
        <v>457</v>
      </c>
      <c r="B26" s="64">
        <v>11.22</v>
      </c>
      <c r="C26" s="64">
        <v>12.59</v>
      </c>
      <c r="D26" s="64">
        <v>16.59</v>
      </c>
      <c r="E26" s="64">
        <v>1.75</v>
      </c>
      <c r="F26" s="64">
        <v>5.54</v>
      </c>
      <c r="G26" s="216" t="s">
        <v>43</v>
      </c>
      <c r="H26" s="216" t="s">
        <v>43</v>
      </c>
      <c r="I26" s="218" t="s">
        <v>36</v>
      </c>
      <c r="J26" s="64">
        <v>0.1</v>
      </c>
      <c r="K26" s="64">
        <v>217.03</v>
      </c>
      <c r="L26" s="64">
        <v>24</v>
      </c>
      <c r="M26" s="64">
        <v>88.38</v>
      </c>
      <c r="N26" s="64">
        <v>33.1</v>
      </c>
      <c r="O26" s="64">
        <v>0</v>
      </c>
      <c r="P26" s="64">
        <v>0.59</v>
      </c>
      <c r="Q26" s="64">
        <v>16.72</v>
      </c>
      <c r="R26" s="198"/>
      <c r="S26" s="198"/>
      <c r="T26" s="198"/>
      <c r="U26" s="198"/>
    </row>
    <row r="27" spans="1:21" s="12" customFormat="1" x14ac:dyDescent="0.25">
      <c r="A27" s="215" t="s">
        <v>458</v>
      </c>
      <c r="B27" s="64">
        <v>10.26</v>
      </c>
      <c r="C27" s="64">
        <v>14.52</v>
      </c>
      <c r="D27" s="64">
        <v>16.89</v>
      </c>
      <c r="E27" s="64">
        <v>1.88</v>
      </c>
      <c r="F27" s="64">
        <v>7.88</v>
      </c>
      <c r="G27" s="216" t="s">
        <v>43</v>
      </c>
      <c r="H27" s="216" t="s">
        <v>43</v>
      </c>
      <c r="I27" s="218" t="s">
        <v>36</v>
      </c>
      <c r="J27" s="64">
        <v>0.09</v>
      </c>
      <c r="K27" s="64">
        <v>212.85</v>
      </c>
      <c r="L27" s="64">
        <v>24.04</v>
      </c>
      <c r="M27" s="64">
        <v>88.38</v>
      </c>
      <c r="N27" s="64">
        <v>33.1</v>
      </c>
      <c r="O27" s="64">
        <v>0</v>
      </c>
      <c r="P27" s="64">
        <v>0.56999999999999995</v>
      </c>
      <c r="Q27" s="64">
        <v>19.510000000000002</v>
      </c>
      <c r="R27" s="198"/>
      <c r="S27" s="198"/>
      <c r="T27" s="198"/>
      <c r="U27" s="198"/>
    </row>
    <row r="28" spans="1:21" s="12" customFormat="1" x14ac:dyDescent="0.25">
      <c r="A28" s="215" t="s">
        <v>459</v>
      </c>
      <c r="B28" s="64">
        <v>8.36</v>
      </c>
      <c r="C28" s="64">
        <v>16.93</v>
      </c>
      <c r="D28" s="64">
        <v>16.7</v>
      </c>
      <c r="E28" s="64">
        <v>1.81</v>
      </c>
      <c r="F28" s="64">
        <v>12.38</v>
      </c>
      <c r="G28" s="216" t="s">
        <v>43</v>
      </c>
      <c r="H28" s="216" t="s">
        <v>43</v>
      </c>
      <c r="I28" s="218" t="s">
        <v>36</v>
      </c>
      <c r="J28" s="64">
        <v>0.04</v>
      </c>
      <c r="K28" s="64">
        <v>319.32</v>
      </c>
      <c r="L28" s="64">
        <v>23.99</v>
      </c>
      <c r="M28" s="64">
        <v>88.35</v>
      </c>
      <c r="N28" s="64">
        <v>33.1</v>
      </c>
      <c r="O28" s="64">
        <v>0</v>
      </c>
      <c r="P28" s="64">
        <v>0.56000000000000005</v>
      </c>
      <c r="Q28" s="64">
        <v>19.34</v>
      </c>
      <c r="R28" s="198"/>
      <c r="S28" s="198"/>
      <c r="T28" s="198"/>
      <c r="U28" s="198"/>
    </row>
    <row r="29" spans="1:21" s="12" customFormat="1" x14ac:dyDescent="0.25">
      <c r="A29" s="215" t="s">
        <v>460</v>
      </c>
      <c r="B29" s="64">
        <v>9.49</v>
      </c>
      <c r="C29" s="64">
        <v>16.510000000000002</v>
      </c>
      <c r="D29" s="64">
        <v>17.37</v>
      </c>
      <c r="E29" s="64">
        <v>1.9</v>
      </c>
      <c r="F29" s="64">
        <v>10.69</v>
      </c>
      <c r="G29" s="216" t="s">
        <v>43</v>
      </c>
      <c r="H29" s="216" t="s">
        <v>43</v>
      </c>
      <c r="I29" s="218" t="s">
        <v>36</v>
      </c>
      <c r="J29" s="64">
        <v>0.31</v>
      </c>
      <c r="K29" s="64">
        <v>168.31</v>
      </c>
      <c r="L29" s="64">
        <v>23.92</v>
      </c>
      <c r="M29" s="64">
        <v>89.46</v>
      </c>
      <c r="N29" s="64">
        <v>33.1</v>
      </c>
      <c r="O29" s="64">
        <v>0</v>
      </c>
      <c r="P29" s="64">
        <v>0.56999999999999995</v>
      </c>
      <c r="Q29" s="64">
        <v>20.07</v>
      </c>
      <c r="R29" s="198"/>
      <c r="S29" s="198"/>
      <c r="T29" s="198"/>
      <c r="U29" s="198"/>
    </row>
    <row r="30" spans="1:21" s="12" customFormat="1" x14ac:dyDescent="0.25">
      <c r="A30" s="215" t="s">
        <v>461</v>
      </c>
      <c r="B30" s="64">
        <v>8.84</v>
      </c>
      <c r="C30" s="64">
        <v>18.05</v>
      </c>
      <c r="D30" s="64">
        <v>17.690000000000001</v>
      </c>
      <c r="E30" s="64">
        <v>2.04</v>
      </c>
      <c r="F30" s="64">
        <v>11.16</v>
      </c>
      <c r="G30" s="216" t="s">
        <v>43</v>
      </c>
      <c r="H30" s="216" t="s">
        <v>43</v>
      </c>
      <c r="I30" s="218" t="s">
        <v>36</v>
      </c>
      <c r="J30" s="64">
        <v>0.11</v>
      </c>
      <c r="K30" s="64">
        <v>232.42</v>
      </c>
      <c r="L30" s="64">
        <v>23.79</v>
      </c>
      <c r="M30" s="64">
        <v>90.52</v>
      </c>
      <c r="N30" s="64">
        <v>35.9</v>
      </c>
      <c r="O30" s="64">
        <v>0</v>
      </c>
      <c r="P30" s="64">
        <v>0.56000000000000005</v>
      </c>
      <c r="Q30" s="64">
        <v>20.96</v>
      </c>
      <c r="R30" s="198"/>
      <c r="S30" s="198"/>
      <c r="T30" s="198"/>
      <c r="U30" s="198"/>
    </row>
    <row r="31" spans="1:21" s="12" customFormat="1" x14ac:dyDescent="0.25">
      <c r="A31" s="215" t="s">
        <v>462</v>
      </c>
      <c r="B31" s="64">
        <v>8.89</v>
      </c>
      <c r="C31" s="64">
        <v>14.96</v>
      </c>
      <c r="D31" s="64">
        <v>16.03</v>
      </c>
      <c r="E31" s="64">
        <v>2.17</v>
      </c>
      <c r="F31" s="64">
        <v>10.6</v>
      </c>
      <c r="G31" s="216" t="s">
        <v>43</v>
      </c>
      <c r="H31" s="216" t="s">
        <v>43</v>
      </c>
      <c r="I31" s="218" t="s">
        <v>36</v>
      </c>
      <c r="J31" s="64">
        <v>0.15</v>
      </c>
      <c r="K31" s="64">
        <v>215.86</v>
      </c>
      <c r="L31" s="64">
        <v>23.78</v>
      </c>
      <c r="M31" s="64">
        <v>90.5</v>
      </c>
      <c r="N31" s="64">
        <v>44.8</v>
      </c>
      <c r="O31" s="64">
        <v>0</v>
      </c>
      <c r="P31" s="64">
        <v>0.56999999999999995</v>
      </c>
      <c r="Q31" s="64">
        <v>22.1</v>
      </c>
      <c r="R31" s="198"/>
      <c r="S31" s="198"/>
      <c r="T31" s="198"/>
      <c r="U31" s="198"/>
    </row>
    <row r="32" spans="1:21" s="12" customFormat="1" x14ac:dyDescent="0.25">
      <c r="A32" s="215" t="s">
        <v>463</v>
      </c>
      <c r="B32" s="64">
        <v>12.37</v>
      </c>
      <c r="C32" s="64">
        <v>13.98</v>
      </c>
      <c r="D32" s="64">
        <v>18.28</v>
      </c>
      <c r="E32" s="64">
        <v>2.5499999999999998</v>
      </c>
      <c r="F32" s="64">
        <v>4.34</v>
      </c>
      <c r="G32" s="216" t="s">
        <v>43</v>
      </c>
      <c r="H32" s="216" t="s">
        <v>43</v>
      </c>
      <c r="I32" s="218" t="s">
        <v>36</v>
      </c>
      <c r="J32" s="64">
        <v>0.12</v>
      </c>
      <c r="K32" s="64">
        <v>212.42</v>
      </c>
      <c r="L32" s="64">
        <v>23.91</v>
      </c>
      <c r="M32" s="64">
        <v>90.28</v>
      </c>
      <c r="N32" s="64">
        <v>56.5</v>
      </c>
      <c r="O32" s="64">
        <v>0</v>
      </c>
      <c r="P32" s="64">
        <v>0.56000000000000005</v>
      </c>
      <c r="Q32" s="64">
        <v>22.02</v>
      </c>
      <c r="R32" s="198"/>
      <c r="S32" s="198"/>
      <c r="T32" s="198"/>
      <c r="U32" s="198"/>
    </row>
    <row r="33" spans="1:21" s="12" customFormat="1" x14ac:dyDescent="0.25">
      <c r="A33" s="215" t="s">
        <v>464</v>
      </c>
      <c r="B33" s="64">
        <v>13</v>
      </c>
      <c r="C33" s="64">
        <v>16.36</v>
      </c>
      <c r="D33" s="64">
        <v>20.100000000000001</v>
      </c>
      <c r="E33" s="64">
        <v>2.2200000000000002</v>
      </c>
      <c r="F33" s="64">
        <v>5.99</v>
      </c>
      <c r="G33" s="216" t="s">
        <v>43</v>
      </c>
      <c r="H33" s="216" t="s">
        <v>43</v>
      </c>
      <c r="I33" s="218" t="s">
        <v>36</v>
      </c>
      <c r="J33" s="64">
        <v>0.34</v>
      </c>
      <c r="K33" s="64">
        <v>173.07</v>
      </c>
      <c r="L33" s="64">
        <v>24.04</v>
      </c>
      <c r="M33" s="64">
        <v>89.35</v>
      </c>
      <c r="N33" s="64">
        <v>69.099999999999994</v>
      </c>
      <c r="O33" s="64">
        <v>0</v>
      </c>
      <c r="P33" s="64">
        <v>0.55000000000000004</v>
      </c>
      <c r="Q33" s="64">
        <v>22.1</v>
      </c>
      <c r="R33" s="198"/>
      <c r="S33" s="198"/>
      <c r="T33" s="198"/>
      <c r="U33" s="198"/>
    </row>
    <row r="34" spans="1:21" s="12" customFormat="1" x14ac:dyDescent="0.25">
      <c r="A34" s="215" t="s">
        <v>465</v>
      </c>
      <c r="B34" s="64">
        <v>14.17</v>
      </c>
      <c r="C34" s="64">
        <v>13.02</v>
      </c>
      <c r="D34" s="64">
        <v>19.190000000000001</v>
      </c>
      <c r="E34" s="64">
        <v>2.0699999999999998</v>
      </c>
      <c r="F34" s="64">
        <v>5.69</v>
      </c>
      <c r="G34" s="216" t="s">
        <v>43</v>
      </c>
      <c r="H34" s="216" t="s">
        <v>43</v>
      </c>
      <c r="I34" s="218" t="s">
        <v>36</v>
      </c>
      <c r="J34" s="64">
        <v>0.13</v>
      </c>
      <c r="K34" s="64">
        <v>223.18</v>
      </c>
      <c r="L34" s="64">
        <v>24.08</v>
      </c>
      <c r="M34" s="64">
        <v>88.86</v>
      </c>
      <c r="N34" s="64">
        <v>82.8</v>
      </c>
      <c r="O34" s="64">
        <v>0</v>
      </c>
      <c r="P34" s="64">
        <v>0.56000000000000005</v>
      </c>
      <c r="Q34" s="64">
        <v>20.65</v>
      </c>
      <c r="R34" s="198"/>
      <c r="S34" s="198"/>
      <c r="T34" s="198"/>
      <c r="U34" s="198"/>
    </row>
    <row r="35" spans="1:21" s="12" customFormat="1" x14ac:dyDescent="0.25">
      <c r="A35" s="215" t="s">
        <v>466</v>
      </c>
      <c r="B35" s="64">
        <v>14.56</v>
      </c>
      <c r="C35" s="64">
        <v>13.93</v>
      </c>
      <c r="D35" s="64">
        <v>20.010000000000002</v>
      </c>
      <c r="E35" s="64">
        <v>2.19</v>
      </c>
      <c r="F35" s="64">
        <v>3.76</v>
      </c>
      <c r="G35" s="216" t="s">
        <v>43</v>
      </c>
      <c r="H35" s="216" t="s">
        <v>43</v>
      </c>
      <c r="I35" s="218" t="s">
        <v>36</v>
      </c>
      <c r="J35" s="64">
        <v>0.1</v>
      </c>
      <c r="K35" s="64">
        <v>4.8</v>
      </c>
      <c r="L35" s="64">
        <v>24.39</v>
      </c>
      <c r="M35" s="64">
        <v>86.5</v>
      </c>
      <c r="N35" s="64">
        <v>89.3</v>
      </c>
      <c r="O35" s="64">
        <v>0</v>
      </c>
      <c r="P35" s="64">
        <v>0.56999999999999995</v>
      </c>
      <c r="Q35" s="64">
        <v>21.05</v>
      </c>
      <c r="R35" s="198"/>
      <c r="S35" s="198"/>
      <c r="T35" s="198"/>
      <c r="U35" s="198"/>
    </row>
    <row r="36" spans="1:21" s="12" customFormat="1" x14ac:dyDescent="0.25">
      <c r="A36" s="215" t="s">
        <v>467</v>
      </c>
      <c r="B36" s="64">
        <v>17.989999999999998</v>
      </c>
      <c r="C36" s="64">
        <v>17.43</v>
      </c>
      <c r="D36" s="64">
        <v>24.69</v>
      </c>
      <c r="E36" s="64">
        <v>1.92</v>
      </c>
      <c r="F36" s="64">
        <v>4.8099999999999996</v>
      </c>
      <c r="G36" s="216" t="s">
        <v>43</v>
      </c>
      <c r="H36" s="216" t="s">
        <v>43</v>
      </c>
      <c r="I36" s="218" t="s">
        <v>36</v>
      </c>
      <c r="J36" s="64">
        <v>0.08</v>
      </c>
      <c r="K36" s="64">
        <v>7.47</v>
      </c>
      <c r="L36" s="64">
        <v>24.88</v>
      </c>
      <c r="M36" s="64">
        <v>83.92</v>
      </c>
      <c r="N36" s="64">
        <v>94.7</v>
      </c>
      <c r="O36" s="64">
        <v>0</v>
      </c>
      <c r="P36" s="64">
        <v>0.57999999999999996</v>
      </c>
      <c r="Q36" s="64">
        <v>20.34</v>
      </c>
      <c r="R36" s="198"/>
      <c r="S36" s="198"/>
      <c r="T36" s="198"/>
      <c r="U36" s="198"/>
    </row>
    <row r="37" spans="1:21" s="12" customFormat="1" x14ac:dyDescent="0.25">
      <c r="A37" s="215" t="s">
        <v>468</v>
      </c>
      <c r="B37" s="64">
        <v>16.34</v>
      </c>
      <c r="C37" s="64">
        <v>14</v>
      </c>
      <c r="D37" s="64">
        <v>21.47</v>
      </c>
      <c r="E37" s="64">
        <v>1.82</v>
      </c>
      <c r="F37" s="64">
        <v>4.5999999999999996</v>
      </c>
      <c r="G37" s="216" t="s">
        <v>43</v>
      </c>
      <c r="H37" s="216" t="s">
        <v>43</v>
      </c>
      <c r="I37" s="218" t="s">
        <v>36</v>
      </c>
      <c r="J37" s="64">
        <v>0.09</v>
      </c>
      <c r="K37" s="64">
        <v>355.09</v>
      </c>
      <c r="L37" s="64">
        <v>25.17</v>
      </c>
      <c r="M37" s="64">
        <v>82.51</v>
      </c>
      <c r="N37" s="64">
        <v>106.5</v>
      </c>
      <c r="O37" s="64">
        <v>0</v>
      </c>
      <c r="P37" s="64">
        <v>0.59</v>
      </c>
      <c r="Q37" s="64">
        <v>19.5</v>
      </c>
      <c r="R37" s="198"/>
      <c r="S37" s="198"/>
      <c r="T37" s="198"/>
      <c r="U37" s="198"/>
    </row>
    <row r="38" spans="1:21" s="12" customFormat="1" x14ac:dyDescent="0.25">
      <c r="A38" s="215" t="s">
        <v>469</v>
      </c>
      <c r="B38" s="64">
        <v>20.54</v>
      </c>
      <c r="C38" s="64">
        <v>17.52</v>
      </c>
      <c r="D38" s="64">
        <v>26.78</v>
      </c>
      <c r="E38" s="64">
        <v>1.72</v>
      </c>
      <c r="F38" s="64">
        <v>4.07</v>
      </c>
      <c r="G38" s="216" t="s">
        <v>43</v>
      </c>
      <c r="H38" s="216" t="s">
        <v>43</v>
      </c>
      <c r="I38" s="218" t="s">
        <v>36</v>
      </c>
      <c r="J38" s="64">
        <v>0.08</v>
      </c>
      <c r="K38" s="64">
        <v>357.29</v>
      </c>
      <c r="L38" s="64">
        <v>25.69</v>
      </c>
      <c r="M38" s="64">
        <v>80.290000000000006</v>
      </c>
      <c r="N38" s="64">
        <v>117.1</v>
      </c>
      <c r="O38" s="64">
        <v>0</v>
      </c>
      <c r="P38" s="64">
        <v>0.64</v>
      </c>
      <c r="Q38" s="64">
        <v>20.48</v>
      </c>
      <c r="R38" s="198"/>
      <c r="S38" s="198"/>
      <c r="T38" s="198"/>
      <c r="U38" s="198"/>
    </row>
    <row r="39" spans="1:21" s="12" customFormat="1" x14ac:dyDescent="0.25">
      <c r="A39" s="215" t="s">
        <v>470</v>
      </c>
      <c r="B39" s="64">
        <v>24.04</v>
      </c>
      <c r="C39" s="64">
        <v>24.89</v>
      </c>
      <c r="D39" s="64">
        <v>33.659999999999997</v>
      </c>
      <c r="E39" s="64">
        <v>2.0099999999999998</v>
      </c>
      <c r="F39" s="64">
        <v>9.19</v>
      </c>
      <c r="G39" s="216" t="s">
        <v>43</v>
      </c>
      <c r="H39" s="216" t="s">
        <v>43</v>
      </c>
      <c r="I39" s="218" t="s">
        <v>36</v>
      </c>
      <c r="J39" s="64">
        <v>0.08</v>
      </c>
      <c r="K39" s="64">
        <v>351.44</v>
      </c>
      <c r="L39" s="64">
        <v>26.18</v>
      </c>
      <c r="M39" s="64">
        <v>78.3</v>
      </c>
      <c r="N39" s="64">
        <v>120.4</v>
      </c>
      <c r="O39" s="64">
        <v>0</v>
      </c>
      <c r="P39" s="64">
        <v>0.67</v>
      </c>
      <c r="Q39" s="64">
        <v>20.72</v>
      </c>
      <c r="R39" s="198"/>
      <c r="S39" s="198"/>
      <c r="T39" s="198"/>
      <c r="U39" s="198"/>
    </row>
    <row r="40" spans="1:21" s="12" customFormat="1" x14ac:dyDescent="0.25">
      <c r="A40" s="215" t="s">
        <v>471</v>
      </c>
      <c r="B40" s="64">
        <v>23.73</v>
      </c>
      <c r="C40" s="64">
        <v>23.29</v>
      </c>
      <c r="D40" s="64">
        <v>32.53</v>
      </c>
      <c r="E40" s="64">
        <v>2.35</v>
      </c>
      <c r="F40" s="64">
        <v>7.99</v>
      </c>
      <c r="G40" s="216" t="s">
        <v>43</v>
      </c>
      <c r="H40" s="216" t="s">
        <v>43</v>
      </c>
      <c r="I40" s="218" t="s">
        <v>36</v>
      </c>
      <c r="J40" s="64">
        <v>0.1</v>
      </c>
      <c r="K40" s="64">
        <v>9.92</v>
      </c>
      <c r="L40" s="64">
        <v>26.09</v>
      </c>
      <c r="M40" s="64">
        <v>77.59</v>
      </c>
      <c r="N40" s="64">
        <v>114.7</v>
      </c>
      <c r="O40" s="64">
        <v>0</v>
      </c>
      <c r="P40" s="64">
        <v>0.7</v>
      </c>
      <c r="Q40" s="64">
        <v>20.36</v>
      </c>
      <c r="R40" s="198"/>
      <c r="S40" s="198"/>
      <c r="T40" s="198"/>
      <c r="U40" s="198"/>
    </row>
    <row r="41" spans="1:21" s="12" customFormat="1" x14ac:dyDescent="0.25">
      <c r="A41" s="215" t="s">
        <v>472</v>
      </c>
      <c r="B41" s="64">
        <v>19.670000000000002</v>
      </c>
      <c r="C41" s="64">
        <v>26.05</v>
      </c>
      <c r="D41" s="64">
        <v>30.79</v>
      </c>
      <c r="E41" s="64">
        <v>2.93</v>
      </c>
      <c r="F41" s="64">
        <v>9.86</v>
      </c>
      <c r="G41" s="216" t="s">
        <v>43</v>
      </c>
      <c r="H41" s="216" t="s">
        <v>43</v>
      </c>
      <c r="I41" s="218" t="s">
        <v>36</v>
      </c>
      <c r="J41" s="64">
        <v>0.04</v>
      </c>
      <c r="K41" s="64">
        <v>254.42</v>
      </c>
      <c r="L41" s="64">
        <v>25.88</v>
      </c>
      <c r="M41" s="64">
        <v>78.349999999999994</v>
      </c>
      <c r="N41" s="64">
        <v>122.5</v>
      </c>
      <c r="O41" s="64">
        <v>0</v>
      </c>
      <c r="P41" s="64">
        <v>0.71</v>
      </c>
      <c r="Q41" s="64">
        <v>21.27</v>
      </c>
      <c r="R41" s="198"/>
      <c r="S41" s="198"/>
      <c r="T41" s="198"/>
      <c r="U41" s="198"/>
    </row>
    <row r="42" spans="1:21" s="12" customFormat="1" x14ac:dyDescent="0.25">
      <c r="A42" s="215" t="s">
        <v>473</v>
      </c>
      <c r="B42" s="64">
        <v>13.77</v>
      </c>
      <c r="C42" s="64">
        <v>21.08</v>
      </c>
      <c r="D42" s="64">
        <v>23.32</v>
      </c>
      <c r="E42" s="64">
        <v>2.83</v>
      </c>
      <c r="F42" s="64">
        <v>12.44</v>
      </c>
      <c r="G42" s="216" t="s">
        <v>43</v>
      </c>
      <c r="H42" s="216" t="s">
        <v>43</v>
      </c>
      <c r="I42" s="218" t="s">
        <v>36</v>
      </c>
      <c r="J42" s="64">
        <v>7.0000000000000007E-2</v>
      </c>
      <c r="K42" s="64">
        <v>163.56</v>
      </c>
      <c r="L42" s="64">
        <v>25.8</v>
      </c>
      <c r="M42" s="64">
        <v>79.900000000000006</v>
      </c>
      <c r="N42" s="64">
        <v>184.6</v>
      </c>
      <c r="O42" s="64">
        <v>0</v>
      </c>
      <c r="P42" s="64">
        <v>0.74</v>
      </c>
      <c r="Q42" s="64">
        <v>22.2</v>
      </c>
      <c r="R42" s="198"/>
      <c r="S42" s="198"/>
      <c r="T42" s="198"/>
      <c r="U42" s="198"/>
    </row>
    <row r="43" spans="1:21" s="12" customFormat="1" x14ac:dyDescent="0.25">
      <c r="A43" s="215" t="s">
        <v>474</v>
      </c>
      <c r="B43" s="64">
        <v>18.46</v>
      </c>
      <c r="C43" s="64">
        <v>21.16</v>
      </c>
      <c r="D43" s="64">
        <v>27.13</v>
      </c>
      <c r="E43" s="64">
        <v>3.1</v>
      </c>
      <c r="F43" s="64">
        <v>8.68</v>
      </c>
      <c r="G43" s="216" t="s">
        <v>43</v>
      </c>
      <c r="H43" s="216" t="s">
        <v>43</v>
      </c>
      <c r="I43" s="218" t="s">
        <v>36</v>
      </c>
      <c r="J43" s="64">
        <v>0.35</v>
      </c>
      <c r="K43" s="64">
        <v>179.64</v>
      </c>
      <c r="L43" s="64">
        <v>25.84</v>
      </c>
      <c r="M43" s="64">
        <v>79.900000000000006</v>
      </c>
      <c r="N43" s="64">
        <v>149</v>
      </c>
      <c r="O43" s="64">
        <v>0</v>
      </c>
      <c r="P43" s="64">
        <v>0.75</v>
      </c>
      <c r="Q43" s="64">
        <v>22.66</v>
      </c>
      <c r="R43" s="198"/>
      <c r="S43" s="198"/>
      <c r="T43" s="198"/>
      <c r="U43" s="198"/>
    </row>
    <row r="44" spans="1:21" s="12" customFormat="1" x14ac:dyDescent="0.25">
      <c r="A44" s="215" t="s">
        <v>475</v>
      </c>
      <c r="B44" s="64">
        <v>18.510000000000002</v>
      </c>
      <c r="C44" s="64">
        <v>15.37</v>
      </c>
      <c r="D44" s="64">
        <v>23.97</v>
      </c>
      <c r="E44" s="64">
        <v>3.4</v>
      </c>
      <c r="F44" s="64">
        <v>5.36</v>
      </c>
      <c r="G44" s="216" t="s">
        <v>43</v>
      </c>
      <c r="H44" s="216" t="s">
        <v>43</v>
      </c>
      <c r="I44" s="218" t="s">
        <v>36</v>
      </c>
      <c r="J44" s="64">
        <v>0.31</v>
      </c>
      <c r="K44" s="64">
        <v>167.19</v>
      </c>
      <c r="L44" s="64">
        <v>25.96</v>
      </c>
      <c r="M44" s="64">
        <v>79.64</v>
      </c>
      <c r="N44" s="64">
        <v>205.6</v>
      </c>
      <c r="O44" s="64">
        <v>0</v>
      </c>
      <c r="P44" s="64">
        <v>0.77</v>
      </c>
      <c r="Q44" s="64">
        <v>21.69</v>
      </c>
      <c r="R44" s="198"/>
      <c r="S44" s="198"/>
      <c r="T44" s="198"/>
      <c r="U44" s="198"/>
    </row>
    <row r="45" spans="1:21" s="12" customFormat="1" x14ac:dyDescent="0.25">
      <c r="A45" s="215" t="s">
        <v>476</v>
      </c>
      <c r="B45" s="64">
        <v>18.09</v>
      </c>
      <c r="C45" s="64">
        <v>16.68</v>
      </c>
      <c r="D45" s="64">
        <v>24.36</v>
      </c>
      <c r="E45" s="64">
        <v>2.65</v>
      </c>
      <c r="F45" s="64">
        <v>5.03</v>
      </c>
      <c r="G45" s="216" t="s">
        <v>43</v>
      </c>
      <c r="H45" s="216" t="s">
        <v>43</v>
      </c>
      <c r="I45" s="218" t="s">
        <v>36</v>
      </c>
      <c r="J45" s="64">
        <v>0.09</v>
      </c>
      <c r="K45" s="64">
        <v>8.7200000000000006</v>
      </c>
      <c r="L45" s="64">
        <v>26.98</v>
      </c>
      <c r="M45" s="64">
        <v>75.28</v>
      </c>
      <c r="N45" s="64">
        <v>314.7</v>
      </c>
      <c r="O45" s="64">
        <v>0</v>
      </c>
      <c r="P45" s="64">
        <v>0.78</v>
      </c>
      <c r="Q45" s="64">
        <v>22.36</v>
      </c>
      <c r="R45" s="198"/>
      <c r="S45" s="198"/>
      <c r="T45" s="198"/>
      <c r="U45" s="198"/>
    </row>
    <row r="46" spans="1:21" s="12" customFormat="1" x14ac:dyDescent="0.25">
      <c r="A46" s="215" t="s">
        <v>477</v>
      </c>
      <c r="B46" s="64">
        <v>17.260000000000002</v>
      </c>
      <c r="C46" s="64">
        <v>15.28</v>
      </c>
      <c r="D46" s="64">
        <v>22.92</v>
      </c>
      <c r="E46" s="64">
        <v>3.4</v>
      </c>
      <c r="F46" s="64">
        <v>5.49</v>
      </c>
      <c r="G46" s="216" t="s">
        <v>43</v>
      </c>
      <c r="H46" s="216" t="s">
        <v>43</v>
      </c>
      <c r="I46" s="218" t="s">
        <v>36</v>
      </c>
      <c r="J46" s="64">
        <v>0.22</v>
      </c>
      <c r="K46" s="64">
        <v>1.92</v>
      </c>
      <c r="L46" s="64">
        <v>27.59</v>
      </c>
      <c r="M46" s="64">
        <v>72.17</v>
      </c>
      <c r="N46" s="64">
        <v>295.2</v>
      </c>
      <c r="O46" s="64">
        <v>0</v>
      </c>
      <c r="P46" s="64">
        <v>0.85</v>
      </c>
      <c r="Q46" s="64">
        <v>21</v>
      </c>
      <c r="R46" s="198"/>
      <c r="S46" s="198"/>
      <c r="T46" s="198"/>
      <c r="U46" s="198"/>
    </row>
    <row r="47" spans="1:21" s="12" customFormat="1" x14ac:dyDescent="0.25">
      <c r="A47" s="215" t="s">
        <v>478</v>
      </c>
      <c r="B47" s="64">
        <v>19.05</v>
      </c>
      <c r="C47" s="64">
        <v>20.190000000000001</v>
      </c>
      <c r="D47" s="64">
        <v>27.06</v>
      </c>
      <c r="E47" s="64">
        <v>3.45</v>
      </c>
      <c r="F47" s="64">
        <v>5.6</v>
      </c>
      <c r="G47" s="216" t="s">
        <v>43</v>
      </c>
      <c r="H47" s="216" t="s">
        <v>43</v>
      </c>
      <c r="I47" s="218" t="s">
        <v>36</v>
      </c>
      <c r="J47" s="64">
        <v>0.5</v>
      </c>
      <c r="K47" s="64">
        <v>3.69</v>
      </c>
      <c r="L47" s="64">
        <v>28.47</v>
      </c>
      <c r="M47" s="64">
        <v>70.78</v>
      </c>
      <c r="N47" s="64">
        <v>281.3</v>
      </c>
      <c r="O47" s="64">
        <v>0</v>
      </c>
      <c r="P47" s="64">
        <v>0.92</v>
      </c>
      <c r="Q47" s="64">
        <v>21.4</v>
      </c>
      <c r="R47" s="198"/>
      <c r="S47" s="198"/>
      <c r="T47" s="198"/>
      <c r="U47" s="198"/>
    </row>
    <row r="48" spans="1:21" s="12" customFormat="1" x14ac:dyDescent="0.25">
      <c r="A48" s="215" t="s">
        <v>479</v>
      </c>
      <c r="B48" s="64">
        <v>21.68</v>
      </c>
      <c r="C48" s="64">
        <v>22.85</v>
      </c>
      <c r="D48" s="64">
        <v>30.64</v>
      </c>
      <c r="E48" s="64">
        <v>3</v>
      </c>
      <c r="F48" s="64">
        <v>6.58</v>
      </c>
      <c r="G48" s="216" t="s">
        <v>43</v>
      </c>
      <c r="H48" s="216" t="s">
        <v>43</v>
      </c>
      <c r="I48" s="218" t="s">
        <v>36</v>
      </c>
      <c r="J48" s="64">
        <v>0.22</v>
      </c>
      <c r="K48" s="64">
        <v>350.2</v>
      </c>
      <c r="L48" s="64">
        <v>28.95</v>
      </c>
      <c r="M48" s="64">
        <v>68.06</v>
      </c>
      <c r="N48" s="64">
        <v>381.6</v>
      </c>
      <c r="O48" s="64">
        <v>0</v>
      </c>
      <c r="P48" s="64">
        <v>0.92</v>
      </c>
      <c r="Q48" s="64">
        <v>20.58</v>
      </c>
      <c r="R48" s="198"/>
      <c r="S48" s="198"/>
      <c r="T48" s="198"/>
      <c r="U48" s="198"/>
    </row>
    <row r="49" spans="1:21" s="12" customFormat="1" x14ac:dyDescent="0.25">
      <c r="A49" s="215" t="s">
        <v>480</v>
      </c>
      <c r="B49" s="64">
        <v>19.66</v>
      </c>
      <c r="C49" s="64">
        <v>17.75</v>
      </c>
      <c r="D49" s="64">
        <v>26.2</v>
      </c>
      <c r="E49" s="64">
        <v>2.85</v>
      </c>
      <c r="F49" s="64">
        <v>4.9800000000000004</v>
      </c>
      <c r="G49" s="216" t="s">
        <v>43</v>
      </c>
      <c r="H49" s="216" t="s">
        <v>43</v>
      </c>
      <c r="I49" s="218" t="s">
        <v>36</v>
      </c>
      <c r="J49" s="64">
        <v>0.16</v>
      </c>
      <c r="K49" s="64">
        <v>343.24</v>
      </c>
      <c r="L49" s="64">
        <v>29.94</v>
      </c>
      <c r="M49" s="64">
        <v>62.76</v>
      </c>
      <c r="N49" s="64">
        <v>305.3</v>
      </c>
      <c r="O49" s="64">
        <v>0</v>
      </c>
      <c r="P49" s="64">
        <v>0.97</v>
      </c>
      <c r="Q49" s="64">
        <v>19.66</v>
      </c>
      <c r="R49" s="198"/>
      <c r="S49" s="198"/>
      <c r="T49" s="198"/>
      <c r="U49" s="198"/>
    </row>
    <row r="50" spans="1:21" s="12" customFormat="1" x14ac:dyDescent="0.25">
      <c r="A50" s="215" t="s">
        <v>481</v>
      </c>
      <c r="B50" s="64">
        <v>20.18</v>
      </c>
      <c r="C50" s="64">
        <v>22.75</v>
      </c>
      <c r="D50" s="64">
        <v>29.38</v>
      </c>
      <c r="E50" s="64">
        <v>2.77</v>
      </c>
      <c r="F50" s="64">
        <v>7.43</v>
      </c>
      <c r="G50" s="216" t="s">
        <v>43</v>
      </c>
      <c r="H50" s="216" t="s">
        <v>43</v>
      </c>
      <c r="I50" s="218" t="s">
        <v>36</v>
      </c>
      <c r="J50" s="64">
        <v>0.15</v>
      </c>
      <c r="K50" s="64">
        <v>348.64</v>
      </c>
      <c r="L50" s="64">
        <v>29.95</v>
      </c>
      <c r="M50" s="64">
        <v>64.73</v>
      </c>
      <c r="N50" s="64">
        <v>474.4</v>
      </c>
      <c r="O50" s="64">
        <v>0</v>
      </c>
      <c r="P50" s="64">
        <v>0.99</v>
      </c>
      <c r="Q50" s="64">
        <v>20.52</v>
      </c>
      <c r="R50" s="198"/>
      <c r="S50" s="198"/>
      <c r="T50" s="198"/>
      <c r="U50" s="198"/>
    </row>
    <row r="51" spans="1:21" s="12" customFormat="1" x14ac:dyDescent="0.25">
      <c r="A51" s="215" t="s">
        <v>482</v>
      </c>
      <c r="B51" s="64">
        <v>20.03</v>
      </c>
      <c r="C51" s="64">
        <v>24.11</v>
      </c>
      <c r="D51" s="64">
        <v>30.02</v>
      </c>
      <c r="E51" s="64">
        <v>3.1</v>
      </c>
      <c r="F51" s="64">
        <v>15.84</v>
      </c>
      <c r="G51" s="216" t="s">
        <v>43</v>
      </c>
      <c r="H51" s="216" t="s">
        <v>43</v>
      </c>
      <c r="I51" s="218" t="s">
        <v>36</v>
      </c>
      <c r="J51" s="64">
        <v>0.37</v>
      </c>
      <c r="K51" s="64">
        <v>359.47</v>
      </c>
      <c r="L51" s="64">
        <v>31.84</v>
      </c>
      <c r="M51" s="64">
        <v>57.41</v>
      </c>
      <c r="N51" s="64">
        <v>807</v>
      </c>
      <c r="O51" s="64">
        <v>0</v>
      </c>
      <c r="P51" s="64">
        <v>1.02</v>
      </c>
      <c r="Q51" s="64">
        <v>21.25</v>
      </c>
      <c r="R51" s="198"/>
      <c r="S51" s="198"/>
      <c r="T51" s="198"/>
      <c r="U51" s="198"/>
    </row>
    <row r="52" spans="1:21" s="12" customFormat="1" x14ac:dyDescent="0.25">
      <c r="A52" s="215" t="s">
        <v>483</v>
      </c>
      <c r="B52" s="64">
        <v>19.75</v>
      </c>
      <c r="C52" s="64">
        <v>20.9</v>
      </c>
      <c r="D52" s="64">
        <v>28.02</v>
      </c>
      <c r="E52" s="64">
        <v>2.4700000000000002</v>
      </c>
      <c r="F52" s="64">
        <v>12.79</v>
      </c>
      <c r="G52" s="216" t="s">
        <v>43</v>
      </c>
      <c r="H52" s="216" t="s">
        <v>43</v>
      </c>
      <c r="I52" s="218" t="s">
        <v>36</v>
      </c>
      <c r="J52" s="64">
        <v>0.32</v>
      </c>
      <c r="K52" s="64">
        <v>347.85</v>
      </c>
      <c r="L52" s="64">
        <v>33.1</v>
      </c>
      <c r="M52" s="64">
        <v>53.5</v>
      </c>
      <c r="N52" s="64">
        <v>846.9</v>
      </c>
      <c r="O52" s="64">
        <v>0</v>
      </c>
      <c r="P52" s="64">
        <v>1.02</v>
      </c>
      <c r="Q52" s="64">
        <v>21.15</v>
      </c>
      <c r="R52" s="198"/>
      <c r="S52" s="198"/>
      <c r="T52" s="198"/>
      <c r="U52" s="198"/>
    </row>
    <row r="53" spans="1:21" s="12" customFormat="1" x14ac:dyDescent="0.25">
      <c r="A53" s="215" t="s">
        <v>484</v>
      </c>
      <c r="B53" s="64">
        <v>19.18</v>
      </c>
      <c r="C53" s="64">
        <v>23.01</v>
      </c>
      <c r="D53" s="64">
        <v>28.73</v>
      </c>
      <c r="E53" s="64">
        <v>2.9</v>
      </c>
      <c r="F53" s="64">
        <v>15.6</v>
      </c>
      <c r="G53" s="216" t="s">
        <v>43</v>
      </c>
      <c r="H53" s="216" t="s">
        <v>43</v>
      </c>
      <c r="I53" s="218" t="s">
        <v>36</v>
      </c>
      <c r="J53" s="64">
        <v>0.45</v>
      </c>
      <c r="K53" s="64">
        <v>345.89</v>
      </c>
      <c r="L53" s="64">
        <v>32.49</v>
      </c>
      <c r="M53" s="64">
        <v>54.82</v>
      </c>
      <c r="N53" s="64">
        <v>722.3</v>
      </c>
      <c r="O53" s="64">
        <v>0</v>
      </c>
      <c r="P53" s="64">
        <v>1.03</v>
      </c>
      <c r="Q53" s="64">
        <v>21.41</v>
      </c>
      <c r="R53" s="198"/>
      <c r="S53" s="198"/>
      <c r="T53" s="198"/>
      <c r="U53" s="198"/>
    </row>
    <row r="54" spans="1:21" s="12" customFormat="1" x14ac:dyDescent="0.25">
      <c r="A54" s="215" t="s">
        <v>485</v>
      </c>
      <c r="B54" s="64">
        <v>18.61</v>
      </c>
      <c r="C54" s="64">
        <v>20.38</v>
      </c>
      <c r="D54" s="64">
        <v>26.81</v>
      </c>
      <c r="E54" s="64">
        <v>3.17</v>
      </c>
      <c r="F54" s="64">
        <v>19.32</v>
      </c>
      <c r="G54" s="216" t="s">
        <v>43</v>
      </c>
      <c r="H54" s="216" t="s">
        <v>43</v>
      </c>
      <c r="I54" s="218" t="s">
        <v>36</v>
      </c>
      <c r="J54" s="64">
        <v>0.52</v>
      </c>
      <c r="K54" s="64">
        <v>354.33</v>
      </c>
      <c r="L54" s="64">
        <v>33.47</v>
      </c>
      <c r="M54" s="64">
        <v>51.59</v>
      </c>
      <c r="N54" s="64">
        <v>759.2</v>
      </c>
      <c r="O54" s="64">
        <v>0</v>
      </c>
      <c r="P54" s="64">
        <v>1.03</v>
      </c>
      <c r="Q54" s="64">
        <v>20.91</v>
      </c>
      <c r="R54" s="198"/>
      <c r="S54" s="198"/>
      <c r="T54" s="198"/>
      <c r="U54" s="198"/>
    </row>
    <row r="55" spans="1:21" s="12" customFormat="1" x14ac:dyDescent="0.25">
      <c r="A55" s="215" t="s">
        <v>486</v>
      </c>
      <c r="B55" s="64">
        <v>17.739999999999998</v>
      </c>
      <c r="C55" s="64">
        <v>17.73</v>
      </c>
      <c r="D55" s="64">
        <v>24.66</v>
      </c>
      <c r="E55" s="64">
        <v>2.66</v>
      </c>
      <c r="F55" s="64">
        <v>12.01</v>
      </c>
      <c r="G55" s="216" t="s">
        <v>43</v>
      </c>
      <c r="H55" s="216" t="s">
        <v>43</v>
      </c>
      <c r="I55" s="218" t="s">
        <v>36</v>
      </c>
      <c r="J55" s="64">
        <v>0.26</v>
      </c>
      <c r="K55" s="64">
        <v>6.3</v>
      </c>
      <c r="L55" s="64">
        <v>34.56</v>
      </c>
      <c r="M55" s="64">
        <v>47.79</v>
      </c>
      <c r="N55" s="64">
        <v>908</v>
      </c>
      <c r="O55" s="64">
        <v>0</v>
      </c>
      <c r="P55" s="64">
        <v>1.04</v>
      </c>
      <c r="Q55" s="64">
        <v>20.78</v>
      </c>
      <c r="R55" s="198"/>
      <c r="S55" s="198"/>
      <c r="T55" s="198"/>
      <c r="U55" s="198"/>
    </row>
    <row r="56" spans="1:21" s="12" customFormat="1" x14ac:dyDescent="0.25">
      <c r="A56" s="215" t="s">
        <v>487</v>
      </c>
      <c r="B56" s="64">
        <v>16.149999999999999</v>
      </c>
      <c r="C56" s="64">
        <v>21.65</v>
      </c>
      <c r="D56" s="64">
        <v>25.54</v>
      </c>
      <c r="E56" s="64">
        <v>2.52</v>
      </c>
      <c r="F56" s="64">
        <v>8.5</v>
      </c>
      <c r="G56" s="216" t="s">
        <v>43</v>
      </c>
      <c r="H56" s="216" t="s">
        <v>43</v>
      </c>
      <c r="I56" s="218" t="s">
        <v>36</v>
      </c>
      <c r="J56" s="64">
        <v>0.56000000000000005</v>
      </c>
      <c r="K56" s="64">
        <v>7.11</v>
      </c>
      <c r="L56" s="64">
        <v>34.159999999999997</v>
      </c>
      <c r="M56" s="64">
        <v>48.52</v>
      </c>
      <c r="N56" s="64">
        <v>908.3</v>
      </c>
      <c r="O56" s="64">
        <v>0</v>
      </c>
      <c r="P56" s="64">
        <v>1</v>
      </c>
      <c r="Q56" s="64">
        <v>20.94</v>
      </c>
      <c r="R56" s="198"/>
      <c r="S56" s="198"/>
      <c r="T56" s="198"/>
      <c r="U56" s="198"/>
    </row>
    <row r="57" spans="1:21" s="12" customFormat="1" x14ac:dyDescent="0.25">
      <c r="A57" s="215" t="s">
        <v>488</v>
      </c>
      <c r="B57" s="64">
        <v>13.72</v>
      </c>
      <c r="C57" s="64">
        <v>20.96</v>
      </c>
      <c r="D57" s="64">
        <v>23.21</v>
      </c>
      <c r="E57" s="64">
        <v>2.67</v>
      </c>
      <c r="F57" s="64">
        <v>10.61</v>
      </c>
      <c r="G57" s="216" t="s">
        <v>43</v>
      </c>
      <c r="H57" s="216" t="s">
        <v>43</v>
      </c>
      <c r="I57" s="218" t="s">
        <v>36</v>
      </c>
      <c r="J57" s="64">
        <v>0.11</v>
      </c>
      <c r="K57" s="64">
        <v>226.73</v>
      </c>
      <c r="L57" s="64">
        <v>32.08</v>
      </c>
      <c r="M57" s="64">
        <v>52.65</v>
      </c>
      <c r="N57" s="64">
        <v>451.5</v>
      </c>
      <c r="O57" s="64">
        <v>0</v>
      </c>
      <c r="P57" s="64">
        <v>0.97</v>
      </c>
      <c r="Q57" s="64">
        <v>19.55</v>
      </c>
      <c r="R57" s="198"/>
      <c r="S57" s="198"/>
      <c r="T57" s="198"/>
      <c r="U57" s="198"/>
    </row>
    <row r="58" spans="1:21" s="12" customFormat="1" x14ac:dyDescent="0.25">
      <c r="A58" s="215" t="s">
        <v>489</v>
      </c>
      <c r="B58" s="64">
        <v>11.32</v>
      </c>
      <c r="C58" s="64">
        <v>21.2</v>
      </c>
      <c r="D58" s="64">
        <v>21.42</v>
      </c>
      <c r="E58" s="64">
        <v>2.79</v>
      </c>
      <c r="F58" s="64">
        <v>12.62</v>
      </c>
      <c r="G58" s="216" t="s">
        <v>43</v>
      </c>
      <c r="H58" s="216" t="s">
        <v>43</v>
      </c>
      <c r="I58" s="218" t="s">
        <v>36</v>
      </c>
      <c r="J58" s="64">
        <v>0.48</v>
      </c>
      <c r="K58" s="64">
        <v>175.01</v>
      </c>
      <c r="L58" s="64">
        <v>31.1</v>
      </c>
      <c r="M58" s="64">
        <v>54.18</v>
      </c>
      <c r="N58" s="64">
        <v>517.4</v>
      </c>
      <c r="O58" s="64">
        <v>0</v>
      </c>
      <c r="P58" s="64">
        <v>0.94</v>
      </c>
      <c r="Q58" s="64">
        <v>16.809999999999999</v>
      </c>
      <c r="R58" s="198"/>
      <c r="S58" s="198"/>
      <c r="T58" s="198"/>
      <c r="U58" s="198"/>
    </row>
    <row r="59" spans="1:21" s="12" customFormat="1" x14ac:dyDescent="0.25">
      <c r="A59" s="215" t="s">
        <v>490</v>
      </c>
      <c r="B59" s="64">
        <v>9.1999999999999993</v>
      </c>
      <c r="C59" s="64">
        <v>23.27</v>
      </c>
      <c r="D59" s="64">
        <v>20.87</v>
      </c>
      <c r="E59" s="64">
        <v>2.25</v>
      </c>
      <c r="F59" s="64">
        <v>13.42</v>
      </c>
      <c r="G59" s="216" t="s">
        <v>43</v>
      </c>
      <c r="H59" s="216" t="s">
        <v>43</v>
      </c>
      <c r="I59" s="218" t="s">
        <v>36</v>
      </c>
      <c r="J59" s="64">
        <v>0.19</v>
      </c>
      <c r="K59" s="64">
        <v>337.73</v>
      </c>
      <c r="L59" s="64">
        <v>32.54</v>
      </c>
      <c r="M59" s="64">
        <v>51.41</v>
      </c>
      <c r="N59" s="64">
        <v>588</v>
      </c>
      <c r="O59" s="64">
        <v>0</v>
      </c>
      <c r="P59" s="64">
        <v>0.92</v>
      </c>
      <c r="Q59" s="64">
        <v>17.53</v>
      </c>
      <c r="R59" s="198"/>
      <c r="S59" s="198"/>
      <c r="T59" s="198"/>
      <c r="U59" s="198"/>
    </row>
    <row r="60" spans="1:21" s="12" customFormat="1" x14ac:dyDescent="0.25">
      <c r="A60" s="215" t="s">
        <v>491</v>
      </c>
      <c r="B60" s="64">
        <v>8.7100000000000009</v>
      </c>
      <c r="C60" s="64">
        <v>23.03</v>
      </c>
      <c r="D60" s="64">
        <v>20.34</v>
      </c>
      <c r="E60" s="64">
        <v>2.4</v>
      </c>
      <c r="F60" s="64">
        <v>23.82</v>
      </c>
      <c r="G60" s="216" t="s">
        <v>43</v>
      </c>
      <c r="H60" s="216" t="s">
        <v>43</v>
      </c>
      <c r="I60" s="218" t="s">
        <v>36</v>
      </c>
      <c r="J60" s="64">
        <v>0.34</v>
      </c>
      <c r="K60" s="64">
        <v>10.39</v>
      </c>
      <c r="L60" s="64">
        <v>32.32</v>
      </c>
      <c r="M60" s="64">
        <v>51.27</v>
      </c>
      <c r="N60" s="64">
        <v>814.6</v>
      </c>
      <c r="O60" s="64">
        <v>0</v>
      </c>
      <c r="P60" s="64">
        <v>0.88</v>
      </c>
      <c r="Q60" s="64">
        <v>16.7</v>
      </c>
      <c r="R60" s="198"/>
      <c r="S60" s="198"/>
      <c r="T60" s="198"/>
      <c r="U60" s="198"/>
    </row>
    <row r="61" spans="1:21" s="12" customFormat="1" x14ac:dyDescent="0.25">
      <c r="A61" s="215" t="s">
        <v>492</v>
      </c>
      <c r="B61" s="64">
        <v>6.79</v>
      </c>
      <c r="C61" s="64">
        <v>21.48</v>
      </c>
      <c r="D61" s="64">
        <v>17.95</v>
      </c>
      <c r="E61" s="64">
        <v>2.25</v>
      </c>
      <c r="F61" s="64">
        <v>22.45</v>
      </c>
      <c r="G61" s="216" t="s">
        <v>43</v>
      </c>
      <c r="H61" s="216" t="s">
        <v>43</v>
      </c>
      <c r="I61" s="218" t="s">
        <v>36</v>
      </c>
      <c r="J61" s="64">
        <v>0.26</v>
      </c>
      <c r="K61" s="64">
        <v>168.34</v>
      </c>
      <c r="L61" s="64">
        <v>32.61</v>
      </c>
      <c r="M61" s="64">
        <v>49.68</v>
      </c>
      <c r="N61" s="64">
        <v>502.3</v>
      </c>
      <c r="O61" s="64">
        <v>0</v>
      </c>
      <c r="P61" s="64">
        <v>0.73</v>
      </c>
      <c r="Q61" s="64">
        <v>13.97</v>
      </c>
      <c r="R61" s="198"/>
      <c r="S61" s="198"/>
      <c r="T61" s="198"/>
      <c r="U61" s="198"/>
    </row>
    <row r="62" spans="1:21" s="12" customFormat="1" x14ac:dyDescent="0.25">
      <c r="A62" s="215" t="s">
        <v>493</v>
      </c>
      <c r="B62" s="64">
        <v>5.85</v>
      </c>
      <c r="C62" s="64">
        <v>20.5</v>
      </c>
      <c r="D62" s="64">
        <v>16.649999999999999</v>
      </c>
      <c r="E62" s="64">
        <v>2.33</v>
      </c>
      <c r="F62" s="64">
        <v>20.38</v>
      </c>
      <c r="G62" s="216" t="s">
        <v>43</v>
      </c>
      <c r="H62" s="216" t="s">
        <v>43</v>
      </c>
      <c r="I62" s="218" t="s">
        <v>36</v>
      </c>
      <c r="J62" s="64">
        <v>0.04</v>
      </c>
      <c r="K62" s="64">
        <v>290.04000000000002</v>
      </c>
      <c r="L62" s="64">
        <v>31.59</v>
      </c>
      <c r="M62" s="64">
        <v>52.91</v>
      </c>
      <c r="N62" s="64">
        <v>630.9</v>
      </c>
      <c r="O62" s="64">
        <v>0</v>
      </c>
      <c r="P62" s="64">
        <v>0.78</v>
      </c>
      <c r="Q62" s="64">
        <v>12.9</v>
      </c>
      <c r="R62" s="198"/>
      <c r="S62" s="198"/>
      <c r="T62" s="198"/>
      <c r="U62" s="198"/>
    </row>
    <row r="63" spans="1:21" s="12" customFormat="1" x14ac:dyDescent="0.25">
      <c r="A63" s="215" t="s">
        <v>494</v>
      </c>
      <c r="B63" s="64">
        <v>6.43</v>
      </c>
      <c r="C63" s="64">
        <v>25.37</v>
      </c>
      <c r="D63" s="64">
        <v>19.8</v>
      </c>
      <c r="E63" s="64">
        <v>1.9</v>
      </c>
      <c r="F63" s="64">
        <v>33.19</v>
      </c>
      <c r="G63" s="216" t="s">
        <v>43</v>
      </c>
      <c r="H63" s="216" t="s">
        <v>43</v>
      </c>
      <c r="I63" s="218" t="s">
        <v>36</v>
      </c>
      <c r="J63" s="64">
        <v>0.02</v>
      </c>
      <c r="K63" s="64">
        <v>213.89</v>
      </c>
      <c r="L63" s="64">
        <v>32.28</v>
      </c>
      <c r="M63" s="64">
        <v>51.06</v>
      </c>
      <c r="N63" s="64">
        <v>525.1</v>
      </c>
      <c r="O63" s="64">
        <v>0</v>
      </c>
      <c r="P63" s="64">
        <v>0.76</v>
      </c>
      <c r="Q63" s="64">
        <v>13.75</v>
      </c>
      <c r="R63" s="198"/>
      <c r="S63" s="198"/>
      <c r="T63" s="198"/>
      <c r="U63" s="198"/>
    </row>
    <row r="64" spans="1:21" s="12" customFormat="1" x14ac:dyDescent="0.25">
      <c r="A64" s="215" t="s">
        <v>495</v>
      </c>
      <c r="B64" s="64">
        <v>5.22</v>
      </c>
      <c r="C64" s="64">
        <v>19.829999999999998</v>
      </c>
      <c r="D64" s="64">
        <v>15.77</v>
      </c>
      <c r="E64" s="64">
        <v>2.44</v>
      </c>
      <c r="F64" s="64">
        <v>19.89</v>
      </c>
      <c r="G64" s="216" t="s">
        <v>43</v>
      </c>
      <c r="H64" s="216" t="s">
        <v>43</v>
      </c>
      <c r="I64" s="218" t="s">
        <v>36</v>
      </c>
      <c r="J64" s="64">
        <v>0.05</v>
      </c>
      <c r="K64" s="64">
        <v>254.89</v>
      </c>
      <c r="L64" s="64">
        <v>31.24</v>
      </c>
      <c r="M64" s="64">
        <v>54.17</v>
      </c>
      <c r="N64" s="64">
        <v>456.7</v>
      </c>
      <c r="O64" s="64">
        <v>0</v>
      </c>
      <c r="P64" s="64">
        <v>0.72</v>
      </c>
      <c r="Q64" s="64">
        <v>14.62</v>
      </c>
      <c r="R64" s="198"/>
      <c r="S64" s="198"/>
      <c r="T64" s="198"/>
      <c r="U64" s="198"/>
    </row>
    <row r="65" spans="1:21" s="12" customFormat="1" x14ac:dyDescent="0.25">
      <c r="A65" s="215" t="s">
        <v>496</v>
      </c>
      <c r="B65" s="64">
        <v>4.95</v>
      </c>
      <c r="C65" s="64">
        <v>19.03</v>
      </c>
      <c r="D65" s="64">
        <v>15.12</v>
      </c>
      <c r="E65" s="64">
        <v>2.4700000000000002</v>
      </c>
      <c r="F65" s="64">
        <v>22.05</v>
      </c>
      <c r="G65" s="216" t="s">
        <v>43</v>
      </c>
      <c r="H65" s="216" t="s">
        <v>43</v>
      </c>
      <c r="I65" s="218" t="s">
        <v>36</v>
      </c>
      <c r="J65" s="64">
        <v>0.75</v>
      </c>
      <c r="K65" s="64">
        <v>178.78</v>
      </c>
      <c r="L65" s="64">
        <v>30.94</v>
      </c>
      <c r="M65" s="64">
        <v>55.92</v>
      </c>
      <c r="N65" s="64">
        <v>478.5</v>
      </c>
      <c r="O65" s="64">
        <v>0</v>
      </c>
      <c r="P65" s="64">
        <v>0.7</v>
      </c>
      <c r="Q65" s="64">
        <v>14.21</v>
      </c>
      <c r="R65" s="198"/>
      <c r="S65" s="198"/>
      <c r="T65" s="198"/>
      <c r="U65" s="198"/>
    </row>
    <row r="66" spans="1:21" s="12" customFormat="1" x14ac:dyDescent="0.25">
      <c r="A66" s="215" t="s">
        <v>497</v>
      </c>
      <c r="B66" s="64">
        <v>4.7300000000000004</v>
      </c>
      <c r="C66" s="64">
        <v>18.16</v>
      </c>
      <c r="D66" s="64">
        <v>14.46</v>
      </c>
      <c r="E66" s="64">
        <v>2.59</v>
      </c>
      <c r="F66" s="64">
        <v>17.09</v>
      </c>
      <c r="G66" s="216" t="s">
        <v>43</v>
      </c>
      <c r="H66" s="216" t="s">
        <v>43</v>
      </c>
      <c r="I66" s="218" t="s">
        <v>36</v>
      </c>
      <c r="J66" s="64">
        <v>0.52</v>
      </c>
      <c r="K66" s="64">
        <v>191.19</v>
      </c>
      <c r="L66" s="64">
        <v>30.69</v>
      </c>
      <c r="M66" s="64">
        <v>56.87</v>
      </c>
      <c r="N66" s="64">
        <v>394.6</v>
      </c>
      <c r="O66" s="64">
        <v>0</v>
      </c>
      <c r="P66" s="64">
        <v>0.7</v>
      </c>
      <c r="Q66" s="64">
        <v>15.06</v>
      </c>
      <c r="R66" s="198"/>
      <c r="S66" s="198"/>
      <c r="T66" s="198"/>
      <c r="U66" s="198"/>
    </row>
    <row r="67" spans="1:21" s="12" customFormat="1" x14ac:dyDescent="0.25">
      <c r="A67" s="215" t="s">
        <v>498</v>
      </c>
      <c r="B67" s="64">
        <v>4.4800000000000004</v>
      </c>
      <c r="C67" s="64">
        <v>17.62</v>
      </c>
      <c r="D67" s="64">
        <v>13.96</v>
      </c>
      <c r="E67" s="64">
        <v>3.01</v>
      </c>
      <c r="F67" s="64">
        <v>9.2799999999999994</v>
      </c>
      <c r="G67" s="216" t="s">
        <v>43</v>
      </c>
      <c r="H67" s="216" t="s">
        <v>43</v>
      </c>
      <c r="I67" s="218" t="s">
        <v>36</v>
      </c>
      <c r="J67" s="64">
        <v>0.7</v>
      </c>
      <c r="K67" s="64">
        <v>181.17</v>
      </c>
      <c r="L67" s="64">
        <v>30.59</v>
      </c>
      <c r="M67" s="64">
        <v>58.13</v>
      </c>
      <c r="N67" s="64">
        <v>428.6</v>
      </c>
      <c r="O67" s="64">
        <v>0</v>
      </c>
      <c r="P67" s="64">
        <v>0.69</v>
      </c>
      <c r="Q67" s="64">
        <v>14.76</v>
      </c>
      <c r="R67" s="198"/>
      <c r="S67" s="198"/>
      <c r="T67" s="198"/>
      <c r="U67" s="198"/>
    </row>
    <row r="68" spans="1:21" s="12" customFormat="1" x14ac:dyDescent="0.25">
      <c r="A68" s="215" t="s">
        <v>499</v>
      </c>
      <c r="B68" s="64">
        <v>4.34</v>
      </c>
      <c r="C68" s="64">
        <v>18.57</v>
      </c>
      <c r="D68" s="64">
        <v>14.38</v>
      </c>
      <c r="E68" s="64">
        <v>2.66</v>
      </c>
      <c r="F68" s="64">
        <v>9.6300000000000008</v>
      </c>
      <c r="G68" s="216" t="s">
        <v>43</v>
      </c>
      <c r="H68" s="216" t="s">
        <v>43</v>
      </c>
      <c r="I68" s="218" t="s">
        <v>36</v>
      </c>
      <c r="J68" s="64">
        <v>1.08</v>
      </c>
      <c r="K68" s="64">
        <v>167.56</v>
      </c>
      <c r="L68" s="64">
        <v>30.48</v>
      </c>
      <c r="M68" s="64">
        <v>58.44</v>
      </c>
      <c r="N68" s="64">
        <v>331.2</v>
      </c>
      <c r="O68" s="64">
        <v>0</v>
      </c>
      <c r="P68" s="64">
        <v>0.68</v>
      </c>
      <c r="Q68" s="64">
        <v>15.68</v>
      </c>
      <c r="R68" s="198"/>
      <c r="S68" s="198"/>
      <c r="T68" s="198"/>
      <c r="U68" s="198"/>
    </row>
    <row r="69" spans="1:21" s="12" customFormat="1" x14ac:dyDescent="0.25">
      <c r="A69" s="215" t="s">
        <v>500</v>
      </c>
      <c r="B69" s="64">
        <v>4.1900000000000004</v>
      </c>
      <c r="C69" s="64">
        <v>17.36</v>
      </c>
      <c r="D69" s="64">
        <v>13.59</v>
      </c>
      <c r="E69" s="64">
        <v>2.2999999999999998</v>
      </c>
      <c r="F69" s="64">
        <v>10.37</v>
      </c>
      <c r="G69" s="216" t="s">
        <v>43</v>
      </c>
      <c r="H69" s="216" t="s">
        <v>43</v>
      </c>
      <c r="I69" s="218" t="s">
        <v>36</v>
      </c>
      <c r="J69" s="64">
        <v>1.25</v>
      </c>
      <c r="K69" s="64">
        <v>173.59</v>
      </c>
      <c r="L69" s="64">
        <v>30.38</v>
      </c>
      <c r="M69" s="64">
        <v>58.52</v>
      </c>
      <c r="N69" s="64">
        <v>241.8</v>
      </c>
      <c r="O69" s="64">
        <v>0</v>
      </c>
      <c r="P69" s="64">
        <v>0.65</v>
      </c>
      <c r="Q69" s="64">
        <v>13.62</v>
      </c>
      <c r="R69" s="198"/>
      <c r="S69" s="198"/>
      <c r="T69" s="198"/>
      <c r="U69" s="198"/>
    </row>
    <row r="70" spans="1:21" s="12" customFormat="1" x14ac:dyDescent="0.25">
      <c r="A70" s="215" t="s">
        <v>501</v>
      </c>
      <c r="B70" s="64">
        <v>4.24</v>
      </c>
      <c r="C70" s="64">
        <v>16.57</v>
      </c>
      <c r="D70" s="64">
        <v>13.19</v>
      </c>
      <c r="E70" s="64">
        <v>1.99</v>
      </c>
      <c r="F70" s="64">
        <v>10.68</v>
      </c>
      <c r="G70" s="216" t="s">
        <v>43</v>
      </c>
      <c r="H70" s="216" t="s">
        <v>43</v>
      </c>
      <c r="I70" s="218" t="s">
        <v>36</v>
      </c>
      <c r="J70" s="64">
        <v>1.04</v>
      </c>
      <c r="K70" s="64">
        <v>166.61</v>
      </c>
      <c r="L70" s="64">
        <v>30.65</v>
      </c>
      <c r="M70" s="64">
        <v>57.85</v>
      </c>
      <c r="N70" s="64">
        <v>292.5</v>
      </c>
      <c r="O70" s="64">
        <v>0</v>
      </c>
      <c r="P70" s="64">
        <v>0.63</v>
      </c>
      <c r="Q70" s="64">
        <v>11.84</v>
      </c>
      <c r="R70" s="198"/>
      <c r="S70" s="198"/>
      <c r="T70" s="198"/>
      <c r="U70" s="198"/>
    </row>
    <row r="71" spans="1:21" s="12" customFormat="1" x14ac:dyDescent="0.25">
      <c r="A71" s="215" t="s">
        <v>502</v>
      </c>
      <c r="B71" s="64">
        <v>4.29</v>
      </c>
      <c r="C71" s="64">
        <v>17.739999999999998</v>
      </c>
      <c r="D71" s="64">
        <v>13.88</v>
      </c>
      <c r="E71" s="64">
        <v>2.54</v>
      </c>
      <c r="F71" s="64">
        <v>9.1199999999999992</v>
      </c>
      <c r="G71" s="216" t="s">
        <v>43</v>
      </c>
      <c r="H71" s="216" t="s">
        <v>43</v>
      </c>
      <c r="I71" s="218" t="s">
        <v>36</v>
      </c>
      <c r="J71" s="64">
        <v>0.85</v>
      </c>
      <c r="K71" s="64">
        <v>173.43</v>
      </c>
      <c r="L71" s="64">
        <v>30.79</v>
      </c>
      <c r="M71" s="64">
        <v>57.1</v>
      </c>
      <c r="N71" s="64">
        <v>256.2</v>
      </c>
      <c r="O71" s="64">
        <v>0</v>
      </c>
      <c r="P71" s="64">
        <v>0.62</v>
      </c>
      <c r="Q71" s="64">
        <v>13.53</v>
      </c>
      <c r="R71" s="198"/>
      <c r="S71" s="198"/>
      <c r="T71" s="198"/>
      <c r="U71" s="198"/>
    </row>
    <row r="72" spans="1:21" s="12" customFormat="1" x14ac:dyDescent="0.25">
      <c r="A72" s="215" t="s">
        <v>503</v>
      </c>
      <c r="B72" s="64">
        <v>4.1100000000000003</v>
      </c>
      <c r="C72" s="64">
        <v>17.22</v>
      </c>
      <c r="D72" s="64">
        <v>13.44</v>
      </c>
      <c r="E72" s="64">
        <v>1.54</v>
      </c>
      <c r="F72" s="64">
        <v>15.97</v>
      </c>
      <c r="G72" s="216" t="s">
        <v>43</v>
      </c>
      <c r="H72" s="216" t="s">
        <v>43</v>
      </c>
      <c r="I72" s="218" t="s">
        <v>36</v>
      </c>
      <c r="J72" s="64">
        <v>0.28000000000000003</v>
      </c>
      <c r="K72" s="64">
        <v>184.26</v>
      </c>
      <c r="L72" s="64">
        <v>30.72</v>
      </c>
      <c r="M72" s="64">
        <v>56.98</v>
      </c>
      <c r="N72" s="64">
        <v>272</v>
      </c>
      <c r="O72" s="64">
        <v>0</v>
      </c>
      <c r="P72" s="64">
        <v>0.59</v>
      </c>
      <c r="Q72" s="64">
        <v>13.23</v>
      </c>
      <c r="R72" s="198"/>
      <c r="S72" s="198"/>
      <c r="T72" s="198"/>
      <c r="U72" s="198"/>
    </row>
    <row r="73" spans="1:21" s="12" customFormat="1" x14ac:dyDescent="0.25">
      <c r="A73" s="215" t="s">
        <v>504</v>
      </c>
      <c r="B73" s="64">
        <v>5.19</v>
      </c>
      <c r="C73" s="64">
        <v>20.78</v>
      </c>
      <c r="D73" s="64">
        <v>16.27</v>
      </c>
      <c r="E73" s="64">
        <v>2.2200000000000002</v>
      </c>
      <c r="F73" s="64">
        <v>17.28</v>
      </c>
      <c r="G73" s="216" t="s">
        <v>43</v>
      </c>
      <c r="H73" s="216" t="s">
        <v>43</v>
      </c>
      <c r="I73" s="218" t="s">
        <v>36</v>
      </c>
      <c r="J73" s="64">
        <v>0.94</v>
      </c>
      <c r="K73" s="64">
        <v>175.79</v>
      </c>
      <c r="L73" s="64">
        <v>30.75</v>
      </c>
      <c r="M73" s="64">
        <v>56.3</v>
      </c>
      <c r="N73" s="64">
        <v>214.9</v>
      </c>
      <c r="O73" s="64">
        <v>0</v>
      </c>
      <c r="P73" s="64">
        <v>0.57999999999999996</v>
      </c>
      <c r="Q73" s="64">
        <v>10.67</v>
      </c>
      <c r="R73" s="198"/>
      <c r="S73" s="198"/>
      <c r="T73" s="198"/>
      <c r="U73" s="198"/>
    </row>
    <row r="74" spans="1:21" s="12" customFormat="1" x14ac:dyDescent="0.25">
      <c r="A74" s="215" t="s">
        <v>505</v>
      </c>
      <c r="B74" s="64">
        <v>4.47</v>
      </c>
      <c r="C74" s="64">
        <v>18.62</v>
      </c>
      <c r="D74" s="64">
        <v>14.51</v>
      </c>
      <c r="E74" s="64">
        <v>2.2799999999999998</v>
      </c>
      <c r="F74" s="64">
        <v>30.97</v>
      </c>
      <c r="G74" s="216" t="s">
        <v>43</v>
      </c>
      <c r="H74" s="216" t="s">
        <v>43</v>
      </c>
      <c r="I74" s="218" t="s">
        <v>36</v>
      </c>
      <c r="J74" s="64">
        <v>0.9</v>
      </c>
      <c r="K74" s="64">
        <v>167.16</v>
      </c>
      <c r="L74" s="64">
        <v>30.49</v>
      </c>
      <c r="M74" s="64">
        <v>56.91</v>
      </c>
      <c r="N74" s="64">
        <v>153.1</v>
      </c>
      <c r="O74" s="64">
        <v>0</v>
      </c>
      <c r="P74" s="64">
        <v>0.59</v>
      </c>
      <c r="Q74" s="64">
        <v>11.09</v>
      </c>
      <c r="R74" s="198"/>
      <c r="S74" s="198"/>
      <c r="T74" s="198"/>
      <c r="U74" s="198"/>
    </row>
    <row r="75" spans="1:21" s="12" customFormat="1" x14ac:dyDescent="0.25">
      <c r="A75" s="215" t="s">
        <v>506</v>
      </c>
      <c r="B75" s="64">
        <v>4.49</v>
      </c>
      <c r="C75" s="64">
        <v>18.89</v>
      </c>
      <c r="D75" s="64">
        <v>14.67</v>
      </c>
      <c r="E75" s="64">
        <v>2.11</v>
      </c>
      <c r="F75" s="64">
        <v>43.24</v>
      </c>
      <c r="G75" s="216" t="s">
        <v>43</v>
      </c>
      <c r="H75" s="216" t="s">
        <v>43</v>
      </c>
      <c r="I75" s="218" t="s">
        <v>36</v>
      </c>
      <c r="J75" s="64">
        <v>0.42</v>
      </c>
      <c r="K75" s="64">
        <v>165.67</v>
      </c>
      <c r="L75" s="64">
        <v>30.35</v>
      </c>
      <c r="M75" s="64">
        <v>57.23</v>
      </c>
      <c r="N75" s="64">
        <v>152.30000000000001</v>
      </c>
      <c r="O75" s="64">
        <v>0</v>
      </c>
      <c r="P75" s="64">
        <v>0.57999999999999996</v>
      </c>
      <c r="Q75" s="64">
        <v>11.72</v>
      </c>
      <c r="R75" s="198"/>
      <c r="S75" s="198"/>
      <c r="T75" s="198"/>
      <c r="U75" s="198"/>
    </row>
    <row r="76" spans="1:21" s="12" customFormat="1" x14ac:dyDescent="0.25">
      <c r="A76" s="215" t="s">
        <v>507</v>
      </c>
      <c r="B76" s="64">
        <v>4.3899999999999997</v>
      </c>
      <c r="C76" s="64">
        <v>16.95</v>
      </c>
      <c r="D76" s="64">
        <v>13.52</v>
      </c>
      <c r="E76" s="64">
        <v>2.13</v>
      </c>
      <c r="F76" s="64">
        <v>44.08</v>
      </c>
      <c r="G76" s="216" t="s">
        <v>43</v>
      </c>
      <c r="H76" s="216" t="s">
        <v>43</v>
      </c>
      <c r="I76" s="218" t="s">
        <v>36</v>
      </c>
      <c r="J76" s="64">
        <v>0.43</v>
      </c>
      <c r="K76" s="64">
        <v>176.78</v>
      </c>
      <c r="L76" s="64">
        <v>30.36</v>
      </c>
      <c r="M76" s="64">
        <v>56.89</v>
      </c>
      <c r="N76" s="64">
        <v>145.1</v>
      </c>
      <c r="O76" s="64">
        <v>0</v>
      </c>
      <c r="P76" s="64">
        <v>0.57999999999999996</v>
      </c>
      <c r="Q76" s="64">
        <v>13.51</v>
      </c>
      <c r="R76" s="198"/>
      <c r="S76" s="198"/>
      <c r="T76" s="198"/>
      <c r="U76" s="198"/>
    </row>
    <row r="77" spans="1:21" s="12" customFormat="1" x14ac:dyDescent="0.25">
      <c r="A77" s="215" t="s">
        <v>508</v>
      </c>
      <c r="B77" s="64">
        <v>4.83</v>
      </c>
      <c r="C77" s="64">
        <v>16.89</v>
      </c>
      <c r="D77" s="64">
        <v>13.84</v>
      </c>
      <c r="E77" s="64">
        <v>2.29</v>
      </c>
      <c r="F77" s="64">
        <v>37.99</v>
      </c>
      <c r="G77" s="216" t="s">
        <v>43</v>
      </c>
      <c r="H77" s="216" t="s">
        <v>43</v>
      </c>
      <c r="I77" s="218" t="s">
        <v>36</v>
      </c>
      <c r="J77" s="64">
        <v>0.79</v>
      </c>
      <c r="K77" s="64">
        <v>179.65</v>
      </c>
      <c r="L77" s="64">
        <v>30.38</v>
      </c>
      <c r="M77" s="64">
        <v>57.32</v>
      </c>
      <c r="N77" s="64">
        <v>137.69999999999999</v>
      </c>
      <c r="O77" s="64">
        <v>0</v>
      </c>
      <c r="P77" s="64">
        <v>0.56999999999999995</v>
      </c>
      <c r="Q77" s="64">
        <v>13</v>
      </c>
      <c r="R77" s="198"/>
      <c r="S77" s="198"/>
      <c r="T77" s="198"/>
      <c r="U77" s="198"/>
    </row>
    <row r="78" spans="1:21" s="12" customFormat="1" x14ac:dyDescent="0.25">
      <c r="A78" s="215" t="s">
        <v>509</v>
      </c>
      <c r="B78" s="64">
        <v>5.16</v>
      </c>
      <c r="C78" s="64">
        <v>20.8</v>
      </c>
      <c r="D78" s="64">
        <v>16.27</v>
      </c>
      <c r="E78" s="64">
        <v>2.73</v>
      </c>
      <c r="F78" s="64">
        <v>32.64</v>
      </c>
      <c r="G78" s="216" t="s">
        <v>43</v>
      </c>
      <c r="H78" s="216" t="s">
        <v>43</v>
      </c>
      <c r="I78" s="218" t="s">
        <v>36</v>
      </c>
      <c r="J78" s="64">
        <v>0.54</v>
      </c>
      <c r="K78" s="64">
        <v>176.25</v>
      </c>
      <c r="L78" s="64">
        <v>30.55</v>
      </c>
      <c r="M78" s="64">
        <v>56.82</v>
      </c>
      <c r="N78" s="64">
        <v>155.5</v>
      </c>
      <c r="O78" s="64">
        <v>0</v>
      </c>
      <c r="P78" s="64">
        <v>0.56000000000000005</v>
      </c>
      <c r="Q78" s="64">
        <v>14.84</v>
      </c>
      <c r="R78" s="198"/>
      <c r="S78" s="198"/>
      <c r="T78" s="198"/>
      <c r="U78" s="198"/>
    </row>
    <row r="79" spans="1:21" s="12" customFormat="1" x14ac:dyDescent="0.25">
      <c r="A79" s="215" t="s">
        <v>510</v>
      </c>
      <c r="B79" s="64">
        <v>5.0199999999999996</v>
      </c>
      <c r="C79" s="64">
        <v>18.12</v>
      </c>
      <c r="D79" s="64">
        <v>14.67</v>
      </c>
      <c r="E79" s="64">
        <v>2.65</v>
      </c>
      <c r="F79" s="64">
        <v>19.63</v>
      </c>
      <c r="G79" s="216" t="s">
        <v>43</v>
      </c>
      <c r="H79" s="216" t="s">
        <v>43</v>
      </c>
      <c r="I79" s="218" t="s">
        <v>36</v>
      </c>
      <c r="J79" s="64">
        <v>0.74</v>
      </c>
      <c r="K79" s="64">
        <v>170.88</v>
      </c>
      <c r="L79" s="64">
        <v>30.47</v>
      </c>
      <c r="M79" s="64">
        <v>56.94</v>
      </c>
      <c r="N79" s="64">
        <v>131.69999999999999</v>
      </c>
      <c r="O79" s="64">
        <v>0</v>
      </c>
      <c r="P79" s="64">
        <v>0.56000000000000005</v>
      </c>
      <c r="Q79" s="64">
        <v>15.77</v>
      </c>
      <c r="R79" s="198"/>
      <c r="S79" s="198"/>
      <c r="T79" s="198"/>
      <c r="U79" s="198"/>
    </row>
    <row r="80" spans="1:21" s="12" customFormat="1" x14ac:dyDescent="0.25">
      <c r="A80" s="215" t="s">
        <v>511</v>
      </c>
      <c r="B80" s="64">
        <v>5.5</v>
      </c>
      <c r="C80" s="64">
        <v>23.47</v>
      </c>
      <c r="D80" s="64">
        <v>18</v>
      </c>
      <c r="E80" s="64">
        <v>2.68</v>
      </c>
      <c r="F80" s="64">
        <v>24.59</v>
      </c>
      <c r="G80" s="216" t="s">
        <v>43</v>
      </c>
      <c r="H80" s="216" t="s">
        <v>43</v>
      </c>
      <c r="I80" s="218" t="s">
        <v>36</v>
      </c>
      <c r="J80" s="64">
        <v>0.66</v>
      </c>
      <c r="K80" s="64">
        <v>173.72</v>
      </c>
      <c r="L80" s="64">
        <v>30.29</v>
      </c>
      <c r="M80" s="64">
        <v>57.66</v>
      </c>
      <c r="N80" s="64">
        <v>104.5</v>
      </c>
      <c r="O80" s="64">
        <v>0</v>
      </c>
      <c r="P80" s="64">
        <v>0.54</v>
      </c>
      <c r="Q80" s="64">
        <v>15.97</v>
      </c>
      <c r="R80" s="198"/>
      <c r="S80" s="198"/>
      <c r="T80" s="198"/>
      <c r="U80" s="198"/>
    </row>
    <row r="81" spans="1:26" s="12" customFormat="1" x14ac:dyDescent="0.25">
      <c r="A81" s="215" t="s">
        <v>512</v>
      </c>
      <c r="B81" s="64">
        <v>4.68</v>
      </c>
      <c r="C81" s="64">
        <v>23.81</v>
      </c>
      <c r="D81" s="64">
        <v>17.53</v>
      </c>
      <c r="E81" s="64">
        <v>2.69</v>
      </c>
      <c r="F81" s="64">
        <v>39.28</v>
      </c>
      <c r="G81" s="216" t="s">
        <v>43</v>
      </c>
      <c r="H81" s="216" t="s">
        <v>43</v>
      </c>
      <c r="I81" s="218" t="s">
        <v>36</v>
      </c>
      <c r="J81" s="64">
        <v>0.7</v>
      </c>
      <c r="K81" s="64">
        <v>167.14</v>
      </c>
      <c r="L81" s="64">
        <v>30.14</v>
      </c>
      <c r="M81" s="64">
        <v>58.19</v>
      </c>
      <c r="N81" s="64">
        <v>83.8</v>
      </c>
      <c r="O81" s="64">
        <v>0</v>
      </c>
      <c r="P81" s="64">
        <v>0.53</v>
      </c>
      <c r="Q81" s="64">
        <v>13.38</v>
      </c>
      <c r="R81" s="198"/>
      <c r="S81" s="198"/>
      <c r="T81" s="198"/>
      <c r="U81" s="198"/>
    </row>
    <row r="82" spans="1:26" s="12" customFormat="1" x14ac:dyDescent="0.25">
      <c r="A82" s="215" t="s">
        <v>513</v>
      </c>
      <c r="B82" s="64">
        <v>4.08</v>
      </c>
      <c r="C82" s="64">
        <v>34.31</v>
      </c>
      <c r="D82" s="64">
        <v>22.85</v>
      </c>
      <c r="E82" s="64">
        <v>2.59</v>
      </c>
      <c r="F82" s="64">
        <v>43.09</v>
      </c>
      <c r="G82" s="216" t="s">
        <v>43</v>
      </c>
      <c r="H82" s="216" t="s">
        <v>43</v>
      </c>
      <c r="I82" s="218" t="s">
        <v>36</v>
      </c>
      <c r="J82" s="64">
        <v>0.33</v>
      </c>
      <c r="K82" s="64">
        <v>182.61</v>
      </c>
      <c r="L82" s="64">
        <v>29.99</v>
      </c>
      <c r="M82" s="64">
        <v>59.05</v>
      </c>
      <c r="N82" s="64">
        <v>70.7</v>
      </c>
      <c r="O82" s="64">
        <v>0</v>
      </c>
      <c r="P82" s="64">
        <v>0.57999999999999996</v>
      </c>
      <c r="Q82" s="64">
        <v>11.47</v>
      </c>
      <c r="R82" s="198"/>
      <c r="S82" s="198"/>
      <c r="T82" s="198"/>
      <c r="U82" s="198"/>
    </row>
    <row r="83" spans="1:26" s="12" customFormat="1" x14ac:dyDescent="0.25">
      <c r="A83" s="215" t="s">
        <v>514</v>
      </c>
      <c r="B83" s="64">
        <v>3.32</v>
      </c>
      <c r="C83" s="64">
        <v>30</v>
      </c>
      <c r="D83" s="64">
        <v>19.86</v>
      </c>
      <c r="E83" s="64">
        <v>3.32</v>
      </c>
      <c r="F83" s="64">
        <v>43.72</v>
      </c>
      <c r="G83" s="216" t="s">
        <v>43</v>
      </c>
      <c r="H83" s="216" t="s">
        <v>43</v>
      </c>
      <c r="I83" s="218" t="s">
        <v>36</v>
      </c>
      <c r="J83" s="64">
        <v>0.14000000000000001</v>
      </c>
      <c r="K83" s="64">
        <v>245.94</v>
      </c>
      <c r="L83" s="64">
        <v>29.8</v>
      </c>
      <c r="M83" s="64">
        <v>59.51</v>
      </c>
      <c r="N83" s="64">
        <v>64.8</v>
      </c>
      <c r="O83" s="64">
        <v>0</v>
      </c>
      <c r="P83" s="64">
        <v>0.56000000000000005</v>
      </c>
      <c r="Q83" s="64">
        <v>11.57</v>
      </c>
      <c r="R83" s="198"/>
      <c r="S83" s="198"/>
      <c r="T83" s="198"/>
      <c r="U83" s="198"/>
    </row>
    <row r="84" spans="1:26" s="12" customFormat="1" x14ac:dyDescent="0.25">
      <c r="A84" s="215" t="s">
        <v>515</v>
      </c>
      <c r="B84" s="64">
        <v>3.06</v>
      </c>
      <c r="C84" s="64">
        <v>29.55</v>
      </c>
      <c r="D84" s="64">
        <v>19.41</v>
      </c>
      <c r="E84" s="64">
        <v>3.47</v>
      </c>
      <c r="F84" s="64">
        <v>39.71</v>
      </c>
      <c r="G84" s="216" t="s">
        <v>43</v>
      </c>
      <c r="H84" s="216" t="s">
        <v>43</v>
      </c>
      <c r="I84" s="218" t="s">
        <v>36</v>
      </c>
      <c r="J84" s="64">
        <v>7.0000000000000007E-2</v>
      </c>
      <c r="K84" s="64">
        <v>254.34</v>
      </c>
      <c r="L84" s="64">
        <v>29.58</v>
      </c>
      <c r="M84" s="64">
        <v>61.22</v>
      </c>
      <c r="N84" s="64">
        <v>61.2</v>
      </c>
      <c r="O84" s="64">
        <v>0</v>
      </c>
      <c r="P84" s="64">
        <v>0.64</v>
      </c>
      <c r="Q84" s="64">
        <v>13.72</v>
      </c>
      <c r="R84" s="198"/>
      <c r="S84" s="198"/>
      <c r="T84" s="198"/>
      <c r="U84" s="198"/>
    </row>
    <row r="85" spans="1:26" s="12" customFormat="1" x14ac:dyDescent="0.25">
      <c r="A85" s="215" t="s">
        <v>516</v>
      </c>
      <c r="B85" s="64">
        <v>4.1900000000000004</v>
      </c>
      <c r="C85" s="64">
        <v>39.53</v>
      </c>
      <c r="D85" s="64">
        <v>25.82</v>
      </c>
      <c r="E85" s="64">
        <v>4.09</v>
      </c>
      <c r="F85" s="64">
        <v>39.17</v>
      </c>
      <c r="G85" s="216" t="s">
        <v>43</v>
      </c>
      <c r="H85" s="216" t="s">
        <v>43</v>
      </c>
      <c r="I85" s="64">
        <v>0.42</v>
      </c>
      <c r="J85" s="64">
        <v>0.64</v>
      </c>
      <c r="K85" s="64">
        <v>172.16</v>
      </c>
      <c r="L85" s="64">
        <v>29.47</v>
      </c>
      <c r="M85" s="64">
        <v>62.3</v>
      </c>
      <c r="N85" s="64">
        <v>60.3</v>
      </c>
      <c r="O85" s="64">
        <v>0</v>
      </c>
      <c r="P85" s="64">
        <v>0.71</v>
      </c>
      <c r="Q85" s="64">
        <v>17.28</v>
      </c>
      <c r="R85" s="198"/>
      <c r="S85" s="198"/>
      <c r="T85" s="198"/>
      <c r="U85" s="198"/>
    </row>
    <row r="86" spans="1:26" s="12" customFormat="1" x14ac:dyDescent="0.25">
      <c r="A86" s="215" t="s">
        <v>517</v>
      </c>
      <c r="B86" s="64">
        <v>3.86</v>
      </c>
      <c r="C86" s="64">
        <v>43.15</v>
      </c>
      <c r="D86" s="64">
        <v>27.56</v>
      </c>
      <c r="E86" s="64">
        <v>3.57</v>
      </c>
      <c r="F86" s="64">
        <v>40.53</v>
      </c>
      <c r="G86" s="216" t="s">
        <v>43</v>
      </c>
      <c r="H86" s="216" t="s">
        <v>43</v>
      </c>
      <c r="I86" s="64">
        <v>1.3</v>
      </c>
      <c r="J86" s="64">
        <v>0.14000000000000001</v>
      </c>
      <c r="K86" s="64">
        <v>178.76</v>
      </c>
      <c r="L86" s="64">
        <v>29.28</v>
      </c>
      <c r="M86" s="64">
        <v>63.75</v>
      </c>
      <c r="N86" s="64">
        <v>60.3</v>
      </c>
      <c r="O86" s="64">
        <v>0</v>
      </c>
      <c r="P86" s="64">
        <v>0.76</v>
      </c>
      <c r="Q86" s="64">
        <v>18.53</v>
      </c>
      <c r="R86" s="198"/>
      <c r="S86" s="198"/>
      <c r="T86" s="198"/>
      <c r="U86" s="198"/>
    </row>
    <row r="87" spans="1:26" s="12" customFormat="1" x14ac:dyDescent="0.25">
      <c r="A87" s="215" t="s">
        <v>518</v>
      </c>
      <c r="B87" s="64">
        <v>6.48</v>
      </c>
      <c r="C87" s="64">
        <v>47.05</v>
      </c>
      <c r="D87" s="64">
        <v>31.81</v>
      </c>
      <c r="E87" s="64">
        <v>3.55</v>
      </c>
      <c r="F87" s="64">
        <v>32.76</v>
      </c>
      <c r="G87" s="216" t="s">
        <v>43</v>
      </c>
      <c r="H87" s="216" t="s">
        <v>43</v>
      </c>
      <c r="I87" s="64">
        <v>2.4300000000000002</v>
      </c>
      <c r="J87" s="64">
        <v>0.52</v>
      </c>
      <c r="K87" s="64">
        <v>169.19</v>
      </c>
      <c r="L87" s="64">
        <v>29.13</v>
      </c>
      <c r="M87" s="64">
        <v>64.83</v>
      </c>
      <c r="N87" s="64">
        <v>57.9</v>
      </c>
      <c r="O87" s="64">
        <v>0</v>
      </c>
      <c r="P87" s="64">
        <v>0.75</v>
      </c>
      <c r="Q87" s="64">
        <v>12.6</v>
      </c>
      <c r="R87" s="198"/>
      <c r="S87" s="198"/>
      <c r="T87" s="198"/>
      <c r="U87" s="198"/>
    </row>
    <row r="88" spans="1:26" s="12" customFormat="1" x14ac:dyDescent="0.25">
      <c r="A88" s="215" t="s">
        <v>519</v>
      </c>
      <c r="B88" s="64">
        <v>8.59</v>
      </c>
      <c r="C88" s="64">
        <v>47.3</v>
      </c>
      <c r="D88" s="64">
        <v>33.64</v>
      </c>
      <c r="E88" s="64">
        <v>2.79</v>
      </c>
      <c r="F88" s="64">
        <v>24.13</v>
      </c>
      <c r="G88" s="216" t="s">
        <v>43</v>
      </c>
      <c r="H88" s="216" t="s">
        <v>43</v>
      </c>
      <c r="I88" s="64">
        <v>2.72</v>
      </c>
      <c r="J88" s="64">
        <v>0.46</v>
      </c>
      <c r="K88" s="64">
        <v>165.74</v>
      </c>
      <c r="L88" s="64">
        <v>28.93</v>
      </c>
      <c r="M88" s="64">
        <v>66.209999999999994</v>
      </c>
      <c r="N88" s="64">
        <v>57.2</v>
      </c>
      <c r="O88" s="64">
        <v>0</v>
      </c>
      <c r="P88" s="64">
        <v>0.74</v>
      </c>
      <c r="Q88" s="64">
        <v>10.23</v>
      </c>
      <c r="R88" s="198"/>
      <c r="S88" s="198"/>
      <c r="T88" s="198"/>
      <c r="U88" s="198"/>
    </row>
    <row r="89" spans="1:26" s="12" customFormat="1" x14ac:dyDescent="0.25">
      <c r="A89" s="215" t="s">
        <v>520</v>
      </c>
      <c r="B89" s="64">
        <v>5.47</v>
      </c>
      <c r="C89" s="64">
        <v>37.5</v>
      </c>
      <c r="D89" s="64">
        <v>25.73</v>
      </c>
      <c r="E89" s="64">
        <v>2.96</v>
      </c>
      <c r="F89" s="64">
        <v>27.4</v>
      </c>
      <c r="G89" s="216" t="s">
        <v>43</v>
      </c>
      <c r="H89" s="216" t="s">
        <v>43</v>
      </c>
      <c r="I89" s="64">
        <v>2.93</v>
      </c>
      <c r="J89" s="64">
        <v>0.47</v>
      </c>
      <c r="K89" s="64">
        <v>179.14</v>
      </c>
      <c r="L89" s="64">
        <v>28.91</v>
      </c>
      <c r="M89" s="64">
        <v>66.069999999999993</v>
      </c>
      <c r="N89" s="64">
        <v>57.2</v>
      </c>
      <c r="O89" s="64">
        <v>0</v>
      </c>
      <c r="P89" s="64">
        <v>0.75</v>
      </c>
      <c r="Q89" s="64">
        <v>11.94</v>
      </c>
      <c r="R89" s="198"/>
      <c r="S89" s="198"/>
      <c r="T89" s="198"/>
      <c r="U89" s="198"/>
    </row>
    <row r="90" spans="1:26" s="12" customFormat="1" x14ac:dyDescent="0.25">
      <c r="A90" s="215" t="s">
        <v>521</v>
      </c>
      <c r="B90" s="64">
        <v>6</v>
      </c>
      <c r="C90" s="64">
        <v>35.83</v>
      </c>
      <c r="D90" s="64">
        <v>25.23</v>
      </c>
      <c r="E90" s="64">
        <v>3.12</v>
      </c>
      <c r="F90" s="64">
        <v>21.51</v>
      </c>
      <c r="G90" s="216" t="s">
        <v>43</v>
      </c>
      <c r="H90" s="216" t="s">
        <v>43</v>
      </c>
      <c r="I90" s="64">
        <v>3.2</v>
      </c>
      <c r="J90" s="64">
        <v>0.26</v>
      </c>
      <c r="K90" s="64">
        <v>182.35</v>
      </c>
      <c r="L90" s="64">
        <v>28.78</v>
      </c>
      <c r="M90" s="64">
        <v>67.22</v>
      </c>
      <c r="N90" s="64">
        <v>57.5</v>
      </c>
      <c r="O90" s="64">
        <v>0</v>
      </c>
      <c r="P90" s="64">
        <v>0.76</v>
      </c>
      <c r="Q90" s="64">
        <v>11</v>
      </c>
      <c r="R90" s="198"/>
      <c r="S90" s="198"/>
      <c r="T90" s="198"/>
      <c r="U90" s="198"/>
    </row>
    <row r="91" spans="1:26" s="12" customFormat="1" x14ac:dyDescent="0.25">
      <c r="A91" s="215" t="s">
        <v>522</v>
      </c>
      <c r="B91" s="64">
        <v>6.92</v>
      </c>
      <c r="C91" s="64">
        <v>37.24</v>
      </c>
      <c r="D91" s="64">
        <v>26.75</v>
      </c>
      <c r="E91" s="64">
        <v>2.74</v>
      </c>
      <c r="F91" s="64">
        <v>18.84</v>
      </c>
      <c r="G91" s="216" t="s">
        <v>43</v>
      </c>
      <c r="H91" s="216" t="s">
        <v>43</v>
      </c>
      <c r="I91" s="64">
        <v>3.53</v>
      </c>
      <c r="J91" s="64">
        <v>0.05</v>
      </c>
      <c r="K91" s="64">
        <v>194.47</v>
      </c>
      <c r="L91" s="64">
        <v>28.68</v>
      </c>
      <c r="M91" s="64">
        <v>67.83</v>
      </c>
      <c r="N91" s="64">
        <v>57.6</v>
      </c>
      <c r="O91" s="64">
        <v>0</v>
      </c>
      <c r="P91" s="64">
        <v>0.77</v>
      </c>
      <c r="Q91" s="64">
        <v>11.99</v>
      </c>
      <c r="R91" s="198"/>
      <c r="S91" s="198"/>
      <c r="T91" s="198"/>
      <c r="U91" s="198"/>
    </row>
    <row r="92" spans="1:26" s="12" customFormat="1" x14ac:dyDescent="0.25">
      <c r="A92" s="215" t="s">
        <v>523</v>
      </c>
      <c r="B92" s="64">
        <v>6.68</v>
      </c>
      <c r="C92" s="64">
        <v>35.92</v>
      </c>
      <c r="D92" s="64">
        <v>25.83</v>
      </c>
      <c r="E92" s="64">
        <v>2.92</v>
      </c>
      <c r="F92" s="64">
        <v>21.97</v>
      </c>
      <c r="G92" s="216" t="s">
        <v>43</v>
      </c>
      <c r="H92" s="216" t="s">
        <v>43</v>
      </c>
      <c r="I92" s="64">
        <v>3.82</v>
      </c>
      <c r="J92" s="64">
        <v>0.37</v>
      </c>
      <c r="K92" s="64">
        <v>187.67</v>
      </c>
      <c r="L92" s="64">
        <v>28.59</v>
      </c>
      <c r="M92" s="64">
        <v>68.400000000000006</v>
      </c>
      <c r="N92" s="64">
        <v>57.2</v>
      </c>
      <c r="O92" s="64">
        <v>0</v>
      </c>
      <c r="P92" s="64">
        <v>0.78</v>
      </c>
      <c r="Q92" s="64">
        <v>10.96</v>
      </c>
      <c r="R92" s="198"/>
      <c r="S92" s="198"/>
      <c r="T92" s="198"/>
      <c r="U92" s="198"/>
    </row>
    <row r="93" spans="1:26" s="12" customFormat="1" x14ac:dyDescent="0.25">
      <c r="A93" s="215" t="s">
        <v>524</v>
      </c>
      <c r="B93" s="64">
        <v>7.06</v>
      </c>
      <c r="C93" s="64">
        <v>32.799999999999997</v>
      </c>
      <c r="D93" s="64">
        <v>24.4</v>
      </c>
      <c r="E93" s="64">
        <v>2.57</v>
      </c>
      <c r="F93" s="64">
        <v>19.41</v>
      </c>
      <c r="G93" s="216" t="s">
        <v>43</v>
      </c>
      <c r="H93" s="216" t="s">
        <v>43</v>
      </c>
      <c r="I93" s="64">
        <v>3.85</v>
      </c>
      <c r="J93" s="64">
        <v>0.53</v>
      </c>
      <c r="K93" s="64">
        <v>174.52</v>
      </c>
      <c r="L93" s="64">
        <v>28.5</v>
      </c>
      <c r="M93" s="64">
        <v>68.84</v>
      </c>
      <c r="N93" s="64">
        <v>57.2</v>
      </c>
      <c r="O93" s="64">
        <v>0</v>
      </c>
      <c r="P93" s="64">
        <v>0.8</v>
      </c>
      <c r="Q93" s="64">
        <v>9.93</v>
      </c>
      <c r="R93" s="198"/>
      <c r="S93" s="198"/>
      <c r="T93" s="198"/>
      <c r="U93" s="198"/>
    </row>
    <row r="94" spans="1:26" s="12" customFormat="1" x14ac:dyDescent="0.25">
      <c r="A94" s="215" t="s">
        <v>525</v>
      </c>
      <c r="B94" s="64">
        <v>11.1</v>
      </c>
      <c r="C94" s="64">
        <v>31.27</v>
      </c>
      <c r="D94" s="64">
        <v>26.8</v>
      </c>
      <c r="E94" s="64">
        <v>2.31</v>
      </c>
      <c r="F94" s="64">
        <v>11.04</v>
      </c>
      <c r="G94" s="216" t="s">
        <v>43</v>
      </c>
      <c r="H94" s="216" t="s">
        <v>43</v>
      </c>
      <c r="I94" s="64">
        <v>3.63</v>
      </c>
      <c r="J94" s="64">
        <v>0.61</v>
      </c>
      <c r="K94" s="64">
        <v>176.34</v>
      </c>
      <c r="L94" s="64">
        <v>28.46</v>
      </c>
      <c r="M94" s="64">
        <v>69.39</v>
      </c>
      <c r="N94" s="64">
        <v>56.9</v>
      </c>
      <c r="O94" s="64">
        <v>0</v>
      </c>
      <c r="P94" s="64">
        <v>0.81</v>
      </c>
      <c r="Q94" s="64">
        <v>12.02</v>
      </c>
      <c r="R94" s="198"/>
      <c r="S94" s="198"/>
      <c r="T94" s="198"/>
      <c r="U94" s="198"/>
    </row>
    <row r="95" spans="1:26" s="12" customFormat="1" x14ac:dyDescent="0.25">
      <c r="A95" s="215" t="s">
        <v>526</v>
      </c>
      <c r="B95" s="64">
        <v>14.82</v>
      </c>
      <c r="C95" s="64">
        <v>32.74</v>
      </c>
      <c r="D95" s="64">
        <v>30.6</v>
      </c>
      <c r="E95" s="64">
        <v>2.23</v>
      </c>
      <c r="F95" s="64">
        <v>10.17</v>
      </c>
      <c r="G95" s="216" t="s">
        <v>43</v>
      </c>
      <c r="H95" s="216" t="s">
        <v>43</v>
      </c>
      <c r="I95" s="64">
        <v>3.79</v>
      </c>
      <c r="J95" s="64">
        <v>0.63</v>
      </c>
      <c r="K95" s="64">
        <v>179.06</v>
      </c>
      <c r="L95" s="64">
        <v>28.45</v>
      </c>
      <c r="M95" s="64">
        <v>68.33</v>
      </c>
      <c r="N95" s="64">
        <v>57</v>
      </c>
      <c r="O95" s="64">
        <v>0</v>
      </c>
      <c r="P95" s="64">
        <v>0.78</v>
      </c>
      <c r="Q95" s="64">
        <v>12.26</v>
      </c>
      <c r="R95" s="198"/>
      <c r="S95" s="198"/>
      <c r="T95" s="198"/>
      <c r="U95" s="198"/>
    </row>
    <row r="96" spans="1:26" s="12" customFormat="1" x14ac:dyDescent="0.25">
      <c r="A96" s="215" t="s">
        <v>527</v>
      </c>
      <c r="B96" s="64">
        <v>11.42</v>
      </c>
      <c r="C96" s="64">
        <v>32.24</v>
      </c>
      <c r="D96" s="64">
        <v>27.6</v>
      </c>
      <c r="E96" s="64">
        <v>2.36</v>
      </c>
      <c r="F96" s="64">
        <v>16.07</v>
      </c>
      <c r="G96" s="216" t="s">
        <v>43</v>
      </c>
      <c r="H96" s="216" t="s">
        <v>43</v>
      </c>
      <c r="I96" s="64">
        <v>4.0599999999999996</v>
      </c>
      <c r="J96" s="64">
        <v>0.48</v>
      </c>
      <c r="K96" s="64">
        <v>174.64</v>
      </c>
      <c r="L96" s="64">
        <v>28.34</v>
      </c>
      <c r="M96" s="64">
        <v>69.47</v>
      </c>
      <c r="N96" s="64">
        <v>57</v>
      </c>
      <c r="O96" s="64">
        <v>0</v>
      </c>
      <c r="P96" s="64">
        <v>0.79</v>
      </c>
      <c r="Q96" s="64">
        <v>10.78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528</v>
      </c>
      <c r="B97" s="64">
        <v>8.6</v>
      </c>
      <c r="C97" s="64">
        <v>25.69</v>
      </c>
      <c r="D97" s="64">
        <v>21.72</v>
      </c>
      <c r="E97" s="64">
        <v>2.58</v>
      </c>
      <c r="F97" s="64">
        <v>23.23</v>
      </c>
      <c r="G97" s="216" t="s">
        <v>43</v>
      </c>
      <c r="H97" s="216" t="s">
        <v>43</v>
      </c>
      <c r="I97" s="64">
        <v>3.86</v>
      </c>
      <c r="J97" s="64">
        <v>0.47</v>
      </c>
      <c r="K97" s="64">
        <v>170.74</v>
      </c>
      <c r="L97" s="64">
        <v>28.25</v>
      </c>
      <c r="M97" s="64">
        <v>69.94</v>
      </c>
      <c r="N97" s="64">
        <v>57.1</v>
      </c>
      <c r="O97" s="64">
        <v>0</v>
      </c>
      <c r="P97" s="64">
        <v>0.8</v>
      </c>
      <c r="Q97" s="64">
        <v>11.46</v>
      </c>
      <c r="R97" s="198"/>
      <c r="S97" s="198"/>
      <c r="T97" s="198"/>
      <c r="U97" s="198"/>
    </row>
    <row r="98" spans="1:33" s="12" customFormat="1" x14ac:dyDescent="0.25">
      <c r="A98" s="215" t="s">
        <v>529</v>
      </c>
      <c r="B98" s="64">
        <v>7.99</v>
      </c>
      <c r="C98" s="64">
        <v>30.41</v>
      </c>
      <c r="D98" s="64">
        <v>23.84</v>
      </c>
      <c r="E98" s="64">
        <v>2.58</v>
      </c>
      <c r="F98" s="64">
        <v>28.93</v>
      </c>
      <c r="G98" s="216" t="s">
        <v>43</v>
      </c>
      <c r="H98" s="216" t="s">
        <v>43</v>
      </c>
      <c r="I98" s="64">
        <v>3.67</v>
      </c>
      <c r="J98" s="64">
        <v>0.05</v>
      </c>
      <c r="K98" s="64">
        <v>254.04</v>
      </c>
      <c r="L98" s="64">
        <v>28.01</v>
      </c>
      <c r="M98" s="64">
        <v>71.52</v>
      </c>
      <c r="N98" s="64">
        <v>57.5</v>
      </c>
      <c r="O98" s="64">
        <v>0</v>
      </c>
      <c r="P98" s="64">
        <v>0.78</v>
      </c>
      <c r="Q98" s="64">
        <v>14.06</v>
      </c>
      <c r="R98" s="198"/>
      <c r="S98" s="198"/>
      <c r="T98" s="198"/>
      <c r="U98" s="198"/>
    </row>
    <row r="99" spans="1:33" s="12" customFormat="1" x14ac:dyDescent="0.25">
      <c r="A99" s="215" t="s">
        <v>530</v>
      </c>
      <c r="B99" s="64">
        <v>10.84</v>
      </c>
      <c r="C99" s="64">
        <v>35.33</v>
      </c>
      <c r="D99" s="64">
        <v>28.84</v>
      </c>
      <c r="E99" s="64">
        <v>3.02</v>
      </c>
      <c r="F99" s="64">
        <v>22.22</v>
      </c>
      <c r="G99" s="216" t="s">
        <v>43</v>
      </c>
      <c r="H99" s="216" t="s">
        <v>43</v>
      </c>
      <c r="I99" s="64">
        <v>3.45</v>
      </c>
      <c r="J99" s="64">
        <v>0.05</v>
      </c>
      <c r="K99" s="64">
        <v>306.86</v>
      </c>
      <c r="L99" s="64">
        <v>27.78</v>
      </c>
      <c r="M99" s="64">
        <v>73.430000000000007</v>
      </c>
      <c r="N99" s="64">
        <v>57.5</v>
      </c>
      <c r="O99" s="64">
        <v>0</v>
      </c>
      <c r="P99" s="64">
        <v>0.77</v>
      </c>
      <c r="Q99" s="64">
        <v>13.31</v>
      </c>
      <c r="R99" s="198"/>
      <c r="S99" s="198"/>
      <c r="T99" s="198"/>
      <c r="U99" s="198"/>
    </row>
    <row r="100" spans="1:33" s="12" customFormat="1" x14ac:dyDescent="0.25">
      <c r="A100" s="215" t="s">
        <v>531</v>
      </c>
      <c r="B100" s="64">
        <v>9.91</v>
      </c>
      <c r="C100" s="64">
        <v>37.75</v>
      </c>
      <c r="D100" s="64">
        <v>29.42</v>
      </c>
      <c r="E100" s="64">
        <v>2.3199999999999998</v>
      </c>
      <c r="F100" s="64">
        <v>18.61</v>
      </c>
      <c r="G100" s="216" t="s">
        <v>43</v>
      </c>
      <c r="H100" s="216" t="s">
        <v>43</v>
      </c>
      <c r="I100" s="64">
        <v>2.99</v>
      </c>
      <c r="J100" s="64">
        <v>0.09</v>
      </c>
      <c r="K100" s="64">
        <v>341.71</v>
      </c>
      <c r="L100" s="64">
        <v>27.56</v>
      </c>
      <c r="M100" s="64">
        <v>74.86</v>
      </c>
      <c r="N100" s="64">
        <v>57.5</v>
      </c>
      <c r="O100" s="64">
        <v>0</v>
      </c>
      <c r="P100" s="64">
        <v>0.8</v>
      </c>
      <c r="Q100" s="64">
        <v>15.44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532</v>
      </c>
      <c r="B101" s="64">
        <v>6.09</v>
      </c>
      <c r="C101" s="64">
        <v>32.96</v>
      </c>
      <c r="D101" s="64">
        <v>23.72</v>
      </c>
      <c r="E101" s="64">
        <v>2.83</v>
      </c>
      <c r="F101" s="64">
        <v>26.16</v>
      </c>
      <c r="G101" s="216" t="s">
        <v>43</v>
      </c>
      <c r="H101" s="216" t="s">
        <v>43</v>
      </c>
      <c r="I101" s="64">
        <v>3.23</v>
      </c>
      <c r="J101" s="64">
        <v>7.0000000000000007E-2</v>
      </c>
      <c r="K101" s="64">
        <v>0.24</v>
      </c>
      <c r="L101" s="64">
        <v>27.56</v>
      </c>
      <c r="M101" s="64">
        <v>75.36</v>
      </c>
      <c r="N101" s="64">
        <v>57.3</v>
      </c>
      <c r="O101" s="64">
        <v>0</v>
      </c>
      <c r="P101" s="64">
        <v>0.78</v>
      </c>
      <c r="Q101" s="64">
        <v>16.2</v>
      </c>
      <c r="R101" s="198"/>
      <c r="S101" s="198"/>
      <c r="T101" s="198"/>
      <c r="U101" s="198"/>
    </row>
    <row r="102" spans="1:33" s="12" customFormat="1" x14ac:dyDescent="0.25">
      <c r="A102" s="215" t="s">
        <v>533</v>
      </c>
      <c r="B102" s="64">
        <v>6.9</v>
      </c>
      <c r="C102" s="64">
        <v>21.29</v>
      </c>
      <c r="D102" s="64">
        <v>17.93</v>
      </c>
      <c r="E102" s="64">
        <v>2.31</v>
      </c>
      <c r="F102" s="64">
        <v>18.600000000000001</v>
      </c>
      <c r="G102" s="216" t="s">
        <v>43</v>
      </c>
      <c r="H102" s="216" t="s">
        <v>43</v>
      </c>
      <c r="I102" s="64">
        <v>3.4</v>
      </c>
      <c r="J102" s="64">
        <v>0.25</v>
      </c>
      <c r="K102" s="64">
        <v>193.79</v>
      </c>
      <c r="L102" s="64">
        <v>27.37</v>
      </c>
      <c r="M102" s="64">
        <v>77.38</v>
      </c>
      <c r="N102" s="64">
        <v>57.1</v>
      </c>
      <c r="O102" s="64">
        <v>0</v>
      </c>
      <c r="P102" s="64">
        <v>0.78</v>
      </c>
      <c r="Q102" s="64">
        <v>15.75</v>
      </c>
      <c r="R102" s="198"/>
      <c r="S102" s="198"/>
      <c r="T102" s="198"/>
      <c r="U102" s="198"/>
    </row>
    <row r="103" spans="1:33" s="12" customFormat="1" x14ac:dyDescent="0.25">
      <c r="A103" s="215" t="s">
        <v>534</v>
      </c>
      <c r="B103" s="64">
        <v>6.94</v>
      </c>
      <c r="C103" s="64">
        <v>20.21</v>
      </c>
      <c r="D103" s="64">
        <v>17.37</v>
      </c>
      <c r="E103" s="64">
        <v>2.35</v>
      </c>
      <c r="F103" s="64">
        <v>20.55</v>
      </c>
      <c r="G103" s="216" t="s">
        <v>43</v>
      </c>
      <c r="H103" s="216" t="s">
        <v>43</v>
      </c>
      <c r="I103" s="64">
        <v>3.33</v>
      </c>
      <c r="J103" s="64">
        <v>0.14000000000000001</v>
      </c>
      <c r="K103" s="64">
        <v>199.88</v>
      </c>
      <c r="L103" s="64">
        <v>27.27</v>
      </c>
      <c r="M103" s="64">
        <v>78.36</v>
      </c>
      <c r="N103" s="64">
        <v>57.2</v>
      </c>
      <c r="O103" s="64">
        <v>0</v>
      </c>
      <c r="P103" s="64">
        <v>0.76</v>
      </c>
      <c r="Q103" s="64">
        <v>16.46</v>
      </c>
      <c r="R103" s="198"/>
      <c r="S103" s="198"/>
      <c r="T103" s="198"/>
      <c r="U103" s="198"/>
    </row>
    <row r="104" spans="1:33" s="12" customFormat="1" x14ac:dyDescent="0.25">
      <c r="A104" s="215" t="s">
        <v>535</v>
      </c>
      <c r="B104" s="64">
        <v>6.3</v>
      </c>
      <c r="C104" s="64">
        <v>18.79</v>
      </c>
      <c r="D104" s="64">
        <v>16.07</v>
      </c>
      <c r="E104" s="64">
        <v>1.48</v>
      </c>
      <c r="F104" s="64">
        <v>23.58</v>
      </c>
      <c r="G104" s="216" t="s">
        <v>43</v>
      </c>
      <c r="H104" s="216" t="s">
        <v>43</v>
      </c>
      <c r="I104" s="64">
        <v>4.1100000000000003</v>
      </c>
      <c r="J104" s="64">
        <v>0.14000000000000001</v>
      </c>
      <c r="K104" s="64">
        <v>192.57</v>
      </c>
      <c r="L104" s="64">
        <v>27.19</v>
      </c>
      <c r="M104" s="64">
        <v>79.53</v>
      </c>
      <c r="N104" s="64">
        <v>57.3</v>
      </c>
      <c r="O104" s="64">
        <v>0</v>
      </c>
      <c r="P104" s="64">
        <v>0.73</v>
      </c>
      <c r="Q104" s="64">
        <v>14.41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3.06</v>
      </c>
      <c r="C106" s="67">
        <f>MIN(C9:C104)</f>
        <v>11.9</v>
      </c>
      <c r="D106" s="67">
        <f t="shared" ref="D106:Q106" si="0">MIN(D9:D104)</f>
        <v>13.19</v>
      </c>
      <c r="E106" s="67">
        <f t="shared" si="0"/>
        <v>1.48</v>
      </c>
      <c r="F106" s="67">
        <f t="shared" si="0"/>
        <v>3.76</v>
      </c>
      <c r="G106" s="67">
        <f t="shared" si="0"/>
        <v>0</v>
      </c>
      <c r="H106" s="67">
        <f t="shared" si="0"/>
        <v>0</v>
      </c>
      <c r="I106" s="67">
        <f t="shared" si="0"/>
        <v>0.42</v>
      </c>
      <c r="J106" s="67">
        <f t="shared" si="0"/>
        <v>0.02</v>
      </c>
      <c r="K106" s="67">
        <f t="shared" si="0"/>
        <v>0.24</v>
      </c>
      <c r="L106" s="67">
        <f t="shared" si="0"/>
        <v>23.78</v>
      </c>
      <c r="M106" s="67">
        <f t="shared" si="0"/>
        <v>47.79</v>
      </c>
      <c r="N106" s="67">
        <f t="shared" si="0"/>
        <v>33</v>
      </c>
      <c r="O106" s="67">
        <f t="shared" si="0"/>
        <v>0</v>
      </c>
      <c r="P106" s="67">
        <f t="shared" si="0"/>
        <v>0.53</v>
      </c>
      <c r="Q106" s="67">
        <f t="shared" si="0"/>
        <v>9.93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24.04</v>
      </c>
      <c r="C107" s="66">
        <f t="shared" ref="C107:Q107" si="1">MAX(C9:C104)</f>
        <v>47.3</v>
      </c>
      <c r="D107" s="66">
        <f t="shared" si="1"/>
        <v>33.659999999999997</v>
      </c>
      <c r="E107" s="66">
        <f t="shared" si="1"/>
        <v>4.09</v>
      </c>
      <c r="F107" s="66">
        <f t="shared" si="1"/>
        <v>44.08</v>
      </c>
      <c r="G107" s="66">
        <f t="shared" si="1"/>
        <v>0</v>
      </c>
      <c r="H107" s="66">
        <f t="shared" si="1"/>
        <v>0</v>
      </c>
      <c r="I107" s="66">
        <f t="shared" si="1"/>
        <v>4.1100000000000003</v>
      </c>
      <c r="J107" s="66">
        <f t="shared" si="1"/>
        <v>1.25</v>
      </c>
      <c r="K107" s="66">
        <f t="shared" si="1"/>
        <v>359.47</v>
      </c>
      <c r="L107" s="66">
        <f t="shared" si="1"/>
        <v>34.56</v>
      </c>
      <c r="M107" s="66">
        <f t="shared" si="1"/>
        <v>90.52</v>
      </c>
      <c r="N107" s="66">
        <f t="shared" si="1"/>
        <v>908.3</v>
      </c>
      <c r="O107" s="66">
        <f t="shared" si="1"/>
        <v>0</v>
      </c>
      <c r="P107" s="66">
        <f t="shared" si="1"/>
        <v>1.04</v>
      </c>
      <c r="Q107" s="66">
        <f t="shared" si="1"/>
        <v>22.66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10.244062500000002</v>
      </c>
      <c r="C108" s="67">
        <f t="shared" ref="C108:Q108" si="2">AVERAGE(C9:C104)</f>
        <v>21.66729166666666</v>
      </c>
      <c r="D108" s="67">
        <f t="shared" si="2"/>
        <v>20.818437499999991</v>
      </c>
      <c r="E108" s="67">
        <f t="shared" si="2"/>
        <v>2.5167708333333341</v>
      </c>
      <c r="F108" s="67">
        <f t="shared" si="2"/>
        <v>16.284375000000001</v>
      </c>
      <c r="G108" s="67" t="e">
        <f t="shared" si="2"/>
        <v>#DIV/0!</v>
      </c>
      <c r="H108" s="67" t="e">
        <f t="shared" si="2"/>
        <v>#DIV/0!</v>
      </c>
      <c r="I108" s="67">
        <f t="shared" si="2"/>
        <v>3.1859999999999999</v>
      </c>
      <c r="J108" s="67">
        <f t="shared" si="2"/>
        <v>0.3071875</v>
      </c>
      <c r="K108" s="67">
        <f t="shared" si="2"/>
        <v>199.17250000000004</v>
      </c>
      <c r="L108" s="67">
        <f t="shared" si="2"/>
        <v>28.005208333333332</v>
      </c>
      <c r="M108" s="67">
        <f t="shared" si="2"/>
        <v>70.560312500000009</v>
      </c>
      <c r="N108" s="67">
        <f t="shared" si="2"/>
        <v>199.03645833333334</v>
      </c>
      <c r="O108" s="67">
        <f t="shared" si="2"/>
        <v>0</v>
      </c>
      <c r="P108" s="67">
        <f t="shared" si="2"/>
        <v>0.72375000000000023</v>
      </c>
      <c r="Q108" s="67">
        <f t="shared" si="2"/>
        <v>16.778749999999999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5.4752500693912074</v>
      </c>
      <c r="C109" s="67">
        <f t="shared" ref="C109:Q109" si="3">STDEV(C9:C104)</f>
        <v>8.1886495871665943</v>
      </c>
      <c r="D109" s="67">
        <f t="shared" si="3"/>
        <v>5.7454925725577324</v>
      </c>
      <c r="E109" s="67">
        <f t="shared" si="3"/>
        <v>0.48983884523202403</v>
      </c>
      <c r="F109" s="67">
        <f t="shared" si="3"/>
        <v>10.902088241539582</v>
      </c>
      <c r="G109" s="67" t="e">
        <f t="shared" si="3"/>
        <v>#DIV/0!</v>
      </c>
      <c r="H109" s="67" t="e">
        <f t="shared" si="3"/>
        <v>#DIV/0!</v>
      </c>
      <c r="I109" s="67">
        <f t="shared" si="3"/>
        <v>0.91961319099534022</v>
      </c>
      <c r="J109" s="67">
        <f t="shared" si="3"/>
        <v>0.27607284746106991</v>
      </c>
      <c r="K109" s="67">
        <f t="shared" si="3"/>
        <v>92.954256752560894</v>
      </c>
      <c r="L109" s="67">
        <f t="shared" si="3"/>
        <v>3.0280672936854587</v>
      </c>
      <c r="M109" s="67">
        <f t="shared" si="3"/>
        <v>13.430738620839687</v>
      </c>
      <c r="N109" s="67">
        <f t="shared" si="3"/>
        <v>232.05479440030231</v>
      </c>
      <c r="O109" s="67">
        <f t="shared" si="3"/>
        <v>0</v>
      </c>
      <c r="P109" s="67">
        <f t="shared" si="3"/>
        <v>0.133922601370697</v>
      </c>
      <c r="Q109" s="67">
        <f t="shared" si="3"/>
        <v>3.6986148900991367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0</v>
      </c>
      <c r="H110" s="66">
        <f t="shared" si="4"/>
        <v>0</v>
      </c>
      <c r="I110" s="66">
        <f>COUNT(I9:I104)+76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536</v>
      </c>
      <c r="B9" s="64">
        <v>6.33</v>
      </c>
      <c r="C9" s="64">
        <v>17.23</v>
      </c>
      <c r="D9" s="64">
        <v>15.23</v>
      </c>
      <c r="E9" s="64">
        <v>1.39</v>
      </c>
      <c r="F9" s="64">
        <v>20.329999999999998</v>
      </c>
      <c r="G9" s="216" t="s">
        <v>43</v>
      </c>
      <c r="H9" s="216" t="s">
        <v>43</v>
      </c>
      <c r="I9" s="64">
        <v>3.93</v>
      </c>
      <c r="J9" s="64">
        <v>0.11</v>
      </c>
      <c r="K9" s="64">
        <v>181.09</v>
      </c>
      <c r="L9" s="64">
        <v>27.13</v>
      </c>
      <c r="M9" s="64">
        <v>80.28</v>
      </c>
      <c r="N9" s="64">
        <v>57.4</v>
      </c>
      <c r="O9" s="64">
        <v>0</v>
      </c>
      <c r="P9" s="64">
        <v>0.74</v>
      </c>
      <c r="Q9" s="64">
        <v>12.92</v>
      </c>
      <c r="R9" s="198"/>
      <c r="S9" s="198"/>
      <c r="T9" s="198"/>
      <c r="U9" s="198"/>
    </row>
    <row r="10" spans="1:21" s="12" customFormat="1" x14ac:dyDescent="0.25">
      <c r="A10" s="215" t="s">
        <v>537</v>
      </c>
      <c r="B10" s="64">
        <v>6.73</v>
      </c>
      <c r="C10" s="64">
        <v>16.059999999999999</v>
      </c>
      <c r="D10" s="64">
        <v>14.91</v>
      </c>
      <c r="E10" s="64">
        <v>1.66</v>
      </c>
      <c r="F10" s="64">
        <v>20.16</v>
      </c>
      <c r="G10" s="216" t="s">
        <v>43</v>
      </c>
      <c r="H10" s="216" t="s">
        <v>43</v>
      </c>
      <c r="I10" s="64">
        <v>3.73</v>
      </c>
      <c r="J10" s="64">
        <v>0.5</v>
      </c>
      <c r="K10" s="64">
        <v>168.8</v>
      </c>
      <c r="L10" s="64">
        <v>27.26</v>
      </c>
      <c r="M10" s="64">
        <v>79.069999999999993</v>
      </c>
      <c r="N10" s="64">
        <v>57.3</v>
      </c>
      <c r="O10" s="64">
        <v>0</v>
      </c>
      <c r="P10" s="64">
        <v>0.72</v>
      </c>
      <c r="Q10" s="64">
        <v>14.62</v>
      </c>
      <c r="R10" s="198"/>
      <c r="S10" s="198"/>
      <c r="T10" s="198"/>
      <c r="U10" s="198"/>
    </row>
    <row r="11" spans="1:21" s="12" customFormat="1" x14ac:dyDescent="0.25">
      <c r="A11" s="215" t="s">
        <v>538</v>
      </c>
      <c r="B11" s="64">
        <v>6.33</v>
      </c>
      <c r="C11" s="64">
        <v>16.12</v>
      </c>
      <c r="D11" s="64">
        <v>14.62</v>
      </c>
      <c r="E11" s="64">
        <v>1.38</v>
      </c>
      <c r="F11" s="64">
        <v>22.18</v>
      </c>
      <c r="G11" s="216" t="s">
        <v>43</v>
      </c>
      <c r="H11" s="216" t="s">
        <v>43</v>
      </c>
      <c r="I11" s="64">
        <v>4</v>
      </c>
      <c r="J11" s="64">
        <v>0.53</v>
      </c>
      <c r="K11" s="64">
        <v>179.52</v>
      </c>
      <c r="L11" s="64">
        <v>27.38</v>
      </c>
      <c r="M11" s="64">
        <v>77.599999999999994</v>
      </c>
      <c r="N11" s="64">
        <v>57.5</v>
      </c>
      <c r="O11" s="64">
        <v>0</v>
      </c>
      <c r="P11" s="64">
        <v>0.7</v>
      </c>
      <c r="Q11" s="64">
        <v>13.92</v>
      </c>
      <c r="R11" s="198"/>
      <c r="S11" s="198"/>
      <c r="T11" s="198"/>
      <c r="U11" s="198"/>
    </row>
    <row r="12" spans="1:21" s="12" customFormat="1" x14ac:dyDescent="0.25">
      <c r="A12" s="215" t="s">
        <v>539</v>
      </c>
      <c r="B12" s="64">
        <v>6.09</v>
      </c>
      <c r="C12" s="64">
        <v>15.59</v>
      </c>
      <c r="D12" s="64">
        <v>14.14</v>
      </c>
      <c r="E12" s="64">
        <v>1.62</v>
      </c>
      <c r="F12" s="64">
        <v>22.51</v>
      </c>
      <c r="G12" s="216" t="s">
        <v>43</v>
      </c>
      <c r="H12" s="216" t="s">
        <v>43</v>
      </c>
      <c r="I12" s="64">
        <v>4.12</v>
      </c>
      <c r="J12" s="64">
        <v>0.32</v>
      </c>
      <c r="K12" s="64">
        <v>186.2</v>
      </c>
      <c r="L12" s="64">
        <v>27.3</v>
      </c>
      <c r="M12" s="64">
        <v>78.88</v>
      </c>
      <c r="N12" s="64">
        <v>57.8</v>
      </c>
      <c r="O12" s="64">
        <v>0</v>
      </c>
      <c r="P12" s="64">
        <v>0.67</v>
      </c>
      <c r="Q12" s="64">
        <v>11.51</v>
      </c>
      <c r="R12" s="198"/>
      <c r="S12" s="198"/>
      <c r="T12" s="198"/>
      <c r="U12" s="198"/>
    </row>
    <row r="13" spans="1:21" s="12" customFormat="1" x14ac:dyDescent="0.25">
      <c r="A13" s="215" t="s">
        <v>540</v>
      </c>
      <c r="B13" s="64">
        <v>5.54</v>
      </c>
      <c r="C13" s="64">
        <v>14.33</v>
      </c>
      <c r="D13" s="64">
        <v>13</v>
      </c>
      <c r="E13" s="64">
        <v>1.23</v>
      </c>
      <c r="F13" s="64">
        <v>27.6</v>
      </c>
      <c r="G13" s="216" t="s">
        <v>43</v>
      </c>
      <c r="H13" s="216" t="s">
        <v>43</v>
      </c>
      <c r="I13" s="64">
        <v>3.85</v>
      </c>
      <c r="J13" s="64">
        <v>0.42</v>
      </c>
      <c r="K13" s="64">
        <v>180.72</v>
      </c>
      <c r="L13" s="64">
        <v>27.22</v>
      </c>
      <c r="M13" s="64">
        <v>78.47</v>
      </c>
      <c r="N13" s="64">
        <v>57.5</v>
      </c>
      <c r="O13" s="64">
        <v>0</v>
      </c>
      <c r="P13" s="64">
        <v>0.65</v>
      </c>
      <c r="Q13" s="64">
        <v>12.49</v>
      </c>
      <c r="R13" s="198"/>
      <c r="S13" s="198"/>
      <c r="T13" s="198"/>
      <c r="U13" s="198"/>
    </row>
    <row r="14" spans="1:21" s="12" customFormat="1" x14ac:dyDescent="0.25">
      <c r="A14" s="215" t="s">
        <v>541</v>
      </c>
      <c r="B14" s="64">
        <v>4.93</v>
      </c>
      <c r="C14" s="64">
        <v>14.4</v>
      </c>
      <c r="D14" s="64">
        <v>12.55</v>
      </c>
      <c r="E14" s="64">
        <v>1.41</v>
      </c>
      <c r="F14" s="64">
        <v>29.78</v>
      </c>
      <c r="G14" s="216" t="s">
        <v>43</v>
      </c>
      <c r="H14" s="216" t="s">
        <v>43</v>
      </c>
      <c r="I14" s="64">
        <v>3.63</v>
      </c>
      <c r="J14" s="64">
        <v>0.53</v>
      </c>
      <c r="K14" s="64">
        <v>180.83</v>
      </c>
      <c r="L14" s="64">
        <v>27.23</v>
      </c>
      <c r="M14" s="64">
        <v>77</v>
      </c>
      <c r="N14" s="64">
        <v>57.5</v>
      </c>
      <c r="O14" s="64">
        <v>0</v>
      </c>
      <c r="P14" s="64">
        <v>0.65</v>
      </c>
      <c r="Q14" s="64">
        <v>15.37</v>
      </c>
      <c r="R14" s="198"/>
      <c r="S14" s="198"/>
      <c r="T14" s="198"/>
      <c r="U14" s="198"/>
    </row>
    <row r="15" spans="1:21" s="12" customFormat="1" x14ac:dyDescent="0.25">
      <c r="A15" s="215" t="s">
        <v>542</v>
      </c>
      <c r="B15" s="64">
        <v>4.6100000000000003</v>
      </c>
      <c r="C15" s="64">
        <v>14.81</v>
      </c>
      <c r="D15" s="64">
        <v>12.52</v>
      </c>
      <c r="E15" s="64">
        <v>1.6</v>
      </c>
      <c r="F15" s="64">
        <v>30.99</v>
      </c>
      <c r="G15" s="216" t="s">
        <v>43</v>
      </c>
      <c r="H15" s="216" t="s">
        <v>43</v>
      </c>
      <c r="I15" s="64">
        <v>3.18</v>
      </c>
      <c r="J15" s="64">
        <v>0.24</v>
      </c>
      <c r="K15" s="64">
        <v>198.13</v>
      </c>
      <c r="L15" s="64">
        <v>27.18</v>
      </c>
      <c r="M15" s="64">
        <v>77.25</v>
      </c>
      <c r="N15" s="64">
        <v>57.6</v>
      </c>
      <c r="O15" s="64">
        <v>0</v>
      </c>
      <c r="P15" s="64">
        <v>0.64</v>
      </c>
      <c r="Q15" s="64">
        <v>14.95</v>
      </c>
      <c r="R15" s="198"/>
      <c r="S15" s="198"/>
      <c r="T15" s="198"/>
      <c r="U15" s="198"/>
    </row>
    <row r="16" spans="1:21" s="12" customFormat="1" x14ac:dyDescent="0.25">
      <c r="A16" s="215" t="s">
        <v>543</v>
      </c>
      <c r="B16" s="64">
        <v>5.13</v>
      </c>
      <c r="C16" s="64">
        <v>14.27</v>
      </c>
      <c r="D16" s="64">
        <v>12.64</v>
      </c>
      <c r="E16" s="64">
        <v>1.46</v>
      </c>
      <c r="F16" s="64">
        <v>26.98</v>
      </c>
      <c r="G16" s="216" t="s">
        <v>43</v>
      </c>
      <c r="H16" s="216" t="s">
        <v>43</v>
      </c>
      <c r="I16" s="64">
        <v>2.92</v>
      </c>
      <c r="J16" s="64">
        <v>0.56000000000000005</v>
      </c>
      <c r="K16" s="64">
        <v>168.6</v>
      </c>
      <c r="L16" s="64">
        <v>27.04</v>
      </c>
      <c r="M16" s="64">
        <v>78.25</v>
      </c>
      <c r="N16" s="64">
        <v>57.6</v>
      </c>
      <c r="O16" s="64">
        <v>0</v>
      </c>
      <c r="P16" s="64">
        <v>0.63</v>
      </c>
      <c r="Q16" s="64">
        <v>17.600000000000001</v>
      </c>
      <c r="R16" s="198"/>
      <c r="S16" s="198"/>
      <c r="T16" s="198"/>
      <c r="U16" s="198"/>
    </row>
    <row r="17" spans="1:21" s="12" customFormat="1" x14ac:dyDescent="0.25">
      <c r="A17" s="215" t="s">
        <v>544</v>
      </c>
      <c r="B17" s="64">
        <v>4.71</v>
      </c>
      <c r="C17" s="64">
        <v>15.56</v>
      </c>
      <c r="D17" s="64">
        <v>13.02</v>
      </c>
      <c r="E17" s="64">
        <v>1.5</v>
      </c>
      <c r="F17" s="64">
        <v>27.6</v>
      </c>
      <c r="G17" s="216" t="s">
        <v>43</v>
      </c>
      <c r="H17" s="216" t="s">
        <v>43</v>
      </c>
      <c r="I17" s="64">
        <v>3.05</v>
      </c>
      <c r="J17" s="64">
        <v>0.37</v>
      </c>
      <c r="K17" s="64">
        <v>177.52</v>
      </c>
      <c r="L17" s="64">
        <v>26.9</v>
      </c>
      <c r="M17" s="64">
        <v>78.760000000000005</v>
      </c>
      <c r="N17" s="64">
        <v>57.7</v>
      </c>
      <c r="O17" s="64">
        <v>0</v>
      </c>
      <c r="P17" s="64">
        <v>0.61</v>
      </c>
      <c r="Q17" s="64">
        <v>18.059999999999999</v>
      </c>
      <c r="R17" s="198"/>
      <c r="S17" s="198"/>
      <c r="T17" s="198"/>
      <c r="U17" s="198"/>
    </row>
    <row r="18" spans="1:21" s="12" customFormat="1" x14ac:dyDescent="0.25">
      <c r="A18" s="215" t="s">
        <v>545</v>
      </c>
      <c r="B18" s="64">
        <v>5.52</v>
      </c>
      <c r="C18" s="64">
        <v>15.77</v>
      </c>
      <c r="D18" s="64">
        <v>13.78</v>
      </c>
      <c r="E18" s="64">
        <v>1.26</v>
      </c>
      <c r="F18" s="64">
        <v>22.04</v>
      </c>
      <c r="G18" s="216" t="s">
        <v>43</v>
      </c>
      <c r="H18" s="216" t="s">
        <v>43</v>
      </c>
      <c r="I18" s="64">
        <v>3.26</v>
      </c>
      <c r="J18" s="64">
        <v>0.14000000000000001</v>
      </c>
      <c r="K18" s="64">
        <v>205.42</v>
      </c>
      <c r="L18" s="64">
        <v>26.77</v>
      </c>
      <c r="M18" s="64">
        <v>78.97</v>
      </c>
      <c r="N18" s="64">
        <v>57.8</v>
      </c>
      <c r="O18" s="64">
        <v>0</v>
      </c>
      <c r="P18" s="64">
        <v>0.61</v>
      </c>
      <c r="Q18" s="64">
        <v>18.170000000000002</v>
      </c>
      <c r="R18" s="198"/>
      <c r="S18" s="198"/>
      <c r="T18" s="198"/>
      <c r="U18" s="198"/>
    </row>
    <row r="19" spans="1:21" s="12" customFormat="1" x14ac:dyDescent="0.25">
      <c r="A19" s="215" t="s">
        <v>546</v>
      </c>
      <c r="B19" s="64">
        <v>5.44</v>
      </c>
      <c r="C19" s="64">
        <v>17.75</v>
      </c>
      <c r="D19" s="64">
        <v>14.8</v>
      </c>
      <c r="E19" s="64">
        <v>1.5</v>
      </c>
      <c r="F19" s="64">
        <v>22.25</v>
      </c>
      <c r="G19" s="216" t="s">
        <v>43</v>
      </c>
      <c r="H19" s="216" t="s">
        <v>43</v>
      </c>
      <c r="I19" s="64">
        <v>3.4</v>
      </c>
      <c r="J19" s="64">
        <v>0.31</v>
      </c>
      <c r="K19" s="64">
        <v>184.04</v>
      </c>
      <c r="L19" s="64">
        <v>26.58</v>
      </c>
      <c r="M19" s="64">
        <v>80.099999999999994</v>
      </c>
      <c r="N19" s="64">
        <v>57.7</v>
      </c>
      <c r="O19" s="64">
        <v>0</v>
      </c>
      <c r="P19" s="64">
        <v>0.59</v>
      </c>
      <c r="Q19" s="64">
        <v>18.32</v>
      </c>
      <c r="R19" s="198"/>
      <c r="S19" s="198"/>
      <c r="T19" s="198"/>
      <c r="U19" s="198"/>
    </row>
    <row r="20" spans="1:21" s="12" customFormat="1" x14ac:dyDescent="0.25">
      <c r="A20" s="215" t="s">
        <v>547</v>
      </c>
      <c r="B20" s="64">
        <v>5.0199999999999996</v>
      </c>
      <c r="C20" s="64">
        <v>16.63</v>
      </c>
      <c r="D20" s="64">
        <v>13.85</v>
      </c>
      <c r="E20" s="64">
        <v>1.61</v>
      </c>
      <c r="F20" s="64">
        <v>25.97</v>
      </c>
      <c r="G20" s="216" t="s">
        <v>43</v>
      </c>
      <c r="H20" s="216" t="s">
        <v>43</v>
      </c>
      <c r="I20" s="64">
        <v>3.99</v>
      </c>
      <c r="J20" s="64">
        <v>0.17</v>
      </c>
      <c r="K20" s="64">
        <v>190.75</v>
      </c>
      <c r="L20" s="64">
        <v>26.57</v>
      </c>
      <c r="M20" s="64">
        <v>80.06</v>
      </c>
      <c r="N20" s="64">
        <v>57.7</v>
      </c>
      <c r="O20" s="64">
        <v>0</v>
      </c>
      <c r="P20" s="64">
        <v>0.56999999999999995</v>
      </c>
      <c r="Q20" s="64">
        <v>15.92</v>
      </c>
      <c r="R20" s="198"/>
      <c r="S20" s="198"/>
      <c r="T20" s="198"/>
      <c r="U20" s="198"/>
    </row>
    <row r="21" spans="1:21" s="12" customFormat="1" x14ac:dyDescent="0.25">
      <c r="A21" s="215" t="s">
        <v>548</v>
      </c>
      <c r="B21" s="64">
        <v>5.35</v>
      </c>
      <c r="C21" s="64">
        <v>16.2</v>
      </c>
      <c r="D21" s="64">
        <v>13.88</v>
      </c>
      <c r="E21" s="64">
        <v>1.35</v>
      </c>
      <c r="F21" s="64">
        <v>20.190000000000001</v>
      </c>
      <c r="G21" s="216" t="s">
        <v>43</v>
      </c>
      <c r="H21" s="216" t="s">
        <v>43</v>
      </c>
      <c r="I21" s="64">
        <v>3.54</v>
      </c>
      <c r="J21" s="64">
        <v>0.14000000000000001</v>
      </c>
      <c r="K21" s="64">
        <v>278.64</v>
      </c>
      <c r="L21" s="64">
        <v>26.44</v>
      </c>
      <c r="M21" s="64">
        <v>82.15</v>
      </c>
      <c r="N21" s="64">
        <v>57.7</v>
      </c>
      <c r="O21" s="64">
        <v>0</v>
      </c>
      <c r="P21" s="64">
        <v>0.56999999999999995</v>
      </c>
      <c r="Q21" s="64">
        <v>14.82</v>
      </c>
      <c r="R21" s="198"/>
      <c r="S21" s="198"/>
      <c r="T21" s="198"/>
      <c r="U21" s="198"/>
    </row>
    <row r="22" spans="1:21" s="12" customFormat="1" x14ac:dyDescent="0.25">
      <c r="A22" s="215" t="s">
        <v>549</v>
      </c>
      <c r="B22" s="64">
        <v>6.48</v>
      </c>
      <c r="C22" s="64">
        <v>19.440000000000001</v>
      </c>
      <c r="D22" s="64">
        <v>16.57</v>
      </c>
      <c r="E22" s="64">
        <v>1.53</v>
      </c>
      <c r="F22" s="64">
        <v>11.76</v>
      </c>
      <c r="G22" s="216" t="s">
        <v>43</v>
      </c>
      <c r="H22" s="216" t="s">
        <v>43</v>
      </c>
      <c r="I22" s="64">
        <v>3.49</v>
      </c>
      <c r="J22" s="64">
        <v>0.12</v>
      </c>
      <c r="K22" s="64">
        <v>355.18</v>
      </c>
      <c r="L22" s="64">
        <v>25.92</v>
      </c>
      <c r="M22" s="64">
        <v>86.73</v>
      </c>
      <c r="N22" s="64">
        <v>58</v>
      </c>
      <c r="O22" s="64">
        <v>0</v>
      </c>
      <c r="P22" s="64">
        <v>0.55000000000000004</v>
      </c>
      <c r="Q22" s="64">
        <v>16.489999999999998</v>
      </c>
      <c r="R22" s="198"/>
      <c r="S22" s="198"/>
      <c r="T22" s="198"/>
      <c r="U22" s="198"/>
    </row>
    <row r="23" spans="1:21" s="12" customFormat="1" x14ac:dyDescent="0.25">
      <c r="A23" s="215" t="s">
        <v>550</v>
      </c>
      <c r="B23" s="64">
        <v>5.77</v>
      </c>
      <c r="C23" s="64">
        <v>20.66</v>
      </c>
      <c r="D23" s="64">
        <v>16.670000000000002</v>
      </c>
      <c r="E23" s="64">
        <v>1.41</v>
      </c>
      <c r="F23" s="64">
        <v>18.89</v>
      </c>
      <c r="G23" s="216" t="s">
        <v>43</v>
      </c>
      <c r="H23" s="216" t="s">
        <v>43</v>
      </c>
      <c r="I23" s="64">
        <v>3.7</v>
      </c>
      <c r="J23" s="64">
        <v>0.03</v>
      </c>
      <c r="K23" s="64">
        <v>152.13</v>
      </c>
      <c r="L23" s="64">
        <v>25.64</v>
      </c>
      <c r="M23" s="64">
        <v>86.77</v>
      </c>
      <c r="N23" s="64">
        <v>57.8</v>
      </c>
      <c r="O23" s="64">
        <v>0</v>
      </c>
      <c r="P23" s="64">
        <v>0.53</v>
      </c>
      <c r="Q23" s="64">
        <v>15.34</v>
      </c>
      <c r="R23" s="198"/>
      <c r="S23" s="198"/>
      <c r="T23" s="198"/>
      <c r="U23" s="198"/>
    </row>
    <row r="24" spans="1:21" s="12" customFormat="1" x14ac:dyDescent="0.25">
      <c r="A24" s="215" t="s">
        <v>551</v>
      </c>
      <c r="B24" s="64">
        <v>11.93</v>
      </c>
      <c r="C24" s="64">
        <v>28.2</v>
      </c>
      <c r="D24" s="64">
        <v>25.78</v>
      </c>
      <c r="E24" s="64">
        <v>2.06</v>
      </c>
      <c r="F24" s="64">
        <v>10.119999999999999</v>
      </c>
      <c r="G24" s="216" t="s">
        <v>43</v>
      </c>
      <c r="H24" s="216" t="s">
        <v>43</v>
      </c>
      <c r="I24" s="64">
        <v>3.65</v>
      </c>
      <c r="J24" s="64">
        <v>0.09</v>
      </c>
      <c r="K24" s="64">
        <v>326.11</v>
      </c>
      <c r="L24" s="64">
        <v>25.58</v>
      </c>
      <c r="M24" s="64">
        <v>88.83</v>
      </c>
      <c r="N24" s="64">
        <v>57.6</v>
      </c>
      <c r="O24" s="64">
        <v>0</v>
      </c>
      <c r="P24" s="64">
        <v>0.54</v>
      </c>
      <c r="Q24" s="64">
        <v>13.89</v>
      </c>
      <c r="R24" s="198"/>
      <c r="S24" s="198"/>
      <c r="T24" s="198"/>
      <c r="U24" s="198"/>
    </row>
    <row r="25" spans="1:21" s="12" customFormat="1" x14ac:dyDescent="0.25">
      <c r="A25" s="215" t="s">
        <v>552</v>
      </c>
      <c r="B25" s="64">
        <v>8.91</v>
      </c>
      <c r="C25" s="64">
        <v>32.5</v>
      </c>
      <c r="D25" s="64">
        <v>25.73</v>
      </c>
      <c r="E25" s="64">
        <v>2.0499999999999998</v>
      </c>
      <c r="F25" s="64">
        <v>10.14</v>
      </c>
      <c r="G25" s="216" t="s">
        <v>43</v>
      </c>
      <c r="H25" s="216" t="s">
        <v>43</v>
      </c>
      <c r="I25" s="64">
        <v>3.34</v>
      </c>
      <c r="J25" s="64">
        <v>0.04</v>
      </c>
      <c r="K25" s="64">
        <v>199.23</v>
      </c>
      <c r="L25" s="64">
        <v>25.48</v>
      </c>
      <c r="M25" s="64">
        <v>88.68</v>
      </c>
      <c r="N25" s="64">
        <v>57.5</v>
      </c>
      <c r="O25" s="64">
        <v>0</v>
      </c>
      <c r="P25" s="64">
        <v>0.55000000000000004</v>
      </c>
      <c r="Q25" s="64">
        <v>16.28</v>
      </c>
      <c r="R25" s="198"/>
      <c r="S25" s="198"/>
      <c r="T25" s="198"/>
      <c r="U25" s="198"/>
    </row>
    <row r="26" spans="1:21" s="12" customFormat="1" x14ac:dyDescent="0.25">
      <c r="A26" s="215" t="s">
        <v>553</v>
      </c>
      <c r="B26" s="64">
        <v>14.11</v>
      </c>
      <c r="C26" s="64">
        <v>33.1</v>
      </c>
      <c r="D26" s="64">
        <v>30.23</v>
      </c>
      <c r="E26" s="64">
        <v>2.0099999999999998</v>
      </c>
      <c r="F26" s="64">
        <v>11.82</v>
      </c>
      <c r="G26" s="216" t="s">
        <v>43</v>
      </c>
      <c r="H26" s="216" t="s">
        <v>43</v>
      </c>
      <c r="I26" s="64">
        <v>3.41</v>
      </c>
      <c r="J26" s="64">
        <v>0.09</v>
      </c>
      <c r="K26" s="64">
        <v>343.74</v>
      </c>
      <c r="L26" s="64">
        <v>25.48</v>
      </c>
      <c r="M26" s="64">
        <v>88.86</v>
      </c>
      <c r="N26" s="64">
        <v>57.5</v>
      </c>
      <c r="O26" s="64">
        <v>0</v>
      </c>
      <c r="P26" s="64">
        <v>0.53</v>
      </c>
      <c r="Q26" s="64">
        <v>17.73</v>
      </c>
      <c r="R26" s="198"/>
      <c r="S26" s="198"/>
      <c r="T26" s="198"/>
      <c r="U26" s="198"/>
    </row>
    <row r="27" spans="1:21" s="12" customFormat="1" x14ac:dyDescent="0.25">
      <c r="A27" s="215" t="s">
        <v>554</v>
      </c>
      <c r="B27" s="64">
        <v>27.15</v>
      </c>
      <c r="C27" s="64">
        <v>32.57</v>
      </c>
      <c r="D27" s="64">
        <v>40.39</v>
      </c>
      <c r="E27" s="64">
        <v>1.87</v>
      </c>
      <c r="F27" s="64">
        <v>8.66</v>
      </c>
      <c r="G27" s="216" t="s">
        <v>43</v>
      </c>
      <c r="H27" s="216" t="s">
        <v>43</v>
      </c>
      <c r="I27" s="64">
        <v>3.22</v>
      </c>
      <c r="J27" s="64">
        <v>0.17</v>
      </c>
      <c r="K27" s="64">
        <v>351.6</v>
      </c>
      <c r="L27" s="64">
        <v>25.46</v>
      </c>
      <c r="M27" s="64">
        <v>89.64</v>
      </c>
      <c r="N27" s="64">
        <v>57.6</v>
      </c>
      <c r="O27" s="64">
        <v>0</v>
      </c>
      <c r="P27" s="64">
        <v>0.55000000000000004</v>
      </c>
      <c r="Q27" s="64">
        <v>16.48</v>
      </c>
      <c r="R27" s="198"/>
      <c r="S27" s="198"/>
      <c r="T27" s="198"/>
      <c r="U27" s="198"/>
    </row>
    <row r="28" spans="1:21" s="12" customFormat="1" x14ac:dyDescent="0.25">
      <c r="A28" s="215" t="s">
        <v>555</v>
      </c>
      <c r="B28" s="64">
        <v>17.93</v>
      </c>
      <c r="C28" s="64">
        <v>36.229999999999997</v>
      </c>
      <c r="D28" s="64">
        <v>35.020000000000003</v>
      </c>
      <c r="E28" s="64">
        <v>2.13</v>
      </c>
      <c r="F28" s="64">
        <v>9.11</v>
      </c>
      <c r="G28" s="216" t="s">
        <v>43</v>
      </c>
      <c r="H28" s="216" t="s">
        <v>43</v>
      </c>
      <c r="I28" s="64">
        <v>3.16</v>
      </c>
      <c r="J28" s="64">
        <v>0.08</v>
      </c>
      <c r="K28" s="64">
        <v>14.52</v>
      </c>
      <c r="L28" s="64">
        <v>25.15</v>
      </c>
      <c r="M28" s="64">
        <v>90.59</v>
      </c>
      <c r="N28" s="64">
        <v>57.9</v>
      </c>
      <c r="O28" s="64">
        <v>0</v>
      </c>
      <c r="P28" s="64">
        <v>0.55000000000000004</v>
      </c>
      <c r="Q28" s="64">
        <v>19.559999999999999</v>
      </c>
      <c r="R28" s="198"/>
      <c r="S28" s="198"/>
      <c r="T28" s="198"/>
      <c r="U28" s="198"/>
    </row>
    <row r="29" spans="1:21" s="12" customFormat="1" x14ac:dyDescent="0.25">
      <c r="A29" s="215" t="s">
        <v>556</v>
      </c>
      <c r="B29" s="64">
        <v>9.9499999999999993</v>
      </c>
      <c r="C29" s="64">
        <v>36.47</v>
      </c>
      <c r="D29" s="64">
        <v>28.75</v>
      </c>
      <c r="E29" s="64">
        <v>2</v>
      </c>
      <c r="F29" s="64">
        <v>8.4700000000000006</v>
      </c>
      <c r="G29" s="216" t="s">
        <v>43</v>
      </c>
      <c r="H29" s="216" t="s">
        <v>43</v>
      </c>
      <c r="I29" s="64">
        <v>3.16</v>
      </c>
      <c r="J29" s="64">
        <v>7.0000000000000007E-2</v>
      </c>
      <c r="K29" s="64">
        <v>315.24</v>
      </c>
      <c r="L29" s="64">
        <v>25.3</v>
      </c>
      <c r="M29" s="64">
        <v>87.7</v>
      </c>
      <c r="N29" s="64">
        <v>59.1</v>
      </c>
      <c r="O29" s="64">
        <v>0</v>
      </c>
      <c r="P29" s="64">
        <v>0.55000000000000004</v>
      </c>
      <c r="Q29" s="64">
        <v>20.43</v>
      </c>
      <c r="R29" s="198"/>
      <c r="S29" s="198"/>
      <c r="T29" s="198"/>
      <c r="U29" s="198"/>
    </row>
    <row r="30" spans="1:21" s="12" customFormat="1" x14ac:dyDescent="0.25">
      <c r="A30" s="215" t="s">
        <v>557</v>
      </c>
      <c r="B30" s="64">
        <v>9.84</v>
      </c>
      <c r="C30" s="64">
        <v>25.58</v>
      </c>
      <c r="D30" s="64">
        <v>22.66</v>
      </c>
      <c r="E30" s="64">
        <v>1.78</v>
      </c>
      <c r="F30" s="64">
        <v>15.95</v>
      </c>
      <c r="G30" s="216" t="s">
        <v>43</v>
      </c>
      <c r="H30" s="216" t="s">
        <v>43</v>
      </c>
      <c r="I30" s="64">
        <v>3.42</v>
      </c>
      <c r="J30" s="64">
        <v>0.06</v>
      </c>
      <c r="K30" s="64">
        <v>309.01</v>
      </c>
      <c r="L30" s="64">
        <v>25.68</v>
      </c>
      <c r="M30" s="64">
        <v>85.52</v>
      </c>
      <c r="N30" s="64">
        <v>65.099999999999994</v>
      </c>
      <c r="O30" s="64">
        <v>0</v>
      </c>
      <c r="P30" s="64">
        <v>0.55000000000000004</v>
      </c>
      <c r="Q30" s="64">
        <v>20.49</v>
      </c>
      <c r="R30" s="198"/>
      <c r="S30" s="198"/>
      <c r="T30" s="198"/>
      <c r="U30" s="198"/>
    </row>
    <row r="31" spans="1:21" s="12" customFormat="1" x14ac:dyDescent="0.25">
      <c r="A31" s="215" t="s">
        <v>558</v>
      </c>
      <c r="B31" s="64">
        <v>9.26</v>
      </c>
      <c r="C31" s="64">
        <v>23.87</v>
      </c>
      <c r="D31" s="64">
        <v>21.24</v>
      </c>
      <c r="E31" s="64">
        <v>1.73</v>
      </c>
      <c r="F31" s="64">
        <v>13.77</v>
      </c>
      <c r="G31" s="216" t="s">
        <v>43</v>
      </c>
      <c r="H31" s="216" t="s">
        <v>43</v>
      </c>
      <c r="I31" s="64">
        <v>3.55</v>
      </c>
      <c r="J31" s="64">
        <v>0.27</v>
      </c>
      <c r="K31" s="64">
        <v>185.74</v>
      </c>
      <c r="L31" s="64">
        <v>25.92</v>
      </c>
      <c r="M31" s="64">
        <v>85.87</v>
      </c>
      <c r="N31" s="64">
        <v>80.5</v>
      </c>
      <c r="O31" s="64">
        <v>0</v>
      </c>
      <c r="P31" s="64">
        <v>0.54</v>
      </c>
      <c r="Q31" s="64">
        <v>20.29</v>
      </c>
      <c r="R31" s="198"/>
      <c r="S31" s="198"/>
      <c r="T31" s="198"/>
      <c r="U31" s="198"/>
    </row>
    <row r="32" spans="1:21" s="12" customFormat="1" x14ac:dyDescent="0.25">
      <c r="A32" s="215" t="s">
        <v>559</v>
      </c>
      <c r="B32" s="64">
        <v>9.69</v>
      </c>
      <c r="C32" s="64">
        <v>20.96</v>
      </c>
      <c r="D32" s="64">
        <v>19.98</v>
      </c>
      <c r="E32" s="64">
        <v>1.75</v>
      </c>
      <c r="F32" s="64">
        <v>12.47</v>
      </c>
      <c r="G32" s="216" t="s">
        <v>43</v>
      </c>
      <c r="H32" s="216" t="s">
        <v>43</v>
      </c>
      <c r="I32" s="64">
        <v>4.18</v>
      </c>
      <c r="J32" s="64">
        <v>0.03</v>
      </c>
      <c r="K32" s="64">
        <v>135.22999999999999</v>
      </c>
      <c r="L32" s="64">
        <v>26.2</v>
      </c>
      <c r="M32" s="64">
        <v>85.57</v>
      </c>
      <c r="N32" s="64">
        <v>110.4</v>
      </c>
      <c r="O32" s="64">
        <v>0</v>
      </c>
      <c r="P32" s="64">
        <v>0.54</v>
      </c>
      <c r="Q32" s="64">
        <v>17.95</v>
      </c>
      <c r="R32" s="198"/>
      <c r="S32" s="198"/>
      <c r="T32" s="198"/>
      <c r="U32" s="198"/>
    </row>
    <row r="33" spans="1:21" s="12" customFormat="1" x14ac:dyDescent="0.25">
      <c r="A33" s="215" t="s">
        <v>560</v>
      </c>
      <c r="B33" s="64">
        <v>10.1</v>
      </c>
      <c r="C33" s="64">
        <v>20.56</v>
      </c>
      <c r="D33" s="64">
        <v>20.09</v>
      </c>
      <c r="E33" s="64">
        <v>1.85</v>
      </c>
      <c r="F33" s="64">
        <v>10.94</v>
      </c>
      <c r="G33" s="216" t="s">
        <v>43</v>
      </c>
      <c r="H33" s="216" t="s">
        <v>43</v>
      </c>
      <c r="I33" s="64">
        <v>4.2300000000000004</v>
      </c>
      <c r="J33" s="64">
        <v>0.02</v>
      </c>
      <c r="K33" s="64">
        <v>185.63</v>
      </c>
      <c r="L33" s="64">
        <v>26.62</v>
      </c>
      <c r="M33" s="64">
        <v>83.38</v>
      </c>
      <c r="N33" s="64">
        <v>164.4</v>
      </c>
      <c r="O33" s="64">
        <v>0</v>
      </c>
      <c r="P33" s="64">
        <v>0.55000000000000004</v>
      </c>
      <c r="Q33" s="64">
        <v>18.97</v>
      </c>
      <c r="R33" s="198"/>
      <c r="S33" s="198"/>
      <c r="T33" s="198"/>
      <c r="U33" s="198"/>
    </row>
    <row r="34" spans="1:21" s="12" customFormat="1" x14ac:dyDescent="0.25">
      <c r="A34" s="215" t="s">
        <v>561</v>
      </c>
      <c r="B34" s="64">
        <v>9.82</v>
      </c>
      <c r="C34" s="64">
        <v>20.11</v>
      </c>
      <c r="D34" s="64">
        <v>19.62</v>
      </c>
      <c r="E34" s="64">
        <v>1.91</v>
      </c>
      <c r="F34" s="64">
        <v>12.3</v>
      </c>
      <c r="G34" s="216" t="s">
        <v>43</v>
      </c>
      <c r="H34" s="216" t="s">
        <v>43</v>
      </c>
      <c r="I34" s="64">
        <v>4.49</v>
      </c>
      <c r="J34" s="64">
        <v>0.24</v>
      </c>
      <c r="K34" s="64">
        <v>213.95</v>
      </c>
      <c r="L34" s="64">
        <v>27.1</v>
      </c>
      <c r="M34" s="64">
        <v>81.28</v>
      </c>
      <c r="N34" s="64">
        <v>209.8</v>
      </c>
      <c r="O34" s="64">
        <v>0</v>
      </c>
      <c r="P34" s="64">
        <v>0.52</v>
      </c>
      <c r="Q34" s="64">
        <v>17.86</v>
      </c>
      <c r="R34" s="198"/>
      <c r="S34" s="198"/>
      <c r="T34" s="198"/>
      <c r="U34" s="198"/>
    </row>
    <row r="35" spans="1:21" s="12" customFormat="1" x14ac:dyDescent="0.25">
      <c r="A35" s="215" t="s">
        <v>562</v>
      </c>
      <c r="B35" s="64">
        <v>9.94</v>
      </c>
      <c r="C35" s="64">
        <v>16.760000000000002</v>
      </c>
      <c r="D35" s="64">
        <v>17.86</v>
      </c>
      <c r="E35" s="64">
        <v>2.0699999999999998</v>
      </c>
      <c r="F35" s="64">
        <v>10.17</v>
      </c>
      <c r="G35" s="216" t="s">
        <v>43</v>
      </c>
      <c r="H35" s="216" t="s">
        <v>43</v>
      </c>
      <c r="I35" s="64">
        <v>4.42</v>
      </c>
      <c r="J35" s="64">
        <v>0.02</v>
      </c>
      <c r="K35" s="64">
        <v>327.45</v>
      </c>
      <c r="L35" s="64">
        <v>27.4</v>
      </c>
      <c r="M35" s="64">
        <v>80.13</v>
      </c>
      <c r="N35" s="64">
        <v>263.7</v>
      </c>
      <c r="O35" s="64">
        <v>0</v>
      </c>
      <c r="P35" s="64">
        <v>0.54</v>
      </c>
      <c r="Q35" s="64">
        <v>15.25</v>
      </c>
      <c r="R35" s="198"/>
      <c r="S35" s="198"/>
      <c r="T35" s="198"/>
      <c r="U35" s="198"/>
    </row>
    <row r="36" spans="1:21" s="12" customFormat="1" x14ac:dyDescent="0.25">
      <c r="A36" s="215" t="s">
        <v>563</v>
      </c>
      <c r="B36" s="64">
        <v>9.99</v>
      </c>
      <c r="C36" s="64">
        <v>17.71</v>
      </c>
      <c r="D36" s="64">
        <v>18.43</v>
      </c>
      <c r="E36" s="64">
        <v>2.3199999999999998</v>
      </c>
      <c r="F36" s="64">
        <v>15.36</v>
      </c>
      <c r="G36" s="216" t="s">
        <v>43</v>
      </c>
      <c r="H36" s="216" t="s">
        <v>43</v>
      </c>
      <c r="I36" s="64">
        <v>4.3499999999999996</v>
      </c>
      <c r="J36" s="64">
        <v>0.16</v>
      </c>
      <c r="K36" s="64">
        <v>237.99</v>
      </c>
      <c r="L36" s="64">
        <v>28.11</v>
      </c>
      <c r="M36" s="64">
        <v>75.42</v>
      </c>
      <c r="N36" s="64">
        <v>307.10000000000002</v>
      </c>
      <c r="O36" s="64">
        <v>0</v>
      </c>
      <c r="P36" s="64">
        <v>0.53</v>
      </c>
      <c r="Q36" s="64">
        <v>16.489999999999998</v>
      </c>
      <c r="R36" s="198"/>
      <c r="S36" s="198"/>
      <c r="T36" s="198"/>
      <c r="U36" s="198"/>
    </row>
    <row r="37" spans="1:21" s="12" customFormat="1" x14ac:dyDescent="0.25">
      <c r="A37" s="215" t="s">
        <v>564</v>
      </c>
      <c r="B37" s="64">
        <v>8.07</v>
      </c>
      <c r="C37" s="64">
        <v>18.420000000000002</v>
      </c>
      <c r="D37" s="64">
        <v>17.28</v>
      </c>
      <c r="E37" s="64">
        <v>1.8</v>
      </c>
      <c r="F37" s="64">
        <v>26.13</v>
      </c>
      <c r="G37" s="216" t="s">
        <v>43</v>
      </c>
      <c r="H37" s="216" t="s">
        <v>43</v>
      </c>
      <c r="I37" s="64">
        <v>4.6100000000000003</v>
      </c>
      <c r="J37" s="64">
        <v>0.18</v>
      </c>
      <c r="K37" s="64">
        <v>217.34</v>
      </c>
      <c r="L37" s="64">
        <v>28.28</v>
      </c>
      <c r="M37" s="64">
        <v>73.099999999999994</v>
      </c>
      <c r="N37" s="64">
        <v>362.2</v>
      </c>
      <c r="O37" s="64">
        <v>0</v>
      </c>
      <c r="P37" s="64">
        <v>0.54</v>
      </c>
      <c r="Q37" s="64">
        <v>16.87</v>
      </c>
      <c r="R37" s="198"/>
      <c r="S37" s="198"/>
      <c r="T37" s="198"/>
      <c r="U37" s="198"/>
    </row>
    <row r="38" spans="1:21" s="12" customFormat="1" x14ac:dyDescent="0.25">
      <c r="A38" s="215" t="s">
        <v>565</v>
      </c>
      <c r="B38" s="64">
        <v>9.5500000000000007</v>
      </c>
      <c r="C38" s="64">
        <v>16.899999999999999</v>
      </c>
      <c r="D38" s="64">
        <v>17.63</v>
      </c>
      <c r="E38" s="64">
        <v>1.99</v>
      </c>
      <c r="F38" s="64">
        <v>22.85</v>
      </c>
      <c r="G38" s="216" t="s">
        <v>43</v>
      </c>
      <c r="H38" s="216" t="s">
        <v>43</v>
      </c>
      <c r="I38" s="64">
        <v>4.13</v>
      </c>
      <c r="J38" s="64">
        <v>0.3</v>
      </c>
      <c r="K38" s="64">
        <v>181.1</v>
      </c>
      <c r="L38" s="64">
        <v>28.65</v>
      </c>
      <c r="M38" s="64">
        <v>71.25</v>
      </c>
      <c r="N38" s="64">
        <v>410.8</v>
      </c>
      <c r="O38" s="64">
        <v>0</v>
      </c>
      <c r="P38" s="64">
        <v>0.56999999999999995</v>
      </c>
      <c r="Q38" s="64">
        <v>15.43</v>
      </c>
      <c r="R38" s="198"/>
      <c r="S38" s="198"/>
      <c r="T38" s="198"/>
      <c r="U38" s="198"/>
    </row>
    <row r="39" spans="1:21" s="12" customFormat="1" x14ac:dyDescent="0.25">
      <c r="A39" s="215" t="s">
        <v>566</v>
      </c>
      <c r="B39" s="64">
        <v>8.2799999999999994</v>
      </c>
      <c r="C39" s="64">
        <v>15.73</v>
      </c>
      <c r="D39" s="64">
        <v>15.97</v>
      </c>
      <c r="E39" s="64">
        <v>1.35</v>
      </c>
      <c r="F39" s="64">
        <v>22.78</v>
      </c>
      <c r="G39" s="216" t="s">
        <v>43</v>
      </c>
      <c r="H39" s="216" t="s">
        <v>43</v>
      </c>
      <c r="I39" s="64">
        <v>3.51</v>
      </c>
      <c r="J39" s="64">
        <v>0.69</v>
      </c>
      <c r="K39" s="64">
        <v>176.45</v>
      </c>
      <c r="L39" s="64">
        <v>28.93</v>
      </c>
      <c r="M39" s="64">
        <v>69.760000000000005</v>
      </c>
      <c r="N39" s="64">
        <v>445.7</v>
      </c>
      <c r="O39" s="64">
        <v>0</v>
      </c>
      <c r="P39" s="64">
        <v>0.56999999999999995</v>
      </c>
      <c r="Q39" s="64">
        <v>17.27</v>
      </c>
      <c r="R39" s="198"/>
      <c r="S39" s="198"/>
      <c r="T39" s="198"/>
      <c r="U39" s="198"/>
    </row>
    <row r="40" spans="1:21" s="12" customFormat="1" x14ac:dyDescent="0.25">
      <c r="A40" s="215" t="s">
        <v>567</v>
      </c>
      <c r="B40" s="64">
        <v>11.04</v>
      </c>
      <c r="C40" s="64">
        <v>20.81</v>
      </c>
      <c r="D40" s="64">
        <v>20.98</v>
      </c>
      <c r="E40" s="64">
        <v>2.4900000000000002</v>
      </c>
      <c r="F40" s="64">
        <v>27.65</v>
      </c>
      <c r="G40" s="216" t="s">
        <v>43</v>
      </c>
      <c r="H40" s="216" t="s">
        <v>43</v>
      </c>
      <c r="I40" s="64">
        <v>3.94</v>
      </c>
      <c r="J40" s="64">
        <v>0.18</v>
      </c>
      <c r="K40" s="64">
        <v>201.57</v>
      </c>
      <c r="L40" s="64">
        <v>29.73</v>
      </c>
      <c r="M40" s="64">
        <v>67.900000000000006</v>
      </c>
      <c r="N40" s="64">
        <v>484.3</v>
      </c>
      <c r="O40" s="64">
        <v>0</v>
      </c>
      <c r="P40" s="64">
        <v>0.56000000000000005</v>
      </c>
      <c r="Q40" s="64">
        <v>16.87</v>
      </c>
      <c r="R40" s="198"/>
      <c r="S40" s="198"/>
      <c r="T40" s="198"/>
      <c r="U40" s="198"/>
    </row>
    <row r="41" spans="1:21" s="12" customFormat="1" x14ac:dyDescent="0.25">
      <c r="A41" s="215" t="s">
        <v>568</v>
      </c>
      <c r="B41" s="64">
        <v>9.34</v>
      </c>
      <c r="C41" s="64">
        <v>17.8</v>
      </c>
      <c r="D41" s="64">
        <v>17.96</v>
      </c>
      <c r="E41" s="64">
        <v>3.3</v>
      </c>
      <c r="F41" s="64">
        <v>10.99</v>
      </c>
      <c r="G41" s="216" t="s">
        <v>43</v>
      </c>
      <c r="H41" s="216" t="s">
        <v>43</v>
      </c>
      <c r="I41" s="64">
        <v>4.0999999999999996</v>
      </c>
      <c r="J41" s="64">
        <v>0.02</v>
      </c>
      <c r="K41" s="64">
        <v>259.12</v>
      </c>
      <c r="L41" s="64">
        <v>29.99</v>
      </c>
      <c r="M41" s="64">
        <v>67</v>
      </c>
      <c r="N41" s="64">
        <v>356.4</v>
      </c>
      <c r="O41" s="64">
        <v>0</v>
      </c>
      <c r="P41" s="64">
        <v>0.57999999999999996</v>
      </c>
      <c r="Q41" s="64">
        <v>16.89</v>
      </c>
      <c r="R41" s="198"/>
      <c r="S41" s="198"/>
      <c r="T41" s="198"/>
      <c r="U41" s="198"/>
    </row>
    <row r="42" spans="1:21" s="12" customFormat="1" x14ac:dyDescent="0.25">
      <c r="A42" s="215" t="s">
        <v>569</v>
      </c>
      <c r="B42" s="64">
        <v>11.26</v>
      </c>
      <c r="C42" s="64">
        <v>19.03</v>
      </c>
      <c r="D42" s="64">
        <v>20.18</v>
      </c>
      <c r="E42" s="64">
        <v>3.25</v>
      </c>
      <c r="F42" s="64">
        <v>13.73</v>
      </c>
      <c r="G42" s="216" t="s">
        <v>43</v>
      </c>
      <c r="H42" s="216" t="s">
        <v>43</v>
      </c>
      <c r="I42" s="217" t="s">
        <v>42</v>
      </c>
      <c r="J42" s="64">
        <v>0.13</v>
      </c>
      <c r="K42" s="64">
        <v>3.92</v>
      </c>
      <c r="L42" s="64">
        <v>31.01</v>
      </c>
      <c r="M42" s="64">
        <v>62.2</v>
      </c>
      <c r="N42" s="64">
        <v>380</v>
      </c>
      <c r="O42" s="64">
        <v>0</v>
      </c>
      <c r="P42" s="64">
        <v>0.56999999999999995</v>
      </c>
      <c r="Q42" s="64">
        <v>16.05</v>
      </c>
      <c r="R42" s="198"/>
      <c r="S42" s="198"/>
      <c r="T42" s="198"/>
      <c r="U42" s="198"/>
    </row>
    <row r="43" spans="1:21" s="12" customFormat="1" x14ac:dyDescent="0.25">
      <c r="A43" s="215" t="s">
        <v>570</v>
      </c>
      <c r="B43" s="64">
        <v>10.9</v>
      </c>
      <c r="C43" s="64">
        <v>18.79</v>
      </c>
      <c r="D43" s="64">
        <v>19.760000000000002</v>
      </c>
      <c r="E43" s="64">
        <v>3.34</v>
      </c>
      <c r="F43" s="64">
        <v>22</v>
      </c>
      <c r="G43" s="216" t="s">
        <v>43</v>
      </c>
      <c r="H43" s="216" t="s">
        <v>43</v>
      </c>
      <c r="I43" s="217" t="s">
        <v>42</v>
      </c>
      <c r="J43" s="64">
        <v>0.05</v>
      </c>
      <c r="K43" s="64">
        <v>334.95</v>
      </c>
      <c r="L43" s="64">
        <v>30.11</v>
      </c>
      <c r="M43" s="64">
        <v>64.53</v>
      </c>
      <c r="N43" s="64">
        <v>291.2</v>
      </c>
      <c r="O43" s="64">
        <v>0</v>
      </c>
      <c r="P43" s="64">
        <v>0.56999999999999995</v>
      </c>
      <c r="Q43" s="64">
        <v>13.54</v>
      </c>
      <c r="R43" s="198"/>
      <c r="S43" s="198"/>
      <c r="T43" s="198"/>
      <c r="U43" s="198"/>
    </row>
    <row r="44" spans="1:21" s="12" customFormat="1" x14ac:dyDescent="0.25">
      <c r="A44" s="215" t="s">
        <v>571</v>
      </c>
      <c r="B44" s="64">
        <v>10.54</v>
      </c>
      <c r="C44" s="64">
        <v>18.29</v>
      </c>
      <c r="D44" s="64">
        <v>19.190000000000001</v>
      </c>
      <c r="E44" s="64">
        <v>2.98</v>
      </c>
      <c r="F44" s="64">
        <v>17.350000000000001</v>
      </c>
      <c r="G44" s="216" t="s">
        <v>43</v>
      </c>
      <c r="H44" s="216" t="s">
        <v>43</v>
      </c>
      <c r="I44" s="217" t="s">
        <v>42</v>
      </c>
      <c r="J44" s="64">
        <v>0.28000000000000003</v>
      </c>
      <c r="K44" s="64">
        <v>29.29</v>
      </c>
      <c r="L44" s="64">
        <v>31.55</v>
      </c>
      <c r="M44" s="64">
        <v>59.93</v>
      </c>
      <c r="N44" s="64">
        <v>673</v>
      </c>
      <c r="O44" s="64">
        <v>0</v>
      </c>
      <c r="P44" s="64">
        <v>0.6</v>
      </c>
      <c r="Q44" s="64">
        <v>13.27</v>
      </c>
      <c r="R44" s="198"/>
      <c r="S44" s="198"/>
      <c r="T44" s="198"/>
      <c r="U44" s="198"/>
    </row>
    <row r="45" spans="1:21" s="12" customFormat="1" x14ac:dyDescent="0.25">
      <c r="A45" s="215" t="s">
        <v>572</v>
      </c>
      <c r="B45" s="64">
        <v>11.73</v>
      </c>
      <c r="C45" s="64">
        <v>20.07</v>
      </c>
      <c r="D45" s="64">
        <v>21.13</v>
      </c>
      <c r="E45" s="64">
        <v>3.06</v>
      </c>
      <c r="F45" s="64">
        <v>13.62</v>
      </c>
      <c r="G45" s="216" t="s">
        <v>43</v>
      </c>
      <c r="H45" s="216" t="s">
        <v>43</v>
      </c>
      <c r="I45" s="217" t="s">
        <v>42</v>
      </c>
      <c r="J45" s="64">
        <v>0.39</v>
      </c>
      <c r="K45" s="64">
        <v>178.53</v>
      </c>
      <c r="L45" s="64">
        <v>32.04</v>
      </c>
      <c r="M45" s="64">
        <v>57.66</v>
      </c>
      <c r="N45" s="64">
        <v>798.6</v>
      </c>
      <c r="O45" s="64">
        <v>0</v>
      </c>
      <c r="P45" s="64">
        <v>0.6</v>
      </c>
      <c r="Q45" s="64">
        <v>15.13</v>
      </c>
      <c r="R45" s="198"/>
      <c r="S45" s="198"/>
      <c r="T45" s="198"/>
      <c r="U45" s="198"/>
    </row>
    <row r="46" spans="1:21" s="12" customFormat="1" x14ac:dyDescent="0.25">
      <c r="A46" s="215" t="s">
        <v>573</v>
      </c>
      <c r="B46" s="64">
        <v>8.7100000000000009</v>
      </c>
      <c r="C46" s="64">
        <v>19.09</v>
      </c>
      <c r="D46" s="64">
        <v>18.16</v>
      </c>
      <c r="E46" s="64">
        <v>2.97</v>
      </c>
      <c r="F46" s="64">
        <v>16.170000000000002</v>
      </c>
      <c r="G46" s="216" t="s">
        <v>43</v>
      </c>
      <c r="H46" s="216" t="s">
        <v>43</v>
      </c>
      <c r="I46" s="217" t="s">
        <v>42</v>
      </c>
      <c r="J46" s="64">
        <v>0.31</v>
      </c>
      <c r="K46" s="64">
        <v>188</v>
      </c>
      <c r="L46" s="64">
        <v>31.48</v>
      </c>
      <c r="M46" s="64">
        <v>59</v>
      </c>
      <c r="N46" s="64">
        <v>793.6</v>
      </c>
      <c r="O46" s="64">
        <v>0</v>
      </c>
      <c r="P46" s="64">
        <v>0.57999999999999996</v>
      </c>
      <c r="Q46" s="64">
        <v>13.48</v>
      </c>
      <c r="R46" s="198"/>
      <c r="S46" s="198"/>
      <c r="T46" s="198"/>
      <c r="U46" s="198"/>
    </row>
    <row r="47" spans="1:21" s="12" customFormat="1" x14ac:dyDescent="0.25">
      <c r="A47" s="215" t="s">
        <v>574</v>
      </c>
      <c r="B47" s="64">
        <v>7.94</v>
      </c>
      <c r="C47" s="64">
        <v>20.32</v>
      </c>
      <c r="D47" s="64">
        <v>18.23</v>
      </c>
      <c r="E47" s="64">
        <v>2.5099999999999998</v>
      </c>
      <c r="F47" s="64">
        <v>11.74</v>
      </c>
      <c r="G47" s="216" t="s">
        <v>43</v>
      </c>
      <c r="H47" s="216" t="s">
        <v>43</v>
      </c>
      <c r="I47" s="217" t="s">
        <v>42</v>
      </c>
      <c r="J47" s="64">
        <v>0.21</v>
      </c>
      <c r="K47" s="64">
        <v>13.73</v>
      </c>
      <c r="L47" s="64">
        <v>33.53</v>
      </c>
      <c r="M47" s="64">
        <v>53.18</v>
      </c>
      <c r="N47" s="64">
        <v>789.2</v>
      </c>
      <c r="O47" s="64">
        <v>0</v>
      </c>
      <c r="P47" s="64">
        <v>0.59</v>
      </c>
      <c r="Q47" s="64">
        <v>11.53</v>
      </c>
      <c r="R47" s="198"/>
      <c r="S47" s="198"/>
      <c r="T47" s="198"/>
      <c r="U47" s="198"/>
    </row>
    <row r="48" spans="1:21" s="12" customFormat="1" x14ac:dyDescent="0.25">
      <c r="A48" s="215" t="s">
        <v>575</v>
      </c>
      <c r="B48" s="64">
        <v>7.45</v>
      </c>
      <c r="C48" s="64">
        <v>19.989999999999998</v>
      </c>
      <c r="D48" s="64">
        <v>17.649999999999999</v>
      </c>
      <c r="E48" s="64">
        <v>2.75</v>
      </c>
      <c r="F48" s="64">
        <v>24.5</v>
      </c>
      <c r="G48" s="216" t="s">
        <v>43</v>
      </c>
      <c r="H48" s="216" t="s">
        <v>43</v>
      </c>
      <c r="I48" s="217" t="s">
        <v>42</v>
      </c>
      <c r="J48" s="64">
        <v>0.14000000000000001</v>
      </c>
      <c r="K48" s="64">
        <v>158.09</v>
      </c>
      <c r="L48" s="64">
        <v>34.11</v>
      </c>
      <c r="M48" s="64">
        <v>49.25</v>
      </c>
      <c r="N48" s="64">
        <v>845</v>
      </c>
      <c r="O48" s="64">
        <v>0</v>
      </c>
      <c r="P48" s="64">
        <v>0.61</v>
      </c>
      <c r="Q48" s="64">
        <v>13.12</v>
      </c>
      <c r="R48" s="198"/>
      <c r="S48" s="198"/>
      <c r="T48" s="198"/>
      <c r="U48" s="198"/>
    </row>
    <row r="49" spans="1:21" s="12" customFormat="1" x14ac:dyDescent="0.25">
      <c r="A49" s="215" t="s">
        <v>576</v>
      </c>
      <c r="B49" s="64">
        <v>5.59</v>
      </c>
      <c r="C49" s="64">
        <v>15.93</v>
      </c>
      <c r="D49" s="64">
        <v>13.92</v>
      </c>
      <c r="E49" s="64">
        <v>2.97</v>
      </c>
      <c r="F49" s="64">
        <v>24.79</v>
      </c>
      <c r="G49" s="216" t="s">
        <v>43</v>
      </c>
      <c r="H49" s="216" t="s">
        <v>43</v>
      </c>
      <c r="I49" s="217" t="s">
        <v>42</v>
      </c>
      <c r="J49" s="64">
        <v>0.73</v>
      </c>
      <c r="K49" s="64">
        <v>181.65</v>
      </c>
      <c r="L49" s="64">
        <v>32.090000000000003</v>
      </c>
      <c r="M49" s="64">
        <v>53.17</v>
      </c>
      <c r="N49" s="64">
        <v>827.7</v>
      </c>
      <c r="O49" s="64">
        <v>0</v>
      </c>
      <c r="P49" s="64">
        <v>0.59</v>
      </c>
      <c r="Q49" s="64">
        <v>13.41</v>
      </c>
      <c r="R49" s="198"/>
      <c r="S49" s="198"/>
      <c r="T49" s="198"/>
      <c r="U49" s="198"/>
    </row>
    <row r="50" spans="1:21" s="12" customFormat="1" x14ac:dyDescent="0.25">
      <c r="A50" s="215" t="s">
        <v>577</v>
      </c>
      <c r="B50" s="64">
        <v>5.09</v>
      </c>
      <c r="C50" s="64">
        <v>15.01</v>
      </c>
      <c r="D50" s="64">
        <v>13.01</v>
      </c>
      <c r="E50" s="64">
        <v>3.08</v>
      </c>
      <c r="F50" s="64">
        <v>19.95</v>
      </c>
      <c r="G50" s="216" t="s">
        <v>43</v>
      </c>
      <c r="H50" s="216" t="s">
        <v>43</v>
      </c>
      <c r="I50" s="217" t="s">
        <v>42</v>
      </c>
      <c r="J50" s="64">
        <v>0.2</v>
      </c>
      <c r="K50" s="64">
        <v>195.66</v>
      </c>
      <c r="L50" s="64">
        <v>32.56</v>
      </c>
      <c r="M50" s="64">
        <v>51.72</v>
      </c>
      <c r="N50" s="64">
        <v>878.8</v>
      </c>
      <c r="O50" s="64">
        <v>0</v>
      </c>
      <c r="P50" s="64">
        <v>0.61</v>
      </c>
      <c r="Q50" s="64">
        <v>13.06</v>
      </c>
      <c r="R50" s="198"/>
      <c r="S50" s="198"/>
      <c r="T50" s="198"/>
      <c r="U50" s="198"/>
    </row>
    <row r="51" spans="1:21" s="12" customFormat="1" x14ac:dyDescent="0.25">
      <c r="A51" s="215" t="s">
        <v>578</v>
      </c>
      <c r="B51" s="64">
        <v>6.24</v>
      </c>
      <c r="C51" s="64">
        <v>16.829999999999998</v>
      </c>
      <c r="D51" s="64">
        <v>14.94</v>
      </c>
      <c r="E51" s="64">
        <v>3.12</v>
      </c>
      <c r="F51" s="64">
        <v>31.15</v>
      </c>
      <c r="G51" s="216" t="s">
        <v>43</v>
      </c>
      <c r="H51" s="216" t="s">
        <v>43</v>
      </c>
      <c r="I51" s="217" t="s">
        <v>42</v>
      </c>
      <c r="J51" s="64">
        <v>0.44</v>
      </c>
      <c r="K51" s="64">
        <v>166.02</v>
      </c>
      <c r="L51" s="64">
        <v>33.049999999999997</v>
      </c>
      <c r="M51" s="64">
        <v>50.53</v>
      </c>
      <c r="N51" s="64">
        <v>883.1</v>
      </c>
      <c r="O51" s="64">
        <v>0</v>
      </c>
      <c r="P51" s="64">
        <v>0.57999999999999996</v>
      </c>
      <c r="Q51" s="64">
        <v>14.85</v>
      </c>
      <c r="R51" s="198"/>
      <c r="S51" s="198"/>
      <c r="T51" s="198"/>
      <c r="U51" s="198"/>
    </row>
    <row r="52" spans="1:21" s="12" customFormat="1" x14ac:dyDescent="0.25">
      <c r="A52" s="215" t="s">
        <v>579</v>
      </c>
      <c r="B52" s="64">
        <v>7.07</v>
      </c>
      <c r="C52" s="64">
        <v>18.64</v>
      </c>
      <c r="D52" s="64">
        <v>16.600000000000001</v>
      </c>
      <c r="E52" s="64">
        <v>3.17</v>
      </c>
      <c r="F52" s="64">
        <v>37.03</v>
      </c>
      <c r="G52" s="216" t="s">
        <v>43</v>
      </c>
      <c r="H52" s="216" t="s">
        <v>43</v>
      </c>
      <c r="I52" s="217" t="s">
        <v>42</v>
      </c>
      <c r="J52" s="64">
        <v>0.24</v>
      </c>
      <c r="K52" s="64">
        <v>88.12</v>
      </c>
      <c r="L52" s="64">
        <v>32.94</v>
      </c>
      <c r="M52" s="64">
        <v>51.1</v>
      </c>
      <c r="N52" s="64">
        <v>499.4</v>
      </c>
      <c r="O52" s="64">
        <v>0</v>
      </c>
      <c r="P52" s="64">
        <v>0.59</v>
      </c>
      <c r="Q52" s="64">
        <v>13.94</v>
      </c>
      <c r="R52" s="198"/>
      <c r="S52" s="198"/>
      <c r="T52" s="198"/>
      <c r="U52" s="198"/>
    </row>
    <row r="53" spans="1:21" s="12" customFormat="1" x14ac:dyDescent="0.25">
      <c r="A53" s="215" t="s">
        <v>580</v>
      </c>
      <c r="B53" s="64">
        <v>6.37</v>
      </c>
      <c r="C53" s="64">
        <v>23.06</v>
      </c>
      <c r="D53" s="64">
        <v>18.48</v>
      </c>
      <c r="E53" s="64">
        <v>2.87</v>
      </c>
      <c r="F53" s="64">
        <v>24.54</v>
      </c>
      <c r="G53" s="216" t="s">
        <v>43</v>
      </c>
      <c r="H53" s="216" t="s">
        <v>43</v>
      </c>
      <c r="I53" s="217" t="s">
        <v>42</v>
      </c>
      <c r="J53" s="64">
        <v>7.0000000000000007E-2</v>
      </c>
      <c r="K53" s="64">
        <v>6.06</v>
      </c>
      <c r="L53" s="64">
        <v>33.28</v>
      </c>
      <c r="M53" s="64">
        <v>50.26</v>
      </c>
      <c r="N53" s="64">
        <v>425.8</v>
      </c>
      <c r="O53" s="64">
        <v>0</v>
      </c>
      <c r="P53" s="64">
        <v>0.63</v>
      </c>
      <c r="Q53" s="64">
        <v>14.35</v>
      </c>
      <c r="R53" s="198"/>
      <c r="S53" s="198"/>
      <c r="T53" s="198"/>
      <c r="U53" s="198"/>
    </row>
    <row r="54" spans="1:21" s="12" customFormat="1" x14ac:dyDescent="0.25">
      <c r="A54" s="215" t="s">
        <v>581</v>
      </c>
      <c r="B54" s="64">
        <v>4.6100000000000003</v>
      </c>
      <c r="C54" s="64">
        <v>20.32</v>
      </c>
      <c r="D54" s="64">
        <v>15.56</v>
      </c>
      <c r="E54" s="64">
        <v>3.34</v>
      </c>
      <c r="F54" s="64">
        <v>18.309999999999999</v>
      </c>
      <c r="G54" s="216" t="s">
        <v>43</v>
      </c>
      <c r="H54" s="216" t="s">
        <v>43</v>
      </c>
      <c r="I54" s="217" t="s">
        <v>42</v>
      </c>
      <c r="J54" s="64">
        <v>0.22</v>
      </c>
      <c r="K54" s="64">
        <v>205.14</v>
      </c>
      <c r="L54" s="64">
        <v>32.36</v>
      </c>
      <c r="M54" s="64">
        <v>52.55</v>
      </c>
      <c r="N54" s="64">
        <v>793.7</v>
      </c>
      <c r="O54" s="64">
        <v>0</v>
      </c>
      <c r="P54" s="64">
        <v>0.69</v>
      </c>
      <c r="Q54" s="64">
        <v>14.07</v>
      </c>
      <c r="R54" s="198"/>
      <c r="S54" s="198"/>
      <c r="T54" s="198"/>
      <c r="U54" s="198"/>
    </row>
    <row r="55" spans="1:21" s="12" customFormat="1" x14ac:dyDescent="0.25">
      <c r="A55" s="215" t="s">
        <v>582</v>
      </c>
      <c r="B55" s="64">
        <v>4.08</v>
      </c>
      <c r="C55" s="64">
        <v>20.91</v>
      </c>
      <c r="D55" s="64">
        <v>15.45</v>
      </c>
      <c r="E55" s="64">
        <v>3.34</v>
      </c>
      <c r="F55" s="64">
        <v>31.24</v>
      </c>
      <c r="G55" s="216" t="s">
        <v>43</v>
      </c>
      <c r="H55" s="216" t="s">
        <v>43</v>
      </c>
      <c r="I55" s="217" t="s">
        <v>42</v>
      </c>
      <c r="J55" s="64">
        <v>0.03</v>
      </c>
      <c r="K55" s="64">
        <v>292.20999999999998</v>
      </c>
      <c r="L55" s="64">
        <v>33.31</v>
      </c>
      <c r="M55" s="64">
        <v>50.09</v>
      </c>
      <c r="N55" s="64">
        <v>812.3</v>
      </c>
      <c r="O55" s="64">
        <v>0</v>
      </c>
      <c r="P55" s="64">
        <v>0.75</v>
      </c>
      <c r="Q55" s="64">
        <v>12.43</v>
      </c>
      <c r="R55" s="198"/>
      <c r="S55" s="198"/>
      <c r="T55" s="198"/>
      <c r="U55" s="198"/>
    </row>
    <row r="56" spans="1:21" s="12" customFormat="1" x14ac:dyDescent="0.25">
      <c r="A56" s="215" t="s">
        <v>583</v>
      </c>
      <c r="B56" s="64">
        <v>4.32</v>
      </c>
      <c r="C56" s="64">
        <v>21.99</v>
      </c>
      <c r="D56" s="64">
        <v>16.25</v>
      </c>
      <c r="E56" s="64">
        <v>2.08</v>
      </c>
      <c r="F56" s="64">
        <v>48.76</v>
      </c>
      <c r="G56" s="216" t="s">
        <v>43</v>
      </c>
      <c r="H56" s="216" t="s">
        <v>43</v>
      </c>
      <c r="I56" s="64">
        <v>0.32</v>
      </c>
      <c r="J56" s="64">
        <v>0.36</v>
      </c>
      <c r="K56" s="64">
        <v>75.22</v>
      </c>
      <c r="L56" s="64">
        <v>34.21</v>
      </c>
      <c r="M56" s="64">
        <v>48.21</v>
      </c>
      <c r="N56" s="64">
        <v>841.2</v>
      </c>
      <c r="O56" s="64">
        <v>0</v>
      </c>
      <c r="P56" s="64">
        <v>0.82</v>
      </c>
      <c r="Q56" s="64">
        <v>11.12</v>
      </c>
      <c r="R56" s="198"/>
      <c r="S56" s="198"/>
      <c r="T56" s="198"/>
      <c r="U56" s="198"/>
    </row>
    <row r="57" spans="1:21" s="12" customFormat="1" x14ac:dyDescent="0.25">
      <c r="A57" s="215" t="s">
        <v>584</v>
      </c>
      <c r="B57" s="64">
        <v>11.95</v>
      </c>
      <c r="C57" s="64">
        <v>25.91</v>
      </c>
      <c r="D57" s="64">
        <v>23.86</v>
      </c>
      <c r="E57" s="64">
        <v>2.71</v>
      </c>
      <c r="F57" s="64">
        <v>30.41</v>
      </c>
      <c r="G57" s="216" t="s">
        <v>43</v>
      </c>
      <c r="H57" s="216" t="s">
        <v>43</v>
      </c>
      <c r="I57" s="64">
        <v>4.84</v>
      </c>
      <c r="J57" s="64">
        <v>0.14000000000000001</v>
      </c>
      <c r="K57" s="64">
        <v>9.0399999999999991</v>
      </c>
      <c r="L57" s="64">
        <v>34</v>
      </c>
      <c r="M57" s="64">
        <v>48.51</v>
      </c>
      <c r="N57" s="64">
        <v>569.29999999999995</v>
      </c>
      <c r="O57" s="64">
        <v>0</v>
      </c>
      <c r="P57" s="64">
        <v>0.89</v>
      </c>
      <c r="Q57" s="64">
        <v>10.78</v>
      </c>
      <c r="R57" s="198"/>
      <c r="S57" s="198"/>
      <c r="T57" s="198"/>
      <c r="U57" s="198"/>
    </row>
    <row r="58" spans="1:21" s="12" customFormat="1" x14ac:dyDescent="0.25">
      <c r="A58" s="215" t="s">
        <v>585</v>
      </c>
      <c r="B58" s="64">
        <v>4.3600000000000003</v>
      </c>
      <c r="C58" s="64">
        <v>22.88</v>
      </c>
      <c r="D58" s="64">
        <v>16.77</v>
      </c>
      <c r="E58" s="64">
        <v>2.37</v>
      </c>
      <c r="F58" s="64">
        <v>25.94</v>
      </c>
      <c r="G58" s="216" t="s">
        <v>43</v>
      </c>
      <c r="H58" s="216" t="s">
        <v>43</v>
      </c>
      <c r="I58" s="64">
        <v>4.84</v>
      </c>
      <c r="J58" s="64">
        <v>0.82</v>
      </c>
      <c r="K58" s="64">
        <v>173.44</v>
      </c>
      <c r="L58" s="64">
        <v>33.18</v>
      </c>
      <c r="M58" s="64">
        <v>49.73</v>
      </c>
      <c r="N58" s="64">
        <v>750.9</v>
      </c>
      <c r="O58" s="64">
        <v>0</v>
      </c>
      <c r="P58" s="64">
        <v>0.95</v>
      </c>
      <c r="Q58" s="64">
        <v>10.48</v>
      </c>
      <c r="R58" s="198"/>
      <c r="S58" s="198"/>
      <c r="T58" s="198"/>
      <c r="U58" s="198"/>
    </row>
    <row r="59" spans="1:21" s="12" customFormat="1" x14ac:dyDescent="0.25">
      <c r="A59" s="215" t="s">
        <v>586</v>
      </c>
      <c r="B59" s="64">
        <v>4.16</v>
      </c>
      <c r="C59" s="64">
        <v>23.89</v>
      </c>
      <c r="D59" s="64">
        <v>17.170000000000002</v>
      </c>
      <c r="E59" s="64">
        <v>2.5099999999999998</v>
      </c>
      <c r="F59" s="64">
        <v>32.75</v>
      </c>
      <c r="G59" s="216" t="s">
        <v>43</v>
      </c>
      <c r="H59" s="216" t="s">
        <v>43</v>
      </c>
      <c r="I59" s="64">
        <v>5.2</v>
      </c>
      <c r="J59" s="64">
        <v>0.14000000000000001</v>
      </c>
      <c r="K59" s="64">
        <v>2.1800000000000002</v>
      </c>
      <c r="L59" s="64">
        <v>33.909999999999997</v>
      </c>
      <c r="M59" s="64">
        <v>48.88</v>
      </c>
      <c r="N59" s="64">
        <v>584.29999999999995</v>
      </c>
      <c r="O59" s="64">
        <v>0</v>
      </c>
      <c r="P59" s="64">
        <v>1</v>
      </c>
      <c r="Q59" s="64">
        <v>10.41</v>
      </c>
      <c r="R59" s="198"/>
      <c r="S59" s="198"/>
      <c r="T59" s="198"/>
      <c r="U59" s="198"/>
    </row>
    <row r="60" spans="1:21" s="12" customFormat="1" x14ac:dyDescent="0.25">
      <c r="A60" s="215" t="s">
        <v>587</v>
      </c>
      <c r="B60" s="64">
        <v>4.41</v>
      </c>
      <c r="C60" s="64">
        <v>24.34</v>
      </c>
      <c r="D60" s="64">
        <v>17.61</v>
      </c>
      <c r="E60" s="64">
        <v>2.96</v>
      </c>
      <c r="F60" s="64">
        <v>45.41</v>
      </c>
      <c r="G60" s="216" t="s">
        <v>43</v>
      </c>
      <c r="H60" s="216" t="s">
        <v>43</v>
      </c>
      <c r="I60" s="64">
        <v>5.38</v>
      </c>
      <c r="J60" s="64">
        <v>0.83</v>
      </c>
      <c r="K60" s="64">
        <v>163.12</v>
      </c>
      <c r="L60" s="64">
        <v>33.49</v>
      </c>
      <c r="M60" s="64">
        <v>48.06</v>
      </c>
      <c r="N60" s="64">
        <v>702.2</v>
      </c>
      <c r="O60" s="64">
        <v>0</v>
      </c>
      <c r="P60" s="64">
        <v>1.01</v>
      </c>
      <c r="Q60" s="64">
        <v>12.65</v>
      </c>
      <c r="R60" s="198"/>
      <c r="S60" s="198"/>
      <c r="T60" s="198"/>
      <c r="U60" s="198"/>
    </row>
    <row r="61" spans="1:21" s="12" customFormat="1" x14ac:dyDescent="0.25">
      <c r="A61" s="215" t="s">
        <v>588</v>
      </c>
      <c r="B61" s="64">
        <v>3.7</v>
      </c>
      <c r="C61" s="64">
        <v>19.23</v>
      </c>
      <c r="D61" s="64">
        <v>14.22</v>
      </c>
      <c r="E61" s="64">
        <v>2.83</v>
      </c>
      <c r="F61" s="64">
        <v>72.02</v>
      </c>
      <c r="G61" s="216" t="s">
        <v>43</v>
      </c>
      <c r="H61" s="216" t="s">
        <v>43</v>
      </c>
      <c r="I61" s="64">
        <v>5.14</v>
      </c>
      <c r="J61" s="64">
        <v>0.8</v>
      </c>
      <c r="K61" s="64">
        <v>149.33000000000001</v>
      </c>
      <c r="L61" s="64">
        <v>33.11</v>
      </c>
      <c r="M61" s="64">
        <v>48.98</v>
      </c>
      <c r="N61" s="64">
        <v>716.7</v>
      </c>
      <c r="O61" s="64">
        <v>0</v>
      </c>
      <c r="P61" s="64">
        <v>0.89</v>
      </c>
      <c r="Q61" s="64">
        <v>12.3</v>
      </c>
      <c r="R61" s="198"/>
      <c r="S61" s="198"/>
      <c r="T61" s="198"/>
      <c r="U61" s="198"/>
    </row>
    <row r="62" spans="1:21" s="12" customFormat="1" x14ac:dyDescent="0.25">
      <c r="A62" s="215" t="s">
        <v>589</v>
      </c>
      <c r="B62" s="64">
        <v>4.1500000000000004</v>
      </c>
      <c r="C62" s="64">
        <v>22.75</v>
      </c>
      <c r="D62" s="64">
        <v>16.53</v>
      </c>
      <c r="E62" s="64">
        <v>2.58</v>
      </c>
      <c r="F62" s="64">
        <v>66.81</v>
      </c>
      <c r="G62" s="216" t="s">
        <v>43</v>
      </c>
      <c r="H62" s="216" t="s">
        <v>43</v>
      </c>
      <c r="I62" s="64">
        <v>4.57</v>
      </c>
      <c r="J62" s="64">
        <v>0.18</v>
      </c>
      <c r="K62" s="64">
        <v>152.44999999999999</v>
      </c>
      <c r="L62" s="64">
        <v>33.75</v>
      </c>
      <c r="M62" s="64">
        <v>47.22</v>
      </c>
      <c r="N62" s="64">
        <v>553.6</v>
      </c>
      <c r="O62" s="64">
        <v>0</v>
      </c>
      <c r="P62" s="64">
        <v>0.98</v>
      </c>
      <c r="Q62" s="64">
        <v>12.15</v>
      </c>
      <c r="R62" s="198"/>
      <c r="S62" s="198"/>
      <c r="T62" s="198"/>
      <c r="U62" s="198"/>
    </row>
    <row r="63" spans="1:21" s="12" customFormat="1" x14ac:dyDescent="0.25">
      <c r="A63" s="215" t="s">
        <v>590</v>
      </c>
      <c r="B63" s="64">
        <v>6.71</v>
      </c>
      <c r="C63" s="64">
        <v>27.13</v>
      </c>
      <c r="D63" s="64">
        <v>21</v>
      </c>
      <c r="E63" s="64">
        <v>2.36</v>
      </c>
      <c r="F63" s="64">
        <v>52.8</v>
      </c>
      <c r="G63" s="216" t="s">
        <v>43</v>
      </c>
      <c r="H63" s="216" t="s">
        <v>43</v>
      </c>
      <c r="I63" s="64">
        <v>4.6399999999999997</v>
      </c>
      <c r="J63" s="64">
        <v>0.14000000000000001</v>
      </c>
      <c r="K63" s="64">
        <v>174.93</v>
      </c>
      <c r="L63" s="64">
        <v>33.26</v>
      </c>
      <c r="M63" s="64">
        <v>47.49</v>
      </c>
      <c r="N63" s="64">
        <v>311.89999999999998</v>
      </c>
      <c r="O63" s="64">
        <v>0</v>
      </c>
      <c r="P63" s="64">
        <v>0.99</v>
      </c>
      <c r="Q63" s="64">
        <v>14.78</v>
      </c>
      <c r="R63" s="198"/>
      <c r="S63" s="198"/>
      <c r="T63" s="198"/>
      <c r="U63" s="198"/>
    </row>
    <row r="64" spans="1:21" s="12" customFormat="1" x14ac:dyDescent="0.25">
      <c r="A64" s="215" t="s">
        <v>591</v>
      </c>
      <c r="B64" s="64">
        <v>3.38</v>
      </c>
      <c r="C64" s="64">
        <v>21.91</v>
      </c>
      <c r="D64" s="64">
        <v>15.44</v>
      </c>
      <c r="E64" s="64">
        <v>3.07</v>
      </c>
      <c r="F64" s="64">
        <v>57.14</v>
      </c>
      <c r="G64" s="216" t="s">
        <v>43</v>
      </c>
      <c r="H64" s="216" t="s">
        <v>43</v>
      </c>
      <c r="I64" s="64">
        <v>4.8</v>
      </c>
      <c r="J64" s="64">
        <v>0.59</v>
      </c>
      <c r="K64" s="64">
        <v>153.66999999999999</v>
      </c>
      <c r="L64" s="64">
        <v>32.78</v>
      </c>
      <c r="M64" s="64">
        <v>48.3</v>
      </c>
      <c r="N64" s="64">
        <v>277</v>
      </c>
      <c r="O64" s="64">
        <v>0</v>
      </c>
      <c r="P64" s="64">
        <v>0.95</v>
      </c>
      <c r="Q64" s="64">
        <v>14.66</v>
      </c>
      <c r="R64" s="198"/>
      <c r="S64" s="198"/>
      <c r="T64" s="198"/>
      <c r="U64" s="198"/>
    </row>
    <row r="65" spans="1:21" s="12" customFormat="1" x14ac:dyDescent="0.25">
      <c r="A65" s="215" t="s">
        <v>592</v>
      </c>
      <c r="B65" s="64">
        <v>3.52</v>
      </c>
      <c r="C65" s="64">
        <v>23.64</v>
      </c>
      <c r="D65" s="64">
        <v>16.510000000000002</v>
      </c>
      <c r="E65" s="64">
        <v>3.28</v>
      </c>
      <c r="F65" s="64">
        <v>56.77</v>
      </c>
      <c r="G65" s="216" t="s">
        <v>43</v>
      </c>
      <c r="H65" s="216" t="s">
        <v>43</v>
      </c>
      <c r="I65" s="64">
        <v>4.59</v>
      </c>
      <c r="J65" s="64">
        <v>0.47</v>
      </c>
      <c r="K65" s="64">
        <v>175.9</v>
      </c>
      <c r="L65" s="64">
        <v>32.86</v>
      </c>
      <c r="M65" s="64">
        <v>47.74</v>
      </c>
      <c r="N65" s="64">
        <v>318.8</v>
      </c>
      <c r="O65" s="64">
        <v>0</v>
      </c>
      <c r="P65" s="64">
        <v>0.93</v>
      </c>
      <c r="Q65" s="64">
        <v>14.47</v>
      </c>
      <c r="R65" s="198"/>
      <c r="S65" s="198"/>
      <c r="T65" s="198"/>
      <c r="U65" s="198"/>
    </row>
    <row r="66" spans="1:21" s="12" customFormat="1" x14ac:dyDescent="0.25">
      <c r="A66" s="215" t="s">
        <v>593</v>
      </c>
      <c r="B66" s="64">
        <v>2.99</v>
      </c>
      <c r="C66" s="64">
        <v>19.09</v>
      </c>
      <c r="D66" s="64">
        <v>13.58</v>
      </c>
      <c r="E66" s="64">
        <v>3.3</v>
      </c>
      <c r="F66" s="64">
        <v>67.61</v>
      </c>
      <c r="G66" s="216" t="s">
        <v>43</v>
      </c>
      <c r="H66" s="216" t="s">
        <v>43</v>
      </c>
      <c r="I66" s="64">
        <v>4.9000000000000004</v>
      </c>
      <c r="J66" s="64">
        <v>0.44</v>
      </c>
      <c r="K66" s="64">
        <v>109.37</v>
      </c>
      <c r="L66" s="64">
        <v>33.06</v>
      </c>
      <c r="M66" s="64">
        <v>47.55</v>
      </c>
      <c r="N66" s="64">
        <v>300.39999999999998</v>
      </c>
      <c r="O66" s="64">
        <v>0</v>
      </c>
      <c r="P66" s="64">
        <v>0.9</v>
      </c>
      <c r="Q66" s="64">
        <v>13.9</v>
      </c>
      <c r="R66" s="198"/>
      <c r="S66" s="198"/>
      <c r="T66" s="198"/>
      <c r="U66" s="198"/>
    </row>
    <row r="67" spans="1:21" s="12" customFormat="1" x14ac:dyDescent="0.25">
      <c r="A67" s="215" t="s">
        <v>594</v>
      </c>
      <c r="B67" s="64">
        <v>3.67</v>
      </c>
      <c r="C67" s="64">
        <v>20.93</v>
      </c>
      <c r="D67" s="64">
        <v>15.14</v>
      </c>
      <c r="E67" s="64">
        <v>3.25</v>
      </c>
      <c r="F67" s="64">
        <v>67.31</v>
      </c>
      <c r="G67" s="216" t="s">
        <v>43</v>
      </c>
      <c r="H67" s="216" t="s">
        <v>43</v>
      </c>
      <c r="I67" s="64">
        <v>4.71</v>
      </c>
      <c r="J67" s="64">
        <v>0.6</v>
      </c>
      <c r="K67" s="64">
        <v>104.31</v>
      </c>
      <c r="L67" s="64">
        <v>32.65</v>
      </c>
      <c r="M67" s="64">
        <v>50.44</v>
      </c>
      <c r="N67" s="64">
        <v>242</v>
      </c>
      <c r="O67" s="64">
        <v>0</v>
      </c>
      <c r="P67" s="64">
        <v>0.88</v>
      </c>
      <c r="Q67" s="64">
        <v>13.62</v>
      </c>
      <c r="R67" s="198"/>
      <c r="S67" s="198"/>
      <c r="T67" s="198"/>
      <c r="U67" s="198"/>
    </row>
    <row r="68" spans="1:21" s="12" customFormat="1" x14ac:dyDescent="0.25">
      <c r="A68" s="215" t="s">
        <v>595</v>
      </c>
      <c r="B68" s="64">
        <v>3.88</v>
      </c>
      <c r="C68" s="64">
        <v>28.08</v>
      </c>
      <c r="D68" s="64">
        <v>19.25</v>
      </c>
      <c r="E68" s="64">
        <v>3.26</v>
      </c>
      <c r="F68" s="64">
        <v>78.42</v>
      </c>
      <c r="G68" s="216" t="s">
        <v>43</v>
      </c>
      <c r="H68" s="216" t="s">
        <v>43</v>
      </c>
      <c r="I68" s="64">
        <v>4.6399999999999997</v>
      </c>
      <c r="J68" s="64">
        <v>0.55000000000000004</v>
      </c>
      <c r="K68" s="64">
        <v>105.37</v>
      </c>
      <c r="L68" s="64">
        <v>32.15</v>
      </c>
      <c r="M68" s="64">
        <v>52.06</v>
      </c>
      <c r="N68" s="64">
        <v>182.1</v>
      </c>
      <c r="O68" s="64">
        <v>0</v>
      </c>
      <c r="P68" s="64">
        <v>0.88</v>
      </c>
      <c r="Q68" s="64">
        <v>13.68</v>
      </c>
      <c r="R68" s="198"/>
      <c r="S68" s="198"/>
      <c r="T68" s="198"/>
      <c r="U68" s="198"/>
    </row>
    <row r="69" spans="1:21" s="12" customFormat="1" x14ac:dyDescent="0.25">
      <c r="A69" s="215" t="s">
        <v>596</v>
      </c>
      <c r="B69" s="64">
        <v>3.29</v>
      </c>
      <c r="C69" s="64">
        <v>22.75</v>
      </c>
      <c r="D69" s="64">
        <v>15.83</v>
      </c>
      <c r="E69" s="64">
        <v>3.28</v>
      </c>
      <c r="F69" s="64">
        <v>27.11</v>
      </c>
      <c r="G69" s="216" t="s">
        <v>43</v>
      </c>
      <c r="H69" s="216" t="s">
        <v>43</v>
      </c>
      <c r="I69" s="64">
        <v>4.82</v>
      </c>
      <c r="J69" s="64">
        <v>0.02</v>
      </c>
      <c r="K69" s="64">
        <v>247.56</v>
      </c>
      <c r="L69" s="64">
        <v>31</v>
      </c>
      <c r="M69" s="64">
        <v>57.08</v>
      </c>
      <c r="N69" s="64">
        <v>143.69999999999999</v>
      </c>
      <c r="O69" s="64">
        <v>0</v>
      </c>
      <c r="P69" s="64">
        <v>0.87</v>
      </c>
      <c r="Q69" s="64">
        <v>13.15</v>
      </c>
      <c r="R69" s="198"/>
      <c r="S69" s="198"/>
      <c r="T69" s="198"/>
      <c r="U69" s="198"/>
    </row>
    <row r="70" spans="1:21" s="12" customFormat="1" x14ac:dyDescent="0.25">
      <c r="A70" s="215" t="s">
        <v>597</v>
      </c>
      <c r="B70" s="64">
        <v>3.46</v>
      </c>
      <c r="C70" s="64">
        <v>20.85</v>
      </c>
      <c r="D70" s="64">
        <v>14.93</v>
      </c>
      <c r="E70" s="64">
        <v>2.95</v>
      </c>
      <c r="F70" s="64">
        <v>9.42</v>
      </c>
      <c r="G70" s="216" t="s">
        <v>43</v>
      </c>
      <c r="H70" s="216" t="s">
        <v>43</v>
      </c>
      <c r="I70" s="64">
        <v>4.62</v>
      </c>
      <c r="J70" s="64">
        <v>0.36</v>
      </c>
      <c r="K70" s="64">
        <v>33.229999999999997</v>
      </c>
      <c r="L70" s="64">
        <v>29.26</v>
      </c>
      <c r="M70" s="64">
        <v>60.08</v>
      </c>
      <c r="N70" s="64">
        <v>135.6</v>
      </c>
      <c r="O70" s="64">
        <v>0</v>
      </c>
      <c r="P70" s="64">
        <v>0.85</v>
      </c>
      <c r="Q70" s="64">
        <v>11.73</v>
      </c>
      <c r="R70" s="198"/>
      <c r="S70" s="198"/>
      <c r="T70" s="198"/>
      <c r="U70" s="198"/>
    </row>
    <row r="71" spans="1:21" s="12" customFormat="1" x14ac:dyDescent="0.25">
      <c r="A71" s="215" t="s">
        <v>598</v>
      </c>
      <c r="B71" s="64">
        <v>6.67</v>
      </c>
      <c r="C71" s="64">
        <v>21.63</v>
      </c>
      <c r="D71" s="64">
        <v>17.93</v>
      </c>
      <c r="E71" s="64">
        <v>3.05</v>
      </c>
      <c r="F71" s="64">
        <v>14.45</v>
      </c>
      <c r="G71" s="216" t="s">
        <v>43</v>
      </c>
      <c r="H71" s="216" t="s">
        <v>43</v>
      </c>
      <c r="I71" s="64">
        <v>5.42</v>
      </c>
      <c r="J71" s="64">
        <v>0.6</v>
      </c>
      <c r="K71" s="64">
        <v>357.61</v>
      </c>
      <c r="L71" s="64">
        <v>29.5</v>
      </c>
      <c r="M71" s="64">
        <v>58.98</v>
      </c>
      <c r="N71" s="64">
        <v>163.19999999999999</v>
      </c>
      <c r="O71" s="64">
        <v>0</v>
      </c>
      <c r="P71" s="64">
        <v>0.83</v>
      </c>
      <c r="Q71" s="64">
        <v>12.53</v>
      </c>
      <c r="R71" s="198"/>
      <c r="S71" s="198"/>
      <c r="T71" s="198"/>
      <c r="U71" s="198"/>
    </row>
    <row r="72" spans="1:21" s="12" customFormat="1" x14ac:dyDescent="0.25">
      <c r="A72" s="215" t="s">
        <v>599</v>
      </c>
      <c r="B72" s="64">
        <v>5.21</v>
      </c>
      <c r="C72" s="64">
        <v>20.94</v>
      </c>
      <c r="D72" s="64">
        <v>16.38</v>
      </c>
      <c r="E72" s="64">
        <v>1.87</v>
      </c>
      <c r="F72" s="64">
        <v>14.29</v>
      </c>
      <c r="G72" s="216" t="s">
        <v>43</v>
      </c>
      <c r="H72" s="216" t="s">
        <v>43</v>
      </c>
      <c r="I72" s="64">
        <v>5.66</v>
      </c>
      <c r="J72" s="64">
        <v>1.69</v>
      </c>
      <c r="K72" s="64">
        <v>358.09</v>
      </c>
      <c r="L72" s="64">
        <v>29.87</v>
      </c>
      <c r="M72" s="64">
        <v>58.61</v>
      </c>
      <c r="N72" s="64">
        <v>105.1</v>
      </c>
      <c r="O72" s="64">
        <v>0</v>
      </c>
      <c r="P72" s="64">
        <v>0.83</v>
      </c>
      <c r="Q72" s="64">
        <v>12.85</v>
      </c>
      <c r="R72" s="198"/>
      <c r="S72" s="198"/>
      <c r="T72" s="198"/>
      <c r="U72" s="198"/>
    </row>
    <row r="73" spans="1:21" s="12" customFormat="1" x14ac:dyDescent="0.25">
      <c r="A73" s="215" t="s">
        <v>600</v>
      </c>
      <c r="B73" s="64">
        <v>5.04</v>
      </c>
      <c r="C73" s="64">
        <v>18.14</v>
      </c>
      <c r="D73" s="64">
        <v>14.7</v>
      </c>
      <c r="E73" s="64">
        <v>3.2</v>
      </c>
      <c r="F73" s="64">
        <v>16.59</v>
      </c>
      <c r="G73" s="216" t="s">
        <v>43</v>
      </c>
      <c r="H73" s="216" t="s">
        <v>43</v>
      </c>
      <c r="I73" s="64">
        <v>5.16</v>
      </c>
      <c r="J73" s="64">
        <v>1.82</v>
      </c>
      <c r="K73" s="64">
        <v>5.31</v>
      </c>
      <c r="L73" s="64">
        <v>29.28</v>
      </c>
      <c r="M73" s="64">
        <v>58.84</v>
      </c>
      <c r="N73" s="64">
        <v>132.6</v>
      </c>
      <c r="O73" s="64">
        <v>0</v>
      </c>
      <c r="P73" s="64">
        <v>0.79</v>
      </c>
      <c r="Q73" s="64">
        <v>9.9499999999999993</v>
      </c>
      <c r="R73" s="198"/>
      <c r="S73" s="198"/>
      <c r="T73" s="198"/>
      <c r="U73" s="198"/>
    </row>
    <row r="74" spans="1:21" s="12" customFormat="1" x14ac:dyDescent="0.25">
      <c r="A74" s="215" t="s">
        <v>601</v>
      </c>
      <c r="B74" s="64">
        <v>7.62</v>
      </c>
      <c r="C74" s="64">
        <v>19.920000000000002</v>
      </c>
      <c r="D74" s="64">
        <v>17.75</v>
      </c>
      <c r="E74" s="64">
        <v>2.68</v>
      </c>
      <c r="F74" s="64">
        <v>12.51</v>
      </c>
      <c r="G74" s="216" t="s">
        <v>43</v>
      </c>
      <c r="H74" s="216" t="s">
        <v>43</v>
      </c>
      <c r="I74" s="64">
        <v>4.84</v>
      </c>
      <c r="J74" s="64">
        <v>1.84</v>
      </c>
      <c r="K74" s="64">
        <v>7.92</v>
      </c>
      <c r="L74" s="64">
        <v>29.3</v>
      </c>
      <c r="M74" s="64">
        <v>58.31</v>
      </c>
      <c r="N74" s="64">
        <v>143.9</v>
      </c>
      <c r="O74" s="64">
        <v>0</v>
      </c>
      <c r="P74" s="64">
        <v>0.78</v>
      </c>
      <c r="Q74" s="64">
        <v>10.56</v>
      </c>
      <c r="R74" s="198"/>
      <c r="S74" s="198"/>
      <c r="T74" s="198"/>
      <c r="U74" s="198"/>
    </row>
    <row r="75" spans="1:21" s="12" customFormat="1" x14ac:dyDescent="0.25">
      <c r="A75" s="215" t="s">
        <v>602</v>
      </c>
      <c r="B75" s="64">
        <v>7.25</v>
      </c>
      <c r="C75" s="64">
        <v>27.88</v>
      </c>
      <c r="D75" s="64">
        <v>21.84</v>
      </c>
      <c r="E75" s="64">
        <v>3.33</v>
      </c>
      <c r="F75" s="64">
        <v>19.649999999999999</v>
      </c>
      <c r="G75" s="216" t="s">
        <v>43</v>
      </c>
      <c r="H75" s="216" t="s">
        <v>43</v>
      </c>
      <c r="I75" s="64">
        <v>4.55</v>
      </c>
      <c r="J75" s="64">
        <v>1.1100000000000001</v>
      </c>
      <c r="K75" s="64">
        <v>98.36</v>
      </c>
      <c r="L75" s="64">
        <v>27.6</v>
      </c>
      <c r="M75" s="64">
        <v>69.099999999999994</v>
      </c>
      <c r="N75" s="64">
        <v>47.6</v>
      </c>
      <c r="O75" s="64">
        <v>0.2</v>
      </c>
      <c r="P75" s="64">
        <v>0.77</v>
      </c>
      <c r="Q75" s="64">
        <v>10.039999999999999</v>
      </c>
      <c r="R75" s="198"/>
      <c r="S75" s="198"/>
      <c r="T75" s="198"/>
      <c r="U75" s="198"/>
    </row>
    <row r="76" spans="1:21" s="12" customFormat="1" x14ac:dyDescent="0.25">
      <c r="A76" s="215" t="s">
        <v>603</v>
      </c>
      <c r="B76" s="64">
        <v>5.28</v>
      </c>
      <c r="C76" s="64">
        <v>18.55</v>
      </c>
      <c r="D76" s="64">
        <v>15.11</v>
      </c>
      <c r="E76" s="64">
        <v>2.64</v>
      </c>
      <c r="F76" s="64">
        <v>8.5399999999999991</v>
      </c>
      <c r="G76" s="216" t="s">
        <v>43</v>
      </c>
      <c r="H76" s="216" t="s">
        <v>43</v>
      </c>
      <c r="I76" s="64">
        <v>4.3499999999999996</v>
      </c>
      <c r="J76" s="64">
        <v>1.26</v>
      </c>
      <c r="K76" s="64">
        <v>112.97</v>
      </c>
      <c r="L76" s="64">
        <v>24.82</v>
      </c>
      <c r="M76" s="64">
        <v>92.06</v>
      </c>
      <c r="N76" s="64">
        <v>42.9</v>
      </c>
      <c r="O76" s="64">
        <v>5</v>
      </c>
      <c r="P76" s="64">
        <v>0.77</v>
      </c>
      <c r="Q76" s="64">
        <v>12.4</v>
      </c>
      <c r="R76" s="198"/>
      <c r="S76" s="198"/>
      <c r="T76" s="198"/>
      <c r="U76" s="198"/>
    </row>
    <row r="77" spans="1:21" s="12" customFormat="1" x14ac:dyDescent="0.25">
      <c r="A77" s="215" t="s">
        <v>604</v>
      </c>
      <c r="B77" s="64">
        <v>5.62</v>
      </c>
      <c r="C77" s="64">
        <v>18.829999999999998</v>
      </c>
      <c r="D77" s="64">
        <v>15.55</v>
      </c>
      <c r="E77" s="64">
        <v>2.85</v>
      </c>
      <c r="F77" s="64">
        <v>14.42</v>
      </c>
      <c r="G77" s="216" t="s">
        <v>43</v>
      </c>
      <c r="H77" s="216" t="s">
        <v>43</v>
      </c>
      <c r="I77" s="64">
        <v>4.7</v>
      </c>
      <c r="J77" s="64">
        <v>0.92</v>
      </c>
      <c r="K77" s="64">
        <v>33.25</v>
      </c>
      <c r="L77" s="64">
        <v>23.45</v>
      </c>
      <c r="M77" s="64">
        <v>97.19</v>
      </c>
      <c r="N77" s="64">
        <v>38.200000000000003</v>
      </c>
      <c r="O77" s="64">
        <v>2.8</v>
      </c>
      <c r="P77" s="64">
        <v>0.74</v>
      </c>
      <c r="Q77" s="64">
        <v>13.51</v>
      </c>
      <c r="R77" s="198"/>
      <c r="S77" s="198"/>
      <c r="T77" s="198"/>
      <c r="U77" s="198"/>
    </row>
    <row r="78" spans="1:21" s="12" customFormat="1" x14ac:dyDescent="0.25">
      <c r="A78" s="215" t="s">
        <v>605</v>
      </c>
      <c r="B78" s="64">
        <v>7.58</v>
      </c>
      <c r="C78" s="64">
        <v>20.170000000000002</v>
      </c>
      <c r="D78" s="64">
        <v>17.86</v>
      </c>
      <c r="E78" s="64">
        <v>2.85</v>
      </c>
      <c r="F78" s="64">
        <v>10.47</v>
      </c>
      <c r="G78" s="216" t="s">
        <v>43</v>
      </c>
      <c r="H78" s="216" t="s">
        <v>43</v>
      </c>
      <c r="I78" s="64">
        <v>5.08</v>
      </c>
      <c r="J78" s="64">
        <v>0.3</v>
      </c>
      <c r="K78" s="64">
        <v>40.590000000000003</v>
      </c>
      <c r="L78" s="64">
        <v>23.45</v>
      </c>
      <c r="M78" s="64">
        <v>97.2</v>
      </c>
      <c r="N78" s="64">
        <v>42.8</v>
      </c>
      <c r="O78" s="64">
        <v>0.6</v>
      </c>
      <c r="P78" s="64">
        <v>0.75</v>
      </c>
      <c r="Q78" s="64">
        <v>11.96</v>
      </c>
      <c r="R78" s="198"/>
      <c r="S78" s="198"/>
      <c r="T78" s="198"/>
      <c r="U78" s="198"/>
    </row>
    <row r="79" spans="1:21" s="12" customFormat="1" x14ac:dyDescent="0.25">
      <c r="A79" s="215" t="s">
        <v>606</v>
      </c>
      <c r="B79" s="64">
        <v>9.76</v>
      </c>
      <c r="C79" s="64">
        <v>25.92</v>
      </c>
      <c r="D79" s="64">
        <v>22.78</v>
      </c>
      <c r="E79" s="64">
        <v>2.67</v>
      </c>
      <c r="F79" s="64">
        <v>11.7</v>
      </c>
      <c r="G79" s="216" t="s">
        <v>43</v>
      </c>
      <c r="H79" s="216" t="s">
        <v>43</v>
      </c>
      <c r="I79" s="64">
        <v>5.21</v>
      </c>
      <c r="J79" s="64">
        <v>0.09</v>
      </c>
      <c r="K79" s="64">
        <v>195.67</v>
      </c>
      <c r="L79" s="64">
        <v>23.57</v>
      </c>
      <c r="M79" s="64">
        <v>97.2</v>
      </c>
      <c r="N79" s="64">
        <v>41.7</v>
      </c>
      <c r="O79" s="64">
        <v>0.2</v>
      </c>
      <c r="P79" s="64">
        <v>0.76</v>
      </c>
      <c r="Q79" s="64">
        <v>13.84</v>
      </c>
      <c r="R79" s="198"/>
      <c r="S79" s="198"/>
      <c r="T79" s="198"/>
      <c r="U79" s="198"/>
    </row>
    <row r="80" spans="1:21" s="12" customFormat="1" x14ac:dyDescent="0.25">
      <c r="A80" s="215" t="s">
        <v>607</v>
      </c>
      <c r="B80" s="64">
        <v>6.09</v>
      </c>
      <c r="C80" s="64">
        <v>21.12</v>
      </c>
      <c r="D80" s="64">
        <v>17.190000000000001</v>
      </c>
      <c r="E80" s="64">
        <v>2.85</v>
      </c>
      <c r="F80" s="64">
        <v>8.3000000000000007</v>
      </c>
      <c r="G80" s="216" t="s">
        <v>43</v>
      </c>
      <c r="H80" s="216" t="s">
        <v>43</v>
      </c>
      <c r="I80" s="64">
        <v>5.27</v>
      </c>
      <c r="J80" s="64">
        <v>0.65</v>
      </c>
      <c r="K80" s="64">
        <v>151.19999999999999</v>
      </c>
      <c r="L80" s="64">
        <v>23.19</v>
      </c>
      <c r="M80" s="64">
        <v>97.18</v>
      </c>
      <c r="N80" s="64">
        <v>40.6</v>
      </c>
      <c r="O80" s="64">
        <v>0</v>
      </c>
      <c r="P80" s="64">
        <v>0.75</v>
      </c>
      <c r="Q80" s="64">
        <v>12.42</v>
      </c>
      <c r="R80" s="198"/>
      <c r="S80" s="198"/>
      <c r="T80" s="198"/>
      <c r="U80" s="198"/>
    </row>
    <row r="81" spans="1:26" s="12" customFormat="1" x14ac:dyDescent="0.25">
      <c r="A81" s="215" t="s">
        <v>608</v>
      </c>
      <c r="B81" s="64">
        <v>6.02</v>
      </c>
      <c r="C81" s="64">
        <v>17.97</v>
      </c>
      <c r="D81" s="64">
        <v>15.39</v>
      </c>
      <c r="E81" s="64">
        <v>2.79</v>
      </c>
      <c r="F81" s="64">
        <v>8.41</v>
      </c>
      <c r="G81" s="216" t="s">
        <v>43</v>
      </c>
      <c r="H81" s="216" t="s">
        <v>43</v>
      </c>
      <c r="I81" s="64">
        <v>5.0999999999999996</v>
      </c>
      <c r="J81" s="64">
        <v>0.94</v>
      </c>
      <c r="K81" s="64">
        <v>110.38</v>
      </c>
      <c r="L81" s="64">
        <v>23.45</v>
      </c>
      <c r="M81" s="64">
        <v>93.65</v>
      </c>
      <c r="N81" s="64">
        <v>35.4</v>
      </c>
      <c r="O81" s="64">
        <v>0</v>
      </c>
      <c r="P81" s="64">
        <v>0.76</v>
      </c>
      <c r="Q81" s="64">
        <v>11.76</v>
      </c>
      <c r="R81" s="198"/>
      <c r="S81" s="198"/>
      <c r="T81" s="198"/>
      <c r="U81" s="198"/>
    </row>
    <row r="82" spans="1:26" s="12" customFormat="1" x14ac:dyDescent="0.25">
      <c r="A82" s="215" t="s">
        <v>609</v>
      </c>
      <c r="B82" s="64">
        <v>5.36</v>
      </c>
      <c r="C82" s="64">
        <v>17.489999999999998</v>
      </c>
      <c r="D82" s="64">
        <v>14.59</v>
      </c>
      <c r="E82" s="64">
        <v>3.04</v>
      </c>
      <c r="F82" s="64">
        <v>8.4499999999999993</v>
      </c>
      <c r="G82" s="216" t="s">
        <v>43</v>
      </c>
      <c r="H82" s="216" t="s">
        <v>43</v>
      </c>
      <c r="I82" s="64">
        <v>5.15</v>
      </c>
      <c r="J82" s="64">
        <v>1.06</v>
      </c>
      <c r="K82" s="64">
        <v>109.43</v>
      </c>
      <c r="L82" s="64">
        <v>23.85</v>
      </c>
      <c r="M82" s="64">
        <v>88.15</v>
      </c>
      <c r="N82" s="64">
        <v>31.6</v>
      </c>
      <c r="O82" s="64">
        <v>0</v>
      </c>
      <c r="P82" s="64">
        <v>0.72</v>
      </c>
      <c r="Q82" s="64">
        <v>13.77</v>
      </c>
      <c r="R82" s="198"/>
      <c r="S82" s="198"/>
      <c r="T82" s="198"/>
      <c r="U82" s="198"/>
    </row>
    <row r="83" spans="1:26" s="12" customFormat="1" x14ac:dyDescent="0.25">
      <c r="A83" s="215" t="s">
        <v>610</v>
      </c>
      <c r="B83" s="64">
        <v>4.63</v>
      </c>
      <c r="C83" s="64">
        <v>17.27</v>
      </c>
      <c r="D83" s="64">
        <v>13.89</v>
      </c>
      <c r="E83" s="64">
        <v>2.9</v>
      </c>
      <c r="F83" s="64">
        <v>13.23</v>
      </c>
      <c r="G83" s="216" t="s">
        <v>43</v>
      </c>
      <c r="H83" s="216" t="s">
        <v>43</v>
      </c>
      <c r="I83" s="64">
        <v>5.44</v>
      </c>
      <c r="J83" s="64">
        <v>0.49</v>
      </c>
      <c r="K83" s="64">
        <v>121.06</v>
      </c>
      <c r="L83" s="64">
        <v>23.83</v>
      </c>
      <c r="M83" s="64">
        <v>86.54</v>
      </c>
      <c r="N83" s="64">
        <v>29.1</v>
      </c>
      <c r="O83" s="64">
        <v>0</v>
      </c>
      <c r="P83" s="64">
        <v>0.7</v>
      </c>
      <c r="Q83" s="64">
        <v>14.07</v>
      </c>
      <c r="R83" s="198"/>
      <c r="S83" s="198"/>
      <c r="T83" s="198"/>
      <c r="U83" s="198"/>
    </row>
    <row r="84" spans="1:26" s="12" customFormat="1" x14ac:dyDescent="0.25">
      <c r="A84" s="215" t="s">
        <v>611</v>
      </c>
      <c r="B84" s="64">
        <v>4.53</v>
      </c>
      <c r="C84" s="64">
        <v>19.170000000000002</v>
      </c>
      <c r="D84" s="64">
        <v>14.86</v>
      </c>
      <c r="E84" s="64">
        <v>2.85</v>
      </c>
      <c r="F84" s="64">
        <v>12.9</v>
      </c>
      <c r="G84" s="216" t="s">
        <v>43</v>
      </c>
      <c r="H84" s="216" t="s">
        <v>43</v>
      </c>
      <c r="I84" s="64">
        <v>5.48</v>
      </c>
      <c r="J84" s="64">
        <v>0.34</v>
      </c>
      <c r="K84" s="64">
        <v>141.16999999999999</v>
      </c>
      <c r="L84" s="64">
        <v>23.94</v>
      </c>
      <c r="M84" s="64">
        <v>85.85</v>
      </c>
      <c r="N84" s="64">
        <v>27.4</v>
      </c>
      <c r="O84" s="64">
        <v>0</v>
      </c>
      <c r="P84" s="64">
        <v>0.7</v>
      </c>
      <c r="Q84" s="64">
        <v>16.97</v>
      </c>
      <c r="R84" s="198"/>
      <c r="S84" s="198"/>
      <c r="T84" s="198"/>
      <c r="U84" s="198"/>
    </row>
    <row r="85" spans="1:26" s="12" customFormat="1" x14ac:dyDescent="0.25">
      <c r="A85" s="215" t="s">
        <v>612</v>
      </c>
      <c r="B85" s="64">
        <v>6.54</v>
      </c>
      <c r="C85" s="64">
        <v>19.89</v>
      </c>
      <c r="D85" s="64">
        <v>16.87</v>
      </c>
      <c r="E85" s="64">
        <v>2.29</v>
      </c>
      <c r="F85" s="64">
        <v>14</v>
      </c>
      <c r="G85" s="216" t="s">
        <v>43</v>
      </c>
      <c r="H85" s="216" t="s">
        <v>43</v>
      </c>
      <c r="I85" s="64">
        <v>5.35</v>
      </c>
      <c r="J85" s="64">
        <v>0.34</v>
      </c>
      <c r="K85" s="64">
        <v>163.36000000000001</v>
      </c>
      <c r="L85" s="64">
        <v>23.78</v>
      </c>
      <c r="M85" s="64">
        <v>88.21</v>
      </c>
      <c r="N85" s="64">
        <v>26</v>
      </c>
      <c r="O85" s="64">
        <v>0</v>
      </c>
      <c r="P85" s="64">
        <v>0.7</v>
      </c>
      <c r="Q85" s="64">
        <v>16.28</v>
      </c>
      <c r="R85" s="198"/>
      <c r="S85" s="198"/>
      <c r="T85" s="198"/>
      <c r="U85" s="198"/>
    </row>
    <row r="86" spans="1:26" s="12" customFormat="1" x14ac:dyDescent="0.25">
      <c r="A86" s="215" t="s">
        <v>613</v>
      </c>
      <c r="B86" s="64">
        <v>5.59</v>
      </c>
      <c r="C86" s="64">
        <v>22.87</v>
      </c>
      <c r="D86" s="64">
        <v>17.75</v>
      </c>
      <c r="E86" s="64">
        <v>2.4500000000000002</v>
      </c>
      <c r="F86" s="64">
        <v>15.39</v>
      </c>
      <c r="G86" s="216" t="s">
        <v>43</v>
      </c>
      <c r="H86" s="216" t="s">
        <v>43</v>
      </c>
      <c r="I86" s="64">
        <v>4.99</v>
      </c>
      <c r="J86" s="64">
        <v>0.12</v>
      </c>
      <c r="K86" s="64">
        <v>150.44</v>
      </c>
      <c r="L86" s="64">
        <v>24.21</v>
      </c>
      <c r="M86" s="64">
        <v>85.78</v>
      </c>
      <c r="N86" s="64">
        <v>26</v>
      </c>
      <c r="O86" s="64">
        <v>0</v>
      </c>
      <c r="P86" s="64">
        <v>0.72</v>
      </c>
      <c r="Q86" s="64">
        <v>18.100000000000001</v>
      </c>
      <c r="R86" s="198"/>
      <c r="S86" s="198"/>
      <c r="T86" s="198"/>
      <c r="U86" s="198"/>
    </row>
    <row r="87" spans="1:26" s="12" customFormat="1" x14ac:dyDescent="0.25">
      <c r="A87" s="215" t="s">
        <v>614</v>
      </c>
      <c r="B87" s="64">
        <v>5.99</v>
      </c>
      <c r="C87" s="64">
        <v>24.29</v>
      </c>
      <c r="D87" s="64">
        <v>18.850000000000001</v>
      </c>
      <c r="E87" s="64">
        <v>2.23</v>
      </c>
      <c r="F87" s="64">
        <v>12.12</v>
      </c>
      <c r="G87" s="216" t="s">
        <v>43</v>
      </c>
      <c r="H87" s="216" t="s">
        <v>43</v>
      </c>
      <c r="I87" s="64">
        <v>5.03</v>
      </c>
      <c r="J87" s="64">
        <v>0.74</v>
      </c>
      <c r="K87" s="64">
        <v>181.18</v>
      </c>
      <c r="L87" s="64">
        <v>24.5</v>
      </c>
      <c r="M87" s="64">
        <v>84.86</v>
      </c>
      <c r="N87" s="64">
        <v>26.1</v>
      </c>
      <c r="O87" s="64">
        <v>0</v>
      </c>
      <c r="P87" s="64">
        <v>0.71</v>
      </c>
      <c r="Q87" s="64">
        <v>17.2</v>
      </c>
      <c r="R87" s="198"/>
      <c r="S87" s="198"/>
      <c r="T87" s="198"/>
      <c r="U87" s="198"/>
    </row>
    <row r="88" spans="1:26" s="12" customFormat="1" x14ac:dyDescent="0.25">
      <c r="A88" s="215" t="s">
        <v>615</v>
      </c>
      <c r="B88" s="64">
        <v>6.34</v>
      </c>
      <c r="C88" s="64">
        <v>16.739999999999998</v>
      </c>
      <c r="D88" s="64">
        <v>14.96</v>
      </c>
      <c r="E88" s="64">
        <v>2.88</v>
      </c>
      <c r="F88" s="64">
        <v>7.43</v>
      </c>
      <c r="G88" s="216" t="s">
        <v>43</v>
      </c>
      <c r="H88" s="216" t="s">
        <v>43</v>
      </c>
      <c r="I88" s="64">
        <v>4.67</v>
      </c>
      <c r="J88" s="64">
        <v>0.25</v>
      </c>
      <c r="K88" s="64">
        <v>165.71</v>
      </c>
      <c r="L88" s="64">
        <v>24.54</v>
      </c>
      <c r="M88" s="64">
        <v>84.18</v>
      </c>
      <c r="N88" s="64">
        <v>26</v>
      </c>
      <c r="O88" s="64">
        <v>0</v>
      </c>
      <c r="P88" s="64">
        <v>0.73</v>
      </c>
      <c r="Q88" s="64">
        <v>16.95</v>
      </c>
      <c r="R88" s="198"/>
      <c r="S88" s="198"/>
      <c r="T88" s="198"/>
      <c r="U88" s="198"/>
    </row>
    <row r="89" spans="1:26" s="12" customFormat="1" x14ac:dyDescent="0.25">
      <c r="A89" s="215" t="s">
        <v>616</v>
      </c>
      <c r="B89" s="64">
        <v>6.27</v>
      </c>
      <c r="C89" s="64">
        <v>18.52</v>
      </c>
      <c r="D89" s="64">
        <v>15.9</v>
      </c>
      <c r="E89" s="64">
        <v>3.39</v>
      </c>
      <c r="F89" s="64">
        <v>9.39</v>
      </c>
      <c r="G89" s="216" t="s">
        <v>43</v>
      </c>
      <c r="H89" s="216" t="s">
        <v>43</v>
      </c>
      <c r="I89" s="64">
        <v>5.48</v>
      </c>
      <c r="J89" s="64">
        <v>0.5</v>
      </c>
      <c r="K89" s="64">
        <v>188.64</v>
      </c>
      <c r="L89" s="64">
        <v>24.52</v>
      </c>
      <c r="M89" s="64">
        <v>83.72</v>
      </c>
      <c r="N89" s="64">
        <v>25.6</v>
      </c>
      <c r="O89" s="64">
        <v>0</v>
      </c>
      <c r="P89" s="64">
        <v>0.71</v>
      </c>
      <c r="Q89" s="64">
        <v>16.62</v>
      </c>
      <c r="R89" s="198"/>
      <c r="S89" s="198"/>
      <c r="T89" s="198"/>
      <c r="U89" s="198"/>
    </row>
    <row r="90" spans="1:26" s="12" customFormat="1" x14ac:dyDescent="0.25">
      <c r="A90" s="215" t="s">
        <v>617</v>
      </c>
      <c r="B90" s="64">
        <v>7.69</v>
      </c>
      <c r="C90" s="64">
        <v>19.97</v>
      </c>
      <c r="D90" s="64">
        <v>17.84</v>
      </c>
      <c r="E90" s="64">
        <v>3.41</v>
      </c>
      <c r="F90" s="64">
        <v>6.7</v>
      </c>
      <c r="G90" s="216" t="s">
        <v>43</v>
      </c>
      <c r="H90" s="216" t="s">
        <v>43</v>
      </c>
      <c r="I90" s="64">
        <v>5.72</v>
      </c>
      <c r="J90" s="64">
        <v>0.7</v>
      </c>
      <c r="K90" s="64">
        <v>178.4</v>
      </c>
      <c r="L90" s="64">
        <v>24.66</v>
      </c>
      <c r="M90" s="64">
        <v>83.78</v>
      </c>
      <c r="N90" s="64">
        <v>25.2</v>
      </c>
      <c r="O90" s="64">
        <v>0</v>
      </c>
      <c r="P90" s="64">
        <v>0.71</v>
      </c>
      <c r="Q90" s="64">
        <v>14.46</v>
      </c>
      <c r="R90" s="198"/>
      <c r="S90" s="198"/>
      <c r="T90" s="198"/>
      <c r="U90" s="198"/>
    </row>
    <row r="91" spans="1:26" s="12" customFormat="1" x14ac:dyDescent="0.25">
      <c r="A91" s="215" t="s">
        <v>618</v>
      </c>
      <c r="B91" s="64">
        <v>7.54</v>
      </c>
      <c r="C91" s="64">
        <v>17.690000000000001</v>
      </c>
      <c r="D91" s="64">
        <v>16.45</v>
      </c>
      <c r="E91" s="64">
        <v>3.18</v>
      </c>
      <c r="F91" s="64">
        <v>7.38</v>
      </c>
      <c r="G91" s="216" t="s">
        <v>43</v>
      </c>
      <c r="H91" s="216" t="s">
        <v>43</v>
      </c>
      <c r="I91" s="64">
        <v>5.31</v>
      </c>
      <c r="J91" s="64">
        <v>7.0000000000000007E-2</v>
      </c>
      <c r="K91" s="64">
        <v>28.6</v>
      </c>
      <c r="L91" s="64">
        <v>24.49</v>
      </c>
      <c r="M91" s="64">
        <v>86.59</v>
      </c>
      <c r="N91" s="64">
        <v>26.1</v>
      </c>
      <c r="O91" s="64">
        <v>0</v>
      </c>
      <c r="P91" s="64">
        <v>0.72</v>
      </c>
      <c r="Q91" s="64">
        <v>15.07</v>
      </c>
      <c r="R91" s="198"/>
      <c r="S91" s="198"/>
      <c r="T91" s="198"/>
      <c r="U91" s="198"/>
    </row>
    <row r="92" spans="1:26" s="12" customFormat="1" x14ac:dyDescent="0.25">
      <c r="A92" s="215" t="s">
        <v>619</v>
      </c>
      <c r="B92" s="64">
        <v>8.6300000000000008</v>
      </c>
      <c r="C92" s="64">
        <v>21.21</v>
      </c>
      <c r="D92" s="64">
        <v>19.28</v>
      </c>
      <c r="E92" s="64">
        <v>3.11</v>
      </c>
      <c r="F92" s="64">
        <v>11.94</v>
      </c>
      <c r="G92" s="216" t="s">
        <v>43</v>
      </c>
      <c r="H92" s="216" t="s">
        <v>43</v>
      </c>
      <c r="I92" s="64">
        <v>5.65</v>
      </c>
      <c r="J92" s="64">
        <v>0.08</v>
      </c>
      <c r="K92" s="64">
        <v>105.53</v>
      </c>
      <c r="L92" s="64">
        <v>24.35</v>
      </c>
      <c r="M92" s="64">
        <v>86.57</v>
      </c>
      <c r="N92" s="64">
        <v>25.9</v>
      </c>
      <c r="O92" s="64">
        <v>0</v>
      </c>
      <c r="P92" s="64">
        <v>0.7</v>
      </c>
      <c r="Q92" s="64">
        <v>14.07</v>
      </c>
      <c r="R92" s="198"/>
      <c r="S92" s="198"/>
      <c r="T92" s="198"/>
      <c r="U92" s="198"/>
    </row>
    <row r="93" spans="1:26" s="12" customFormat="1" x14ac:dyDescent="0.25">
      <c r="A93" s="215" t="s">
        <v>620</v>
      </c>
      <c r="B93" s="64">
        <v>9.36</v>
      </c>
      <c r="C93" s="64">
        <v>20.85</v>
      </c>
      <c r="D93" s="64">
        <v>19.66</v>
      </c>
      <c r="E93" s="64">
        <v>2.64</v>
      </c>
      <c r="F93" s="64">
        <v>9.5399999999999991</v>
      </c>
      <c r="G93" s="216" t="s">
        <v>43</v>
      </c>
      <c r="H93" s="216" t="s">
        <v>43</v>
      </c>
      <c r="I93" s="64">
        <v>5.0999999999999996</v>
      </c>
      <c r="J93" s="64">
        <v>7.0000000000000007E-2</v>
      </c>
      <c r="K93" s="64">
        <v>248.76</v>
      </c>
      <c r="L93" s="64">
        <v>24.37</v>
      </c>
      <c r="M93" s="64">
        <v>87.48</v>
      </c>
      <c r="N93" s="64">
        <v>25.9</v>
      </c>
      <c r="O93" s="64">
        <v>0</v>
      </c>
      <c r="P93" s="64">
        <v>0.72</v>
      </c>
      <c r="Q93" s="64">
        <v>12.51</v>
      </c>
      <c r="R93" s="198"/>
      <c r="S93" s="198"/>
      <c r="T93" s="198"/>
      <c r="U93" s="198"/>
    </row>
    <row r="94" spans="1:26" s="12" customFormat="1" x14ac:dyDescent="0.25">
      <c r="A94" s="215" t="s">
        <v>621</v>
      </c>
      <c r="B94" s="64">
        <v>10.32</v>
      </c>
      <c r="C94" s="64">
        <v>25.02</v>
      </c>
      <c r="D94" s="64">
        <v>22.73</v>
      </c>
      <c r="E94" s="64">
        <v>3.03</v>
      </c>
      <c r="F94" s="64">
        <v>7.75</v>
      </c>
      <c r="G94" s="216" t="s">
        <v>43</v>
      </c>
      <c r="H94" s="216" t="s">
        <v>43</v>
      </c>
      <c r="I94" s="64">
        <v>4.47</v>
      </c>
      <c r="J94" s="64">
        <v>0.15</v>
      </c>
      <c r="K94" s="64">
        <v>131.97999999999999</v>
      </c>
      <c r="L94" s="64">
        <v>24.4</v>
      </c>
      <c r="M94" s="64">
        <v>86.76</v>
      </c>
      <c r="N94" s="64">
        <v>25.6</v>
      </c>
      <c r="O94" s="64">
        <v>0</v>
      </c>
      <c r="P94" s="64">
        <v>0.72</v>
      </c>
      <c r="Q94" s="64">
        <v>13.74</v>
      </c>
      <c r="R94" s="198"/>
      <c r="S94" s="198"/>
      <c r="T94" s="198"/>
      <c r="U94" s="198"/>
    </row>
    <row r="95" spans="1:26" s="12" customFormat="1" x14ac:dyDescent="0.25">
      <c r="A95" s="215" t="s">
        <v>622</v>
      </c>
      <c r="B95" s="64">
        <v>10.75</v>
      </c>
      <c r="C95" s="64">
        <v>28.94</v>
      </c>
      <c r="D95" s="64">
        <v>25.24</v>
      </c>
      <c r="E95" s="64">
        <v>3.2</v>
      </c>
      <c r="F95" s="64">
        <v>10.97</v>
      </c>
      <c r="G95" s="216" t="s">
        <v>43</v>
      </c>
      <c r="H95" s="216" t="s">
        <v>43</v>
      </c>
      <c r="I95" s="64">
        <v>4.63</v>
      </c>
      <c r="J95" s="64">
        <v>0.41</v>
      </c>
      <c r="K95" s="64">
        <v>155.77000000000001</v>
      </c>
      <c r="L95" s="64">
        <v>24.61</v>
      </c>
      <c r="M95" s="64">
        <v>86.16</v>
      </c>
      <c r="N95" s="64">
        <v>25.5</v>
      </c>
      <c r="O95" s="64">
        <v>0</v>
      </c>
      <c r="P95" s="64">
        <v>0.7</v>
      </c>
      <c r="Q95" s="64">
        <v>15.65</v>
      </c>
      <c r="R95" s="198"/>
      <c r="S95" s="198"/>
      <c r="T95" s="198"/>
      <c r="U95" s="198"/>
    </row>
    <row r="96" spans="1:26" s="12" customFormat="1" x14ac:dyDescent="0.25">
      <c r="A96" s="215" t="s">
        <v>623</v>
      </c>
      <c r="B96" s="64">
        <v>9.26</v>
      </c>
      <c r="C96" s="64">
        <v>22.58</v>
      </c>
      <c r="D96" s="64">
        <v>20.53</v>
      </c>
      <c r="E96" s="64">
        <v>3.36</v>
      </c>
      <c r="F96" s="64">
        <v>10.95</v>
      </c>
      <c r="G96" s="216" t="s">
        <v>43</v>
      </c>
      <c r="H96" s="216" t="s">
        <v>43</v>
      </c>
      <c r="I96" s="64">
        <v>4.3099999999999996</v>
      </c>
      <c r="J96" s="64">
        <v>0.65</v>
      </c>
      <c r="K96" s="64">
        <v>108.91</v>
      </c>
      <c r="L96" s="64">
        <v>24.77</v>
      </c>
      <c r="M96" s="64">
        <v>83.89</v>
      </c>
      <c r="N96" s="64">
        <v>25.6</v>
      </c>
      <c r="O96" s="64">
        <v>0</v>
      </c>
      <c r="P96" s="64">
        <v>0.7</v>
      </c>
      <c r="Q96" s="64">
        <v>16.68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624</v>
      </c>
      <c r="B97" s="64">
        <v>8.09</v>
      </c>
      <c r="C97" s="64">
        <v>17.2</v>
      </c>
      <c r="D97" s="64">
        <v>16.62</v>
      </c>
      <c r="E97" s="64">
        <v>3.32</v>
      </c>
      <c r="F97" s="64">
        <v>12.39</v>
      </c>
      <c r="G97" s="216" t="s">
        <v>43</v>
      </c>
      <c r="H97" s="216" t="s">
        <v>43</v>
      </c>
      <c r="I97" s="64">
        <v>4.08</v>
      </c>
      <c r="J97" s="64">
        <v>0.53</v>
      </c>
      <c r="K97" s="64">
        <v>142.72999999999999</v>
      </c>
      <c r="L97" s="64">
        <v>24.93</v>
      </c>
      <c r="M97" s="64">
        <v>84.38</v>
      </c>
      <c r="N97" s="64">
        <v>25.9</v>
      </c>
      <c r="O97" s="64">
        <v>0</v>
      </c>
      <c r="P97" s="64">
        <v>0.68</v>
      </c>
      <c r="Q97" s="64">
        <v>19.18</v>
      </c>
      <c r="R97" s="198"/>
      <c r="S97" s="198"/>
      <c r="T97" s="198"/>
      <c r="U97" s="198"/>
    </row>
    <row r="98" spans="1:33" s="12" customFormat="1" x14ac:dyDescent="0.25">
      <c r="A98" s="215" t="s">
        <v>625</v>
      </c>
      <c r="B98" s="64">
        <v>7.92</v>
      </c>
      <c r="C98" s="64">
        <v>14.06</v>
      </c>
      <c r="D98" s="64">
        <v>14.75</v>
      </c>
      <c r="E98" s="64">
        <v>3.04</v>
      </c>
      <c r="F98" s="64">
        <v>9.65</v>
      </c>
      <c r="G98" s="216" t="s">
        <v>43</v>
      </c>
      <c r="H98" s="216" t="s">
        <v>43</v>
      </c>
      <c r="I98" s="64">
        <v>4.91</v>
      </c>
      <c r="J98" s="64">
        <v>0.59</v>
      </c>
      <c r="K98" s="64">
        <v>168.99</v>
      </c>
      <c r="L98" s="64">
        <v>25</v>
      </c>
      <c r="M98" s="64">
        <v>86.06</v>
      </c>
      <c r="N98" s="64">
        <v>25</v>
      </c>
      <c r="O98" s="64">
        <v>0</v>
      </c>
      <c r="P98" s="64">
        <v>0.68</v>
      </c>
      <c r="Q98" s="64">
        <v>19.010000000000002</v>
      </c>
      <c r="R98" s="198"/>
      <c r="S98" s="198"/>
      <c r="T98" s="198"/>
      <c r="U98" s="198"/>
    </row>
    <row r="99" spans="1:33" s="12" customFormat="1" x14ac:dyDescent="0.25">
      <c r="A99" s="215" t="s">
        <v>626</v>
      </c>
      <c r="B99" s="64">
        <v>7.54</v>
      </c>
      <c r="C99" s="64">
        <v>14.16</v>
      </c>
      <c r="D99" s="64">
        <v>14.51</v>
      </c>
      <c r="E99" s="64">
        <v>2.95</v>
      </c>
      <c r="F99" s="64">
        <v>9.9</v>
      </c>
      <c r="G99" s="216" t="s">
        <v>43</v>
      </c>
      <c r="H99" s="216" t="s">
        <v>43</v>
      </c>
      <c r="I99" s="64">
        <v>5.33</v>
      </c>
      <c r="J99" s="64">
        <v>0.54</v>
      </c>
      <c r="K99" s="64">
        <v>178.49</v>
      </c>
      <c r="L99" s="64">
        <v>24.98</v>
      </c>
      <c r="M99" s="64">
        <v>87.07</v>
      </c>
      <c r="N99" s="64">
        <v>33.700000000000003</v>
      </c>
      <c r="O99" s="64">
        <v>0</v>
      </c>
      <c r="P99" s="64">
        <v>0.64</v>
      </c>
      <c r="Q99" s="64">
        <v>20.149999999999999</v>
      </c>
      <c r="R99" s="198"/>
      <c r="S99" s="198"/>
      <c r="T99" s="198"/>
      <c r="U99" s="198"/>
    </row>
    <row r="100" spans="1:33" s="12" customFormat="1" x14ac:dyDescent="0.25">
      <c r="A100" s="215" t="s">
        <v>627</v>
      </c>
      <c r="B100" s="64">
        <v>7.73</v>
      </c>
      <c r="C100" s="64">
        <v>13.98</v>
      </c>
      <c r="D100" s="64">
        <v>14.56</v>
      </c>
      <c r="E100" s="64">
        <v>2.97</v>
      </c>
      <c r="F100" s="64">
        <v>6.67</v>
      </c>
      <c r="G100" s="216" t="s">
        <v>43</v>
      </c>
      <c r="H100" s="216" t="s">
        <v>43</v>
      </c>
      <c r="I100" s="64">
        <v>5.58</v>
      </c>
      <c r="J100" s="64">
        <v>0.79</v>
      </c>
      <c r="K100" s="64">
        <v>164.41</v>
      </c>
      <c r="L100" s="64">
        <v>24.94</v>
      </c>
      <c r="M100" s="64">
        <v>87.39</v>
      </c>
      <c r="N100" s="64">
        <v>36.200000000000003</v>
      </c>
      <c r="O100" s="64">
        <v>0</v>
      </c>
      <c r="P100" s="64">
        <v>0.62</v>
      </c>
      <c r="Q100" s="64">
        <v>19.63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628</v>
      </c>
      <c r="B101" s="64">
        <v>6.89</v>
      </c>
      <c r="C101" s="64">
        <v>13.46</v>
      </c>
      <c r="D101" s="64">
        <v>13.6</v>
      </c>
      <c r="E101" s="64">
        <v>3.35</v>
      </c>
      <c r="F101" s="64">
        <v>9.26</v>
      </c>
      <c r="G101" s="216" t="s">
        <v>43</v>
      </c>
      <c r="H101" s="216" t="s">
        <v>43</v>
      </c>
      <c r="I101" s="64">
        <v>5.86</v>
      </c>
      <c r="J101" s="64">
        <v>0.6</v>
      </c>
      <c r="K101" s="64">
        <v>181.01</v>
      </c>
      <c r="L101" s="64">
        <v>24.73</v>
      </c>
      <c r="M101" s="64">
        <v>88.78</v>
      </c>
      <c r="N101" s="64">
        <v>36.6</v>
      </c>
      <c r="O101" s="64">
        <v>0</v>
      </c>
      <c r="P101" s="64">
        <v>0.57999999999999996</v>
      </c>
      <c r="Q101" s="64">
        <v>17.59</v>
      </c>
      <c r="R101" s="198"/>
      <c r="S101" s="198"/>
      <c r="T101" s="198"/>
      <c r="U101" s="198"/>
    </row>
    <row r="102" spans="1:33" s="12" customFormat="1" x14ac:dyDescent="0.25">
      <c r="A102" s="215" t="s">
        <v>629</v>
      </c>
      <c r="B102" s="64">
        <v>6.06</v>
      </c>
      <c r="C102" s="64">
        <v>12.72</v>
      </c>
      <c r="D102" s="64">
        <v>12.52</v>
      </c>
      <c r="E102" s="64">
        <v>2.98</v>
      </c>
      <c r="F102" s="64">
        <v>7.2</v>
      </c>
      <c r="G102" s="216" t="s">
        <v>43</v>
      </c>
      <c r="H102" s="216" t="s">
        <v>43</v>
      </c>
      <c r="I102" s="64">
        <v>6.06</v>
      </c>
      <c r="J102" s="64">
        <v>0.78</v>
      </c>
      <c r="K102" s="64">
        <v>171.04</v>
      </c>
      <c r="L102" s="64">
        <v>24.61</v>
      </c>
      <c r="M102" s="64">
        <v>90.16</v>
      </c>
      <c r="N102" s="64">
        <v>35.799999999999997</v>
      </c>
      <c r="O102" s="64">
        <v>0</v>
      </c>
      <c r="P102" s="64">
        <v>0.56999999999999995</v>
      </c>
      <c r="Q102" s="64">
        <v>15.23</v>
      </c>
      <c r="R102" s="198"/>
      <c r="S102" s="198"/>
      <c r="T102" s="198"/>
      <c r="U102" s="198"/>
    </row>
    <row r="103" spans="1:33" s="12" customFormat="1" x14ac:dyDescent="0.25">
      <c r="A103" s="215" t="s">
        <v>630</v>
      </c>
      <c r="B103" s="64">
        <v>5.93</v>
      </c>
      <c r="C103" s="64">
        <v>13.38</v>
      </c>
      <c r="D103" s="64">
        <v>12.78</v>
      </c>
      <c r="E103" s="64">
        <v>2.87</v>
      </c>
      <c r="F103" s="64">
        <v>5.16</v>
      </c>
      <c r="G103" s="216" t="s">
        <v>43</v>
      </c>
      <c r="H103" s="216" t="s">
        <v>43</v>
      </c>
      <c r="I103" s="64">
        <v>5.6</v>
      </c>
      <c r="J103" s="64">
        <v>1.38</v>
      </c>
      <c r="K103" s="64">
        <v>168.03</v>
      </c>
      <c r="L103" s="64">
        <v>24.62</v>
      </c>
      <c r="M103" s="64">
        <v>87.54</v>
      </c>
      <c r="N103" s="64">
        <v>35.5</v>
      </c>
      <c r="O103" s="64">
        <v>0</v>
      </c>
      <c r="P103" s="64">
        <v>0.55000000000000004</v>
      </c>
      <c r="Q103" s="64">
        <v>15.95</v>
      </c>
      <c r="R103" s="198"/>
      <c r="S103" s="198"/>
      <c r="T103" s="198"/>
      <c r="U103" s="198"/>
    </row>
    <row r="104" spans="1:33" s="12" customFormat="1" x14ac:dyDescent="0.25">
      <c r="A104" s="215" t="s">
        <v>631</v>
      </c>
      <c r="B104" s="64">
        <v>5.56</v>
      </c>
      <c r="C104" s="64">
        <v>12.91</v>
      </c>
      <c r="D104" s="64">
        <v>12.23</v>
      </c>
      <c r="E104" s="64">
        <v>1.6</v>
      </c>
      <c r="F104" s="64">
        <v>5.44</v>
      </c>
      <c r="G104" s="216" t="s">
        <v>43</v>
      </c>
      <c r="H104" s="216" t="s">
        <v>43</v>
      </c>
      <c r="I104" s="64">
        <v>5.47</v>
      </c>
      <c r="J104" s="64">
        <v>1.67</v>
      </c>
      <c r="K104" s="64">
        <v>168.74</v>
      </c>
      <c r="L104" s="64">
        <v>24.64</v>
      </c>
      <c r="M104" s="64">
        <v>84.41</v>
      </c>
      <c r="N104" s="64">
        <v>35.700000000000003</v>
      </c>
      <c r="O104" s="64">
        <v>0</v>
      </c>
      <c r="P104" s="64">
        <v>0.5</v>
      </c>
      <c r="Q104" s="64">
        <v>13.98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2.99</v>
      </c>
      <c r="C106" s="67">
        <f>MIN(C9:C104)</f>
        <v>12.72</v>
      </c>
      <c r="D106" s="67">
        <f t="shared" ref="D106:Q106" si="0">MIN(D9:D104)</f>
        <v>12.23</v>
      </c>
      <c r="E106" s="67">
        <f t="shared" si="0"/>
        <v>1.23</v>
      </c>
      <c r="F106" s="67">
        <f t="shared" si="0"/>
        <v>5.16</v>
      </c>
      <c r="G106" s="67">
        <f t="shared" si="0"/>
        <v>0</v>
      </c>
      <c r="H106" s="67">
        <f t="shared" si="0"/>
        <v>0</v>
      </c>
      <c r="I106" s="67">
        <f t="shared" si="0"/>
        <v>0.32</v>
      </c>
      <c r="J106" s="67">
        <f t="shared" si="0"/>
        <v>0.02</v>
      </c>
      <c r="K106" s="67">
        <f t="shared" si="0"/>
        <v>2.1800000000000002</v>
      </c>
      <c r="L106" s="67">
        <f t="shared" si="0"/>
        <v>23.19</v>
      </c>
      <c r="M106" s="67">
        <f t="shared" si="0"/>
        <v>47.22</v>
      </c>
      <c r="N106" s="67">
        <f t="shared" si="0"/>
        <v>25</v>
      </c>
      <c r="O106" s="67">
        <f t="shared" si="0"/>
        <v>0</v>
      </c>
      <c r="P106" s="67">
        <f t="shared" si="0"/>
        <v>0.5</v>
      </c>
      <c r="Q106" s="67">
        <f t="shared" si="0"/>
        <v>9.9499999999999993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27.15</v>
      </c>
      <c r="C107" s="66">
        <f t="shared" ref="C107:Q107" si="1">MAX(C9:C104)</f>
        <v>36.47</v>
      </c>
      <c r="D107" s="66">
        <f t="shared" si="1"/>
        <v>40.39</v>
      </c>
      <c r="E107" s="66">
        <f t="shared" si="1"/>
        <v>3.41</v>
      </c>
      <c r="F107" s="66">
        <f t="shared" si="1"/>
        <v>78.42</v>
      </c>
      <c r="G107" s="66">
        <f t="shared" si="1"/>
        <v>0</v>
      </c>
      <c r="H107" s="66">
        <f t="shared" si="1"/>
        <v>0</v>
      </c>
      <c r="I107" s="66">
        <f t="shared" si="1"/>
        <v>6.06</v>
      </c>
      <c r="J107" s="66">
        <f t="shared" si="1"/>
        <v>1.84</v>
      </c>
      <c r="K107" s="66">
        <f t="shared" si="1"/>
        <v>358.09</v>
      </c>
      <c r="L107" s="66">
        <f t="shared" si="1"/>
        <v>34.21</v>
      </c>
      <c r="M107" s="66">
        <f t="shared" si="1"/>
        <v>97.2</v>
      </c>
      <c r="N107" s="66">
        <f t="shared" si="1"/>
        <v>883.1</v>
      </c>
      <c r="O107" s="66">
        <f t="shared" si="1"/>
        <v>5</v>
      </c>
      <c r="P107" s="66">
        <f t="shared" si="1"/>
        <v>1.01</v>
      </c>
      <c r="Q107" s="66">
        <f t="shared" si="1"/>
        <v>20.49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7.3028124999999973</v>
      </c>
      <c r="C108" s="67">
        <f t="shared" ref="C108:Q108" si="2">AVERAGE(C9:C104)</f>
        <v>20.272812500000004</v>
      </c>
      <c r="D108" s="67">
        <f t="shared" si="2"/>
        <v>17.683124999999993</v>
      </c>
      <c r="E108" s="67">
        <f t="shared" si="2"/>
        <v>2.518020833333332</v>
      </c>
      <c r="F108" s="67">
        <f t="shared" si="2"/>
        <v>21.008854166666676</v>
      </c>
      <c r="G108" s="67" t="e">
        <f t="shared" si="2"/>
        <v>#DIV/0!</v>
      </c>
      <c r="H108" s="67" t="e">
        <f t="shared" si="2"/>
        <v>#DIV/0!</v>
      </c>
      <c r="I108" s="67">
        <f t="shared" si="2"/>
        <v>4.4595121951219525</v>
      </c>
      <c r="J108" s="67">
        <f t="shared" si="2"/>
        <v>0.42864583333333339</v>
      </c>
      <c r="K108" s="67">
        <f t="shared" si="2"/>
        <v>167.00843750000001</v>
      </c>
      <c r="L108" s="67">
        <f t="shared" si="2"/>
        <v>27.963124999999987</v>
      </c>
      <c r="M108" s="67">
        <f t="shared" si="2"/>
        <v>73.322395833333331</v>
      </c>
      <c r="N108" s="67">
        <f t="shared" si="2"/>
        <v>232.1802083333333</v>
      </c>
      <c r="O108" s="67">
        <f t="shared" si="2"/>
        <v>9.166666666666666E-2</v>
      </c>
      <c r="P108" s="67">
        <f t="shared" si="2"/>
        <v>0.68385416666666676</v>
      </c>
      <c r="Q108" s="67">
        <f t="shared" si="2"/>
        <v>14.919687499999997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3.35178937383884</v>
      </c>
      <c r="C109" s="67">
        <f t="shared" ref="C109:Q109" si="3">STDEV(C9:C104)</f>
        <v>4.9434298136382901</v>
      </c>
      <c r="D109" s="67">
        <f t="shared" si="3"/>
        <v>4.6287145680665711</v>
      </c>
      <c r="E109" s="67">
        <f t="shared" si="3"/>
        <v>0.67173713497824117</v>
      </c>
      <c r="F109" s="67">
        <f t="shared" si="3"/>
        <v>15.988211306412856</v>
      </c>
      <c r="G109" s="67" t="e">
        <f t="shared" si="3"/>
        <v>#DIV/0!</v>
      </c>
      <c r="H109" s="67" t="e">
        <f t="shared" si="3"/>
        <v>#DIV/0!</v>
      </c>
      <c r="I109" s="67">
        <f t="shared" si="3"/>
        <v>0.91695941781711165</v>
      </c>
      <c r="J109" s="67">
        <f t="shared" si="3"/>
        <v>0.40842346391605955</v>
      </c>
      <c r="K109" s="67">
        <f t="shared" si="3"/>
        <v>86.724174282038064</v>
      </c>
      <c r="L109" s="67">
        <f t="shared" si="3"/>
        <v>3.4928487280217109</v>
      </c>
      <c r="M109" s="67">
        <f t="shared" si="3"/>
        <v>16.038225308358374</v>
      </c>
      <c r="N109" s="67">
        <f t="shared" si="3"/>
        <v>273.59919729791142</v>
      </c>
      <c r="O109" s="67">
        <f t="shared" si="3"/>
        <v>0.58465764461221981</v>
      </c>
      <c r="P109" s="67">
        <f t="shared" si="3"/>
        <v>0.13048387512128312</v>
      </c>
      <c r="Q109" s="67">
        <f t="shared" si="3"/>
        <v>2.5923208269303606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0</v>
      </c>
      <c r="H110" s="66">
        <f>COUNT(H9:H104)</f>
        <v>0</v>
      </c>
      <c r="I110" s="66">
        <f>COUNT(I9:I104)+14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40" sqref="E14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632</v>
      </c>
      <c r="B9" s="64">
        <v>5.2</v>
      </c>
      <c r="C9" s="64">
        <v>12.13</v>
      </c>
      <c r="D9" s="64">
        <v>11.51</v>
      </c>
      <c r="E9" s="64">
        <v>2.65</v>
      </c>
      <c r="F9" s="64">
        <v>5.99</v>
      </c>
      <c r="G9" s="216" t="s">
        <v>43</v>
      </c>
      <c r="H9" s="216" t="s">
        <v>43</v>
      </c>
      <c r="I9" s="64">
        <v>5.55</v>
      </c>
      <c r="J9" s="64">
        <v>1.36</v>
      </c>
      <c r="K9" s="64">
        <v>171.7</v>
      </c>
      <c r="L9" s="64">
        <v>24.51</v>
      </c>
      <c r="M9" s="64">
        <v>84.96</v>
      </c>
      <c r="N9" s="64">
        <v>35.799999999999997</v>
      </c>
      <c r="O9" s="64">
        <v>0</v>
      </c>
      <c r="P9" s="64">
        <v>0.51</v>
      </c>
      <c r="Q9" s="64">
        <v>13.03</v>
      </c>
      <c r="R9" s="198"/>
      <c r="S9" s="198"/>
      <c r="T9" s="198"/>
      <c r="U9" s="198"/>
    </row>
    <row r="10" spans="1:21" s="12" customFormat="1" x14ac:dyDescent="0.25">
      <c r="A10" s="215" t="s">
        <v>633</v>
      </c>
      <c r="B10" s="64">
        <v>4.8099999999999996</v>
      </c>
      <c r="C10" s="64">
        <v>12.59</v>
      </c>
      <c r="D10" s="64">
        <v>11.45</v>
      </c>
      <c r="E10" s="64">
        <v>2.82</v>
      </c>
      <c r="F10" s="64">
        <v>9.91</v>
      </c>
      <c r="G10" s="216" t="s">
        <v>43</v>
      </c>
      <c r="H10" s="216" t="s">
        <v>43</v>
      </c>
      <c r="I10" s="64">
        <v>5.35</v>
      </c>
      <c r="J10" s="64">
        <v>0.85</v>
      </c>
      <c r="K10" s="64">
        <v>163.86</v>
      </c>
      <c r="L10" s="64">
        <v>24.35</v>
      </c>
      <c r="M10" s="64">
        <v>86.74</v>
      </c>
      <c r="N10" s="64">
        <v>35.799999999999997</v>
      </c>
      <c r="O10" s="64">
        <v>0</v>
      </c>
      <c r="P10" s="64">
        <v>0.48</v>
      </c>
      <c r="Q10" s="64">
        <v>14.21</v>
      </c>
      <c r="R10" s="198"/>
      <c r="S10" s="198"/>
      <c r="T10" s="198"/>
      <c r="U10" s="198"/>
    </row>
    <row r="11" spans="1:21" s="12" customFormat="1" x14ac:dyDescent="0.25">
      <c r="A11" s="215" t="s">
        <v>634</v>
      </c>
      <c r="B11" s="64">
        <v>4.47</v>
      </c>
      <c r="C11" s="64">
        <v>12.5</v>
      </c>
      <c r="D11" s="64">
        <v>11.13</v>
      </c>
      <c r="E11" s="64">
        <v>2.61</v>
      </c>
      <c r="F11" s="64">
        <v>12.32</v>
      </c>
      <c r="G11" s="216" t="s">
        <v>43</v>
      </c>
      <c r="H11" s="216" t="s">
        <v>43</v>
      </c>
      <c r="I11" s="64">
        <v>5.12</v>
      </c>
      <c r="J11" s="64">
        <v>0.94</v>
      </c>
      <c r="K11" s="64">
        <v>173.42</v>
      </c>
      <c r="L11" s="64">
        <v>24.29</v>
      </c>
      <c r="M11" s="64">
        <v>83.95</v>
      </c>
      <c r="N11" s="64">
        <v>35.799999999999997</v>
      </c>
      <c r="O11" s="64">
        <v>0</v>
      </c>
      <c r="P11" s="64">
        <v>0.46</v>
      </c>
      <c r="Q11" s="64">
        <v>15.2</v>
      </c>
      <c r="R11" s="198"/>
      <c r="S11" s="198"/>
      <c r="T11" s="198"/>
      <c r="U11" s="198"/>
    </row>
    <row r="12" spans="1:21" s="12" customFormat="1" x14ac:dyDescent="0.25">
      <c r="A12" s="215" t="s">
        <v>635</v>
      </c>
      <c r="B12" s="64">
        <v>4.68</v>
      </c>
      <c r="C12" s="64">
        <v>11.23</v>
      </c>
      <c r="D12" s="64">
        <v>10.6</v>
      </c>
      <c r="E12" s="64">
        <v>2.27</v>
      </c>
      <c r="F12" s="64">
        <v>13.75</v>
      </c>
      <c r="G12" s="216" t="s">
        <v>43</v>
      </c>
      <c r="H12" s="216" t="s">
        <v>43</v>
      </c>
      <c r="I12" s="64">
        <v>4.53</v>
      </c>
      <c r="J12" s="64">
        <v>0.99</v>
      </c>
      <c r="K12" s="64">
        <v>168.43</v>
      </c>
      <c r="L12" s="64">
        <v>24.19</v>
      </c>
      <c r="M12" s="64">
        <v>83.93</v>
      </c>
      <c r="N12" s="64">
        <v>35.799999999999997</v>
      </c>
      <c r="O12" s="64">
        <v>0</v>
      </c>
      <c r="P12" s="64">
        <v>0.44</v>
      </c>
      <c r="Q12" s="64">
        <v>14.42</v>
      </c>
      <c r="R12" s="198"/>
      <c r="S12" s="198"/>
      <c r="T12" s="198"/>
      <c r="U12" s="198"/>
    </row>
    <row r="13" spans="1:21" s="12" customFormat="1" x14ac:dyDescent="0.25">
      <c r="A13" s="215" t="s">
        <v>636</v>
      </c>
      <c r="B13" s="64">
        <v>5.25</v>
      </c>
      <c r="C13" s="64">
        <v>12.06</v>
      </c>
      <c r="D13" s="64">
        <v>11.51</v>
      </c>
      <c r="E13" s="64">
        <v>2.35</v>
      </c>
      <c r="F13" s="64">
        <v>14.54</v>
      </c>
      <c r="G13" s="216" t="s">
        <v>43</v>
      </c>
      <c r="H13" s="216" t="s">
        <v>43</v>
      </c>
      <c r="I13" s="64">
        <v>4.08</v>
      </c>
      <c r="J13" s="64">
        <v>0.92</v>
      </c>
      <c r="K13" s="64">
        <v>169.88</v>
      </c>
      <c r="L13" s="64">
        <v>24.11</v>
      </c>
      <c r="M13" s="64">
        <v>83.99</v>
      </c>
      <c r="N13" s="64">
        <v>36.4</v>
      </c>
      <c r="O13" s="64">
        <v>0</v>
      </c>
      <c r="P13" s="64">
        <v>0.38</v>
      </c>
      <c r="Q13" s="64">
        <v>15.75</v>
      </c>
      <c r="R13" s="198"/>
      <c r="S13" s="198"/>
      <c r="T13" s="198"/>
      <c r="U13" s="198"/>
    </row>
    <row r="14" spans="1:21" s="12" customFormat="1" x14ac:dyDescent="0.25">
      <c r="A14" s="215" t="s">
        <v>637</v>
      </c>
      <c r="B14" s="64">
        <v>5.46</v>
      </c>
      <c r="C14" s="64">
        <v>10.82</v>
      </c>
      <c r="D14" s="64">
        <v>11</v>
      </c>
      <c r="E14" s="64">
        <v>2.76</v>
      </c>
      <c r="F14" s="64">
        <v>11.34</v>
      </c>
      <c r="G14" s="216" t="s">
        <v>43</v>
      </c>
      <c r="H14" s="216" t="s">
        <v>43</v>
      </c>
      <c r="I14" s="64">
        <v>4.41</v>
      </c>
      <c r="J14" s="64">
        <v>1.32</v>
      </c>
      <c r="K14" s="64">
        <v>170.91</v>
      </c>
      <c r="L14" s="64">
        <v>23.86</v>
      </c>
      <c r="M14" s="64">
        <v>86.48</v>
      </c>
      <c r="N14" s="64">
        <v>36.5</v>
      </c>
      <c r="O14" s="64">
        <v>1</v>
      </c>
      <c r="P14" s="64">
        <v>0.43</v>
      </c>
      <c r="Q14" s="64">
        <v>14.75</v>
      </c>
      <c r="R14" s="198"/>
      <c r="S14" s="198"/>
      <c r="T14" s="198"/>
      <c r="U14" s="198"/>
    </row>
    <row r="15" spans="1:21" s="12" customFormat="1" x14ac:dyDescent="0.25">
      <c r="A15" s="215" t="s">
        <v>638</v>
      </c>
      <c r="B15" s="64">
        <v>5.96</v>
      </c>
      <c r="C15" s="64">
        <v>11.85</v>
      </c>
      <c r="D15" s="64">
        <v>11.97</v>
      </c>
      <c r="E15" s="64">
        <v>2.76</v>
      </c>
      <c r="F15" s="64">
        <v>4.3</v>
      </c>
      <c r="G15" s="216" t="s">
        <v>43</v>
      </c>
      <c r="H15" s="216" t="s">
        <v>43</v>
      </c>
      <c r="I15" s="64">
        <v>4.1399999999999997</v>
      </c>
      <c r="J15" s="64">
        <v>0.25</v>
      </c>
      <c r="K15" s="64">
        <v>43.26</v>
      </c>
      <c r="L15" s="64">
        <v>22.25</v>
      </c>
      <c r="M15" s="64">
        <v>96.97</v>
      </c>
      <c r="N15" s="64">
        <v>44.4</v>
      </c>
      <c r="O15" s="64">
        <v>10</v>
      </c>
      <c r="P15" s="64">
        <v>0.41</v>
      </c>
      <c r="Q15" s="64">
        <v>15.93</v>
      </c>
      <c r="R15" s="198"/>
      <c r="S15" s="198"/>
      <c r="T15" s="198"/>
      <c r="U15" s="198"/>
    </row>
    <row r="16" spans="1:21" s="12" customFormat="1" x14ac:dyDescent="0.25">
      <c r="A16" s="215" t="s">
        <v>639</v>
      </c>
      <c r="B16" s="64">
        <v>5.05</v>
      </c>
      <c r="C16" s="64">
        <v>14.08</v>
      </c>
      <c r="D16" s="64">
        <v>12.46</v>
      </c>
      <c r="E16" s="64">
        <v>2.81</v>
      </c>
      <c r="F16" s="64">
        <v>3.66</v>
      </c>
      <c r="G16" s="216" t="s">
        <v>43</v>
      </c>
      <c r="H16" s="216" t="s">
        <v>43</v>
      </c>
      <c r="I16" s="64">
        <v>4.59</v>
      </c>
      <c r="J16" s="64">
        <v>0.13</v>
      </c>
      <c r="K16" s="64">
        <v>338.57</v>
      </c>
      <c r="L16" s="64">
        <v>21.68</v>
      </c>
      <c r="M16" s="64">
        <v>97.2</v>
      </c>
      <c r="N16" s="64">
        <v>45.9</v>
      </c>
      <c r="O16" s="64">
        <v>19.399999999999999</v>
      </c>
      <c r="P16" s="64">
        <v>0.4</v>
      </c>
      <c r="Q16" s="64">
        <v>13.29</v>
      </c>
      <c r="R16" s="198"/>
      <c r="S16" s="198"/>
      <c r="T16" s="198"/>
      <c r="U16" s="198"/>
    </row>
    <row r="17" spans="1:21" s="12" customFormat="1" x14ac:dyDescent="0.25">
      <c r="A17" s="215" t="s">
        <v>640</v>
      </c>
      <c r="B17" s="64">
        <v>4.09</v>
      </c>
      <c r="C17" s="64">
        <v>14</v>
      </c>
      <c r="D17" s="64">
        <v>11.65</v>
      </c>
      <c r="E17" s="64">
        <v>2.61</v>
      </c>
      <c r="F17" s="64">
        <v>5.88</v>
      </c>
      <c r="G17" s="216" t="s">
        <v>43</v>
      </c>
      <c r="H17" s="216" t="s">
        <v>43</v>
      </c>
      <c r="I17" s="64">
        <v>4.88</v>
      </c>
      <c r="J17" s="64">
        <v>0.36</v>
      </c>
      <c r="K17" s="64">
        <v>34.229999999999997</v>
      </c>
      <c r="L17" s="64">
        <v>21.53</v>
      </c>
      <c r="M17" s="64">
        <v>97.19</v>
      </c>
      <c r="N17" s="64">
        <v>45.2</v>
      </c>
      <c r="O17" s="64">
        <v>20.399999999999999</v>
      </c>
      <c r="P17" s="64">
        <v>0.48</v>
      </c>
      <c r="Q17" s="64">
        <v>10.5</v>
      </c>
      <c r="R17" s="198"/>
      <c r="S17" s="198"/>
      <c r="T17" s="198"/>
      <c r="U17" s="198"/>
    </row>
    <row r="18" spans="1:21" s="12" customFormat="1" x14ac:dyDescent="0.25">
      <c r="A18" s="215" t="s">
        <v>641</v>
      </c>
      <c r="B18" s="64">
        <v>3.47</v>
      </c>
      <c r="C18" s="64">
        <v>15.54</v>
      </c>
      <c r="D18" s="64">
        <v>12</v>
      </c>
      <c r="E18" s="64">
        <v>2.67</v>
      </c>
      <c r="F18" s="64">
        <v>6.72</v>
      </c>
      <c r="G18" s="216" t="s">
        <v>43</v>
      </c>
      <c r="H18" s="216" t="s">
        <v>43</v>
      </c>
      <c r="I18" s="64">
        <v>4.58</v>
      </c>
      <c r="J18" s="64">
        <v>0.3</v>
      </c>
      <c r="K18" s="64">
        <v>34.840000000000003</v>
      </c>
      <c r="L18" s="64">
        <v>21.43</v>
      </c>
      <c r="M18" s="64">
        <v>97.17</v>
      </c>
      <c r="N18" s="64">
        <v>45.2</v>
      </c>
      <c r="O18" s="64">
        <v>2.4</v>
      </c>
      <c r="P18" s="64">
        <v>0.55000000000000004</v>
      </c>
      <c r="Q18" s="64">
        <v>9.7799999999999994</v>
      </c>
      <c r="R18" s="198"/>
      <c r="S18" s="198"/>
      <c r="T18" s="198"/>
      <c r="U18" s="198"/>
    </row>
    <row r="19" spans="1:21" s="12" customFormat="1" x14ac:dyDescent="0.25">
      <c r="A19" s="215" t="s">
        <v>642</v>
      </c>
      <c r="B19" s="64">
        <v>3.13</v>
      </c>
      <c r="C19" s="64">
        <v>13.87</v>
      </c>
      <c r="D19" s="64">
        <v>10.81</v>
      </c>
      <c r="E19" s="64">
        <v>2.39</v>
      </c>
      <c r="F19" s="64">
        <v>7.04</v>
      </c>
      <c r="G19" s="216" t="s">
        <v>43</v>
      </c>
      <c r="H19" s="216" t="s">
        <v>43</v>
      </c>
      <c r="I19" s="64">
        <v>4.4000000000000004</v>
      </c>
      <c r="J19" s="64">
        <v>0.25</v>
      </c>
      <c r="K19" s="64">
        <v>1.81</v>
      </c>
      <c r="L19" s="64">
        <v>21.31</v>
      </c>
      <c r="M19" s="64">
        <v>97.19</v>
      </c>
      <c r="N19" s="64">
        <v>44.4</v>
      </c>
      <c r="O19" s="64">
        <v>6</v>
      </c>
      <c r="P19" s="64">
        <v>0.55000000000000004</v>
      </c>
      <c r="Q19" s="64">
        <v>7.05</v>
      </c>
      <c r="R19" s="198"/>
      <c r="S19" s="198"/>
      <c r="T19" s="198"/>
      <c r="U19" s="198"/>
    </row>
    <row r="20" spans="1:21" s="12" customFormat="1" x14ac:dyDescent="0.25">
      <c r="A20" s="215" t="s">
        <v>643</v>
      </c>
      <c r="B20" s="64">
        <v>3.32</v>
      </c>
      <c r="C20" s="64">
        <v>13.09</v>
      </c>
      <c r="D20" s="64">
        <v>10.54</v>
      </c>
      <c r="E20" s="64">
        <v>2.68</v>
      </c>
      <c r="F20" s="64">
        <v>5</v>
      </c>
      <c r="G20" s="216" t="s">
        <v>43</v>
      </c>
      <c r="H20" s="216" t="s">
        <v>43</v>
      </c>
      <c r="I20" s="64">
        <v>4.0199999999999996</v>
      </c>
      <c r="J20" s="64">
        <v>0.49</v>
      </c>
      <c r="K20" s="64">
        <v>346.94</v>
      </c>
      <c r="L20" s="64">
        <v>21.46</v>
      </c>
      <c r="M20" s="64">
        <v>97.2</v>
      </c>
      <c r="N20" s="64">
        <v>44.3</v>
      </c>
      <c r="O20" s="64">
        <v>2.2000000000000002</v>
      </c>
      <c r="P20" s="64">
        <v>0.55000000000000004</v>
      </c>
      <c r="Q20" s="64">
        <v>7.5</v>
      </c>
      <c r="R20" s="198"/>
      <c r="S20" s="198"/>
      <c r="T20" s="198"/>
      <c r="U20" s="198"/>
    </row>
    <row r="21" spans="1:21" s="12" customFormat="1" x14ac:dyDescent="0.25">
      <c r="A21" s="215" t="s">
        <v>644</v>
      </c>
      <c r="B21" s="64">
        <v>3.2</v>
      </c>
      <c r="C21" s="64">
        <v>14.12</v>
      </c>
      <c r="D21" s="64">
        <v>11</v>
      </c>
      <c r="E21" s="64">
        <v>2.35</v>
      </c>
      <c r="F21" s="64">
        <v>4.9000000000000004</v>
      </c>
      <c r="G21" s="216" t="s">
        <v>43</v>
      </c>
      <c r="H21" s="216" t="s">
        <v>43</v>
      </c>
      <c r="I21" s="64">
        <v>3.86</v>
      </c>
      <c r="J21" s="64">
        <v>0.48</v>
      </c>
      <c r="K21" s="64">
        <v>349.25</v>
      </c>
      <c r="L21" s="64">
        <v>21.38</v>
      </c>
      <c r="M21" s="64">
        <v>97.2</v>
      </c>
      <c r="N21" s="64">
        <v>45.8</v>
      </c>
      <c r="O21" s="64">
        <v>0.2</v>
      </c>
      <c r="P21" s="64">
        <v>0.55000000000000004</v>
      </c>
      <c r="Q21" s="64">
        <v>6.01</v>
      </c>
      <c r="R21" s="198"/>
      <c r="S21" s="198"/>
      <c r="T21" s="198"/>
      <c r="U21" s="198"/>
    </row>
    <row r="22" spans="1:21" s="12" customFormat="1" x14ac:dyDescent="0.25">
      <c r="A22" s="215" t="s">
        <v>645</v>
      </c>
      <c r="B22" s="64">
        <v>3.19</v>
      </c>
      <c r="C22" s="64">
        <v>13.05</v>
      </c>
      <c r="D22" s="64">
        <v>10.41</v>
      </c>
      <c r="E22" s="64">
        <v>2.34</v>
      </c>
      <c r="F22" s="64">
        <v>6.14</v>
      </c>
      <c r="G22" s="216" t="s">
        <v>43</v>
      </c>
      <c r="H22" s="216" t="s">
        <v>43</v>
      </c>
      <c r="I22" s="64">
        <v>3.77</v>
      </c>
      <c r="J22" s="64">
        <v>0.61</v>
      </c>
      <c r="K22" s="64">
        <v>343.79</v>
      </c>
      <c r="L22" s="64">
        <v>21.06</v>
      </c>
      <c r="M22" s="64">
        <v>97.2</v>
      </c>
      <c r="N22" s="64">
        <v>45.8</v>
      </c>
      <c r="O22" s="64">
        <v>0</v>
      </c>
      <c r="P22" s="64">
        <v>0.62</v>
      </c>
      <c r="Q22" s="64">
        <v>4.9800000000000004</v>
      </c>
      <c r="R22" s="198"/>
      <c r="S22" s="198"/>
      <c r="T22" s="198"/>
      <c r="U22" s="198"/>
    </row>
    <row r="23" spans="1:21" s="12" customFormat="1" x14ac:dyDescent="0.25">
      <c r="A23" s="215" t="s">
        <v>646</v>
      </c>
      <c r="B23" s="64">
        <v>3.38</v>
      </c>
      <c r="C23" s="64">
        <v>13.58</v>
      </c>
      <c r="D23" s="64">
        <v>10.85</v>
      </c>
      <c r="E23" s="64">
        <v>2.5099999999999998</v>
      </c>
      <c r="F23" s="64">
        <v>3.63</v>
      </c>
      <c r="G23" s="216" t="s">
        <v>43</v>
      </c>
      <c r="H23" s="216" t="s">
        <v>43</v>
      </c>
      <c r="I23" s="64">
        <v>3.52</v>
      </c>
      <c r="J23" s="64">
        <v>0.96</v>
      </c>
      <c r="K23" s="64">
        <v>344.44</v>
      </c>
      <c r="L23" s="64">
        <v>21.01</v>
      </c>
      <c r="M23" s="64">
        <v>97.2</v>
      </c>
      <c r="N23" s="64">
        <v>45.7</v>
      </c>
      <c r="O23" s="64">
        <v>0</v>
      </c>
      <c r="P23" s="64">
        <v>0.57999999999999996</v>
      </c>
      <c r="Q23" s="64">
        <v>6.31</v>
      </c>
      <c r="R23" s="198"/>
      <c r="S23" s="198"/>
      <c r="T23" s="198"/>
      <c r="U23" s="198"/>
    </row>
    <row r="24" spans="1:21" s="12" customFormat="1" x14ac:dyDescent="0.25">
      <c r="A24" s="215" t="s">
        <v>647</v>
      </c>
      <c r="B24" s="64">
        <v>3.78</v>
      </c>
      <c r="C24" s="64">
        <v>11.93</v>
      </c>
      <c r="D24" s="64">
        <v>10.26</v>
      </c>
      <c r="E24" s="64">
        <v>1.53</v>
      </c>
      <c r="F24" s="64">
        <v>4.83</v>
      </c>
      <c r="G24" s="216" t="s">
        <v>43</v>
      </c>
      <c r="H24" s="216" t="s">
        <v>43</v>
      </c>
      <c r="I24" s="64">
        <v>3.22</v>
      </c>
      <c r="J24" s="64">
        <v>0.38</v>
      </c>
      <c r="K24" s="64">
        <v>345.43</v>
      </c>
      <c r="L24" s="64">
        <v>20.99</v>
      </c>
      <c r="M24" s="64">
        <v>97.2</v>
      </c>
      <c r="N24" s="64">
        <v>45.8</v>
      </c>
      <c r="O24" s="64">
        <v>0</v>
      </c>
      <c r="P24" s="64">
        <v>0.56999999999999995</v>
      </c>
      <c r="Q24" s="64">
        <v>5.38</v>
      </c>
      <c r="R24" s="198"/>
      <c r="S24" s="198"/>
      <c r="T24" s="198"/>
      <c r="U24" s="198"/>
    </row>
    <row r="25" spans="1:21" s="12" customFormat="1" x14ac:dyDescent="0.25">
      <c r="A25" s="215" t="s">
        <v>648</v>
      </c>
      <c r="B25" s="64">
        <v>4.24</v>
      </c>
      <c r="C25" s="64">
        <v>15.25</v>
      </c>
      <c r="D25" s="64">
        <v>12.46</v>
      </c>
      <c r="E25" s="64">
        <v>2.17</v>
      </c>
      <c r="F25" s="64">
        <v>7.35</v>
      </c>
      <c r="G25" s="216" t="s">
        <v>43</v>
      </c>
      <c r="H25" s="216" t="s">
        <v>43</v>
      </c>
      <c r="I25" s="64">
        <v>3</v>
      </c>
      <c r="J25" s="64">
        <v>0.13</v>
      </c>
      <c r="K25" s="64">
        <v>347.08</v>
      </c>
      <c r="L25" s="64">
        <v>21</v>
      </c>
      <c r="M25" s="64">
        <v>97.19</v>
      </c>
      <c r="N25" s="64">
        <v>45.6</v>
      </c>
      <c r="O25" s="64">
        <v>0</v>
      </c>
      <c r="P25" s="64">
        <v>0.55000000000000004</v>
      </c>
      <c r="Q25" s="64">
        <v>6.38</v>
      </c>
      <c r="R25" s="198"/>
      <c r="S25" s="198"/>
      <c r="T25" s="198"/>
      <c r="U25" s="198"/>
    </row>
    <row r="26" spans="1:21" s="12" customFormat="1" x14ac:dyDescent="0.25">
      <c r="A26" s="215" t="s">
        <v>649</v>
      </c>
      <c r="B26" s="64">
        <v>4.76</v>
      </c>
      <c r="C26" s="64">
        <v>12.89</v>
      </c>
      <c r="D26" s="64">
        <v>11.57</v>
      </c>
      <c r="E26" s="64">
        <v>2.14</v>
      </c>
      <c r="F26" s="64">
        <v>6</v>
      </c>
      <c r="G26" s="216" t="s">
        <v>43</v>
      </c>
      <c r="H26" s="216" t="s">
        <v>43</v>
      </c>
      <c r="I26" s="64">
        <v>2.92</v>
      </c>
      <c r="J26" s="64">
        <v>0.34</v>
      </c>
      <c r="K26" s="64">
        <v>341.61</v>
      </c>
      <c r="L26" s="64">
        <v>20.99</v>
      </c>
      <c r="M26" s="64">
        <v>97.19</v>
      </c>
      <c r="N26" s="64">
        <v>46.2</v>
      </c>
      <c r="O26" s="64">
        <v>0</v>
      </c>
      <c r="P26" s="64">
        <v>0.55000000000000004</v>
      </c>
      <c r="Q26" s="64">
        <v>5.91</v>
      </c>
      <c r="R26" s="198"/>
      <c r="S26" s="198"/>
      <c r="T26" s="198"/>
      <c r="U26" s="198"/>
    </row>
    <row r="27" spans="1:21" s="12" customFormat="1" x14ac:dyDescent="0.25">
      <c r="A27" s="215" t="s">
        <v>650</v>
      </c>
      <c r="B27" s="64">
        <v>5.21</v>
      </c>
      <c r="C27" s="64">
        <v>13.85</v>
      </c>
      <c r="D27" s="64">
        <v>12.46</v>
      </c>
      <c r="E27" s="64">
        <v>2.36</v>
      </c>
      <c r="F27" s="64">
        <v>3.96</v>
      </c>
      <c r="G27" s="216" t="s">
        <v>43</v>
      </c>
      <c r="H27" s="216" t="s">
        <v>43</v>
      </c>
      <c r="I27" s="64">
        <v>2.85</v>
      </c>
      <c r="J27" s="64">
        <v>0.06</v>
      </c>
      <c r="K27" s="64">
        <v>19.64</v>
      </c>
      <c r="L27" s="64">
        <v>20.97</v>
      </c>
      <c r="M27" s="64">
        <v>97.2</v>
      </c>
      <c r="N27" s="64">
        <v>54.9</v>
      </c>
      <c r="O27" s="64">
        <v>0</v>
      </c>
      <c r="P27" s="64">
        <v>0.53</v>
      </c>
      <c r="Q27" s="64">
        <v>7.16</v>
      </c>
      <c r="R27" s="198"/>
      <c r="S27" s="198"/>
      <c r="T27" s="198"/>
      <c r="U27" s="198"/>
    </row>
    <row r="28" spans="1:21" s="12" customFormat="1" x14ac:dyDescent="0.25">
      <c r="A28" s="215" t="s">
        <v>651</v>
      </c>
      <c r="B28" s="64">
        <v>5.42</v>
      </c>
      <c r="C28" s="64">
        <v>15.6</v>
      </c>
      <c r="D28" s="64">
        <v>13.6</v>
      </c>
      <c r="E28" s="64">
        <v>2.12</v>
      </c>
      <c r="F28" s="64">
        <v>6.07</v>
      </c>
      <c r="G28" s="216" t="s">
        <v>43</v>
      </c>
      <c r="H28" s="216" t="s">
        <v>43</v>
      </c>
      <c r="I28" s="64">
        <v>2.99</v>
      </c>
      <c r="J28" s="64">
        <v>0.05</v>
      </c>
      <c r="K28" s="64">
        <v>351.7</v>
      </c>
      <c r="L28" s="64">
        <v>20.99</v>
      </c>
      <c r="M28" s="64">
        <v>97.18</v>
      </c>
      <c r="N28" s="64">
        <v>113.7</v>
      </c>
      <c r="O28" s="64">
        <v>0</v>
      </c>
      <c r="P28" s="64">
        <v>0.52</v>
      </c>
      <c r="Q28" s="64">
        <v>4.8</v>
      </c>
      <c r="R28" s="198"/>
      <c r="S28" s="198"/>
      <c r="T28" s="198"/>
      <c r="U28" s="198"/>
    </row>
    <row r="29" spans="1:21" s="12" customFormat="1" x14ac:dyDescent="0.25">
      <c r="A29" s="215" t="s">
        <v>652</v>
      </c>
      <c r="B29" s="64">
        <v>6.99</v>
      </c>
      <c r="C29" s="64">
        <v>12.97</v>
      </c>
      <c r="D29" s="64">
        <v>13.41</v>
      </c>
      <c r="E29" s="64">
        <v>1.7</v>
      </c>
      <c r="F29" s="64">
        <v>4.7699999999999996</v>
      </c>
      <c r="G29" s="216" t="s">
        <v>43</v>
      </c>
      <c r="H29" s="216" t="s">
        <v>43</v>
      </c>
      <c r="I29" s="64">
        <v>2.85</v>
      </c>
      <c r="J29" s="64">
        <v>0.06</v>
      </c>
      <c r="K29" s="64">
        <v>329.91</v>
      </c>
      <c r="L29" s="64">
        <v>20.99</v>
      </c>
      <c r="M29" s="64">
        <v>97.19</v>
      </c>
      <c r="N29" s="64">
        <v>110.4</v>
      </c>
      <c r="O29" s="64">
        <v>0</v>
      </c>
      <c r="P29" s="64">
        <v>0.52</v>
      </c>
      <c r="Q29" s="64">
        <v>4.97</v>
      </c>
      <c r="R29" s="198"/>
      <c r="S29" s="198"/>
      <c r="T29" s="198"/>
      <c r="U29" s="198"/>
    </row>
    <row r="30" spans="1:21" s="12" customFormat="1" x14ac:dyDescent="0.25">
      <c r="A30" s="215" t="s">
        <v>653</v>
      </c>
      <c r="B30" s="64">
        <v>7.97</v>
      </c>
      <c r="C30" s="64">
        <v>14.66</v>
      </c>
      <c r="D30" s="64">
        <v>15.13</v>
      </c>
      <c r="E30" s="64">
        <v>1.95</v>
      </c>
      <c r="F30" s="64">
        <v>4.6500000000000004</v>
      </c>
      <c r="G30" s="216" t="s">
        <v>43</v>
      </c>
      <c r="H30" s="216" t="s">
        <v>43</v>
      </c>
      <c r="I30" s="64">
        <v>2.82</v>
      </c>
      <c r="J30" s="64">
        <v>0.09</v>
      </c>
      <c r="K30" s="64">
        <v>243.41</v>
      </c>
      <c r="L30" s="64">
        <v>21</v>
      </c>
      <c r="M30" s="64">
        <v>97.19</v>
      </c>
      <c r="N30" s="64">
        <v>109</v>
      </c>
      <c r="O30" s="64">
        <v>0</v>
      </c>
      <c r="P30" s="64">
        <v>0.49</v>
      </c>
      <c r="Q30" s="64">
        <v>7.15</v>
      </c>
      <c r="R30" s="198"/>
      <c r="S30" s="198"/>
      <c r="T30" s="198"/>
      <c r="U30" s="198"/>
    </row>
    <row r="31" spans="1:21" s="12" customFormat="1" x14ac:dyDescent="0.25">
      <c r="A31" s="215" t="s">
        <v>654</v>
      </c>
      <c r="B31" s="64">
        <v>8.6300000000000008</v>
      </c>
      <c r="C31" s="64">
        <v>16.329999999999998</v>
      </c>
      <c r="D31" s="64">
        <v>16.579999999999998</v>
      </c>
      <c r="E31" s="64">
        <v>2.04</v>
      </c>
      <c r="F31" s="64">
        <v>5.16</v>
      </c>
      <c r="G31" s="216" t="s">
        <v>43</v>
      </c>
      <c r="H31" s="216" t="s">
        <v>43</v>
      </c>
      <c r="I31" s="64">
        <v>2.92</v>
      </c>
      <c r="J31" s="64">
        <v>0.5</v>
      </c>
      <c r="K31" s="64">
        <v>172.37</v>
      </c>
      <c r="L31" s="64">
        <v>21.12</v>
      </c>
      <c r="M31" s="64">
        <v>97.18</v>
      </c>
      <c r="N31" s="64">
        <v>129.80000000000001</v>
      </c>
      <c r="O31" s="64">
        <v>0</v>
      </c>
      <c r="P31" s="64">
        <v>0.48</v>
      </c>
      <c r="Q31" s="64">
        <v>6.1</v>
      </c>
      <c r="R31" s="198"/>
      <c r="S31" s="198"/>
      <c r="T31" s="198"/>
      <c r="U31" s="198"/>
    </row>
    <row r="32" spans="1:21" s="12" customFormat="1" x14ac:dyDescent="0.25">
      <c r="A32" s="215" t="s">
        <v>655</v>
      </c>
      <c r="B32" s="64">
        <v>9.5399999999999991</v>
      </c>
      <c r="C32" s="64">
        <v>13.46</v>
      </c>
      <c r="D32" s="64">
        <v>15.72</v>
      </c>
      <c r="E32" s="64">
        <v>2.4</v>
      </c>
      <c r="F32" s="64">
        <v>4.09</v>
      </c>
      <c r="G32" s="216" t="s">
        <v>43</v>
      </c>
      <c r="H32" s="216" t="s">
        <v>43</v>
      </c>
      <c r="I32" s="64">
        <v>2.67</v>
      </c>
      <c r="J32" s="64">
        <v>0.51</v>
      </c>
      <c r="K32" s="64">
        <v>173.45</v>
      </c>
      <c r="L32" s="64">
        <v>21.35</v>
      </c>
      <c r="M32" s="64">
        <v>97.18</v>
      </c>
      <c r="N32" s="64">
        <v>168.5</v>
      </c>
      <c r="O32" s="64">
        <v>0</v>
      </c>
      <c r="P32" s="64">
        <v>0.49</v>
      </c>
      <c r="Q32" s="64">
        <v>7.13</v>
      </c>
      <c r="R32" s="198"/>
      <c r="S32" s="198"/>
      <c r="T32" s="198"/>
      <c r="U32" s="198"/>
    </row>
    <row r="33" spans="1:21" s="12" customFormat="1" x14ac:dyDescent="0.25">
      <c r="A33" s="215" t="s">
        <v>656</v>
      </c>
      <c r="B33" s="64">
        <v>9.89</v>
      </c>
      <c r="C33" s="64">
        <v>15.13</v>
      </c>
      <c r="D33" s="64">
        <v>16.93</v>
      </c>
      <c r="E33" s="64">
        <v>2.3199999999999998</v>
      </c>
      <c r="F33" s="64">
        <v>3.54</v>
      </c>
      <c r="G33" s="216" t="s">
        <v>43</v>
      </c>
      <c r="H33" s="216" t="s">
        <v>43</v>
      </c>
      <c r="I33" s="64">
        <v>2.79</v>
      </c>
      <c r="J33" s="64">
        <v>0.63</v>
      </c>
      <c r="K33" s="64">
        <v>182.51</v>
      </c>
      <c r="L33" s="64">
        <v>21.74</v>
      </c>
      <c r="M33" s="64">
        <v>97.18</v>
      </c>
      <c r="N33" s="64">
        <v>216.1</v>
      </c>
      <c r="O33" s="64">
        <v>0</v>
      </c>
      <c r="P33" s="64">
        <v>0.47</v>
      </c>
      <c r="Q33" s="64">
        <v>8.09</v>
      </c>
      <c r="R33" s="198"/>
      <c r="S33" s="198"/>
      <c r="T33" s="198"/>
      <c r="U33" s="198"/>
    </row>
    <row r="34" spans="1:21" s="12" customFormat="1" x14ac:dyDescent="0.25">
      <c r="A34" s="215" t="s">
        <v>657</v>
      </c>
      <c r="B34" s="64">
        <v>9.65</v>
      </c>
      <c r="C34" s="64">
        <v>18.12</v>
      </c>
      <c r="D34" s="64">
        <v>18.39</v>
      </c>
      <c r="E34" s="64">
        <v>2.14</v>
      </c>
      <c r="F34" s="64">
        <v>7.4</v>
      </c>
      <c r="G34" s="216" t="s">
        <v>43</v>
      </c>
      <c r="H34" s="216" t="s">
        <v>43</v>
      </c>
      <c r="I34" s="64">
        <v>3.01</v>
      </c>
      <c r="J34" s="64">
        <v>0.26</v>
      </c>
      <c r="K34" s="64">
        <v>93.69</v>
      </c>
      <c r="L34" s="64">
        <v>22.18</v>
      </c>
      <c r="M34" s="64">
        <v>97.18</v>
      </c>
      <c r="N34" s="64">
        <v>224.3</v>
      </c>
      <c r="O34" s="64">
        <v>0</v>
      </c>
      <c r="P34" s="64">
        <v>0.5</v>
      </c>
      <c r="Q34" s="64">
        <v>7.69</v>
      </c>
      <c r="R34" s="198"/>
      <c r="S34" s="198"/>
      <c r="T34" s="198"/>
      <c r="U34" s="198"/>
    </row>
    <row r="35" spans="1:21" s="12" customFormat="1" x14ac:dyDescent="0.25">
      <c r="A35" s="215" t="s">
        <v>658</v>
      </c>
      <c r="B35" s="64">
        <v>9.3699999999999992</v>
      </c>
      <c r="C35" s="64">
        <v>20.41</v>
      </c>
      <c r="D35" s="64">
        <v>19.420000000000002</v>
      </c>
      <c r="E35" s="64">
        <v>2.1</v>
      </c>
      <c r="F35" s="64">
        <v>11.52</v>
      </c>
      <c r="G35" s="216" t="s">
        <v>43</v>
      </c>
      <c r="H35" s="216" t="s">
        <v>43</v>
      </c>
      <c r="I35" s="64">
        <v>2.96</v>
      </c>
      <c r="J35" s="64">
        <v>0.44</v>
      </c>
      <c r="K35" s="64">
        <v>116.27</v>
      </c>
      <c r="L35" s="64">
        <v>22.75</v>
      </c>
      <c r="M35" s="64">
        <v>97.18</v>
      </c>
      <c r="N35" s="64">
        <v>300</v>
      </c>
      <c r="O35" s="64">
        <v>0</v>
      </c>
      <c r="P35" s="64">
        <v>0.52</v>
      </c>
      <c r="Q35" s="64">
        <v>9.77</v>
      </c>
      <c r="R35" s="198"/>
      <c r="S35" s="198"/>
      <c r="T35" s="198"/>
      <c r="U35" s="198"/>
    </row>
    <row r="36" spans="1:21" s="12" customFormat="1" x14ac:dyDescent="0.25">
      <c r="A36" s="215" t="s">
        <v>659</v>
      </c>
      <c r="B36" s="64">
        <v>11.17</v>
      </c>
      <c r="C36" s="64">
        <v>20.22</v>
      </c>
      <c r="D36" s="64">
        <v>20.77</v>
      </c>
      <c r="E36" s="64">
        <v>1.75</v>
      </c>
      <c r="F36" s="64">
        <v>10.3</v>
      </c>
      <c r="G36" s="216" t="s">
        <v>43</v>
      </c>
      <c r="H36" s="216" t="s">
        <v>43</v>
      </c>
      <c r="I36" s="64">
        <v>3.14</v>
      </c>
      <c r="J36" s="64">
        <v>0.23</v>
      </c>
      <c r="K36" s="64">
        <v>147.69</v>
      </c>
      <c r="L36" s="64">
        <v>23.78</v>
      </c>
      <c r="M36" s="64">
        <v>95.82</v>
      </c>
      <c r="N36" s="64">
        <v>344</v>
      </c>
      <c r="O36" s="64">
        <v>0</v>
      </c>
      <c r="P36" s="64">
        <v>0.55000000000000004</v>
      </c>
      <c r="Q36" s="64">
        <v>11.73</v>
      </c>
      <c r="R36" s="198"/>
      <c r="S36" s="198"/>
      <c r="T36" s="198"/>
      <c r="U36" s="198"/>
    </row>
    <row r="37" spans="1:21" s="12" customFormat="1" x14ac:dyDescent="0.25">
      <c r="A37" s="215" t="s">
        <v>660</v>
      </c>
      <c r="B37" s="64">
        <v>13.08</v>
      </c>
      <c r="C37" s="64">
        <v>19.55</v>
      </c>
      <c r="D37" s="64">
        <v>21.92</v>
      </c>
      <c r="E37" s="64">
        <v>1.85</v>
      </c>
      <c r="F37" s="64">
        <v>12.99</v>
      </c>
      <c r="G37" s="216" t="s">
        <v>43</v>
      </c>
      <c r="H37" s="216" t="s">
        <v>43</v>
      </c>
      <c r="I37" s="64">
        <v>3.76</v>
      </c>
      <c r="J37" s="64">
        <v>0.57999999999999996</v>
      </c>
      <c r="K37" s="64">
        <v>165.47</v>
      </c>
      <c r="L37" s="64">
        <v>24.53</v>
      </c>
      <c r="M37" s="64">
        <v>87.97</v>
      </c>
      <c r="N37" s="64">
        <v>357.4</v>
      </c>
      <c r="O37" s="64">
        <v>0</v>
      </c>
      <c r="P37" s="64">
        <v>0.56000000000000005</v>
      </c>
      <c r="Q37" s="64">
        <v>13.16</v>
      </c>
      <c r="R37" s="198"/>
      <c r="S37" s="198"/>
      <c r="T37" s="198"/>
      <c r="U37" s="198"/>
    </row>
    <row r="38" spans="1:21" s="12" customFormat="1" x14ac:dyDescent="0.25">
      <c r="A38" s="215" t="s">
        <v>661</v>
      </c>
      <c r="B38" s="64">
        <v>9.5399999999999991</v>
      </c>
      <c r="C38" s="64">
        <v>14.31</v>
      </c>
      <c r="D38" s="64">
        <v>16.2</v>
      </c>
      <c r="E38" s="64">
        <v>2.14</v>
      </c>
      <c r="F38" s="64">
        <v>16.52</v>
      </c>
      <c r="G38" s="216" t="s">
        <v>43</v>
      </c>
      <c r="H38" s="216" t="s">
        <v>43</v>
      </c>
      <c r="I38" s="64">
        <v>4.17</v>
      </c>
      <c r="J38" s="64">
        <v>0.38</v>
      </c>
      <c r="K38" s="64">
        <v>163.52000000000001</v>
      </c>
      <c r="L38" s="64">
        <v>25.38</v>
      </c>
      <c r="M38" s="64">
        <v>85.56</v>
      </c>
      <c r="N38" s="64">
        <v>421</v>
      </c>
      <c r="O38" s="64">
        <v>0</v>
      </c>
      <c r="P38" s="64">
        <v>0.56999999999999995</v>
      </c>
      <c r="Q38" s="64">
        <v>14.45</v>
      </c>
      <c r="R38" s="198"/>
      <c r="S38" s="198"/>
      <c r="T38" s="198"/>
      <c r="U38" s="198"/>
    </row>
    <row r="39" spans="1:21" s="12" customFormat="1" x14ac:dyDescent="0.25">
      <c r="A39" s="215" t="s">
        <v>662</v>
      </c>
      <c r="B39" s="64">
        <v>10.45</v>
      </c>
      <c r="C39" s="64">
        <v>12.62</v>
      </c>
      <c r="D39" s="64">
        <v>15.99</v>
      </c>
      <c r="E39" s="64">
        <v>2.2200000000000002</v>
      </c>
      <c r="F39" s="64">
        <v>5.8</v>
      </c>
      <c r="G39" s="216" t="s">
        <v>43</v>
      </c>
      <c r="H39" s="216" t="s">
        <v>43</v>
      </c>
      <c r="I39" s="64">
        <v>4.24</v>
      </c>
      <c r="J39" s="64">
        <v>0.45</v>
      </c>
      <c r="K39" s="64">
        <v>165.92</v>
      </c>
      <c r="L39" s="64">
        <v>25.99</v>
      </c>
      <c r="M39" s="64">
        <v>82.47</v>
      </c>
      <c r="N39" s="64">
        <v>495.6</v>
      </c>
      <c r="O39" s="64">
        <v>0</v>
      </c>
      <c r="P39" s="64">
        <v>0.59</v>
      </c>
      <c r="Q39" s="64">
        <v>14.42</v>
      </c>
      <c r="R39" s="198"/>
      <c r="S39" s="198"/>
      <c r="T39" s="198"/>
      <c r="U39" s="198"/>
    </row>
    <row r="40" spans="1:21" s="12" customFormat="1" x14ac:dyDescent="0.25">
      <c r="A40" s="215" t="s">
        <v>663</v>
      </c>
      <c r="B40" s="64">
        <v>9.94</v>
      </c>
      <c r="C40" s="64">
        <v>13.93</v>
      </c>
      <c r="D40" s="64">
        <v>16.309999999999999</v>
      </c>
      <c r="E40" s="64">
        <v>2.06</v>
      </c>
      <c r="F40" s="64">
        <v>15.04</v>
      </c>
      <c r="G40" s="216" t="s">
        <v>43</v>
      </c>
      <c r="H40" s="216" t="s">
        <v>43</v>
      </c>
      <c r="I40" s="64">
        <v>4.74</v>
      </c>
      <c r="J40" s="64">
        <v>0.42</v>
      </c>
      <c r="K40" s="64">
        <v>146.38999999999999</v>
      </c>
      <c r="L40" s="64">
        <v>26.29</v>
      </c>
      <c r="M40" s="64">
        <v>79.680000000000007</v>
      </c>
      <c r="N40" s="64">
        <v>520.4</v>
      </c>
      <c r="O40" s="64">
        <v>0</v>
      </c>
      <c r="P40" s="64">
        <v>0.57999999999999996</v>
      </c>
      <c r="Q40" s="64">
        <v>14.42</v>
      </c>
      <c r="R40" s="198"/>
      <c r="S40" s="198"/>
      <c r="T40" s="198"/>
      <c r="U40" s="198"/>
    </row>
    <row r="41" spans="1:21" s="12" customFormat="1" x14ac:dyDescent="0.25">
      <c r="A41" s="215" t="s">
        <v>664</v>
      </c>
      <c r="B41" s="64">
        <v>11.04</v>
      </c>
      <c r="C41" s="64">
        <v>13.16</v>
      </c>
      <c r="D41" s="64">
        <v>16.760000000000002</v>
      </c>
      <c r="E41" s="64">
        <v>2.77</v>
      </c>
      <c r="F41" s="64">
        <v>6.78</v>
      </c>
      <c r="G41" s="216" t="s">
        <v>43</v>
      </c>
      <c r="H41" s="216" t="s">
        <v>43</v>
      </c>
      <c r="I41" s="64">
        <v>5.0199999999999996</v>
      </c>
      <c r="J41" s="64">
        <v>0.18</v>
      </c>
      <c r="K41" s="64">
        <v>138.19999999999999</v>
      </c>
      <c r="L41" s="64">
        <v>26.46</v>
      </c>
      <c r="M41" s="64">
        <v>79.47</v>
      </c>
      <c r="N41" s="64">
        <v>401.5</v>
      </c>
      <c r="O41" s="64">
        <v>0</v>
      </c>
      <c r="P41" s="64">
        <v>0.57999999999999996</v>
      </c>
      <c r="Q41" s="64">
        <v>12.24</v>
      </c>
      <c r="R41" s="198"/>
      <c r="S41" s="198"/>
      <c r="T41" s="198"/>
      <c r="U41" s="198"/>
    </row>
    <row r="42" spans="1:21" s="12" customFormat="1" x14ac:dyDescent="0.25">
      <c r="A42" s="215" t="s">
        <v>665</v>
      </c>
      <c r="B42" s="64">
        <v>9.31</v>
      </c>
      <c r="C42" s="64">
        <v>13.49</v>
      </c>
      <c r="D42" s="64">
        <v>15.55</v>
      </c>
      <c r="E42" s="64">
        <v>2.76</v>
      </c>
      <c r="F42" s="64">
        <v>5.36</v>
      </c>
      <c r="G42" s="216" t="s">
        <v>43</v>
      </c>
      <c r="H42" s="216" t="s">
        <v>43</v>
      </c>
      <c r="I42" s="64">
        <v>4.6100000000000003</v>
      </c>
      <c r="J42" s="64">
        <v>0.2</v>
      </c>
      <c r="K42" s="64">
        <v>181.92</v>
      </c>
      <c r="L42" s="64">
        <v>25.77</v>
      </c>
      <c r="M42" s="64">
        <v>81.64</v>
      </c>
      <c r="N42" s="64">
        <v>453.1</v>
      </c>
      <c r="O42" s="64">
        <v>0</v>
      </c>
      <c r="P42" s="64">
        <v>0.56999999999999995</v>
      </c>
      <c r="Q42" s="64">
        <v>13.34</v>
      </c>
      <c r="R42" s="198"/>
      <c r="S42" s="198"/>
      <c r="T42" s="198"/>
      <c r="U42" s="198"/>
    </row>
    <row r="43" spans="1:21" s="12" customFormat="1" x14ac:dyDescent="0.25">
      <c r="A43" s="215" t="s">
        <v>666</v>
      </c>
      <c r="B43" s="64">
        <v>7.56</v>
      </c>
      <c r="C43" s="64">
        <v>14.4</v>
      </c>
      <c r="D43" s="64">
        <v>14.66</v>
      </c>
      <c r="E43" s="64">
        <v>2.7</v>
      </c>
      <c r="F43" s="64">
        <v>12.5</v>
      </c>
      <c r="G43" s="216" t="s">
        <v>43</v>
      </c>
      <c r="H43" s="216" t="s">
        <v>43</v>
      </c>
      <c r="I43" s="64">
        <v>4.72</v>
      </c>
      <c r="J43" s="64">
        <v>0.63</v>
      </c>
      <c r="K43" s="64">
        <v>162.83000000000001</v>
      </c>
      <c r="L43" s="64">
        <v>25.76</v>
      </c>
      <c r="M43" s="64">
        <v>81.900000000000006</v>
      </c>
      <c r="N43" s="64">
        <v>322.3</v>
      </c>
      <c r="O43" s="64">
        <v>0</v>
      </c>
      <c r="P43" s="64">
        <v>0.54</v>
      </c>
      <c r="Q43" s="64">
        <v>11.82</v>
      </c>
      <c r="R43" s="198"/>
      <c r="S43" s="198"/>
      <c r="T43" s="198"/>
      <c r="U43" s="198"/>
    </row>
    <row r="44" spans="1:21" s="12" customFormat="1" x14ac:dyDescent="0.25">
      <c r="A44" s="215" t="s">
        <v>667</v>
      </c>
      <c r="B44" s="64">
        <v>6.91</v>
      </c>
      <c r="C44" s="64">
        <v>13.88</v>
      </c>
      <c r="D44" s="64">
        <v>13.84</v>
      </c>
      <c r="E44" s="64">
        <v>2.33</v>
      </c>
      <c r="F44" s="64">
        <v>7.33</v>
      </c>
      <c r="G44" s="216" t="s">
        <v>43</v>
      </c>
      <c r="H44" s="216" t="s">
        <v>43</v>
      </c>
      <c r="I44" s="64">
        <v>4.68</v>
      </c>
      <c r="J44" s="64">
        <v>0.26</v>
      </c>
      <c r="K44" s="64">
        <v>196.14</v>
      </c>
      <c r="L44" s="64">
        <v>25.49</v>
      </c>
      <c r="M44" s="64">
        <v>82.98</v>
      </c>
      <c r="N44" s="64">
        <v>302.8</v>
      </c>
      <c r="O44" s="64">
        <v>0</v>
      </c>
      <c r="P44" s="64">
        <v>0.54</v>
      </c>
      <c r="Q44" s="64">
        <v>9.92</v>
      </c>
      <c r="R44" s="198"/>
      <c r="S44" s="198"/>
      <c r="T44" s="198"/>
      <c r="U44" s="198"/>
    </row>
    <row r="45" spans="1:21" s="12" customFormat="1" x14ac:dyDescent="0.25">
      <c r="A45" s="215" t="s">
        <v>668</v>
      </c>
      <c r="B45" s="64">
        <v>6.45</v>
      </c>
      <c r="C45" s="64">
        <v>14.16</v>
      </c>
      <c r="D45" s="64">
        <v>13.63</v>
      </c>
      <c r="E45" s="64">
        <v>2.02</v>
      </c>
      <c r="F45" s="64">
        <v>8.07</v>
      </c>
      <c r="G45" s="216" t="s">
        <v>43</v>
      </c>
      <c r="H45" s="216" t="s">
        <v>43</v>
      </c>
      <c r="I45" s="64">
        <v>4.3</v>
      </c>
      <c r="J45" s="64">
        <v>0.11</v>
      </c>
      <c r="K45" s="64">
        <v>156.56</v>
      </c>
      <c r="L45" s="64">
        <v>25.73</v>
      </c>
      <c r="M45" s="64">
        <v>82.51</v>
      </c>
      <c r="N45" s="64">
        <v>404.3</v>
      </c>
      <c r="O45" s="64">
        <v>0</v>
      </c>
      <c r="P45" s="64">
        <v>0.54</v>
      </c>
      <c r="Q45" s="64">
        <v>11.15</v>
      </c>
      <c r="R45" s="198"/>
      <c r="S45" s="198"/>
      <c r="T45" s="198"/>
      <c r="U45" s="198"/>
    </row>
    <row r="46" spans="1:21" s="12" customFormat="1" x14ac:dyDescent="0.25">
      <c r="A46" s="215" t="s">
        <v>669</v>
      </c>
      <c r="B46" s="64">
        <v>5.71</v>
      </c>
      <c r="C46" s="64">
        <v>14.39</v>
      </c>
      <c r="D46" s="64">
        <v>13.17</v>
      </c>
      <c r="E46" s="64">
        <v>2.5299999999999998</v>
      </c>
      <c r="F46" s="64">
        <v>17.66</v>
      </c>
      <c r="G46" s="216" t="s">
        <v>43</v>
      </c>
      <c r="H46" s="216" t="s">
        <v>43</v>
      </c>
      <c r="I46" s="64">
        <v>4.4400000000000004</v>
      </c>
      <c r="J46" s="64">
        <v>0.18</v>
      </c>
      <c r="K46" s="64">
        <v>182.91</v>
      </c>
      <c r="L46" s="64">
        <v>26.04</v>
      </c>
      <c r="M46" s="64">
        <v>78.52</v>
      </c>
      <c r="N46" s="64">
        <v>476.9</v>
      </c>
      <c r="O46" s="64">
        <v>0</v>
      </c>
      <c r="P46" s="64">
        <v>0.52</v>
      </c>
      <c r="Q46" s="64">
        <v>12.76</v>
      </c>
      <c r="R46" s="198"/>
      <c r="S46" s="198"/>
      <c r="T46" s="198"/>
      <c r="U46" s="198"/>
    </row>
    <row r="47" spans="1:21" s="12" customFormat="1" x14ac:dyDescent="0.25">
      <c r="A47" s="215" t="s">
        <v>670</v>
      </c>
      <c r="B47" s="64">
        <v>7.36</v>
      </c>
      <c r="C47" s="64">
        <v>13.97</v>
      </c>
      <c r="D47" s="64">
        <v>14.26</v>
      </c>
      <c r="E47" s="64">
        <v>2.0699999999999998</v>
      </c>
      <c r="F47" s="64">
        <v>10.8</v>
      </c>
      <c r="G47" s="216" t="s">
        <v>43</v>
      </c>
      <c r="H47" s="216" t="s">
        <v>43</v>
      </c>
      <c r="I47" s="64">
        <v>4.26</v>
      </c>
      <c r="J47" s="64">
        <v>0.18</v>
      </c>
      <c r="K47" s="64">
        <v>358.73</v>
      </c>
      <c r="L47" s="64">
        <v>28.15</v>
      </c>
      <c r="M47" s="64">
        <v>72.13</v>
      </c>
      <c r="N47" s="64">
        <v>730.8</v>
      </c>
      <c r="O47" s="64">
        <v>0</v>
      </c>
      <c r="P47" s="64">
        <v>0.51</v>
      </c>
      <c r="Q47" s="64">
        <v>12.33</v>
      </c>
      <c r="R47" s="198"/>
      <c r="S47" s="198"/>
      <c r="T47" s="198"/>
      <c r="U47" s="198"/>
    </row>
    <row r="48" spans="1:21" s="12" customFormat="1" x14ac:dyDescent="0.25">
      <c r="A48" s="215" t="s">
        <v>671</v>
      </c>
      <c r="B48" s="64">
        <v>7.1</v>
      </c>
      <c r="C48" s="64">
        <v>14.59</v>
      </c>
      <c r="D48" s="64">
        <v>14.39</v>
      </c>
      <c r="E48" s="64">
        <v>2.84</v>
      </c>
      <c r="F48" s="64">
        <v>12.66</v>
      </c>
      <c r="G48" s="216" t="s">
        <v>43</v>
      </c>
      <c r="H48" s="216" t="s">
        <v>43</v>
      </c>
      <c r="I48" s="64">
        <v>3.8</v>
      </c>
      <c r="J48" s="64">
        <v>0.03</v>
      </c>
      <c r="K48" s="64">
        <v>349.14</v>
      </c>
      <c r="L48" s="64">
        <v>27.94</v>
      </c>
      <c r="M48" s="64">
        <v>72.16</v>
      </c>
      <c r="N48" s="64">
        <v>504.6</v>
      </c>
      <c r="O48" s="64">
        <v>0</v>
      </c>
      <c r="P48" s="64">
        <v>0.51</v>
      </c>
      <c r="Q48" s="64">
        <v>13.64</v>
      </c>
      <c r="R48" s="198"/>
      <c r="S48" s="198"/>
      <c r="T48" s="198"/>
      <c r="U48" s="198"/>
    </row>
    <row r="49" spans="1:21" s="12" customFormat="1" x14ac:dyDescent="0.25">
      <c r="A49" s="215" t="s">
        <v>672</v>
      </c>
      <c r="B49" s="64">
        <v>8.09</v>
      </c>
      <c r="C49" s="64">
        <v>14.51</v>
      </c>
      <c r="D49" s="64">
        <v>15.15</v>
      </c>
      <c r="E49" s="64">
        <v>2.2599999999999998</v>
      </c>
      <c r="F49" s="64">
        <v>18.34</v>
      </c>
      <c r="G49" s="216" t="s">
        <v>43</v>
      </c>
      <c r="H49" s="216" t="s">
        <v>43</v>
      </c>
      <c r="I49" s="64">
        <v>4.18</v>
      </c>
      <c r="J49" s="64">
        <v>0.2</v>
      </c>
      <c r="K49" s="64">
        <v>147.38999999999999</v>
      </c>
      <c r="L49" s="64">
        <v>28.34</v>
      </c>
      <c r="M49" s="64">
        <v>71.349999999999994</v>
      </c>
      <c r="N49" s="64">
        <v>813.9</v>
      </c>
      <c r="O49" s="64">
        <v>0</v>
      </c>
      <c r="P49" s="64">
        <v>0.48</v>
      </c>
      <c r="Q49" s="64">
        <v>12.91</v>
      </c>
      <c r="R49" s="198"/>
      <c r="S49" s="198"/>
      <c r="T49" s="198"/>
      <c r="U49" s="198"/>
    </row>
    <row r="50" spans="1:21" s="12" customFormat="1" x14ac:dyDescent="0.25">
      <c r="A50" s="215" t="s">
        <v>673</v>
      </c>
      <c r="B50" s="64">
        <v>4.46</v>
      </c>
      <c r="C50" s="64">
        <v>14.46</v>
      </c>
      <c r="D50" s="64">
        <v>12.2</v>
      </c>
      <c r="E50" s="64">
        <v>2.73</v>
      </c>
      <c r="F50" s="64">
        <v>26.78</v>
      </c>
      <c r="G50" s="216" t="s">
        <v>43</v>
      </c>
      <c r="H50" s="216" t="s">
        <v>43</v>
      </c>
      <c r="I50" s="64">
        <v>4.46</v>
      </c>
      <c r="J50" s="64">
        <v>0.4</v>
      </c>
      <c r="K50" s="64">
        <v>127.91</v>
      </c>
      <c r="L50" s="64">
        <v>27.91</v>
      </c>
      <c r="M50" s="64">
        <v>72.69</v>
      </c>
      <c r="N50" s="64">
        <v>661.4</v>
      </c>
      <c r="O50" s="64">
        <v>0</v>
      </c>
      <c r="P50" s="64">
        <v>0.28999999999999998</v>
      </c>
      <c r="Q50" s="64">
        <v>8.5299999999999994</v>
      </c>
      <c r="R50" s="198"/>
      <c r="S50" s="198"/>
      <c r="T50" s="198"/>
      <c r="U50" s="198"/>
    </row>
    <row r="51" spans="1:21" s="12" customFormat="1" x14ac:dyDescent="0.25">
      <c r="A51" s="215" t="s">
        <v>674</v>
      </c>
      <c r="B51" s="64">
        <v>3.27</v>
      </c>
      <c r="C51" s="64">
        <v>15.48</v>
      </c>
      <c r="D51" s="64">
        <v>11.82</v>
      </c>
      <c r="E51" s="64">
        <v>2.62</v>
      </c>
      <c r="F51" s="64">
        <v>11.84</v>
      </c>
      <c r="G51" s="216" t="s">
        <v>43</v>
      </c>
      <c r="H51" s="216" t="s">
        <v>43</v>
      </c>
      <c r="I51" s="64">
        <v>3.52</v>
      </c>
      <c r="J51" s="64">
        <v>0.45</v>
      </c>
      <c r="K51" s="64">
        <v>161.29</v>
      </c>
      <c r="L51" s="64">
        <v>27.77</v>
      </c>
      <c r="M51" s="64">
        <v>73.989999999999995</v>
      </c>
      <c r="N51" s="64">
        <v>449.6</v>
      </c>
      <c r="O51" s="64">
        <v>0</v>
      </c>
      <c r="P51" s="64">
        <v>0.28999999999999998</v>
      </c>
      <c r="Q51" s="64">
        <v>6.59</v>
      </c>
      <c r="R51" s="198"/>
      <c r="S51" s="198"/>
      <c r="T51" s="198"/>
      <c r="U51" s="198"/>
    </row>
    <row r="52" spans="1:21" s="12" customFormat="1" x14ac:dyDescent="0.25">
      <c r="A52" s="215" t="s">
        <v>675</v>
      </c>
      <c r="B52" s="64">
        <v>4.47</v>
      </c>
      <c r="C52" s="64">
        <v>18.690000000000001</v>
      </c>
      <c r="D52" s="64">
        <v>14.54</v>
      </c>
      <c r="E52" s="64">
        <v>2.54</v>
      </c>
      <c r="F52" s="64">
        <v>15.07</v>
      </c>
      <c r="G52" s="216" t="s">
        <v>43</v>
      </c>
      <c r="H52" s="216" t="s">
        <v>43</v>
      </c>
      <c r="I52" s="64">
        <v>2.8</v>
      </c>
      <c r="J52" s="64">
        <v>0.4</v>
      </c>
      <c r="K52" s="64">
        <v>166.42</v>
      </c>
      <c r="L52" s="64">
        <v>28.05</v>
      </c>
      <c r="M52" s="64">
        <v>72.3</v>
      </c>
      <c r="N52" s="64">
        <v>280</v>
      </c>
      <c r="O52" s="64">
        <v>0</v>
      </c>
      <c r="P52" s="64">
        <v>0.36</v>
      </c>
      <c r="Q52" s="64">
        <v>4.8899999999999997</v>
      </c>
      <c r="R52" s="198"/>
      <c r="S52" s="198"/>
      <c r="T52" s="198"/>
      <c r="U52" s="198"/>
    </row>
    <row r="53" spans="1:21" s="12" customFormat="1" x14ac:dyDescent="0.25">
      <c r="A53" s="215" t="s">
        <v>676</v>
      </c>
      <c r="B53" s="64">
        <v>5.04</v>
      </c>
      <c r="C53" s="64">
        <v>16.760000000000002</v>
      </c>
      <c r="D53" s="64">
        <v>13.94</v>
      </c>
      <c r="E53" s="64">
        <v>2.09</v>
      </c>
      <c r="F53" s="64">
        <v>17.87</v>
      </c>
      <c r="G53" s="216" t="s">
        <v>43</v>
      </c>
      <c r="H53" s="216" t="s">
        <v>43</v>
      </c>
      <c r="I53" s="64">
        <v>2.57</v>
      </c>
      <c r="J53" s="64">
        <v>0.08</v>
      </c>
      <c r="K53" s="64">
        <v>74.069999999999993</v>
      </c>
      <c r="L53" s="64">
        <v>27.81</v>
      </c>
      <c r="M53" s="64">
        <v>73.69</v>
      </c>
      <c r="N53" s="64">
        <v>471</v>
      </c>
      <c r="O53" s="64">
        <v>0</v>
      </c>
      <c r="P53" s="64">
        <v>0.33</v>
      </c>
      <c r="Q53" s="64">
        <v>3.01</v>
      </c>
      <c r="R53" s="198"/>
      <c r="S53" s="198"/>
      <c r="T53" s="198"/>
      <c r="U53" s="198"/>
    </row>
    <row r="54" spans="1:21" s="12" customFormat="1" x14ac:dyDescent="0.25">
      <c r="A54" s="215" t="s">
        <v>677</v>
      </c>
      <c r="B54" s="64">
        <v>6.99</v>
      </c>
      <c r="C54" s="64">
        <v>15.51</v>
      </c>
      <c r="D54" s="64">
        <v>14.81</v>
      </c>
      <c r="E54" s="64">
        <v>1.86</v>
      </c>
      <c r="F54" s="64">
        <v>12.44</v>
      </c>
      <c r="G54" s="216" t="s">
        <v>43</v>
      </c>
      <c r="H54" s="216" t="s">
        <v>43</v>
      </c>
      <c r="I54" s="64">
        <v>2.2999999999999998</v>
      </c>
      <c r="J54" s="64">
        <v>0.45</v>
      </c>
      <c r="K54" s="64">
        <v>8.1199999999999992</v>
      </c>
      <c r="L54" s="64">
        <v>30.45</v>
      </c>
      <c r="M54" s="64">
        <v>65.58</v>
      </c>
      <c r="N54" s="64">
        <v>628.5</v>
      </c>
      <c r="O54" s="64">
        <v>0</v>
      </c>
      <c r="P54" s="64">
        <v>0.38</v>
      </c>
      <c r="Q54" s="64">
        <v>2.81</v>
      </c>
      <c r="R54" s="198"/>
      <c r="S54" s="198"/>
      <c r="T54" s="198"/>
      <c r="U54" s="198"/>
    </row>
    <row r="55" spans="1:21" s="12" customFormat="1" x14ac:dyDescent="0.25">
      <c r="A55" s="215" t="s">
        <v>678</v>
      </c>
      <c r="B55" s="64">
        <v>6.88</v>
      </c>
      <c r="C55" s="64">
        <v>17.55</v>
      </c>
      <c r="D55" s="64">
        <v>15.85</v>
      </c>
      <c r="E55" s="64">
        <v>2.5299999999999998</v>
      </c>
      <c r="F55" s="64">
        <v>16.149999999999999</v>
      </c>
      <c r="G55" s="216" t="s">
        <v>43</v>
      </c>
      <c r="H55" s="216" t="s">
        <v>43</v>
      </c>
      <c r="I55" s="64">
        <v>2.15</v>
      </c>
      <c r="J55" s="64">
        <v>0.53</v>
      </c>
      <c r="K55" s="64">
        <v>3.32</v>
      </c>
      <c r="L55" s="64">
        <v>31.56</v>
      </c>
      <c r="M55" s="64">
        <v>61.95</v>
      </c>
      <c r="N55" s="64">
        <v>754.8</v>
      </c>
      <c r="O55" s="64">
        <v>0</v>
      </c>
      <c r="P55" s="64">
        <v>0.44</v>
      </c>
      <c r="Q55" s="64">
        <v>2.4900000000000002</v>
      </c>
      <c r="R55" s="198"/>
      <c r="S55" s="198"/>
      <c r="T55" s="198"/>
      <c r="U55" s="198"/>
    </row>
    <row r="56" spans="1:21" s="12" customFormat="1" x14ac:dyDescent="0.25">
      <c r="A56" s="215" t="s">
        <v>679</v>
      </c>
      <c r="B56" s="64">
        <v>6.02</v>
      </c>
      <c r="C56" s="64">
        <v>17.97</v>
      </c>
      <c r="D56" s="64">
        <v>15.39</v>
      </c>
      <c r="E56" s="64">
        <v>1.37</v>
      </c>
      <c r="F56" s="64">
        <v>13.67</v>
      </c>
      <c r="G56" s="216" t="s">
        <v>43</v>
      </c>
      <c r="H56" s="216" t="s">
        <v>43</v>
      </c>
      <c r="I56" s="64">
        <v>2.09</v>
      </c>
      <c r="J56" s="64">
        <v>0.47</v>
      </c>
      <c r="K56" s="64">
        <v>17.2</v>
      </c>
      <c r="L56" s="64">
        <v>31.35</v>
      </c>
      <c r="M56" s="64">
        <v>61.67</v>
      </c>
      <c r="N56" s="64">
        <v>862.6</v>
      </c>
      <c r="O56" s="64">
        <v>0</v>
      </c>
      <c r="P56" s="64">
        <v>0.48</v>
      </c>
      <c r="Q56" s="64">
        <v>2.7</v>
      </c>
      <c r="R56" s="198"/>
      <c r="S56" s="198"/>
      <c r="T56" s="198"/>
      <c r="U56" s="198"/>
    </row>
    <row r="57" spans="1:21" s="12" customFormat="1" x14ac:dyDescent="0.25">
      <c r="A57" s="215" t="s">
        <v>680</v>
      </c>
      <c r="B57" s="64">
        <v>6.64</v>
      </c>
      <c r="C57" s="64">
        <v>16.989999999999998</v>
      </c>
      <c r="D57" s="64">
        <v>15.34</v>
      </c>
      <c r="E57" s="64">
        <v>1.84</v>
      </c>
      <c r="F57" s="64">
        <v>12.26</v>
      </c>
      <c r="G57" s="216" t="s">
        <v>43</v>
      </c>
      <c r="H57" s="216" t="s">
        <v>43</v>
      </c>
      <c r="I57" s="64">
        <v>2.14</v>
      </c>
      <c r="J57" s="64">
        <v>0.08</v>
      </c>
      <c r="K57" s="64">
        <v>100.75</v>
      </c>
      <c r="L57" s="64">
        <v>31.17</v>
      </c>
      <c r="M57" s="64">
        <v>62.75</v>
      </c>
      <c r="N57" s="64">
        <v>1076.5</v>
      </c>
      <c r="O57" s="64">
        <v>0</v>
      </c>
      <c r="P57" s="64">
        <v>0.49</v>
      </c>
      <c r="Q57" s="64">
        <v>5.67</v>
      </c>
      <c r="R57" s="198"/>
      <c r="S57" s="198"/>
      <c r="T57" s="198"/>
      <c r="U57" s="198"/>
    </row>
    <row r="58" spans="1:21" s="12" customFormat="1" x14ac:dyDescent="0.25">
      <c r="A58" s="215" t="s">
        <v>681</v>
      </c>
      <c r="B58" s="64">
        <v>7.61</v>
      </c>
      <c r="C58" s="64">
        <v>17.670000000000002</v>
      </c>
      <c r="D58" s="64">
        <v>16.5</v>
      </c>
      <c r="E58" s="64">
        <v>2.17</v>
      </c>
      <c r="F58" s="64">
        <v>24.98</v>
      </c>
      <c r="G58" s="216" t="s">
        <v>43</v>
      </c>
      <c r="H58" s="216" t="s">
        <v>43</v>
      </c>
      <c r="I58" s="64">
        <v>2.35</v>
      </c>
      <c r="J58" s="64">
        <v>0.25</v>
      </c>
      <c r="K58" s="64">
        <v>358.24</v>
      </c>
      <c r="L58" s="64">
        <v>32.11</v>
      </c>
      <c r="M58" s="64">
        <v>59.95</v>
      </c>
      <c r="N58" s="64">
        <v>920.4</v>
      </c>
      <c r="O58" s="64">
        <v>0</v>
      </c>
      <c r="P58" s="64">
        <v>0.48</v>
      </c>
      <c r="Q58" s="64">
        <v>6.21</v>
      </c>
      <c r="R58" s="198"/>
      <c r="S58" s="198"/>
      <c r="T58" s="198"/>
      <c r="U58" s="198"/>
    </row>
    <row r="59" spans="1:21" s="12" customFormat="1" x14ac:dyDescent="0.25">
      <c r="A59" s="215" t="s">
        <v>682</v>
      </c>
      <c r="B59" s="64">
        <v>8.48</v>
      </c>
      <c r="C59" s="64">
        <v>17.62</v>
      </c>
      <c r="D59" s="64">
        <v>17.170000000000002</v>
      </c>
      <c r="E59" s="64">
        <v>2.46</v>
      </c>
      <c r="F59" s="64">
        <v>20.07</v>
      </c>
      <c r="G59" s="216" t="s">
        <v>43</v>
      </c>
      <c r="H59" s="216" t="s">
        <v>43</v>
      </c>
      <c r="I59" s="64">
        <v>2.42</v>
      </c>
      <c r="J59" s="64">
        <v>0.32</v>
      </c>
      <c r="K59" s="64">
        <v>0.24</v>
      </c>
      <c r="L59" s="64">
        <v>31.36</v>
      </c>
      <c r="M59" s="64">
        <v>62.24</v>
      </c>
      <c r="N59" s="64">
        <v>524.79999999999995</v>
      </c>
      <c r="O59" s="64">
        <v>0</v>
      </c>
      <c r="P59" s="64">
        <v>0.52</v>
      </c>
      <c r="Q59" s="64">
        <v>6.14</v>
      </c>
      <c r="R59" s="198"/>
      <c r="S59" s="198"/>
      <c r="T59" s="198"/>
      <c r="U59" s="198"/>
    </row>
    <row r="60" spans="1:21" s="12" customFormat="1" x14ac:dyDescent="0.25">
      <c r="A60" s="215" t="s">
        <v>683</v>
      </c>
      <c r="B60" s="64">
        <v>12.24</v>
      </c>
      <c r="C60" s="64">
        <v>25.2</v>
      </c>
      <c r="D60" s="64">
        <v>24.37</v>
      </c>
      <c r="E60" s="64">
        <v>2.37</v>
      </c>
      <c r="F60" s="64">
        <v>28.93</v>
      </c>
      <c r="G60" s="216" t="s">
        <v>43</v>
      </c>
      <c r="H60" s="216" t="s">
        <v>43</v>
      </c>
      <c r="I60" s="64">
        <v>2.61</v>
      </c>
      <c r="J60" s="64">
        <v>0.59</v>
      </c>
      <c r="K60" s="64">
        <v>9.07</v>
      </c>
      <c r="L60" s="64">
        <v>32.33</v>
      </c>
      <c r="M60" s="64">
        <v>58.96</v>
      </c>
      <c r="N60" s="64">
        <v>964.5</v>
      </c>
      <c r="O60" s="64">
        <v>0</v>
      </c>
      <c r="P60" s="64">
        <v>0.55000000000000004</v>
      </c>
      <c r="Q60" s="64">
        <v>10.07</v>
      </c>
      <c r="R60" s="198"/>
      <c r="S60" s="198"/>
      <c r="T60" s="198"/>
      <c r="U60" s="198"/>
    </row>
    <row r="61" spans="1:21" s="12" customFormat="1" x14ac:dyDescent="0.25">
      <c r="A61" s="215" t="s">
        <v>684</v>
      </c>
      <c r="B61" s="64">
        <v>9.4600000000000009</v>
      </c>
      <c r="C61" s="64">
        <v>17.27</v>
      </c>
      <c r="D61" s="64">
        <v>17.77</v>
      </c>
      <c r="E61" s="64">
        <v>2.62</v>
      </c>
      <c r="F61" s="64">
        <v>33.75</v>
      </c>
      <c r="G61" s="216" t="s">
        <v>43</v>
      </c>
      <c r="H61" s="216" t="s">
        <v>43</v>
      </c>
      <c r="I61" s="64">
        <v>3</v>
      </c>
      <c r="J61" s="64">
        <v>0.34</v>
      </c>
      <c r="K61" s="64">
        <v>8.69</v>
      </c>
      <c r="L61" s="64">
        <v>32.36</v>
      </c>
      <c r="M61" s="64">
        <v>56.91</v>
      </c>
      <c r="N61" s="64">
        <v>937.5</v>
      </c>
      <c r="O61" s="64">
        <v>0</v>
      </c>
      <c r="P61" s="64">
        <v>0.55000000000000004</v>
      </c>
      <c r="Q61" s="64">
        <v>10.83</v>
      </c>
      <c r="R61" s="198"/>
      <c r="S61" s="198"/>
      <c r="T61" s="198"/>
      <c r="U61" s="198"/>
    </row>
    <row r="62" spans="1:21" s="12" customFormat="1" x14ac:dyDescent="0.25">
      <c r="A62" s="215" t="s">
        <v>685</v>
      </c>
      <c r="B62" s="64">
        <v>7.95</v>
      </c>
      <c r="C62" s="64">
        <v>19.11</v>
      </c>
      <c r="D62" s="64">
        <v>17.57</v>
      </c>
      <c r="E62" s="64">
        <v>2.29</v>
      </c>
      <c r="F62" s="64">
        <v>8.82</v>
      </c>
      <c r="G62" s="216" t="s">
        <v>43</v>
      </c>
      <c r="H62" s="216" t="s">
        <v>43</v>
      </c>
      <c r="I62" s="64">
        <v>3.07</v>
      </c>
      <c r="J62" s="64">
        <v>0.08</v>
      </c>
      <c r="K62" s="64">
        <v>21.09</v>
      </c>
      <c r="L62" s="64">
        <v>30.94</v>
      </c>
      <c r="M62" s="64">
        <v>62.17</v>
      </c>
      <c r="N62" s="64">
        <v>645.4</v>
      </c>
      <c r="O62" s="64">
        <v>0</v>
      </c>
      <c r="P62" s="64">
        <v>0.59</v>
      </c>
      <c r="Q62" s="64">
        <v>11.31</v>
      </c>
      <c r="R62" s="198"/>
      <c r="S62" s="198"/>
      <c r="T62" s="198"/>
      <c r="U62" s="198"/>
    </row>
    <row r="63" spans="1:21" s="12" customFormat="1" x14ac:dyDescent="0.25">
      <c r="A63" s="215" t="s">
        <v>686</v>
      </c>
      <c r="B63" s="64">
        <v>6.51</v>
      </c>
      <c r="C63" s="64">
        <v>18.04</v>
      </c>
      <c r="D63" s="64">
        <v>15.83</v>
      </c>
      <c r="E63" s="64">
        <v>1.86</v>
      </c>
      <c r="F63" s="64">
        <v>8.15</v>
      </c>
      <c r="G63" s="216" t="s">
        <v>43</v>
      </c>
      <c r="H63" s="216" t="s">
        <v>43</v>
      </c>
      <c r="I63" s="64">
        <v>3.14</v>
      </c>
      <c r="J63" s="64">
        <v>0.22</v>
      </c>
      <c r="K63" s="64">
        <v>9.67</v>
      </c>
      <c r="L63" s="64">
        <v>31.12</v>
      </c>
      <c r="M63" s="64">
        <v>61.82</v>
      </c>
      <c r="N63" s="64">
        <v>850.5</v>
      </c>
      <c r="O63" s="64">
        <v>0</v>
      </c>
      <c r="P63" s="64">
        <v>0.57999999999999996</v>
      </c>
      <c r="Q63" s="64">
        <v>13.92</v>
      </c>
      <c r="R63" s="198"/>
      <c r="S63" s="198"/>
      <c r="T63" s="198"/>
      <c r="U63" s="198"/>
    </row>
    <row r="64" spans="1:21" s="12" customFormat="1" x14ac:dyDescent="0.25">
      <c r="A64" s="215" t="s">
        <v>687</v>
      </c>
      <c r="B64" s="64">
        <v>5.63</v>
      </c>
      <c r="C64" s="64">
        <v>15.78</v>
      </c>
      <c r="D64" s="64">
        <v>13.87</v>
      </c>
      <c r="E64" s="64">
        <v>2.3199999999999998</v>
      </c>
      <c r="F64" s="64">
        <v>11.42</v>
      </c>
      <c r="G64" s="216" t="s">
        <v>43</v>
      </c>
      <c r="H64" s="216" t="s">
        <v>43</v>
      </c>
      <c r="I64" s="64">
        <v>3.76</v>
      </c>
      <c r="J64" s="64">
        <v>0.08</v>
      </c>
      <c r="K64" s="64">
        <v>358.83</v>
      </c>
      <c r="L64" s="64">
        <v>31.62</v>
      </c>
      <c r="M64" s="64">
        <v>59.87</v>
      </c>
      <c r="N64" s="64">
        <v>683.2</v>
      </c>
      <c r="O64" s="64">
        <v>0</v>
      </c>
      <c r="P64" s="64">
        <v>0.56000000000000005</v>
      </c>
      <c r="Q64" s="64">
        <v>12.07</v>
      </c>
      <c r="R64" s="198"/>
      <c r="S64" s="198"/>
      <c r="T64" s="198"/>
      <c r="U64" s="198"/>
    </row>
    <row r="65" spans="1:21" s="12" customFormat="1" x14ac:dyDescent="0.25">
      <c r="A65" s="215" t="s">
        <v>688</v>
      </c>
      <c r="B65" s="64">
        <v>5.0599999999999996</v>
      </c>
      <c r="C65" s="64">
        <v>14.74</v>
      </c>
      <c r="D65" s="64">
        <v>12.84</v>
      </c>
      <c r="E65" s="64">
        <v>2.06</v>
      </c>
      <c r="F65" s="64">
        <v>8.24</v>
      </c>
      <c r="G65" s="216" t="s">
        <v>43</v>
      </c>
      <c r="H65" s="216" t="s">
        <v>43</v>
      </c>
      <c r="I65" s="64">
        <v>4.05</v>
      </c>
      <c r="J65" s="64">
        <v>0.11</v>
      </c>
      <c r="K65" s="64">
        <v>258.44</v>
      </c>
      <c r="L65" s="64">
        <v>30.64</v>
      </c>
      <c r="M65" s="64">
        <v>61.03</v>
      </c>
      <c r="N65" s="64">
        <v>597.1</v>
      </c>
      <c r="O65" s="64">
        <v>0</v>
      </c>
      <c r="P65" s="64">
        <v>0.56000000000000005</v>
      </c>
      <c r="Q65" s="64">
        <v>10.16</v>
      </c>
      <c r="R65" s="198"/>
      <c r="S65" s="198"/>
      <c r="T65" s="198"/>
      <c r="U65" s="198"/>
    </row>
    <row r="66" spans="1:21" s="12" customFormat="1" x14ac:dyDescent="0.25">
      <c r="A66" s="215" t="s">
        <v>689</v>
      </c>
      <c r="B66" s="64">
        <v>4.21</v>
      </c>
      <c r="C66" s="64">
        <v>14.59</v>
      </c>
      <c r="D66" s="64">
        <v>12.08</v>
      </c>
      <c r="E66" s="64">
        <v>2.2999999999999998</v>
      </c>
      <c r="F66" s="64">
        <v>10.74</v>
      </c>
      <c r="G66" s="216" t="s">
        <v>43</v>
      </c>
      <c r="H66" s="216" t="s">
        <v>43</v>
      </c>
      <c r="I66" s="64">
        <v>3.96</v>
      </c>
      <c r="J66" s="64">
        <v>0.12</v>
      </c>
      <c r="K66" s="64">
        <v>358.95</v>
      </c>
      <c r="L66" s="64">
        <v>30.61</v>
      </c>
      <c r="M66" s="64">
        <v>63.25</v>
      </c>
      <c r="N66" s="64">
        <v>381.4</v>
      </c>
      <c r="O66" s="64">
        <v>0</v>
      </c>
      <c r="P66" s="64">
        <v>0.56999999999999995</v>
      </c>
      <c r="Q66" s="64">
        <v>9.1999999999999993</v>
      </c>
      <c r="R66" s="198"/>
      <c r="S66" s="198"/>
      <c r="T66" s="198"/>
      <c r="U66" s="198"/>
    </row>
    <row r="67" spans="1:21" s="12" customFormat="1" x14ac:dyDescent="0.25">
      <c r="A67" s="215" t="s">
        <v>690</v>
      </c>
      <c r="B67" s="64">
        <v>3.91</v>
      </c>
      <c r="C67" s="64">
        <v>16.739999999999998</v>
      </c>
      <c r="D67" s="64">
        <v>13.02</v>
      </c>
      <c r="E67" s="64">
        <v>2.06</v>
      </c>
      <c r="F67" s="64">
        <v>9.33</v>
      </c>
      <c r="G67" s="216" t="s">
        <v>43</v>
      </c>
      <c r="H67" s="216" t="s">
        <v>43</v>
      </c>
      <c r="I67" s="64">
        <v>3.72</v>
      </c>
      <c r="J67" s="64">
        <v>0.14000000000000001</v>
      </c>
      <c r="K67" s="64">
        <v>337.32</v>
      </c>
      <c r="L67" s="64">
        <v>30.87</v>
      </c>
      <c r="M67" s="64">
        <v>61.95</v>
      </c>
      <c r="N67" s="64">
        <v>562.79999999999995</v>
      </c>
      <c r="O67" s="64">
        <v>0</v>
      </c>
      <c r="P67" s="64">
        <v>0.59</v>
      </c>
      <c r="Q67" s="64">
        <v>12.51</v>
      </c>
      <c r="R67" s="198"/>
      <c r="S67" s="198"/>
      <c r="T67" s="198"/>
      <c r="U67" s="198"/>
    </row>
    <row r="68" spans="1:21" s="12" customFormat="1" x14ac:dyDescent="0.25">
      <c r="A68" s="215" t="s">
        <v>691</v>
      </c>
      <c r="B68" s="64">
        <v>4.28</v>
      </c>
      <c r="C68" s="64">
        <v>17.04</v>
      </c>
      <c r="D68" s="64">
        <v>13.49</v>
      </c>
      <c r="E68" s="64">
        <v>2.15</v>
      </c>
      <c r="F68" s="64">
        <v>11.43</v>
      </c>
      <c r="G68" s="216" t="s">
        <v>43</v>
      </c>
      <c r="H68" s="216" t="s">
        <v>43</v>
      </c>
      <c r="I68" s="64">
        <v>3.55</v>
      </c>
      <c r="J68" s="64">
        <v>0.1</v>
      </c>
      <c r="K68" s="64">
        <v>322.85000000000002</v>
      </c>
      <c r="L68" s="64">
        <v>30.56</v>
      </c>
      <c r="M68" s="64">
        <v>61.95</v>
      </c>
      <c r="N68" s="64">
        <v>460.3</v>
      </c>
      <c r="O68" s="64">
        <v>0</v>
      </c>
      <c r="P68" s="64">
        <v>0.57999999999999996</v>
      </c>
      <c r="Q68" s="64">
        <v>11.71</v>
      </c>
      <c r="R68" s="198"/>
      <c r="S68" s="198"/>
      <c r="T68" s="198"/>
      <c r="U68" s="198"/>
    </row>
    <row r="69" spans="1:21" s="12" customFormat="1" x14ac:dyDescent="0.25">
      <c r="A69" s="215" t="s">
        <v>692</v>
      </c>
      <c r="B69" s="64">
        <v>3.93</v>
      </c>
      <c r="C69" s="64">
        <v>15.76</v>
      </c>
      <c r="D69" s="64">
        <v>12.49</v>
      </c>
      <c r="E69" s="64">
        <v>2.04</v>
      </c>
      <c r="F69" s="64">
        <v>14.43</v>
      </c>
      <c r="G69" s="216" t="s">
        <v>43</v>
      </c>
      <c r="H69" s="216" t="s">
        <v>43</v>
      </c>
      <c r="I69" s="64">
        <v>3.47</v>
      </c>
      <c r="J69" s="64">
        <v>0.09</v>
      </c>
      <c r="K69" s="64">
        <v>348.3</v>
      </c>
      <c r="L69" s="64">
        <v>29.86</v>
      </c>
      <c r="M69" s="64">
        <v>64.14</v>
      </c>
      <c r="N69" s="64">
        <v>222.7</v>
      </c>
      <c r="O69" s="64">
        <v>0</v>
      </c>
      <c r="P69" s="64">
        <v>0.56999999999999995</v>
      </c>
      <c r="Q69" s="64">
        <v>10.39</v>
      </c>
      <c r="R69" s="198"/>
      <c r="S69" s="198"/>
      <c r="T69" s="198"/>
      <c r="U69" s="198"/>
    </row>
    <row r="70" spans="1:21" s="12" customFormat="1" x14ac:dyDescent="0.25">
      <c r="A70" s="215" t="s">
        <v>693</v>
      </c>
      <c r="B70" s="64">
        <v>6.63</v>
      </c>
      <c r="C70" s="64">
        <v>20.62</v>
      </c>
      <c r="D70" s="64">
        <v>17.34</v>
      </c>
      <c r="E70" s="64">
        <v>2.04</v>
      </c>
      <c r="F70" s="64">
        <v>21.78</v>
      </c>
      <c r="G70" s="216" t="s">
        <v>43</v>
      </c>
      <c r="H70" s="216" t="s">
        <v>43</v>
      </c>
      <c r="I70" s="64">
        <v>3.42</v>
      </c>
      <c r="J70" s="64">
        <v>0.31</v>
      </c>
      <c r="K70" s="64">
        <v>0.39</v>
      </c>
      <c r="L70" s="64">
        <v>30.17</v>
      </c>
      <c r="M70" s="64">
        <v>64.44</v>
      </c>
      <c r="N70" s="64">
        <v>277.7</v>
      </c>
      <c r="O70" s="64">
        <v>0</v>
      </c>
      <c r="P70" s="64">
        <v>0.56000000000000005</v>
      </c>
      <c r="Q70" s="64">
        <v>9.94</v>
      </c>
      <c r="R70" s="198"/>
      <c r="S70" s="198"/>
      <c r="T70" s="198"/>
      <c r="U70" s="198"/>
    </row>
    <row r="71" spans="1:21" s="12" customFormat="1" x14ac:dyDescent="0.25">
      <c r="A71" s="215" t="s">
        <v>694</v>
      </c>
      <c r="B71" s="64">
        <v>7.14</v>
      </c>
      <c r="C71" s="64">
        <v>20.38</v>
      </c>
      <c r="D71" s="64">
        <v>17.62</v>
      </c>
      <c r="E71" s="64">
        <v>1.81</v>
      </c>
      <c r="F71" s="64">
        <v>30.07</v>
      </c>
      <c r="G71" s="216" t="s">
        <v>43</v>
      </c>
      <c r="H71" s="216" t="s">
        <v>43</v>
      </c>
      <c r="I71" s="64">
        <v>3.29</v>
      </c>
      <c r="J71" s="64">
        <v>0.22</v>
      </c>
      <c r="K71" s="64">
        <v>358.83</v>
      </c>
      <c r="L71" s="64">
        <v>30.51</v>
      </c>
      <c r="M71" s="64">
        <v>63.09</v>
      </c>
      <c r="N71" s="64">
        <v>228.6</v>
      </c>
      <c r="O71" s="64">
        <v>0</v>
      </c>
      <c r="P71" s="64">
        <v>0.56999999999999995</v>
      </c>
      <c r="Q71" s="64">
        <v>8.17</v>
      </c>
      <c r="R71" s="198"/>
      <c r="S71" s="198"/>
      <c r="T71" s="198"/>
      <c r="U71" s="198"/>
    </row>
    <row r="72" spans="1:21" s="12" customFormat="1" x14ac:dyDescent="0.25">
      <c r="A72" s="215" t="s">
        <v>695</v>
      </c>
      <c r="B72" s="64">
        <v>6.58</v>
      </c>
      <c r="C72" s="64">
        <v>22.88</v>
      </c>
      <c r="D72" s="64">
        <v>18.55</v>
      </c>
      <c r="E72" s="64">
        <v>1.94</v>
      </c>
      <c r="F72" s="64">
        <v>37.5</v>
      </c>
      <c r="G72" s="216" t="s">
        <v>43</v>
      </c>
      <c r="H72" s="216" t="s">
        <v>43</v>
      </c>
      <c r="I72" s="64">
        <v>3.08</v>
      </c>
      <c r="J72" s="64">
        <v>0.28999999999999998</v>
      </c>
      <c r="K72" s="64">
        <v>351.82</v>
      </c>
      <c r="L72" s="64">
        <v>30.76</v>
      </c>
      <c r="M72" s="64">
        <v>63.23</v>
      </c>
      <c r="N72" s="64">
        <v>262.2</v>
      </c>
      <c r="O72" s="64">
        <v>0</v>
      </c>
      <c r="P72" s="64">
        <v>0.6</v>
      </c>
      <c r="Q72" s="64">
        <v>10.35</v>
      </c>
      <c r="R72" s="198"/>
      <c r="S72" s="198"/>
      <c r="T72" s="198"/>
      <c r="U72" s="198"/>
    </row>
    <row r="73" spans="1:21" s="12" customFormat="1" x14ac:dyDescent="0.25">
      <c r="A73" s="215" t="s">
        <v>696</v>
      </c>
      <c r="B73" s="64">
        <v>5.68</v>
      </c>
      <c r="C73" s="64">
        <v>23.64</v>
      </c>
      <c r="D73" s="64">
        <v>18.25</v>
      </c>
      <c r="E73" s="64">
        <v>2.68</v>
      </c>
      <c r="F73" s="64">
        <v>42.81</v>
      </c>
      <c r="G73" s="216" t="s">
        <v>43</v>
      </c>
      <c r="H73" s="216" t="s">
        <v>43</v>
      </c>
      <c r="I73" s="64">
        <v>2.82</v>
      </c>
      <c r="J73" s="64">
        <v>0.46</v>
      </c>
      <c r="K73" s="64">
        <v>348.94</v>
      </c>
      <c r="L73" s="64">
        <v>30.91</v>
      </c>
      <c r="M73" s="64">
        <v>61.7</v>
      </c>
      <c r="N73" s="64">
        <v>169.9</v>
      </c>
      <c r="O73" s="64">
        <v>0</v>
      </c>
      <c r="P73" s="64">
        <v>0.63</v>
      </c>
      <c r="Q73" s="64">
        <v>11.3</v>
      </c>
      <c r="R73" s="198"/>
      <c r="S73" s="198"/>
      <c r="T73" s="198"/>
      <c r="U73" s="198"/>
    </row>
    <row r="74" spans="1:21" s="12" customFormat="1" x14ac:dyDescent="0.25">
      <c r="A74" s="215" t="s">
        <v>697</v>
      </c>
      <c r="B74" s="64">
        <v>5.5</v>
      </c>
      <c r="C74" s="64">
        <v>22.61</v>
      </c>
      <c r="D74" s="64">
        <v>17.53</v>
      </c>
      <c r="E74" s="64">
        <v>2.3199999999999998</v>
      </c>
      <c r="F74" s="64">
        <v>17.75</v>
      </c>
      <c r="G74" s="216" t="s">
        <v>43</v>
      </c>
      <c r="H74" s="216" t="s">
        <v>43</v>
      </c>
      <c r="I74" s="64">
        <v>2.84</v>
      </c>
      <c r="J74" s="64">
        <v>0.08</v>
      </c>
      <c r="K74" s="64">
        <v>217.81</v>
      </c>
      <c r="L74" s="64">
        <v>29.96</v>
      </c>
      <c r="M74" s="64">
        <v>63.01</v>
      </c>
      <c r="N74" s="64">
        <v>130.69999999999999</v>
      </c>
      <c r="O74" s="64">
        <v>0</v>
      </c>
      <c r="P74" s="64">
        <v>0.64</v>
      </c>
      <c r="Q74" s="64">
        <v>12.22</v>
      </c>
      <c r="R74" s="198"/>
      <c r="S74" s="198"/>
      <c r="T74" s="198"/>
      <c r="U74" s="198"/>
    </row>
    <row r="75" spans="1:21" s="12" customFormat="1" x14ac:dyDescent="0.25">
      <c r="A75" s="215" t="s">
        <v>698</v>
      </c>
      <c r="B75" s="64">
        <v>5.16</v>
      </c>
      <c r="C75" s="64">
        <v>24.41</v>
      </c>
      <c r="D75" s="64">
        <v>18.260000000000002</v>
      </c>
      <c r="E75" s="64">
        <v>2.73</v>
      </c>
      <c r="F75" s="64">
        <v>22.81</v>
      </c>
      <c r="G75" s="216" t="s">
        <v>43</v>
      </c>
      <c r="H75" s="216" t="s">
        <v>43</v>
      </c>
      <c r="I75" s="64">
        <v>3.2</v>
      </c>
      <c r="J75" s="64">
        <v>0.17</v>
      </c>
      <c r="K75" s="64">
        <v>61.97</v>
      </c>
      <c r="L75" s="64">
        <v>30.08</v>
      </c>
      <c r="M75" s="64">
        <v>62.39</v>
      </c>
      <c r="N75" s="64">
        <v>106.7</v>
      </c>
      <c r="O75" s="64">
        <v>0</v>
      </c>
      <c r="P75" s="64">
        <v>0.65</v>
      </c>
      <c r="Q75" s="64">
        <v>14.73</v>
      </c>
      <c r="R75" s="198"/>
      <c r="S75" s="198"/>
      <c r="T75" s="198"/>
      <c r="U75" s="198"/>
    </row>
    <row r="76" spans="1:21" s="12" customFormat="1" x14ac:dyDescent="0.25">
      <c r="A76" s="215" t="s">
        <v>699</v>
      </c>
      <c r="B76" s="64">
        <v>3.84</v>
      </c>
      <c r="C76" s="64">
        <v>19.96</v>
      </c>
      <c r="D76" s="64">
        <v>14.74</v>
      </c>
      <c r="E76" s="64">
        <v>2.66</v>
      </c>
      <c r="F76" s="64">
        <v>30.15</v>
      </c>
      <c r="G76" s="216" t="s">
        <v>43</v>
      </c>
      <c r="H76" s="216" t="s">
        <v>43</v>
      </c>
      <c r="I76" s="64">
        <v>3.48</v>
      </c>
      <c r="J76" s="64">
        <v>0.35</v>
      </c>
      <c r="K76" s="64">
        <v>121.69</v>
      </c>
      <c r="L76" s="64">
        <v>29.36</v>
      </c>
      <c r="M76" s="64">
        <v>63.59</v>
      </c>
      <c r="N76" s="64">
        <v>94.2</v>
      </c>
      <c r="O76" s="64">
        <v>0</v>
      </c>
      <c r="P76" s="64">
        <v>0.64</v>
      </c>
      <c r="Q76" s="64">
        <v>12.49</v>
      </c>
      <c r="R76" s="198"/>
      <c r="S76" s="198"/>
      <c r="T76" s="198"/>
      <c r="U76" s="198"/>
    </row>
    <row r="77" spans="1:21" s="12" customFormat="1" x14ac:dyDescent="0.25">
      <c r="A77" s="215" t="s">
        <v>700</v>
      </c>
      <c r="B77" s="64">
        <v>5.23</v>
      </c>
      <c r="C77" s="64">
        <v>21.17</v>
      </c>
      <c r="D77" s="64">
        <v>16.52</v>
      </c>
      <c r="E77" s="64">
        <v>2.3199999999999998</v>
      </c>
      <c r="F77" s="64">
        <v>23.06</v>
      </c>
      <c r="G77" s="216" t="s">
        <v>43</v>
      </c>
      <c r="H77" s="216" t="s">
        <v>43</v>
      </c>
      <c r="I77" s="64">
        <v>3.31</v>
      </c>
      <c r="J77" s="64">
        <v>0.11</v>
      </c>
      <c r="K77" s="64">
        <v>348.46</v>
      </c>
      <c r="L77" s="64">
        <v>29.46</v>
      </c>
      <c r="M77" s="64">
        <v>64.88</v>
      </c>
      <c r="N77" s="64">
        <v>85.5</v>
      </c>
      <c r="O77" s="64">
        <v>0</v>
      </c>
      <c r="P77" s="64">
        <v>0.64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15" t="s">
        <v>701</v>
      </c>
      <c r="B78" s="64">
        <v>4.7699999999999996</v>
      </c>
      <c r="C78" s="64">
        <v>25.33</v>
      </c>
      <c r="D78" s="64">
        <v>18.45</v>
      </c>
      <c r="E78" s="64">
        <v>2.0099999999999998</v>
      </c>
      <c r="F78" s="64">
        <v>18.71</v>
      </c>
      <c r="G78" s="216" t="s">
        <v>43</v>
      </c>
      <c r="H78" s="216" t="s">
        <v>43</v>
      </c>
      <c r="I78" s="64">
        <v>3.37</v>
      </c>
      <c r="J78" s="64">
        <v>0.1</v>
      </c>
      <c r="K78" s="64">
        <v>57.32</v>
      </c>
      <c r="L78" s="64">
        <v>29.62</v>
      </c>
      <c r="M78" s="64">
        <v>64.150000000000006</v>
      </c>
      <c r="N78" s="64">
        <v>85.1</v>
      </c>
      <c r="O78" s="64">
        <v>0</v>
      </c>
      <c r="P78" s="64">
        <v>0.7</v>
      </c>
      <c r="Q78" s="64">
        <v>8.36</v>
      </c>
      <c r="R78" s="198"/>
      <c r="S78" s="198"/>
      <c r="T78" s="198"/>
      <c r="U78" s="198"/>
    </row>
    <row r="79" spans="1:21" s="12" customFormat="1" x14ac:dyDescent="0.25">
      <c r="A79" s="215" t="s">
        <v>702</v>
      </c>
      <c r="B79" s="64">
        <v>4.22</v>
      </c>
      <c r="C79" s="64">
        <v>23.94</v>
      </c>
      <c r="D79" s="64">
        <v>17.239999999999998</v>
      </c>
      <c r="E79" s="64">
        <v>2.4700000000000002</v>
      </c>
      <c r="F79" s="64">
        <v>13.16</v>
      </c>
      <c r="G79" s="216" t="s">
        <v>43</v>
      </c>
      <c r="H79" s="216" t="s">
        <v>43</v>
      </c>
      <c r="I79" s="64">
        <v>3.39</v>
      </c>
      <c r="J79" s="64">
        <v>0.03</v>
      </c>
      <c r="K79" s="64">
        <v>287.89</v>
      </c>
      <c r="L79" s="64">
        <v>29.4</v>
      </c>
      <c r="M79" s="64">
        <v>63.76</v>
      </c>
      <c r="N79" s="64">
        <v>74.099999999999994</v>
      </c>
      <c r="O79" s="64">
        <v>0</v>
      </c>
      <c r="P79" s="64">
        <v>0.74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5" t="s">
        <v>703</v>
      </c>
      <c r="B80" s="64">
        <v>3.6</v>
      </c>
      <c r="C80" s="64">
        <v>20.57</v>
      </c>
      <c r="D80" s="64">
        <v>14.88</v>
      </c>
      <c r="E80" s="64">
        <v>2.4500000000000002</v>
      </c>
      <c r="F80" s="64">
        <v>15.78</v>
      </c>
      <c r="G80" s="216" t="s">
        <v>43</v>
      </c>
      <c r="H80" s="216" t="s">
        <v>43</v>
      </c>
      <c r="I80" s="64">
        <v>3.31</v>
      </c>
      <c r="J80" s="64">
        <v>0.21</v>
      </c>
      <c r="K80" s="64">
        <v>215</v>
      </c>
      <c r="L80" s="64">
        <v>29.15</v>
      </c>
      <c r="M80" s="64">
        <v>64.959999999999994</v>
      </c>
      <c r="N80" s="64">
        <v>61.7</v>
      </c>
      <c r="O80" s="64">
        <v>0</v>
      </c>
      <c r="P80" s="64">
        <v>0.74</v>
      </c>
      <c r="Q80" s="64">
        <v>12.48</v>
      </c>
      <c r="R80" s="198"/>
      <c r="S80" s="198"/>
      <c r="T80" s="198"/>
      <c r="U80" s="198"/>
    </row>
    <row r="81" spans="1:26" s="12" customFormat="1" x14ac:dyDescent="0.25">
      <c r="A81" s="215" t="s">
        <v>704</v>
      </c>
      <c r="B81" s="64">
        <v>6.1</v>
      </c>
      <c r="C81" s="64">
        <v>33.17</v>
      </c>
      <c r="D81" s="64">
        <v>23.85</v>
      </c>
      <c r="E81" s="64">
        <v>2.85</v>
      </c>
      <c r="F81" s="64">
        <v>35.5</v>
      </c>
      <c r="G81" s="216" t="s">
        <v>43</v>
      </c>
      <c r="H81" s="216" t="s">
        <v>43</v>
      </c>
      <c r="I81" s="64">
        <v>3.3</v>
      </c>
      <c r="J81" s="64">
        <v>0.12</v>
      </c>
      <c r="K81" s="64">
        <v>29</v>
      </c>
      <c r="L81" s="64">
        <v>28.98</v>
      </c>
      <c r="M81" s="64">
        <v>66.39</v>
      </c>
      <c r="N81" s="64">
        <v>46.6</v>
      </c>
      <c r="O81" s="64">
        <v>0</v>
      </c>
      <c r="P81" s="64">
        <v>0.74</v>
      </c>
      <c r="Q81" s="64">
        <v>13.54</v>
      </c>
      <c r="R81" s="198"/>
      <c r="S81" s="198"/>
      <c r="T81" s="198"/>
      <c r="U81" s="198"/>
    </row>
    <row r="82" spans="1:26" s="12" customFormat="1" x14ac:dyDescent="0.25">
      <c r="A82" s="215" t="s">
        <v>705</v>
      </c>
      <c r="B82" s="64">
        <v>6.74</v>
      </c>
      <c r="C82" s="64">
        <v>37.26</v>
      </c>
      <c r="D82" s="64">
        <v>26.62</v>
      </c>
      <c r="E82" s="64">
        <v>2.6</v>
      </c>
      <c r="F82" s="64">
        <v>32.25</v>
      </c>
      <c r="G82" s="216" t="s">
        <v>43</v>
      </c>
      <c r="H82" s="216" t="s">
        <v>43</v>
      </c>
      <c r="I82" s="64">
        <v>3.21</v>
      </c>
      <c r="J82" s="64">
        <v>0.13</v>
      </c>
      <c r="K82" s="64">
        <v>37.229999999999997</v>
      </c>
      <c r="L82" s="64">
        <v>28.82</v>
      </c>
      <c r="M82" s="64">
        <v>67.510000000000005</v>
      </c>
      <c r="N82" s="64">
        <v>34.700000000000003</v>
      </c>
      <c r="O82" s="64">
        <v>0</v>
      </c>
      <c r="P82" s="64">
        <v>0.74</v>
      </c>
      <c r="Q82" s="64">
        <v>10.1</v>
      </c>
      <c r="R82" s="198"/>
      <c r="S82" s="198"/>
      <c r="T82" s="198"/>
      <c r="U82" s="198"/>
    </row>
    <row r="83" spans="1:26" s="12" customFormat="1" x14ac:dyDescent="0.25">
      <c r="A83" s="215" t="s">
        <v>706</v>
      </c>
      <c r="B83" s="64">
        <v>13.86</v>
      </c>
      <c r="C83" s="64">
        <v>39.409999999999997</v>
      </c>
      <c r="D83" s="64">
        <v>33.51</v>
      </c>
      <c r="E83" s="64">
        <v>2.95</v>
      </c>
      <c r="F83" s="64">
        <v>25.98</v>
      </c>
      <c r="G83" s="216" t="s">
        <v>43</v>
      </c>
      <c r="H83" s="216" t="s">
        <v>43</v>
      </c>
      <c r="I83" s="64">
        <v>3.45</v>
      </c>
      <c r="J83" s="64">
        <v>0.11</v>
      </c>
      <c r="K83" s="64">
        <v>20.36</v>
      </c>
      <c r="L83" s="64">
        <v>28.52</v>
      </c>
      <c r="M83" s="64">
        <v>69.239999999999995</v>
      </c>
      <c r="N83" s="64">
        <v>27.1</v>
      </c>
      <c r="O83" s="64">
        <v>0</v>
      </c>
      <c r="P83" s="64">
        <v>0.77</v>
      </c>
      <c r="Q83" s="64">
        <v>11.11</v>
      </c>
      <c r="R83" s="198"/>
      <c r="S83" s="198"/>
      <c r="T83" s="198"/>
      <c r="U83" s="198"/>
    </row>
    <row r="84" spans="1:26" s="12" customFormat="1" x14ac:dyDescent="0.25">
      <c r="A84" s="215" t="s">
        <v>707</v>
      </c>
      <c r="B84" s="64">
        <v>12.54</v>
      </c>
      <c r="C84" s="64">
        <v>49.11</v>
      </c>
      <c r="D84" s="64">
        <v>37.799999999999997</v>
      </c>
      <c r="E84" s="64">
        <v>3.1</v>
      </c>
      <c r="F84" s="64">
        <v>26.18</v>
      </c>
      <c r="G84" s="216" t="s">
        <v>43</v>
      </c>
      <c r="H84" s="216" t="s">
        <v>43</v>
      </c>
      <c r="I84" s="64">
        <v>3.68</v>
      </c>
      <c r="J84" s="64">
        <v>0.05</v>
      </c>
      <c r="K84" s="64">
        <v>26.15</v>
      </c>
      <c r="L84" s="64">
        <v>28.32</v>
      </c>
      <c r="M84" s="64">
        <v>71.11</v>
      </c>
      <c r="N84" s="64">
        <v>25</v>
      </c>
      <c r="O84" s="64">
        <v>0</v>
      </c>
      <c r="P84" s="64">
        <v>0.78</v>
      </c>
      <c r="Q84" s="64">
        <v>12.98</v>
      </c>
      <c r="R84" s="198"/>
      <c r="S84" s="198"/>
      <c r="T84" s="198"/>
      <c r="U84" s="198"/>
    </row>
    <row r="85" spans="1:26" s="12" customFormat="1" x14ac:dyDescent="0.25">
      <c r="A85" s="215" t="s">
        <v>708</v>
      </c>
      <c r="B85" s="64">
        <v>12.65</v>
      </c>
      <c r="C85" s="64">
        <v>29.46</v>
      </c>
      <c r="D85" s="64">
        <v>27.05</v>
      </c>
      <c r="E85" s="64">
        <v>2.9</v>
      </c>
      <c r="F85" s="64">
        <v>17.61</v>
      </c>
      <c r="G85" s="216" t="s">
        <v>43</v>
      </c>
      <c r="H85" s="216" t="s">
        <v>43</v>
      </c>
      <c r="I85" s="64">
        <v>4.1100000000000003</v>
      </c>
      <c r="J85" s="64">
        <v>0.19</v>
      </c>
      <c r="K85" s="64">
        <v>350.05</v>
      </c>
      <c r="L85" s="64">
        <v>28.14</v>
      </c>
      <c r="M85" s="64">
        <v>72.73</v>
      </c>
      <c r="N85" s="64">
        <v>24.8</v>
      </c>
      <c r="O85" s="64">
        <v>0</v>
      </c>
      <c r="P85" s="64">
        <v>0.82</v>
      </c>
      <c r="Q85" s="64">
        <v>11.62</v>
      </c>
      <c r="R85" s="198"/>
      <c r="S85" s="198"/>
      <c r="T85" s="198"/>
      <c r="U85" s="198"/>
    </row>
    <row r="86" spans="1:26" s="12" customFormat="1" x14ac:dyDescent="0.25">
      <c r="A86" s="215" t="s">
        <v>709</v>
      </c>
      <c r="B86" s="64">
        <v>13.7</v>
      </c>
      <c r="C86" s="64">
        <v>37.979999999999997</v>
      </c>
      <c r="D86" s="64">
        <v>32.6</v>
      </c>
      <c r="E86" s="64">
        <v>2.3199999999999998</v>
      </c>
      <c r="F86" s="64">
        <v>12.77</v>
      </c>
      <c r="G86" s="216" t="s">
        <v>43</v>
      </c>
      <c r="H86" s="216" t="s">
        <v>43</v>
      </c>
      <c r="I86" s="64">
        <v>4.43</v>
      </c>
      <c r="J86" s="64">
        <v>0.08</v>
      </c>
      <c r="K86" s="64">
        <v>235.91</v>
      </c>
      <c r="L86" s="64">
        <v>28.03</v>
      </c>
      <c r="M86" s="64">
        <v>73.81</v>
      </c>
      <c r="N86" s="64">
        <v>24.8</v>
      </c>
      <c r="O86" s="64">
        <v>0</v>
      </c>
      <c r="P86" s="64">
        <v>0.91</v>
      </c>
      <c r="Q86" s="64">
        <v>14.07</v>
      </c>
      <c r="R86" s="198"/>
      <c r="S86" s="198"/>
      <c r="T86" s="198"/>
      <c r="U86" s="198"/>
    </row>
    <row r="87" spans="1:26" s="12" customFormat="1" x14ac:dyDescent="0.25">
      <c r="A87" s="215" t="s">
        <v>710</v>
      </c>
      <c r="B87" s="64">
        <v>10.38</v>
      </c>
      <c r="C87" s="64">
        <v>37.82</v>
      </c>
      <c r="D87" s="64">
        <v>29.84</v>
      </c>
      <c r="E87" s="64">
        <v>3.02</v>
      </c>
      <c r="F87" s="64">
        <v>14.76</v>
      </c>
      <c r="G87" s="216" t="s">
        <v>43</v>
      </c>
      <c r="H87" s="216" t="s">
        <v>43</v>
      </c>
      <c r="I87" s="64">
        <v>4.71</v>
      </c>
      <c r="J87" s="64">
        <v>0.02</v>
      </c>
      <c r="K87" s="64">
        <v>357.84</v>
      </c>
      <c r="L87" s="64">
        <v>28.19</v>
      </c>
      <c r="M87" s="64">
        <v>72.319999999999993</v>
      </c>
      <c r="N87" s="64">
        <v>24.9</v>
      </c>
      <c r="O87" s="64">
        <v>0</v>
      </c>
      <c r="P87" s="64">
        <v>0.95</v>
      </c>
      <c r="Q87" s="64">
        <v>15.75</v>
      </c>
      <c r="R87" s="198"/>
      <c r="S87" s="198"/>
      <c r="T87" s="198"/>
      <c r="U87" s="198"/>
    </row>
    <row r="88" spans="1:26" s="12" customFormat="1" x14ac:dyDescent="0.25">
      <c r="A88" s="215" t="s">
        <v>711</v>
      </c>
      <c r="B88" s="64">
        <v>7.9</v>
      </c>
      <c r="C88" s="64">
        <v>30.02</v>
      </c>
      <c r="D88" s="64">
        <v>23.55</v>
      </c>
      <c r="E88" s="64">
        <v>1.8</v>
      </c>
      <c r="F88" s="64">
        <v>10.98</v>
      </c>
      <c r="G88" s="216" t="s">
        <v>43</v>
      </c>
      <c r="H88" s="216" t="s">
        <v>43</v>
      </c>
      <c r="I88" s="64">
        <v>4.6900000000000004</v>
      </c>
      <c r="J88" s="64">
        <v>0.25</v>
      </c>
      <c r="K88" s="64">
        <v>132.56</v>
      </c>
      <c r="L88" s="64">
        <v>28.07</v>
      </c>
      <c r="M88" s="64">
        <v>73.180000000000007</v>
      </c>
      <c r="N88" s="64">
        <v>25</v>
      </c>
      <c r="O88" s="64">
        <v>0</v>
      </c>
      <c r="P88" s="64">
        <v>1</v>
      </c>
      <c r="Q88" s="64">
        <v>13.71</v>
      </c>
      <c r="R88" s="198"/>
      <c r="S88" s="198"/>
      <c r="T88" s="198"/>
      <c r="U88" s="198"/>
    </row>
    <row r="89" spans="1:26" s="12" customFormat="1" x14ac:dyDescent="0.25">
      <c r="A89" s="215" t="s">
        <v>712</v>
      </c>
      <c r="B89" s="64">
        <v>7.19</v>
      </c>
      <c r="C89" s="64">
        <v>21.41</v>
      </c>
      <c r="D89" s="64">
        <v>18.23</v>
      </c>
      <c r="E89" s="64">
        <v>2.41</v>
      </c>
      <c r="F89" s="64">
        <v>8.48</v>
      </c>
      <c r="G89" s="216" t="s">
        <v>43</v>
      </c>
      <c r="H89" s="216" t="s">
        <v>43</v>
      </c>
      <c r="I89" s="64">
        <v>4.92</v>
      </c>
      <c r="J89" s="64">
        <v>3.65</v>
      </c>
      <c r="K89" s="64">
        <v>117.7</v>
      </c>
      <c r="L89" s="64">
        <v>26.03</v>
      </c>
      <c r="M89" s="64">
        <v>79.5</v>
      </c>
      <c r="N89" s="64">
        <v>31.2</v>
      </c>
      <c r="O89" s="64">
        <v>0.2</v>
      </c>
      <c r="P89" s="64">
        <v>1.01</v>
      </c>
      <c r="Q89" s="64">
        <v>16.03</v>
      </c>
      <c r="R89" s="198"/>
      <c r="S89" s="198"/>
      <c r="T89" s="198"/>
      <c r="U89" s="198"/>
    </row>
    <row r="90" spans="1:26" s="12" customFormat="1" x14ac:dyDescent="0.25">
      <c r="A90" s="215" t="s">
        <v>713</v>
      </c>
      <c r="B90" s="64">
        <v>6.5</v>
      </c>
      <c r="C90" s="64">
        <v>18.739999999999998</v>
      </c>
      <c r="D90" s="64">
        <v>16.2</v>
      </c>
      <c r="E90" s="64">
        <v>2.54</v>
      </c>
      <c r="F90" s="64">
        <v>5.34</v>
      </c>
      <c r="G90" s="216" t="s">
        <v>43</v>
      </c>
      <c r="H90" s="216" t="s">
        <v>43</v>
      </c>
      <c r="I90" s="64">
        <v>4.93</v>
      </c>
      <c r="J90" s="64">
        <v>2.59</v>
      </c>
      <c r="K90" s="64">
        <v>106.14</v>
      </c>
      <c r="L90" s="64">
        <v>22.32</v>
      </c>
      <c r="M90" s="64">
        <v>95.93</v>
      </c>
      <c r="N90" s="64">
        <v>32.9</v>
      </c>
      <c r="O90" s="64">
        <v>8.8000000000000007</v>
      </c>
      <c r="P90" s="64">
        <v>0.94</v>
      </c>
      <c r="Q90" s="64">
        <v>19.96</v>
      </c>
      <c r="R90" s="198"/>
      <c r="S90" s="198"/>
      <c r="T90" s="198"/>
      <c r="U90" s="198"/>
    </row>
    <row r="91" spans="1:26" s="12" customFormat="1" x14ac:dyDescent="0.25">
      <c r="A91" s="215" t="s">
        <v>714</v>
      </c>
      <c r="B91" s="64">
        <v>5.61</v>
      </c>
      <c r="C91" s="64">
        <v>16.36</v>
      </c>
      <c r="D91" s="64">
        <v>14.17</v>
      </c>
      <c r="E91" s="64">
        <v>2.2000000000000002</v>
      </c>
      <c r="F91" s="64">
        <v>7.68</v>
      </c>
      <c r="G91" s="216" t="s">
        <v>43</v>
      </c>
      <c r="H91" s="216" t="s">
        <v>43</v>
      </c>
      <c r="I91" s="64">
        <v>5.87</v>
      </c>
      <c r="J91" s="64">
        <v>0.84</v>
      </c>
      <c r="K91" s="64">
        <v>188.61</v>
      </c>
      <c r="L91" s="64">
        <v>21.47</v>
      </c>
      <c r="M91" s="64">
        <v>97.15</v>
      </c>
      <c r="N91" s="64">
        <v>24.5</v>
      </c>
      <c r="O91" s="64">
        <v>5.8</v>
      </c>
      <c r="P91" s="64">
        <v>0.88</v>
      </c>
      <c r="Q91" s="64">
        <v>19.260000000000002</v>
      </c>
      <c r="R91" s="198"/>
      <c r="S91" s="198"/>
      <c r="T91" s="198"/>
      <c r="U91" s="198"/>
    </row>
    <row r="92" spans="1:26" s="12" customFormat="1" x14ac:dyDescent="0.25">
      <c r="A92" s="215" t="s">
        <v>715</v>
      </c>
      <c r="B92" s="64">
        <v>10.220000000000001</v>
      </c>
      <c r="C92" s="64">
        <v>19.649999999999999</v>
      </c>
      <c r="D92" s="64">
        <v>19.690000000000001</v>
      </c>
      <c r="E92" s="64">
        <v>2.63</v>
      </c>
      <c r="F92" s="64">
        <v>7.54</v>
      </c>
      <c r="G92" s="216" t="s">
        <v>43</v>
      </c>
      <c r="H92" s="216" t="s">
        <v>43</v>
      </c>
      <c r="I92" s="64">
        <v>6.62</v>
      </c>
      <c r="J92" s="64">
        <v>0.17</v>
      </c>
      <c r="K92" s="64">
        <v>33.549999999999997</v>
      </c>
      <c r="L92" s="64">
        <v>21.75</v>
      </c>
      <c r="M92" s="64">
        <v>97.15</v>
      </c>
      <c r="N92" s="64">
        <v>25.3</v>
      </c>
      <c r="O92" s="64">
        <v>0</v>
      </c>
      <c r="P92" s="64">
        <v>0.86</v>
      </c>
      <c r="Q92" s="64">
        <v>19.73</v>
      </c>
      <c r="R92" s="198"/>
      <c r="S92" s="198"/>
      <c r="T92" s="198"/>
      <c r="U92" s="198"/>
    </row>
    <row r="93" spans="1:26" s="12" customFormat="1" x14ac:dyDescent="0.25">
      <c r="A93" s="215" t="s">
        <v>716</v>
      </c>
      <c r="B93" s="64">
        <v>14.13</v>
      </c>
      <c r="C93" s="64">
        <v>38.380000000000003</v>
      </c>
      <c r="D93" s="64">
        <v>33.159999999999997</v>
      </c>
      <c r="E93" s="64">
        <v>2.4900000000000002</v>
      </c>
      <c r="F93" s="64">
        <v>9.69</v>
      </c>
      <c r="G93" s="216" t="s">
        <v>43</v>
      </c>
      <c r="H93" s="216" t="s">
        <v>43</v>
      </c>
      <c r="I93" s="64">
        <v>6.67</v>
      </c>
      <c r="J93" s="64">
        <v>0.1</v>
      </c>
      <c r="K93" s="64">
        <v>63.9</v>
      </c>
      <c r="L93" s="64">
        <v>22.09</v>
      </c>
      <c r="M93" s="64">
        <v>97.15</v>
      </c>
      <c r="N93" s="64">
        <v>25.5</v>
      </c>
      <c r="O93" s="64">
        <v>0</v>
      </c>
      <c r="P93" s="64">
        <v>0.86</v>
      </c>
      <c r="Q93" s="64">
        <v>19.55</v>
      </c>
      <c r="R93" s="198"/>
      <c r="S93" s="198"/>
      <c r="T93" s="198"/>
      <c r="U93" s="198"/>
    </row>
    <row r="94" spans="1:26" s="12" customFormat="1" x14ac:dyDescent="0.25">
      <c r="A94" s="215" t="s">
        <v>717</v>
      </c>
      <c r="B94" s="64">
        <v>16.350000000000001</v>
      </c>
      <c r="C94" s="64">
        <v>32.65</v>
      </c>
      <c r="D94" s="64">
        <v>31.77</v>
      </c>
      <c r="E94" s="64">
        <v>2.25</v>
      </c>
      <c r="F94" s="64">
        <v>7.69</v>
      </c>
      <c r="G94" s="216" t="s">
        <v>43</v>
      </c>
      <c r="H94" s="216" t="s">
        <v>43</v>
      </c>
      <c r="I94" s="64">
        <v>5.84</v>
      </c>
      <c r="J94" s="64">
        <v>0.34</v>
      </c>
      <c r="K94" s="64">
        <v>101.03</v>
      </c>
      <c r="L94" s="64">
        <v>22.03</v>
      </c>
      <c r="M94" s="64">
        <v>97.15</v>
      </c>
      <c r="N94" s="64">
        <v>26.7</v>
      </c>
      <c r="O94" s="64">
        <v>0</v>
      </c>
      <c r="P94" s="64">
        <v>0.88</v>
      </c>
      <c r="Q94" s="64">
        <v>18.52</v>
      </c>
      <c r="R94" s="198"/>
      <c r="S94" s="198"/>
      <c r="T94" s="198"/>
      <c r="U94" s="198"/>
    </row>
    <row r="95" spans="1:26" s="12" customFormat="1" x14ac:dyDescent="0.25">
      <c r="A95" s="215" t="s">
        <v>718</v>
      </c>
      <c r="B95" s="64">
        <v>10.62</v>
      </c>
      <c r="C95" s="64">
        <v>31.17</v>
      </c>
      <c r="D95" s="64">
        <v>26.37</v>
      </c>
      <c r="E95" s="64">
        <v>2.39</v>
      </c>
      <c r="F95" s="64">
        <v>8.51</v>
      </c>
      <c r="G95" s="216" t="s">
        <v>43</v>
      </c>
      <c r="H95" s="216" t="s">
        <v>43</v>
      </c>
      <c r="I95" s="64">
        <v>4.95</v>
      </c>
      <c r="J95" s="64">
        <v>0.22</v>
      </c>
      <c r="K95" s="64">
        <v>159.87</v>
      </c>
      <c r="L95" s="64">
        <v>22.49</v>
      </c>
      <c r="M95" s="64">
        <v>97.15</v>
      </c>
      <c r="N95" s="64">
        <v>25.4</v>
      </c>
      <c r="O95" s="64">
        <v>0</v>
      </c>
      <c r="P95" s="64">
        <v>0.86</v>
      </c>
      <c r="Q95" s="64">
        <v>19.829999999999998</v>
      </c>
      <c r="R95" s="198"/>
      <c r="S95" s="198"/>
      <c r="T95" s="198"/>
      <c r="U95" s="198"/>
    </row>
    <row r="96" spans="1:26" s="12" customFormat="1" x14ac:dyDescent="0.25">
      <c r="A96" s="215" t="s">
        <v>719</v>
      </c>
      <c r="B96" s="64">
        <v>10.17</v>
      </c>
      <c r="C96" s="64">
        <v>28.84</v>
      </c>
      <c r="D96" s="64">
        <v>24.72</v>
      </c>
      <c r="E96" s="64">
        <v>1.83</v>
      </c>
      <c r="F96" s="64">
        <v>8.51</v>
      </c>
      <c r="G96" s="216" t="s">
        <v>43</v>
      </c>
      <c r="H96" s="216" t="s">
        <v>43</v>
      </c>
      <c r="I96" s="64">
        <v>4.8499999999999996</v>
      </c>
      <c r="J96" s="64">
        <v>0.18</v>
      </c>
      <c r="K96" s="64">
        <v>217.35</v>
      </c>
      <c r="L96" s="64">
        <v>22.61</v>
      </c>
      <c r="M96" s="64">
        <v>97.15</v>
      </c>
      <c r="N96" s="64">
        <v>25.4</v>
      </c>
      <c r="O96" s="64">
        <v>0</v>
      </c>
      <c r="P96" s="64">
        <v>0.87</v>
      </c>
      <c r="Q96" s="64">
        <v>19.579999999999998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720</v>
      </c>
      <c r="B97" s="64">
        <v>10.33</v>
      </c>
      <c r="C97" s="64">
        <v>19.420000000000002</v>
      </c>
      <c r="D97" s="64">
        <v>19.649999999999999</v>
      </c>
      <c r="E97" s="64">
        <v>2.36</v>
      </c>
      <c r="F97" s="64">
        <v>7.65</v>
      </c>
      <c r="G97" s="216" t="s">
        <v>43</v>
      </c>
      <c r="H97" s="216" t="s">
        <v>43</v>
      </c>
      <c r="I97" s="64">
        <v>4.84</v>
      </c>
      <c r="J97" s="64">
        <v>0.36</v>
      </c>
      <c r="K97" s="64">
        <v>194.65</v>
      </c>
      <c r="L97" s="64">
        <v>22.87</v>
      </c>
      <c r="M97" s="64">
        <v>97.1</v>
      </c>
      <c r="N97" s="64">
        <v>26.3</v>
      </c>
      <c r="O97" s="64">
        <v>0</v>
      </c>
      <c r="P97" s="64">
        <v>0.87</v>
      </c>
      <c r="Q97" s="64">
        <v>20.170000000000002</v>
      </c>
      <c r="R97" s="198"/>
      <c r="S97" s="198"/>
      <c r="T97" s="198"/>
      <c r="U97" s="198"/>
    </row>
    <row r="98" spans="1:33" s="12" customFormat="1" x14ac:dyDescent="0.25">
      <c r="A98" s="215" t="s">
        <v>721</v>
      </c>
      <c r="B98" s="64">
        <v>10.31</v>
      </c>
      <c r="C98" s="64">
        <v>16.43</v>
      </c>
      <c r="D98" s="64">
        <v>17.98</v>
      </c>
      <c r="E98" s="64">
        <v>2.5499999999999998</v>
      </c>
      <c r="F98" s="64">
        <v>2.9</v>
      </c>
      <c r="G98" s="216" t="s">
        <v>43</v>
      </c>
      <c r="H98" s="216" t="s">
        <v>43</v>
      </c>
      <c r="I98" s="64">
        <v>5.29</v>
      </c>
      <c r="J98" s="64">
        <v>0.36</v>
      </c>
      <c r="K98" s="64">
        <v>193.55</v>
      </c>
      <c r="L98" s="64">
        <v>23.01</v>
      </c>
      <c r="M98" s="64">
        <v>96.58</v>
      </c>
      <c r="N98" s="64">
        <v>26.9</v>
      </c>
      <c r="O98" s="64">
        <v>0</v>
      </c>
      <c r="P98" s="64">
        <v>0.85</v>
      </c>
      <c r="Q98" s="64">
        <v>20.82</v>
      </c>
      <c r="R98" s="198"/>
      <c r="S98" s="198"/>
      <c r="T98" s="198"/>
      <c r="U98" s="198"/>
    </row>
    <row r="99" spans="1:33" s="12" customFormat="1" x14ac:dyDescent="0.25">
      <c r="A99" s="215" t="s">
        <v>722</v>
      </c>
      <c r="B99" s="64">
        <v>10.94</v>
      </c>
      <c r="C99" s="64">
        <v>15.79</v>
      </c>
      <c r="D99" s="64">
        <v>18.13</v>
      </c>
      <c r="E99" s="64">
        <v>2.54</v>
      </c>
      <c r="F99" s="64">
        <v>5.39</v>
      </c>
      <c r="G99" s="216" t="s">
        <v>43</v>
      </c>
      <c r="H99" s="216" t="s">
        <v>43</v>
      </c>
      <c r="I99" s="64">
        <v>6.42</v>
      </c>
      <c r="J99" s="64">
        <v>0.03</v>
      </c>
      <c r="K99" s="64">
        <v>287.01</v>
      </c>
      <c r="L99" s="64">
        <v>22.91</v>
      </c>
      <c r="M99" s="64">
        <v>97.16</v>
      </c>
      <c r="N99" s="64">
        <v>25.6</v>
      </c>
      <c r="O99" s="64">
        <v>0</v>
      </c>
      <c r="P99" s="64">
        <v>0.84</v>
      </c>
      <c r="Q99" s="64">
        <v>20.010000000000002</v>
      </c>
      <c r="R99" s="198"/>
      <c r="S99" s="198"/>
      <c r="T99" s="198"/>
      <c r="U99" s="198"/>
    </row>
    <row r="100" spans="1:33" s="12" customFormat="1" x14ac:dyDescent="0.25">
      <c r="A100" s="215" t="s">
        <v>723</v>
      </c>
      <c r="B100" s="64">
        <v>10.57</v>
      </c>
      <c r="C100" s="64">
        <v>13.8</v>
      </c>
      <c r="D100" s="64">
        <v>16.739999999999998</v>
      </c>
      <c r="E100" s="64">
        <v>2.4700000000000002</v>
      </c>
      <c r="F100" s="64">
        <v>4.8600000000000003</v>
      </c>
      <c r="G100" s="216" t="s">
        <v>43</v>
      </c>
      <c r="H100" s="216" t="s">
        <v>43</v>
      </c>
      <c r="I100" s="64">
        <v>6.33</v>
      </c>
      <c r="J100" s="64">
        <v>0.09</v>
      </c>
      <c r="K100" s="64">
        <v>330.87</v>
      </c>
      <c r="L100" s="64">
        <v>23.1</v>
      </c>
      <c r="M100" s="64">
        <v>97.18</v>
      </c>
      <c r="N100" s="64">
        <v>25.7</v>
      </c>
      <c r="O100" s="64">
        <v>0</v>
      </c>
      <c r="P100" s="64">
        <v>0.83</v>
      </c>
      <c r="Q100" s="64">
        <v>20.239999999999998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724</v>
      </c>
      <c r="B101" s="64">
        <v>10.3</v>
      </c>
      <c r="C101" s="64">
        <v>18.22</v>
      </c>
      <c r="D101" s="64">
        <v>18.96</v>
      </c>
      <c r="E101" s="64">
        <v>2.2999999999999998</v>
      </c>
      <c r="F101" s="64">
        <v>5.04</v>
      </c>
      <c r="G101" s="216" t="s">
        <v>43</v>
      </c>
      <c r="H101" s="216" t="s">
        <v>43</v>
      </c>
      <c r="I101" s="64">
        <v>6.25</v>
      </c>
      <c r="J101" s="64">
        <v>0.04</v>
      </c>
      <c r="K101" s="64">
        <v>177.38</v>
      </c>
      <c r="L101" s="64">
        <v>23.11</v>
      </c>
      <c r="M101" s="64">
        <v>97.16</v>
      </c>
      <c r="N101" s="64">
        <v>25.9</v>
      </c>
      <c r="O101" s="64">
        <v>0</v>
      </c>
      <c r="P101" s="64">
        <v>0.79</v>
      </c>
      <c r="Q101" s="64">
        <v>20.86</v>
      </c>
      <c r="R101" s="198"/>
      <c r="S101" s="198"/>
      <c r="T101" s="198"/>
      <c r="U101" s="198"/>
    </row>
    <row r="102" spans="1:33" s="12" customFormat="1" x14ac:dyDescent="0.25">
      <c r="A102" s="215" t="s">
        <v>725</v>
      </c>
      <c r="B102" s="64">
        <v>9.93</v>
      </c>
      <c r="C102" s="64">
        <v>14.49</v>
      </c>
      <c r="D102" s="64">
        <v>16.61</v>
      </c>
      <c r="E102" s="64">
        <v>2.2599999999999998</v>
      </c>
      <c r="F102" s="64">
        <v>5.99</v>
      </c>
      <c r="G102" s="216" t="s">
        <v>43</v>
      </c>
      <c r="H102" s="216" t="s">
        <v>43</v>
      </c>
      <c r="I102" s="64">
        <v>5.9</v>
      </c>
      <c r="J102" s="64">
        <v>0.49</v>
      </c>
      <c r="K102" s="64">
        <v>176.02</v>
      </c>
      <c r="L102" s="64">
        <v>23.47</v>
      </c>
      <c r="M102" s="64">
        <v>97.09</v>
      </c>
      <c r="N102" s="64">
        <v>26</v>
      </c>
      <c r="O102" s="64">
        <v>0</v>
      </c>
      <c r="P102" s="64">
        <v>0.78</v>
      </c>
      <c r="Q102" s="64">
        <v>19.8</v>
      </c>
      <c r="R102" s="198"/>
      <c r="S102" s="198"/>
      <c r="T102" s="198"/>
      <c r="U102" s="198"/>
    </row>
    <row r="103" spans="1:33" s="12" customFormat="1" x14ac:dyDescent="0.25">
      <c r="A103" s="215" t="s">
        <v>726</v>
      </c>
      <c r="B103" s="64">
        <v>9.6999999999999993</v>
      </c>
      <c r="C103" s="64">
        <v>13.71</v>
      </c>
      <c r="D103" s="64">
        <v>15.99</v>
      </c>
      <c r="E103" s="64">
        <v>2.87</v>
      </c>
      <c r="F103" s="64">
        <v>1.65</v>
      </c>
      <c r="G103" s="216" t="s">
        <v>43</v>
      </c>
      <c r="H103" s="216" t="s">
        <v>43</v>
      </c>
      <c r="I103" s="64">
        <v>5.49</v>
      </c>
      <c r="J103" s="64">
        <v>1.54</v>
      </c>
      <c r="K103" s="64">
        <v>168.91</v>
      </c>
      <c r="L103" s="64">
        <v>24.01</v>
      </c>
      <c r="M103" s="64">
        <v>96.11</v>
      </c>
      <c r="N103" s="64">
        <v>26.4</v>
      </c>
      <c r="O103" s="64">
        <v>0</v>
      </c>
      <c r="P103" s="64">
        <v>0.74</v>
      </c>
      <c r="Q103" s="64">
        <v>20.059999999999999</v>
      </c>
      <c r="R103" s="198"/>
      <c r="S103" s="198"/>
      <c r="T103" s="198"/>
      <c r="U103" s="198"/>
    </row>
    <row r="104" spans="1:33" s="12" customFormat="1" x14ac:dyDescent="0.25">
      <c r="A104" s="215" t="s">
        <v>727</v>
      </c>
      <c r="B104" s="64">
        <v>8.86</v>
      </c>
      <c r="C104" s="64">
        <v>12.55</v>
      </c>
      <c r="D104" s="64">
        <v>14.68</v>
      </c>
      <c r="E104" s="64">
        <v>2.14</v>
      </c>
      <c r="F104" s="64">
        <v>5.5</v>
      </c>
      <c r="G104" s="216" t="s">
        <v>43</v>
      </c>
      <c r="H104" s="216" t="s">
        <v>43</v>
      </c>
      <c r="I104" s="64">
        <v>5.75</v>
      </c>
      <c r="J104" s="64">
        <v>1.02</v>
      </c>
      <c r="K104" s="64">
        <v>194.04</v>
      </c>
      <c r="L104" s="64">
        <v>24.33</v>
      </c>
      <c r="M104" s="64">
        <v>88.66</v>
      </c>
      <c r="N104" s="64">
        <v>27.7</v>
      </c>
      <c r="O104" s="64">
        <v>0</v>
      </c>
      <c r="P104" s="64">
        <v>0.7</v>
      </c>
      <c r="Q104" s="64">
        <v>19.079999999999998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3.13</v>
      </c>
      <c r="C106" s="67">
        <f>MIN(C9:C104)</f>
        <v>10.82</v>
      </c>
      <c r="D106" s="67">
        <f t="shared" ref="D106:Q106" si="0">MIN(D9:D104)</f>
        <v>10.26</v>
      </c>
      <c r="E106" s="67">
        <f t="shared" si="0"/>
        <v>1.37</v>
      </c>
      <c r="F106" s="67">
        <f t="shared" si="0"/>
        <v>1.65</v>
      </c>
      <c r="G106" s="67">
        <f t="shared" si="0"/>
        <v>0</v>
      </c>
      <c r="H106" s="67">
        <f t="shared" si="0"/>
        <v>0</v>
      </c>
      <c r="I106" s="67">
        <f t="shared" si="0"/>
        <v>2.09</v>
      </c>
      <c r="J106" s="67">
        <f t="shared" si="0"/>
        <v>0.02</v>
      </c>
      <c r="K106" s="67">
        <f t="shared" si="0"/>
        <v>0.24</v>
      </c>
      <c r="L106" s="67">
        <f t="shared" si="0"/>
        <v>20.97</v>
      </c>
      <c r="M106" s="67">
        <f t="shared" si="0"/>
        <v>56.91</v>
      </c>
      <c r="N106" s="67">
        <f t="shared" si="0"/>
        <v>24.5</v>
      </c>
      <c r="O106" s="67">
        <f t="shared" si="0"/>
        <v>0</v>
      </c>
      <c r="P106" s="67">
        <f t="shared" si="0"/>
        <v>0.28999999999999998</v>
      </c>
      <c r="Q106" s="67">
        <f t="shared" si="0"/>
        <v>2.4900000000000002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16.350000000000001</v>
      </c>
      <c r="C107" s="66">
        <f t="shared" ref="C107:Q107" si="1">MAX(C9:C104)</f>
        <v>49.11</v>
      </c>
      <c r="D107" s="66">
        <f t="shared" si="1"/>
        <v>37.799999999999997</v>
      </c>
      <c r="E107" s="66">
        <f t="shared" si="1"/>
        <v>3.1</v>
      </c>
      <c r="F107" s="66">
        <f t="shared" si="1"/>
        <v>42.81</v>
      </c>
      <c r="G107" s="66">
        <f t="shared" si="1"/>
        <v>0</v>
      </c>
      <c r="H107" s="66">
        <f t="shared" si="1"/>
        <v>0</v>
      </c>
      <c r="I107" s="66">
        <f t="shared" si="1"/>
        <v>6.67</v>
      </c>
      <c r="J107" s="66">
        <f t="shared" si="1"/>
        <v>3.65</v>
      </c>
      <c r="K107" s="66">
        <f t="shared" si="1"/>
        <v>358.95</v>
      </c>
      <c r="L107" s="66">
        <f t="shared" si="1"/>
        <v>32.36</v>
      </c>
      <c r="M107" s="66">
        <f t="shared" si="1"/>
        <v>97.2</v>
      </c>
      <c r="N107" s="66">
        <f t="shared" si="1"/>
        <v>1076.5</v>
      </c>
      <c r="O107" s="66">
        <f t="shared" si="1"/>
        <v>20.399999999999999</v>
      </c>
      <c r="P107" s="66">
        <f t="shared" si="1"/>
        <v>1.01</v>
      </c>
      <c r="Q107" s="66">
        <f t="shared" si="1"/>
        <v>20.86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7.3001041666666673</v>
      </c>
      <c r="C108" s="67">
        <f t="shared" ref="C108:Q108" si="2">AVERAGE(C9:C104)</f>
        <v>18.714687500000007</v>
      </c>
      <c r="D108" s="67">
        <f t="shared" si="2"/>
        <v>16.828750000000003</v>
      </c>
      <c r="E108" s="67">
        <f t="shared" si="2"/>
        <v>2.3471875</v>
      </c>
      <c r="F108" s="67">
        <f t="shared" si="2"/>
        <v>12.635520833333336</v>
      </c>
      <c r="G108" s="67" t="e">
        <f t="shared" si="2"/>
        <v>#DIV/0!</v>
      </c>
      <c r="H108" s="67" t="e">
        <f t="shared" si="2"/>
        <v>#DIV/0!</v>
      </c>
      <c r="I108" s="67">
        <f t="shared" si="2"/>
        <v>3.96875</v>
      </c>
      <c r="J108" s="67">
        <f t="shared" si="2"/>
        <v>0.39885416666666673</v>
      </c>
      <c r="K108" s="67">
        <f t="shared" si="2"/>
        <v>182.87270833333332</v>
      </c>
      <c r="L108" s="67">
        <f t="shared" si="2"/>
        <v>25.985833333333332</v>
      </c>
      <c r="M108" s="67">
        <f t="shared" si="2"/>
        <v>80.778020833333287</v>
      </c>
      <c r="N108" s="67">
        <f t="shared" si="2"/>
        <v>249.03541666666675</v>
      </c>
      <c r="O108" s="67">
        <f t="shared" si="2"/>
        <v>0.79583333333333339</v>
      </c>
      <c r="P108" s="67">
        <f t="shared" si="2"/>
        <v>0.60791666666666677</v>
      </c>
      <c r="Q108" s="67">
        <f t="shared" si="2"/>
        <v>11.709583333333333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3.000697636354678</v>
      </c>
      <c r="C109" s="67">
        <f t="shared" ref="C109:Q109" si="3">STDEV(C9:C104)</f>
        <v>7.4030802910715741</v>
      </c>
      <c r="D109" s="67">
        <f t="shared" si="3"/>
        <v>5.6796553360958431</v>
      </c>
      <c r="E109" s="67">
        <f t="shared" si="3"/>
        <v>0.34331113132949925</v>
      </c>
      <c r="F109" s="67">
        <f t="shared" si="3"/>
        <v>8.7023717117856787</v>
      </c>
      <c r="G109" s="67" t="e">
        <f t="shared" si="3"/>
        <v>#DIV/0!</v>
      </c>
      <c r="H109" s="67" t="e">
        <f t="shared" si="3"/>
        <v>#DIV/0!</v>
      </c>
      <c r="I109" s="67">
        <f t="shared" si="3"/>
        <v>1.1032270845116192</v>
      </c>
      <c r="J109" s="67">
        <f t="shared" si="3"/>
        <v>0.50899047616292525</v>
      </c>
      <c r="K109" s="67">
        <f t="shared" si="3"/>
        <v>118.84292204842819</v>
      </c>
      <c r="L109" s="67">
        <f t="shared" si="3"/>
        <v>3.7418587181595417</v>
      </c>
      <c r="M109" s="67">
        <f t="shared" si="3"/>
        <v>14.628521213157002</v>
      </c>
      <c r="N109" s="67">
        <f t="shared" si="3"/>
        <v>279.61890305017363</v>
      </c>
      <c r="O109" s="67">
        <f t="shared" si="3"/>
        <v>3.228945295185139</v>
      </c>
      <c r="P109" s="67">
        <f t="shared" si="3"/>
        <v>0.16199361044362606</v>
      </c>
      <c r="Q109" s="67">
        <f t="shared" si="3"/>
        <v>4.8149927948061508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0</v>
      </c>
      <c r="H110" s="66">
        <f>COUNT(H9:H104)</f>
        <v>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44" sqref="I14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728</v>
      </c>
      <c r="B9" s="64">
        <v>7.58</v>
      </c>
      <c r="C9" s="64">
        <v>11.65</v>
      </c>
      <c r="D9" s="64">
        <v>13.16</v>
      </c>
      <c r="E9" s="64">
        <v>2.98</v>
      </c>
      <c r="F9" s="64">
        <v>7.67</v>
      </c>
      <c r="G9" s="216" t="s">
        <v>43</v>
      </c>
      <c r="H9" s="216" t="s">
        <v>43</v>
      </c>
      <c r="I9" s="64">
        <v>5.77</v>
      </c>
      <c r="J9" s="64">
        <v>0.47</v>
      </c>
      <c r="K9" s="64">
        <v>213.61</v>
      </c>
      <c r="L9" s="64">
        <v>23.33</v>
      </c>
      <c r="M9" s="64">
        <v>94.55</v>
      </c>
      <c r="N9" s="64">
        <v>25.3</v>
      </c>
      <c r="O9" s="64">
        <v>0</v>
      </c>
      <c r="P9" s="64">
        <v>0.66</v>
      </c>
      <c r="Q9" s="64">
        <v>17.510000000000002</v>
      </c>
      <c r="R9" s="198"/>
      <c r="S9" s="198"/>
      <c r="T9" s="198"/>
      <c r="U9" s="198"/>
    </row>
    <row r="10" spans="1:21" s="12" customFormat="1" x14ac:dyDescent="0.25">
      <c r="A10" s="215" t="s">
        <v>729</v>
      </c>
      <c r="B10" s="64">
        <v>6.85</v>
      </c>
      <c r="C10" s="64">
        <v>11.66</v>
      </c>
      <c r="D10" s="64">
        <v>12.58</v>
      </c>
      <c r="E10" s="64">
        <v>2.54</v>
      </c>
      <c r="F10" s="64">
        <v>8.77</v>
      </c>
      <c r="G10" s="216" t="s">
        <v>43</v>
      </c>
      <c r="H10" s="216" t="s">
        <v>43</v>
      </c>
      <c r="I10" s="64">
        <v>5.3</v>
      </c>
      <c r="J10" s="64">
        <v>0.43</v>
      </c>
      <c r="K10" s="64">
        <v>200.43</v>
      </c>
      <c r="L10" s="64">
        <v>23.43</v>
      </c>
      <c r="M10" s="64">
        <v>90.3</v>
      </c>
      <c r="N10" s="64">
        <v>24.8</v>
      </c>
      <c r="O10" s="64">
        <v>0</v>
      </c>
      <c r="P10" s="64">
        <v>0.63</v>
      </c>
      <c r="Q10" s="64">
        <v>18.46</v>
      </c>
      <c r="R10" s="198"/>
      <c r="S10" s="198"/>
      <c r="T10" s="198"/>
      <c r="U10" s="198"/>
    </row>
    <row r="11" spans="1:21" s="12" customFormat="1" x14ac:dyDescent="0.25">
      <c r="A11" s="215" t="s">
        <v>730</v>
      </c>
      <c r="B11" s="64">
        <v>6.05</v>
      </c>
      <c r="C11" s="64">
        <v>11.27</v>
      </c>
      <c r="D11" s="64">
        <v>11.72</v>
      </c>
      <c r="E11" s="64">
        <v>2.87</v>
      </c>
      <c r="F11" s="64">
        <v>11.99</v>
      </c>
      <c r="G11" s="216" t="s">
        <v>43</v>
      </c>
      <c r="H11" s="216" t="s">
        <v>43</v>
      </c>
      <c r="I11" s="64">
        <v>5</v>
      </c>
      <c r="J11" s="64">
        <v>7.0000000000000007E-2</v>
      </c>
      <c r="K11" s="64">
        <v>291.75</v>
      </c>
      <c r="L11" s="64">
        <v>23.33</v>
      </c>
      <c r="M11" s="64">
        <v>92.33</v>
      </c>
      <c r="N11" s="64">
        <v>25</v>
      </c>
      <c r="O11" s="64">
        <v>0</v>
      </c>
      <c r="P11" s="64">
        <v>0.61</v>
      </c>
      <c r="Q11" s="64">
        <v>17.09</v>
      </c>
      <c r="R11" s="198"/>
      <c r="S11" s="198"/>
      <c r="T11" s="198"/>
      <c r="U11" s="198"/>
    </row>
    <row r="12" spans="1:21" s="12" customFormat="1" x14ac:dyDescent="0.25">
      <c r="A12" s="215" t="s">
        <v>731</v>
      </c>
      <c r="B12" s="64">
        <v>6.05</v>
      </c>
      <c r="C12" s="64">
        <v>10.66</v>
      </c>
      <c r="D12" s="64">
        <v>11.38</v>
      </c>
      <c r="E12" s="64">
        <v>2.63</v>
      </c>
      <c r="F12" s="64">
        <v>9.83</v>
      </c>
      <c r="G12" s="216" t="s">
        <v>43</v>
      </c>
      <c r="H12" s="216" t="s">
        <v>43</v>
      </c>
      <c r="I12" s="64">
        <v>4.42</v>
      </c>
      <c r="J12" s="64">
        <v>0.09</v>
      </c>
      <c r="K12" s="64">
        <v>214.44</v>
      </c>
      <c r="L12" s="64">
        <v>23.23</v>
      </c>
      <c r="M12" s="64">
        <v>94.1</v>
      </c>
      <c r="N12" s="64">
        <v>24.9</v>
      </c>
      <c r="O12" s="64">
        <v>0</v>
      </c>
      <c r="P12" s="64">
        <v>0.59</v>
      </c>
      <c r="Q12" s="64">
        <v>18.350000000000001</v>
      </c>
      <c r="R12" s="198"/>
      <c r="S12" s="198"/>
      <c r="T12" s="198"/>
      <c r="U12" s="198"/>
    </row>
    <row r="13" spans="1:21" s="12" customFormat="1" x14ac:dyDescent="0.25">
      <c r="A13" s="215" t="s">
        <v>732</v>
      </c>
      <c r="B13" s="64">
        <v>6.66</v>
      </c>
      <c r="C13" s="64">
        <v>12.02</v>
      </c>
      <c r="D13" s="64">
        <v>12.62</v>
      </c>
      <c r="E13" s="64">
        <v>2.95</v>
      </c>
      <c r="F13" s="64">
        <v>5.86</v>
      </c>
      <c r="G13" s="216" t="s">
        <v>43</v>
      </c>
      <c r="H13" s="216" t="s">
        <v>43</v>
      </c>
      <c r="I13" s="64">
        <v>4.26</v>
      </c>
      <c r="J13" s="64">
        <v>0.35</v>
      </c>
      <c r="K13" s="64">
        <v>176.82</v>
      </c>
      <c r="L13" s="64">
        <v>23.19</v>
      </c>
      <c r="M13" s="64">
        <v>95.64</v>
      </c>
      <c r="N13" s="64">
        <v>24.6</v>
      </c>
      <c r="O13" s="64">
        <v>0</v>
      </c>
      <c r="P13" s="64">
        <v>0.54</v>
      </c>
      <c r="Q13" s="64">
        <v>18.55</v>
      </c>
      <c r="R13" s="198"/>
      <c r="S13" s="198"/>
      <c r="T13" s="198"/>
      <c r="U13" s="198"/>
    </row>
    <row r="14" spans="1:21" s="12" customFormat="1" x14ac:dyDescent="0.25">
      <c r="A14" s="215" t="s">
        <v>733</v>
      </c>
      <c r="B14" s="64">
        <v>6.78</v>
      </c>
      <c r="C14" s="64">
        <v>13.48</v>
      </c>
      <c r="D14" s="64">
        <v>13.52</v>
      </c>
      <c r="E14" s="64">
        <v>2.84</v>
      </c>
      <c r="F14" s="64">
        <v>4.8899999999999997</v>
      </c>
      <c r="G14" s="216" t="s">
        <v>43</v>
      </c>
      <c r="H14" s="216" t="s">
        <v>43</v>
      </c>
      <c r="I14" s="64">
        <v>4.4400000000000004</v>
      </c>
      <c r="J14" s="64">
        <v>0.22</v>
      </c>
      <c r="K14" s="64">
        <v>175.5</v>
      </c>
      <c r="L14" s="64">
        <v>23.22</v>
      </c>
      <c r="M14" s="64">
        <v>96.83</v>
      </c>
      <c r="N14" s="64">
        <v>24.7</v>
      </c>
      <c r="O14" s="64">
        <v>0</v>
      </c>
      <c r="P14" s="64">
        <v>0.54</v>
      </c>
      <c r="Q14" s="64">
        <v>19.21</v>
      </c>
      <c r="R14" s="198"/>
      <c r="S14" s="198"/>
      <c r="T14" s="198"/>
      <c r="U14" s="198"/>
    </row>
    <row r="15" spans="1:21" s="12" customFormat="1" x14ac:dyDescent="0.25">
      <c r="A15" s="215" t="s">
        <v>734</v>
      </c>
      <c r="B15" s="64">
        <v>6.33</v>
      </c>
      <c r="C15" s="64">
        <v>12.42</v>
      </c>
      <c r="D15" s="64">
        <v>12.58</v>
      </c>
      <c r="E15" s="64">
        <v>2.96</v>
      </c>
      <c r="F15" s="64">
        <v>5.3</v>
      </c>
      <c r="G15" s="216" t="s">
        <v>43</v>
      </c>
      <c r="H15" s="216" t="s">
        <v>43</v>
      </c>
      <c r="I15" s="64">
        <v>4.99</v>
      </c>
      <c r="J15" s="64">
        <v>0.05</v>
      </c>
      <c r="K15" s="64">
        <v>231.98</v>
      </c>
      <c r="L15" s="64">
        <v>23.21</v>
      </c>
      <c r="M15" s="64">
        <v>97.14</v>
      </c>
      <c r="N15" s="64">
        <v>24.7</v>
      </c>
      <c r="O15" s="64">
        <v>0</v>
      </c>
      <c r="P15" s="64">
        <v>0.51</v>
      </c>
      <c r="Q15" s="64">
        <v>17.73</v>
      </c>
      <c r="R15" s="198"/>
      <c r="S15" s="198"/>
      <c r="T15" s="198"/>
      <c r="U15" s="198"/>
    </row>
    <row r="16" spans="1:21" s="12" customFormat="1" x14ac:dyDescent="0.25">
      <c r="A16" s="215" t="s">
        <v>735</v>
      </c>
      <c r="B16" s="64">
        <v>6.24</v>
      </c>
      <c r="C16" s="64">
        <v>11.72</v>
      </c>
      <c r="D16" s="64">
        <v>12.12</v>
      </c>
      <c r="E16" s="64">
        <v>2.96</v>
      </c>
      <c r="F16" s="64">
        <v>4.74</v>
      </c>
      <c r="G16" s="216" t="s">
        <v>43</v>
      </c>
      <c r="H16" s="216" t="s">
        <v>43</v>
      </c>
      <c r="I16" s="64">
        <v>4.8899999999999997</v>
      </c>
      <c r="J16" s="64">
        <v>0.08</v>
      </c>
      <c r="K16" s="64">
        <v>221.79</v>
      </c>
      <c r="L16" s="64">
        <v>23.2</v>
      </c>
      <c r="M16" s="64">
        <v>97.15</v>
      </c>
      <c r="N16" s="64">
        <v>24.6</v>
      </c>
      <c r="O16" s="64">
        <v>0</v>
      </c>
      <c r="P16" s="64">
        <v>0.5</v>
      </c>
      <c r="Q16" s="64">
        <v>17.98</v>
      </c>
      <c r="R16" s="198"/>
      <c r="S16" s="198"/>
      <c r="T16" s="198"/>
      <c r="U16" s="198"/>
    </row>
    <row r="17" spans="1:21" s="12" customFormat="1" x14ac:dyDescent="0.25">
      <c r="A17" s="215" t="s">
        <v>736</v>
      </c>
      <c r="B17" s="64">
        <v>5.84</v>
      </c>
      <c r="C17" s="64">
        <v>12.81</v>
      </c>
      <c r="D17" s="64">
        <v>12.4</v>
      </c>
      <c r="E17" s="64">
        <v>2.54</v>
      </c>
      <c r="F17" s="64">
        <v>5.29</v>
      </c>
      <c r="G17" s="216" t="s">
        <v>43</v>
      </c>
      <c r="H17" s="216" t="s">
        <v>43</v>
      </c>
      <c r="I17" s="64">
        <v>4.7699999999999996</v>
      </c>
      <c r="J17" s="64">
        <v>0.04</v>
      </c>
      <c r="K17" s="64">
        <v>224.46</v>
      </c>
      <c r="L17" s="64">
        <v>23.21</v>
      </c>
      <c r="M17" s="64">
        <v>97.11</v>
      </c>
      <c r="N17" s="64">
        <v>24.5</v>
      </c>
      <c r="O17" s="64">
        <v>0</v>
      </c>
      <c r="P17" s="64">
        <v>0.47</v>
      </c>
      <c r="Q17" s="64">
        <v>17.36</v>
      </c>
      <c r="R17" s="198"/>
      <c r="S17" s="198"/>
      <c r="T17" s="198"/>
      <c r="U17" s="198"/>
    </row>
    <row r="18" spans="1:21" s="12" customFormat="1" x14ac:dyDescent="0.25">
      <c r="A18" s="215" t="s">
        <v>737</v>
      </c>
      <c r="B18" s="64">
        <v>5.84</v>
      </c>
      <c r="C18" s="64">
        <v>10.95</v>
      </c>
      <c r="D18" s="64">
        <v>11.37</v>
      </c>
      <c r="E18" s="64">
        <v>2.81</v>
      </c>
      <c r="F18" s="64">
        <v>5.72</v>
      </c>
      <c r="G18" s="216" t="s">
        <v>43</v>
      </c>
      <c r="H18" s="216" t="s">
        <v>43</v>
      </c>
      <c r="I18" s="64">
        <v>4.4800000000000004</v>
      </c>
      <c r="J18" s="64">
        <v>0.01</v>
      </c>
      <c r="K18" s="64">
        <v>250.72</v>
      </c>
      <c r="L18" s="64">
        <v>23.28</v>
      </c>
      <c r="M18" s="64">
        <v>96.8</v>
      </c>
      <c r="N18" s="64">
        <v>24.5</v>
      </c>
      <c r="O18" s="64">
        <v>0</v>
      </c>
      <c r="P18" s="64">
        <v>0.45</v>
      </c>
      <c r="Q18" s="64">
        <v>14.81</v>
      </c>
      <c r="R18" s="198"/>
      <c r="S18" s="198"/>
      <c r="T18" s="198"/>
      <c r="U18" s="198"/>
    </row>
    <row r="19" spans="1:21" s="12" customFormat="1" x14ac:dyDescent="0.25">
      <c r="A19" s="215" t="s">
        <v>738</v>
      </c>
      <c r="B19" s="64">
        <v>5.84</v>
      </c>
      <c r="C19" s="64">
        <v>11.73</v>
      </c>
      <c r="D19" s="64">
        <v>11.81</v>
      </c>
      <c r="E19" s="64">
        <v>2.9</v>
      </c>
      <c r="F19" s="64">
        <v>4.0999999999999996</v>
      </c>
      <c r="G19" s="216" t="s">
        <v>43</v>
      </c>
      <c r="H19" s="216" t="s">
        <v>43</v>
      </c>
      <c r="I19" s="64">
        <v>4.29</v>
      </c>
      <c r="J19" s="64">
        <v>0.06</v>
      </c>
      <c r="K19" s="64">
        <v>357.69</v>
      </c>
      <c r="L19" s="64">
        <v>23.33</v>
      </c>
      <c r="M19" s="64">
        <v>95.71</v>
      </c>
      <c r="N19" s="64">
        <v>24.7</v>
      </c>
      <c r="O19" s="64">
        <v>0</v>
      </c>
      <c r="P19" s="64">
        <v>0.44</v>
      </c>
      <c r="Q19" s="64">
        <v>16.940000000000001</v>
      </c>
      <c r="R19" s="198"/>
      <c r="S19" s="198"/>
      <c r="T19" s="198"/>
      <c r="U19" s="198"/>
    </row>
    <row r="20" spans="1:21" s="12" customFormat="1" x14ac:dyDescent="0.25">
      <c r="A20" s="215" t="s">
        <v>739</v>
      </c>
      <c r="B20" s="64">
        <v>4.6900000000000004</v>
      </c>
      <c r="C20" s="64">
        <v>11.33</v>
      </c>
      <c r="D20" s="64">
        <v>10.66</v>
      </c>
      <c r="E20" s="64">
        <v>2.64</v>
      </c>
      <c r="F20" s="64">
        <v>18.82</v>
      </c>
      <c r="G20" s="216" t="s">
        <v>43</v>
      </c>
      <c r="H20" s="216" t="s">
        <v>43</v>
      </c>
      <c r="I20" s="64">
        <v>4.2699999999999996</v>
      </c>
      <c r="J20" s="64">
        <v>0.17</v>
      </c>
      <c r="K20" s="64">
        <v>2.38</v>
      </c>
      <c r="L20" s="64">
        <v>23.26</v>
      </c>
      <c r="M20" s="64">
        <v>96.72</v>
      </c>
      <c r="N20" s="64">
        <v>24.9</v>
      </c>
      <c r="O20" s="64">
        <v>0</v>
      </c>
      <c r="P20" s="64">
        <v>0.41</v>
      </c>
      <c r="Q20" s="64">
        <v>17.23</v>
      </c>
      <c r="R20" s="198"/>
      <c r="S20" s="198"/>
      <c r="T20" s="198"/>
      <c r="U20" s="198"/>
    </row>
    <row r="21" spans="1:21" s="12" customFormat="1" x14ac:dyDescent="0.25">
      <c r="A21" s="215" t="s">
        <v>740</v>
      </c>
      <c r="B21" s="64">
        <v>5.49</v>
      </c>
      <c r="C21" s="64">
        <v>10.07</v>
      </c>
      <c r="D21" s="64">
        <v>10.6</v>
      </c>
      <c r="E21" s="64">
        <v>2.65</v>
      </c>
      <c r="F21" s="64">
        <v>16.77</v>
      </c>
      <c r="G21" s="216" t="s">
        <v>43</v>
      </c>
      <c r="H21" s="216" t="s">
        <v>43</v>
      </c>
      <c r="I21" s="64">
        <v>3.77</v>
      </c>
      <c r="J21" s="64">
        <v>0.08</v>
      </c>
      <c r="K21" s="64">
        <v>359.31</v>
      </c>
      <c r="L21" s="64">
        <v>23.25</v>
      </c>
      <c r="M21" s="64">
        <v>96.89</v>
      </c>
      <c r="N21" s="64">
        <v>24.8</v>
      </c>
      <c r="O21" s="64">
        <v>0</v>
      </c>
      <c r="P21" s="64">
        <v>0.41</v>
      </c>
      <c r="Q21" s="64">
        <v>15.51</v>
      </c>
      <c r="R21" s="198"/>
      <c r="S21" s="198"/>
      <c r="T21" s="198"/>
      <c r="U21" s="198"/>
    </row>
    <row r="22" spans="1:21" s="12" customFormat="1" x14ac:dyDescent="0.25">
      <c r="A22" s="215" t="s">
        <v>741</v>
      </c>
      <c r="B22" s="64">
        <v>5.23</v>
      </c>
      <c r="C22" s="64">
        <v>10.06</v>
      </c>
      <c r="D22" s="64">
        <v>10.39</v>
      </c>
      <c r="E22" s="64">
        <v>2.59</v>
      </c>
      <c r="F22" s="64">
        <v>14.78</v>
      </c>
      <c r="G22" s="216" t="s">
        <v>43</v>
      </c>
      <c r="H22" s="216" t="s">
        <v>43</v>
      </c>
      <c r="I22" s="64">
        <v>2.5299999999999998</v>
      </c>
      <c r="J22" s="64">
        <v>0.08</v>
      </c>
      <c r="K22" s="64">
        <v>32.86</v>
      </c>
      <c r="L22" s="64">
        <v>23.27</v>
      </c>
      <c r="M22" s="64">
        <v>95.87</v>
      </c>
      <c r="N22" s="64">
        <v>24.5</v>
      </c>
      <c r="O22" s="64">
        <v>0</v>
      </c>
      <c r="P22" s="64">
        <v>0.4</v>
      </c>
      <c r="Q22" s="64">
        <v>17.559999999999999</v>
      </c>
      <c r="R22" s="198"/>
      <c r="S22" s="198"/>
      <c r="T22" s="198"/>
      <c r="U22" s="198"/>
    </row>
    <row r="23" spans="1:21" s="12" customFormat="1" x14ac:dyDescent="0.25">
      <c r="A23" s="215" t="s">
        <v>742</v>
      </c>
      <c r="B23" s="64">
        <v>4.8600000000000003</v>
      </c>
      <c r="C23" s="64">
        <v>9.09</v>
      </c>
      <c r="D23" s="64">
        <v>9.56</v>
      </c>
      <c r="E23" s="64">
        <v>2.78</v>
      </c>
      <c r="F23" s="64">
        <v>16.14</v>
      </c>
      <c r="G23" s="216" t="s">
        <v>43</v>
      </c>
      <c r="H23" s="216" t="s">
        <v>43</v>
      </c>
      <c r="I23" s="64">
        <v>2.77</v>
      </c>
      <c r="J23" s="64">
        <v>0.08</v>
      </c>
      <c r="K23" s="64">
        <v>344.7</v>
      </c>
      <c r="L23" s="64">
        <v>23.29</v>
      </c>
      <c r="M23" s="64">
        <v>95.91</v>
      </c>
      <c r="N23" s="64">
        <v>24.7</v>
      </c>
      <c r="O23" s="64">
        <v>0</v>
      </c>
      <c r="P23" s="64">
        <v>0.38</v>
      </c>
      <c r="Q23" s="64">
        <v>16.71</v>
      </c>
      <c r="R23" s="198"/>
      <c r="S23" s="198"/>
      <c r="T23" s="198"/>
      <c r="U23" s="198"/>
    </row>
    <row r="24" spans="1:21" s="12" customFormat="1" x14ac:dyDescent="0.25">
      <c r="A24" s="215" t="s">
        <v>743</v>
      </c>
      <c r="B24" s="64">
        <v>5.3</v>
      </c>
      <c r="C24" s="64">
        <v>9.26</v>
      </c>
      <c r="D24" s="64">
        <v>10.01</v>
      </c>
      <c r="E24" s="64">
        <v>1.38</v>
      </c>
      <c r="F24" s="64">
        <v>10.119999999999999</v>
      </c>
      <c r="G24" s="216" t="s">
        <v>43</v>
      </c>
      <c r="H24" s="216" t="s">
        <v>43</v>
      </c>
      <c r="I24" s="64">
        <v>2.75</v>
      </c>
      <c r="J24" s="64">
        <v>0.05</v>
      </c>
      <c r="K24" s="64">
        <v>239.4</v>
      </c>
      <c r="L24" s="64">
        <v>23.2</v>
      </c>
      <c r="M24" s="64">
        <v>95.09</v>
      </c>
      <c r="N24" s="64">
        <v>24.8</v>
      </c>
      <c r="O24" s="64">
        <v>0</v>
      </c>
      <c r="P24" s="64">
        <v>0.39</v>
      </c>
      <c r="Q24" s="64">
        <v>18.68</v>
      </c>
      <c r="R24" s="198"/>
      <c r="S24" s="198"/>
      <c r="T24" s="198"/>
      <c r="U24" s="198"/>
    </row>
    <row r="25" spans="1:21" s="12" customFormat="1" x14ac:dyDescent="0.25">
      <c r="A25" s="215" t="s">
        <v>744</v>
      </c>
      <c r="B25" s="64">
        <v>6.75</v>
      </c>
      <c r="C25" s="64">
        <v>10.36</v>
      </c>
      <c r="D25" s="64">
        <v>11.77</v>
      </c>
      <c r="E25" s="64">
        <v>2.23</v>
      </c>
      <c r="F25" s="64">
        <v>4.4400000000000004</v>
      </c>
      <c r="G25" s="216" t="s">
        <v>43</v>
      </c>
      <c r="H25" s="216" t="s">
        <v>43</v>
      </c>
      <c r="I25" s="64">
        <v>2.78</v>
      </c>
      <c r="J25" s="64">
        <v>0.04</v>
      </c>
      <c r="K25" s="64">
        <v>278.66000000000003</v>
      </c>
      <c r="L25" s="64">
        <v>23.11</v>
      </c>
      <c r="M25" s="64">
        <v>96.4</v>
      </c>
      <c r="N25" s="64">
        <v>24.7</v>
      </c>
      <c r="O25" s="64">
        <v>0</v>
      </c>
      <c r="P25" s="64">
        <v>0.37</v>
      </c>
      <c r="Q25" s="64">
        <v>19.600000000000001</v>
      </c>
      <c r="R25" s="198"/>
      <c r="S25" s="198"/>
      <c r="T25" s="198"/>
      <c r="U25" s="198"/>
    </row>
    <row r="26" spans="1:21" s="12" customFormat="1" x14ac:dyDescent="0.25">
      <c r="A26" s="215" t="s">
        <v>745</v>
      </c>
      <c r="B26" s="64">
        <v>6.68</v>
      </c>
      <c r="C26" s="64">
        <v>11.91</v>
      </c>
      <c r="D26" s="64">
        <v>12.58</v>
      </c>
      <c r="E26" s="64">
        <v>2.62</v>
      </c>
      <c r="F26" s="64">
        <v>5.54</v>
      </c>
      <c r="G26" s="216" t="s">
        <v>43</v>
      </c>
      <c r="H26" s="216" t="s">
        <v>43</v>
      </c>
      <c r="I26" s="64">
        <v>3.95</v>
      </c>
      <c r="J26" s="64">
        <v>0.13</v>
      </c>
      <c r="K26" s="64">
        <v>353.87</v>
      </c>
      <c r="L26" s="64">
        <v>23.06</v>
      </c>
      <c r="M26" s="64">
        <v>97.1</v>
      </c>
      <c r="N26" s="64">
        <v>24.6</v>
      </c>
      <c r="O26" s="64">
        <v>0</v>
      </c>
      <c r="P26" s="64">
        <v>0.36</v>
      </c>
      <c r="Q26" s="64">
        <v>19.12</v>
      </c>
      <c r="R26" s="198"/>
      <c r="S26" s="198"/>
      <c r="T26" s="198"/>
      <c r="U26" s="198"/>
    </row>
    <row r="27" spans="1:21" s="12" customFormat="1" x14ac:dyDescent="0.25">
      <c r="A27" s="215" t="s">
        <v>746</v>
      </c>
      <c r="B27" s="64">
        <v>7.07</v>
      </c>
      <c r="C27" s="64">
        <v>11.04</v>
      </c>
      <c r="D27" s="64">
        <v>12.41</v>
      </c>
      <c r="E27" s="64">
        <v>2.7</v>
      </c>
      <c r="F27" s="64">
        <v>5.47</v>
      </c>
      <c r="G27" s="216" t="s">
        <v>43</v>
      </c>
      <c r="H27" s="216" t="s">
        <v>43</v>
      </c>
      <c r="I27" s="64">
        <v>4.3600000000000003</v>
      </c>
      <c r="J27" s="64">
        <v>0.31</v>
      </c>
      <c r="K27" s="64">
        <v>338.75</v>
      </c>
      <c r="L27" s="64">
        <v>23.15</v>
      </c>
      <c r="M27" s="64">
        <v>97.1</v>
      </c>
      <c r="N27" s="64">
        <v>24.5</v>
      </c>
      <c r="O27" s="64">
        <v>0</v>
      </c>
      <c r="P27" s="64">
        <v>0.36</v>
      </c>
      <c r="Q27" s="64">
        <v>18.329999999999998</v>
      </c>
      <c r="R27" s="198"/>
      <c r="S27" s="198"/>
      <c r="T27" s="198"/>
      <c r="U27" s="198"/>
    </row>
    <row r="28" spans="1:21" s="12" customFormat="1" x14ac:dyDescent="0.25">
      <c r="A28" s="215" t="s">
        <v>747</v>
      </c>
      <c r="B28" s="64">
        <v>8.77</v>
      </c>
      <c r="C28" s="64">
        <v>14.8</v>
      </c>
      <c r="D28" s="64">
        <v>15.85</v>
      </c>
      <c r="E28" s="64">
        <v>2.5499999999999998</v>
      </c>
      <c r="F28" s="64">
        <v>3.16</v>
      </c>
      <c r="G28" s="216" t="s">
        <v>43</v>
      </c>
      <c r="H28" s="216" t="s">
        <v>43</v>
      </c>
      <c r="I28" s="64">
        <v>4.51</v>
      </c>
      <c r="J28" s="64">
        <v>0.24</v>
      </c>
      <c r="K28" s="64">
        <v>351.74</v>
      </c>
      <c r="L28" s="64">
        <v>23.16</v>
      </c>
      <c r="M28" s="64">
        <v>97.1</v>
      </c>
      <c r="N28" s="64">
        <v>24.5</v>
      </c>
      <c r="O28" s="64">
        <v>0</v>
      </c>
      <c r="P28" s="64">
        <v>0.36</v>
      </c>
      <c r="Q28" s="64">
        <v>18.649999999999999</v>
      </c>
      <c r="R28" s="198"/>
      <c r="S28" s="198"/>
      <c r="T28" s="198"/>
      <c r="U28" s="198"/>
    </row>
    <row r="29" spans="1:21" s="12" customFormat="1" x14ac:dyDescent="0.25">
      <c r="A29" s="215" t="s">
        <v>748</v>
      </c>
      <c r="B29" s="64">
        <v>8.5399999999999991</v>
      </c>
      <c r="C29" s="64">
        <v>11.62</v>
      </c>
      <c r="D29" s="64">
        <v>13.91</v>
      </c>
      <c r="E29" s="64">
        <v>2.65</v>
      </c>
      <c r="F29" s="64">
        <v>5.42</v>
      </c>
      <c r="G29" s="216" t="s">
        <v>43</v>
      </c>
      <c r="H29" s="216" t="s">
        <v>43</v>
      </c>
      <c r="I29" s="64">
        <v>4.58</v>
      </c>
      <c r="J29" s="64">
        <v>0.33</v>
      </c>
      <c r="K29" s="64">
        <v>344.59</v>
      </c>
      <c r="L29" s="64">
        <v>23.07</v>
      </c>
      <c r="M29" s="64">
        <v>97.06</v>
      </c>
      <c r="N29" s="64">
        <v>24.7</v>
      </c>
      <c r="O29" s="64">
        <v>0</v>
      </c>
      <c r="P29" s="64">
        <v>0.36</v>
      </c>
      <c r="Q29" s="64">
        <v>16.010000000000002</v>
      </c>
      <c r="R29" s="198"/>
      <c r="S29" s="198"/>
      <c r="T29" s="198"/>
      <c r="U29" s="198"/>
    </row>
    <row r="30" spans="1:21" s="12" customFormat="1" x14ac:dyDescent="0.25">
      <c r="A30" s="215" t="s">
        <v>749</v>
      </c>
      <c r="B30" s="64">
        <v>9.66</v>
      </c>
      <c r="C30" s="64">
        <v>11.14</v>
      </c>
      <c r="D30" s="64">
        <v>14.54</v>
      </c>
      <c r="E30" s="64">
        <v>2.4700000000000002</v>
      </c>
      <c r="F30" s="64">
        <v>4.08</v>
      </c>
      <c r="G30" s="216" t="s">
        <v>43</v>
      </c>
      <c r="H30" s="216" t="s">
        <v>43</v>
      </c>
      <c r="I30" s="64">
        <v>4.29</v>
      </c>
      <c r="J30" s="64">
        <v>0.66</v>
      </c>
      <c r="K30" s="64">
        <v>12.25</v>
      </c>
      <c r="L30" s="64">
        <v>23</v>
      </c>
      <c r="M30" s="64">
        <v>97.08</v>
      </c>
      <c r="N30" s="64">
        <v>26.4</v>
      </c>
      <c r="O30" s="64">
        <v>0</v>
      </c>
      <c r="P30" s="64">
        <v>0.37</v>
      </c>
      <c r="Q30" s="64">
        <v>17.62</v>
      </c>
      <c r="R30" s="198"/>
      <c r="S30" s="198"/>
      <c r="T30" s="198"/>
      <c r="U30" s="198"/>
    </row>
    <row r="31" spans="1:21" s="12" customFormat="1" x14ac:dyDescent="0.25">
      <c r="A31" s="215" t="s">
        <v>750</v>
      </c>
      <c r="B31" s="64">
        <v>10.66</v>
      </c>
      <c r="C31" s="64">
        <v>13.78</v>
      </c>
      <c r="D31" s="64">
        <v>16.8</v>
      </c>
      <c r="E31" s="64">
        <v>2.75</v>
      </c>
      <c r="F31" s="64">
        <v>8.6</v>
      </c>
      <c r="G31" s="216" t="s">
        <v>43</v>
      </c>
      <c r="H31" s="216" t="s">
        <v>43</v>
      </c>
      <c r="I31" s="64">
        <v>4.25</v>
      </c>
      <c r="J31" s="64">
        <v>0.64</v>
      </c>
      <c r="K31" s="64">
        <v>18</v>
      </c>
      <c r="L31" s="64">
        <v>23.07</v>
      </c>
      <c r="M31" s="64">
        <v>96.26</v>
      </c>
      <c r="N31" s="64">
        <v>29.4</v>
      </c>
      <c r="O31" s="64">
        <v>0</v>
      </c>
      <c r="P31" s="64">
        <v>0.37</v>
      </c>
      <c r="Q31" s="64">
        <v>17.75</v>
      </c>
      <c r="R31" s="198"/>
      <c r="S31" s="198"/>
      <c r="T31" s="198"/>
      <c r="U31" s="198"/>
    </row>
    <row r="32" spans="1:21" s="12" customFormat="1" x14ac:dyDescent="0.25">
      <c r="A32" s="215" t="s">
        <v>751</v>
      </c>
      <c r="B32" s="64">
        <v>14.18</v>
      </c>
      <c r="C32" s="64">
        <v>17.54</v>
      </c>
      <c r="D32" s="64">
        <v>21.69</v>
      </c>
      <c r="E32" s="64">
        <v>2.35</v>
      </c>
      <c r="F32" s="64">
        <v>14.17</v>
      </c>
      <c r="G32" s="216" t="s">
        <v>43</v>
      </c>
      <c r="H32" s="216" t="s">
        <v>43</v>
      </c>
      <c r="I32" s="64">
        <v>4.09</v>
      </c>
      <c r="J32" s="64">
        <v>0.41</v>
      </c>
      <c r="K32" s="64">
        <v>4.8600000000000003</v>
      </c>
      <c r="L32" s="64">
        <v>23.06</v>
      </c>
      <c r="M32" s="64">
        <v>95.48</v>
      </c>
      <c r="N32" s="64">
        <v>31.5</v>
      </c>
      <c r="O32" s="64">
        <v>0</v>
      </c>
      <c r="P32" s="64">
        <v>0.38</v>
      </c>
      <c r="Q32" s="64">
        <v>18.579999999999998</v>
      </c>
      <c r="R32" s="198"/>
      <c r="S32" s="198"/>
      <c r="T32" s="198"/>
      <c r="U32" s="198"/>
    </row>
    <row r="33" spans="1:21" s="12" customFormat="1" x14ac:dyDescent="0.25">
      <c r="A33" s="215" t="s">
        <v>752</v>
      </c>
      <c r="B33" s="64">
        <v>14.21</v>
      </c>
      <c r="C33" s="64">
        <v>14.42</v>
      </c>
      <c r="D33" s="64">
        <v>20</v>
      </c>
      <c r="E33" s="64">
        <v>2.54</v>
      </c>
      <c r="F33" s="64">
        <v>15.6</v>
      </c>
      <c r="G33" s="216" t="s">
        <v>43</v>
      </c>
      <c r="H33" s="216" t="s">
        <v>43</v>
      </c>
      <c r="I33" s="64">
        <v>3.64</v>
      </c>
      <c r="J33" s="64">
        <v>0.56999999999999995</v>
      </c>
      <c r="K33" s="64">
        <v>5.85</v>
      </c>
      <c r="L33" s="64">
        <v>23.12</v>
      </c>
      <c r="M33" s="64">
        <v>95.82</v>
      </c>
      <c r="N33" s="64">
        <v>36.700000000000003</v>
      </c>
      <c r="O33" s="64">
        <v>0</v>
      </c>
      <c r="P33" s="64">
        <v>0.39</v>
      </c>
      <c r="Q33" s="64">
        <v>18.350000000000001</v>
      </c>
      <c r="R33" s="198"/>
      <c r="S33" s="198"/>
      <c r="T33" s="198"/>
      <c r="U33" s="198"/>
    </row>
    <row r="34" spans="1:21" s="12" customFormat="1" x14ac:dyDescent="0.25">
      <c r="A34" s="215" t="s">
        <v>753</v>
      </c>
      <c r="B34" s="64">
        <v>13.42</v>
      </c>
      <c r="C34" s="64">
        <v>15.91</v>
      </c>
      <c r="D34" s="64">
        <v>20.190000000000001</v>
      </c>
      <c r="E34" s="64">
        <v>2.37</v>
      </c>
      <c r="F34" s="64">
        <v>11.89</v>
      </c>
      <c r="G34" s="216" t="s">
        <v>43</v>
      </c>
      <c r="H34" s="216" t="s">
        <v>43</v>
      </c>
      <c r="I34" s="64">
        <v>3.17</v>
      </c>
      <c r="J34" s="64">
        <v>0.61</v>
      </c>
      <c r="K34" s="64">
        <v>7.06</v>
      </c>
      <c r="L34" s="64">
        <v>23.2</v>
      </c>
      <c r="M34" s="64">
        <v>95.94</v>
      </c>
      <c r="N34" s="64">
        <v>50</v>
      </c>
      <c r="O34" s="64">
        <v>0</v>
      </c>
      <c r="P34" s="64">
        <v>0.38</v>
      </c>
      <c r="Q34" s="64">
        <v>20.09</v>
      </c>
      <c r="R34" s="198"/>
      <c r="S34" s="198"/>
      <c r="T34" s="198"/>
      <c r="U34" s="198"/>
    </row>
    <row r="35" spans="1:21" s="12" customFormat="1" x14ac:dyDescent="0.25">
      <c r="A35" s="215" t="s">
        <v>754</v>
      </c>
      <c r="B35" s="64">
        <v>13.92</v>
      </c>
      <c r="C35" s="64">
        <v>13.74</v>
      </c>
      <c r="D35" s="64">
        <v>19.39</v>
      </c>
      <c r="E35" s="64">
        <v>2.5</v>
      </c>
      <c r="F35" s="64">
        <v>10.71</v>
      </c>
      <c r="G35" s="216" t="s">
        <v>43</v>
      </c>
      <c r="H35" s="216" t="s">
        <v>43</v>
      </c>
      <c r="I35" s="64">
        <v>3.5</v>
      </c>
      <c r="J35" s="64">
        <v>0.8</v>
      </c>
      <c r="K35" s="64">
        <v>9.48</v>
      </c>
      <c r="L35" s="64">
        <v>23.38</v>
      </c>
      <c r="M35" s="64">
        <v>94.42</v>
      </c>
      <c r="N35" s="64">
        <v>67.8</v>
      </c>
      <c r="O35" s="64">
        <v>0</v>
      </c>
      <c r="P35" s="64">
        <v>0.39</v>
      </c>
      <c r="Q35" s="64">
        <v>20.350000000000001</v>
      </c>
      <c r="R35" s="198"/>
      <c r="S35" s="198"/>
      <c r="T35" s="198"/>
      <c r="U35" s="198"/>
    </row>
    <row r="36" spans="1:21" s="12" customFormat="1" x14ac:dyDescent="0.25">
      <c r="A36" s="215" t="s">
        <v>755</v>
      </c>
      <c r="B36" s="64">
        <v>14.98</v>
      </c>
      <c r="C36" s="64">
        <v>15.93</v>
      </c>
      <c r="D36" s="64">
        <v>21.46</v>
      </c>
      <c r="E36" s="64">
        <v>2.44</v>
      </c>
      <c r="F36" s="64">
        <v>8.74</v>
      </c>
      <c r="G36" s="216" t="s">
        <v>43</v>
      </c>
      <c r="H36" s="216" t="s">
        <v>43</v>
      </c>
      <c r="I36" s="64">
        <v>3.67</v>
      </c>
      <c r="J36" s="64">
        <v>0.28000000000000003</v>
      </c>
      <c r="K36" s="64">
        <v>3.01</v>
      </c>
      <c r="L36" s="64">
        <v>23.68</v>
      </c>
      <c r="M36" s="64">
        <v>93.25</v>
      </c>
      <c r="N36" s="64">
        <v>96.5</v>
      </c>
      <c r="O36" s="64">
        <v>0</v>
      </c>
      <c r="P36" s="64">
        <v>0.41</v>
      </c>
      <c r="Q36" s="64">
        <v>20.66</v>
      </c>
      <c r="R36" s="198"/>
      <c r="S36" s="198"/>
      <c r="T36" s="198"/>
      <c r="U36" s="198"/>
    </row>
    <row r="37" spans="1:21" s="12" customFormat="1" x14ac:dyDescent="0.25">
      <c r="A37" s="215" t="s">
        <v>756</v>
      </c>
      <c r="B37" s="64">
        <v>14.55</v>
      </c>
      <c r="C37" s="64">
        <v>15.79</v>
      </c>
      <c r="D37" s="64">
        <v>21.02</v>
      </c>
      <c r="E37" s="64">
        <v>3.01</v>
      </c>
      <c r="F37" s="64">
        <v>4.13</v>
      </c>
      <c r="G37" s="216" t="s">
        <v>43</v>
      </c>
      <c r="H37" s="216" t="s">
        <v>43</v>
      </c>
      <c r="I37" s="64">
        <v>4.13</v>
      </c>
      <c r="J37" s="64">
        <v>0.51</v>
      </c>
      <c r="K37" s="64">
        <v>4.34</v>
      </c>
      <c r="L37" s="64">
        <v>24.03</v>
      </c>
      <c r="M37" s="64">
        <v>91.23</v>
      </c>
      <c r="N37" s="64">
        <v>85.4</v>
      </c>
      <c r="O37" s="64">
        <v>0</v>
      </c>
      <c r="P37" s="64">
        <v>0.4</v>
      </c>
      <c r="Q37" s="64">
        <v>20.95</v>
      </c>
      <c r="R37" s="198"/>
      <c r="S37" s="198"/>
      <c r="T37" s="198"/>
      <c r="U37" s="198"/>
    </row>
    <row r="38" spans="1:21" s="12" customFormat="1" x14ac:dyDescent="0.25">
      <c r="A38" s="215" t="s">
        <v>757</v>
      </c>
      <c r="B38" s="64">
        <v>20.67</v>
      </c>
      <c r="C38" s="64">
        <v>19.2</v>
      </c>
      <c r="D38" s="64">
        <v>27.82</v>
      </c>
      <c r="E38" s="64">
        <v>2.67</v>
      </c>
      <c r="F38" s="64">
        <v>8.84</v>
      </c>
      <c r="G38" s="216" t="s">
        <v>43</v>
      </c>
      <c r="H38" s="216" t="s">
        <v>43</v>
      </c>
      <c r="I38" s="64">
        <v>4.96</v>
      </c>
      <c r="J38" s="64">
        <v>0.28000000000000003</v>
      </c>
      <c r="K38" s="64">
        <v>17.23</v>
      </c>
      <c r="L38" s="64">
        <v>24.46</v>
      </c>
      <c r="M38" s="64">
        <v>89.2</v>
      </c>
      <c r="N38" s="64">
        <v>131.5</v>
      </c>
      <c r="O38" s="64">
        <v>0</v>
      </c>
      <c r="P38" s="64">
        <v>0.44</v>
      </c>
      <c r="Q38" s="64">
        <v>19.36</v>
      </c>
      <c r="R38" s="198"/>
      <c r="S38" s="198"/>
      <c r="T38" s="198"/>
      <c r="U38" s="198"/>
    </row>
    <row r="39" spans="1:21" s="12" customFormat="1" x14ac:dyDescent="0.25">
      <c r="A39" s="215" t="s">
        <v>758</v>
      </c>
      <c r="B39" s="64">
        <v>18.5</v>
      </c>
      <c r="C39" s="64">
        <v>14.69</v>
      </c>
      <c r="D39" s="64">
        <v>23.59</v>
      </c>
      <c r="E39" s="64">
        <v>2.65</v>
      </c>
      <c r="F39" s="64">
        <v>6.99</v>
      </c>
      <c r="G39" s="216" t="s">
        <v>43</v>
      </c>
      <c r="H39" s="216" t="s">
        <v>43</v>
      </c>
      <c r="I39" s="64">
        <v>4.8</v>
      </c>
      <c r="J39" s="64">
        <v>0.17</v>
      </c>
      <c r="K39" s="64">
        <v>18.16</v>
      </c>
      <c r="L39" s="64">
        <v>24.9</v>
      </c>
      <c r="M39" s="64">
        <v>86.09</v>
      </c>
      <c r="N39" s="64">
        <v>133.6</v>
      </c>
      <c r="O39" s="64">
        <v>0</v>
      </c>
      <c r="P39" s="64">
        <v>0.48</v>
      </c>
      <c r="Q39" s="64">
        <v>18.559999999999999</v>
      </c>
      <c r="R39" s="198"/>
      <c r="S39" s="198"/>
      <c r="T39" s="198"/>
      <c r="U39" s="198"/>
    </row>
    <row r="40" spans="1:21" s="12" customFormat="1" x14ac:dyDescent="0.25">
      <c r="A40" s="215" t="s">
        <v>759</v>
      </c>
      <c r="B40" s="64">
        <v>17.899999999999999</v>
      </c>
      <c r="C40" s="64">
        <v>11.53</v>
      </c>
      <c r="D40" s="64">
        <v>21.36</v>
      </c>
      <c r="E40" s="64">
        <v>2.5099999999999998</v>
      </c>
      <c r="F40" s="64">
        <v>5.9</v>
      </c>
      <c r="G40" s="216" t="s">
        <v>43</v>
      </c>
      <c r="H40" s="216" t="s">
        <v>43</v>
      </c>
      <c r="I40" s="64">
        <v>4.72</v>
      </c>
      <c r="J40" s="64">
        <v>0.36</v>
      </c>
      <c r="K40" s="64">
        <v>19.78</v>
      </c>
      <c r="L40" s="64">
        <v>25.04</v>
      </c>
      <c r="M40" s="64">
        <v>85.1</v>
      </c>
      <c r="N40" s="64">
        <v>120.4</v>
      </c>
      <c r="O40" s="64">
        <v>0</v>
      </c>
      <c r="P40" s="64">
        <v>0.52</v>
      </c>
      <c r="Q40" s="64">
        <v>19.59</v>
      </c>
      <c r="R40" s="198"/>
      <c r="S40" s="198"/>
      <c r="T40" s="198"/>
      <c r="U40" s="198"/>
    </row>
    <row r="41" spans="1:21" s="12" customFormat="1" x14ac:dyDescent="0.25">
      <c r="A41" s="215" t="s">
        <v>760</v>
      </c>
      <c r="B41" s="64">
        <v>25.97</v>
      </c>
      <c r="C41" s="64">
        <v>23.02</v>
      </c>
      <c r="D41" s="64">
        <v>34.17</v>
      </c>
      <c r="E41" s="64">
        <v>3.18</v>
      </c>
      <c r="F41" s="64">
        <v>5.56</v>
      </c>
      <c r="G41" s="216" t="s">
        <v>43</v>
      </c>
      <c r="H41" s="216" t="s">
        <v>43</v>
      </c>
      <c r="I41" s="64">
        <v>5.0199999999999996</v>
      </c>
      <c r="J41" s="64">
        <v>0.12</v>
      </c>
      <c r="K41" s="64">
        <v>24.47</v>
      </c>
      <c r="L41" s="64">
        <v>25.24</v>
      </c>
      <c r="M41" s="64">
        <v>84.79</v>
      </c>
      <c r="N41" s="64">
        <v>139.30000000000001</v>
      </c>
      <c r="O41" s="64">
        <v>0</v>
      </c>
      <c r="P41" s="64">
        <v>0.53</v>
      </c>
      <c r="Q41" s="64">
        <v>20.420000000000002</v>
      </c>
      <c r="R41" s="198"/>
      <c r="S41" s="198"/>
      <c r="T41" s="198"/>
      <c r="U41" s="198"/>
    </row>
    <row r="42" spans="1:21" s="12" customFormat="1" x14ac:dyDescent="0.25">
      <c r="A42" s="215" t="s">
        <v>761</v>
      </c>
      <c r="B42" s="64">
        <v>26.21</v>
      </c>
      <c r="C42" s="64">
        <v>23</v>
      </c>
      <c r="D42" s="64">
        <v>34.36</v>
      </c>
      <c r="E42" s="64">
        <v>2.4500000000000002</v>
      </c>
      <c r="F42" s="64">
        <v>8.35</v>
      </c>
      <c r="G42" s="216" t="s">
        <v>43</v>
      </c>
      <c r="H42" s="216" t="s">
        <v>43</v>
      </c>
      <c r="I42" s="64">
        <v>5.05</v>
      </c>
      <c r="J42" s="64">
        <v>0.15</v>
      </c>
      <c r="K42" s="64">
        <v>22.08</v>
      </c>
      <c r="L42" s="64">
        <v>25.39</v>
      </c>
      <c r="M42" s="64">
        <v>83.81</v>
      </c>
      <c r="N42" s="64">
        <v>143.4</v>
      </c>
      <c r="O42" s="64">
        <v>0</v>
      </c>
      <c r="P42" s="64">
        <v>0.56999999999999995</v>
      </c>
      <c r="Q42" s="64">
        <v>19.350000000000001</v>
      </c>
      <c r="R42" s="198"/>
      <c r="S42" s="198"/>
      <c r="T42" s="198"/>
      <c r="U42" s="198"/>
    </row>
    <row r="43" spans="1:21" s="12" customFormat="1" x14ac:dyDescent="0.25">
      <c r="A43" s="215" t="s">
        <v>762</v>
      </c>
      <c r="B43" s="64">
        <v>20.170000000000002</v>
      </c>
      <c r="C43" s="64">
        <v>18.39</v>
      </c>
      <c r="D43" s="64">
        <v>26.97</v>
      </c>
      <c r="E43" s="64">
        <v>2.56</v>
      </c>
      <c r="F43" s="64">
        <v>12.31</v>
      </c>
      <c r="G43" s="216" t="s">
        <v>43</v>
      </c>
      <c r="H43" s="216" t="s">
        <v>43</v>
      </c>
      <c r="I43" s="64">
        <v>4.75</v>
      </c>
      <c r="J43" s="64">
        <v>0.33</v>
      </c>
      <c r="K43" s="64">
        <v>165.45</v>
      </c>
      <c r="L43" s="64">
        <v>25.11</v>
      </c>
      <c r="M43" s="64">
        <v>84.33</v>
      </c>
      <c r="N43" s="64">
        <v>186.2</v>
      </c>
      <c r="O43" s="64">
        <v>0</v>
      </c>
      <c r="P43" s="64">
        <v>0.6</v>
      </c>
      <c r="Q43" s="64">
        <v>19.45</v>
      </c>
      <c r="R43" s="198"/>
      <c r="S43" s="198"/>
      <c r="T43" s="198"/>
      <c r="U43" s="198"/>
    </row>
    <row r="44" spans="1:21" s="12" customFormat="1" x14ac:dyDescent="0.25">
      <c r="A44" s="215" t="s">
        <v>763</v>
      </c>
      <c r="B44" s="64">
        <v>16.510000000000002</v>
      </c>
      <c r="C44" s="64">
        <v>20.9</v>
      </c>
      <c r="D44" s="64">
        <v>25.42</v>
      </c>
      <c r="E44" s="64">
        <v>2.63</v>
      </c>
      <c r="F44" s="64">
        <v>14.87</v>
      </c>
      <c r="G44" s="216" t="s">
        <v>43</v>
      </c>
      <c r="H44" s="216" t="s">
        <v>43</v>
      </c>
      <c r="I44" s="64">
        <v>4.6500000000000004</v>
      </c>
      <c r="J44" s="64">
        <v>0.13</v>
      </c>
      <c r="K44" s="64">
        <v>226.28</v>
      </c>
      <c r="L44" s="64">
        <v>25.2</v>
      </c>
      <c r="M44" s="64">
        <v>85.16</v>
      </c>
      <c r="N44" s="64">
        <v>289.89999999999998</v>
      </c>
      <c r="O44" s="64">
        <v>0</v>
      </c>
      <c r="P44" s="64">
        <v>0.57999999999999996</v>
      </c>
      <c r="Q44" s="64">
        <v>21.56</v>
      </c>
      <c r="R44" s="198"/>
      <c r="S44" s="198"/>
      <c r="T44" s="198"/>
      <c r="U44" s="198"/>
    </row>
    <row r="45" spans="1:21" s="12" customFormat="1" x14ac:dyDescent="0.25">
      <c r="A45" s="215" t="s">
        <v>764</v>
      </c>
      <c r="B45" s="64">
        <v>17.22</v>
      </c>
      <c r="C45" s="64">
        <v>17.739999999999998</v>
      </c>
      <c r="D45" s="64">
        <v>24.25</v>
      </c>
      <c r="E45" s="64">
        <v>2.82</v>
      </c>
      <c r="F45" s="64">
        <v>10.77</v>
      </c>
      <c r="G45" s="216" t="s">
        <v>43</v>
      </c>
      <c r="H45" s="216" t="s">
        <v>43</v>
      </c>
      <c r="I45" s="64">
        <v>4.3099999999999996</v>
      </c>
      <c r="J45" s="64">
        <v>0.09</v>
      </c>
      <c r="K45" s="64">
        <v>29.9</v>
      </c>
      <c r="L45" s="64">
        <v>25.51</v>
      </c>
      <c r="M45" s="64">
        <v>85.48</v>
      </c>
      <c r="N45" s="64">
        <v>229.5</v>
      </c>
      <c r="O45" s="64">
        <v>0</v>
      </c>
      <c r="P45" s="64">
        <v>0.59</v>
      </c>
      <c r="Q45" s="64">
        <v>21.62</v>
      </c>
      <c r="R45" s="198"/>
      <c r="S45" s="198"/>
      <c r="T45" s="198"/>
      <c r="U45" s="198"/>
    </row>
    <row r="46" spans="1:21" s="12" customFormat="1" x14ac:dyDescent="0.25">
      <c r="A46" s="215" t="s">
        <v>765</v>
      </c>
      <c r="B46" s="64">
        <v>15.84</v>
      </c>
      <c r="C46" s="64">
        <v>20.170000000000002</v>
      </c>
      <c r="D46" s="64">
        <v>24.48</v>
      </c>
      <c r="E46" s="64">
        <v>2.5099999999999998</v>
      </c>
      <c r="F46" s="64">
        <v>15.98</v>
      </c>
      <c r="G46" s="216" t="s">
        <v>43</v>
      </c>
      <c r="H46" s="216" t="s">
        <v>43</v>
      </c>
      <c r="I46" s="64">
        <v>4.33</v>
      </c>
      <c r="J46" s="64">
        <v>0.12</v>
      </c>
      <c r="K46" s="64">
        <v>182.41</v>
      </c>
      <c r="L46" s="64">
        <v>25.52</v>
      </c>
      <c r="M46" s="64">
        <v>84.44</v>
      </c>
      <c r="N46" s="64">
        <v>180</v>
      </c>
      <c r="O46" s="64">
        <v>0</v>
      </c>
      <c r="P46" s="64">
        <v>0.59</v>
      </c>
      <c r="Q46" s="64">
        <v>22.36</v>
      </c>
      <c r="R46" s="198"/>
      <c r="S46" s="198"/>
      <c r="T46" s="198"/>
      <c r="U46" s="198"/>
    </row>
    <row r="47" spans="1:21" s="12" customFormat="1" x14ac:dyDescent="0.25">
      <c r="A47" s="215" t="s">
        <v>766</v>
      </c>
      <c r="B47" s="64">
        <v>20.59</v>
      </c>
      <c r="C47" s="64">
        <v>16.91</v>
      </c>
      <c r="D47" s="64">
        <v>26.49</v>
      </c>
      <c r="E47" s="64">
        <v>2.4500000000000002</v>
      </c>
      <c r="F47" s="64">
        <v>10.220000000000001</v>
      </c>
      <c r="G47" s="216" t="s">
        <v>43</v>
      </c>
      <c r="H47" s="216" t="s">
        <v>43</v>
      </c>
      <c r="I47" s="64">
        <v>5.01</v>
      </c>
      <c r="J47" s="64">
        <v>0.1</v>
      </c>
      <c r="K47" s="64">
        <v>5.34</v>
      </c>
      <c r="L47" s="64">
        <v>25.61</v>
      </c>
      <c r="M47" s="64">
        <v>85.6</v>
      </c>
      <c r="N47" s="64">
        <v>161</v>
      </c>
      <c r="O47" s="64">
        <v>0</v>
      </c>
      <c r="P47" s="64">
        <v>0.61</v>
      </c>
      <c r="Q47" s="64">
        <v>21.79</v>
      </c>
      <c r="R47" s="198"/>
      <c r="S47" s="198"/>
      <c r="T47" s="198"/>
      <c r="U47" s="198"/>
    </row>
    <row r="48" spans="1:21" s="12" customFormat="1" x14ac:dyDescent="0.25">
      <c r="A48" s="215" t="s">
        <v>767</v>
      </c>
      <c r="B48" s="64">
        <v>18.05</v>
      </c>
      <c r="C48" s="64">
        <v>13.58</v>
      </c>
      <c r="D48" s="64">
        <v>22.61</v>
      </c>
      <c r="E48" s="64">
        <v>2.89</v>
      </c>
      <c r="F48" s="64">
        <v>4.87</v>
      </c>
      <c r="G48" s="216" t="s">
        <v>43</v>
      </c>
      <c r="H48" s="216" t="s">
        <v>43</v>
      </c>
      <c r="I48" s="64">
        <v>5.04</v>
      </c>
      <c r="J48" s="64">
        <v>0.11</v>
      </c>
      <c r="K48" s="64">
        <v>21.97</v>
      </c>
      <c r="L48" s="64">
        <v>25.34</v>
      </c>
      <c r="M48" s="64">
        <v>87.32</v>
      </c>
      <c r="N48" s="64">
        <v>130.80000000000001</v>
      </c>
      <c r="O48" s="64">
        <v>0</v>
      </c>
      <c r="P48" s="64">
        <v>0.63</v>
      </c>
      <c r="Q48" s="64">
        <v>21.99</v>
      </c>
      <c r="R48" s="198"/>
      <c r="S48" s="198"/>
      <c r="T48" s="198"/>
      <c r="U48" s="198"/>
    </row>
    <row r="49" spans="1:21" s="12" customFormat="1" x14ac:dyDescent="0.25">
      <c r="A49" s="215" t="s">
        <v>768</v>
      </c>
      <c r="B49" s="64">
        <v>17.829999999999998</v>
      </c>
      <c r="C49" s="64">
        <v>17.5</v>
      </c>
      <c r="D49" s="64">
        <v>24.6</v>
      </c>
      <c r="E49" s="64">
        <v>3.01</v>
      </c>
      <c r="F49" s="64">
        <v>6.74</v>
      </c>
      <c r="G49" s="216" t="s">
        <v>43</v>
      </c>
      <c r="H49" s="216" t="s">
        <v>43</v>
      </c>
      <c r="I49" s="64">
        <v>5.58</v>
      </c>
      <c r="J49" s="64">
        <v>7.0000000000000007E-2</v>
      </c>
      <c r="K49" s="64">
        <v>301.06</v>
      </c>
      <c r="L49" s="64">
        <v>25.2</v>
      </c>
      <c r="M49" s="64">
        <v>87.18</v>
      </c>
      <c r="N49" s="64">
        <v>144.4</v>
      </c>
      <c r="O49" s="64">
        <v>0</v>
      </c>
      <c r="P49" s="64">
        <v>0.65</v>
      </c>
      <c r="Q49" s="64">
        <v>22.11</v>
      </c>
      <c r="R49" s="198"/>
      <c r="S49" s="198"/>
      <c r="T49" s="198"/>
      <c r="U49" s="198"/>
    </row>
    <row r="50" spans="1:21" s="12" customFormat="1" x14ac:dyDescent="0.25">
      <c r="A50" s="215" t="s">
        <v>769</v>
      </c>
      <c r="B50" s="64">
        <v>16</v>
      </c>
      <c r="C50" s="64">
        <v>15.23</v>
      </c>
      <c r="D50" s="64">
        <v>21.89</v>
      </c>
      <c r="E50" s="64">
        <v>2.52</v>
      </c>
      <c r="F50" s="64">
        <v>5.57</v>
      </c>
      <c r="G50" s="216" t="s">
        <v>43</v>
      </c>
      <c r="H50" s="216" t="s">
        <v>43</v>
      </c>
      <c r="I50" s="64">
        <v>6.3</v>
      </c>
      <c r="J50" s="64">
        <v>0.09</v>
      </c>
      <c r="K50" s="64">
        <v>270.06</v>
      </c>
      <c r="L50" s="64">
        <v>25.13</v>
      </c>
      <c r="M50" s="64">
        <v>87.28</v>
      </c>
      <c r="N50" s="64">
        <v>224.3</v>
      </c>
      <c r="O50" s="64">
        <v>0</v>
      </c>
      <c r="P50" s="64">
        <v>0.7</v>
      </c>
      <c r="Q50" s="64">
        <v>20.59</v>
      </c>
      <c r="R50" s="198"/>
      <c r="S50" s="198"/>
      <c r="T50" s="198"/>
      <c r="U50" s="198"/>
    </row>
    <row r="51" spans="1:21" s="12" customFormat="1" x14ac:dyDescent="0.25">
      <c r="A51" s="215" t="s">
        <v>770</v>
      </c>
      <c r="B51" s="64">
        <v>14.32</v>
      </c>
      <c r="C51" s="64">
        <v>14.12</v>
      </c>
      <c r="D51" s="64">
        <v>19.920000000000002</v>
      </c>
      <c r="E51" s="64">
        <v>2.91</v>
      </c>
      <c r="F51" s="64">
        <v>4.33</v>
      </c>
      <c r="G51" s="216" t="s">
        <v>43</v>
      </c>
      <c r="H51" s="216" t="s">
        <v>43</v>
      </c>
      <c r="I51" s="64">
        <v>6.19</v>
      </c>
      <c r="J51" s="64">
        <v>0.13</v>
      </c>
      <c r="K51" s="64">
        <v>236.99</v>
      </c>
      <c r="L51" s="64">
        <v>25.32</v>
      </c>
      <c r="M51" s="64">
        <v>86.58</v>
      </c>
      <c r="N51" s="64">
        <v>192.2</v>
      </c>
      <c r="O51" s="64">
        <v>0</v>
      </c>
      <c r="P51" s="64">
        <v>0.7</v>
      </c>
      <c r="Q51" s="64">
        <v>20.51</v>
      </c>
      <c r="R51" s="198"/>
      <c r="S51" s="198"/>
      <c r="T51" s="198"/>
      <c r="U51" s="198"/>
    </row>
    <row r="52" spans="1:21" s="12" customFormat="1" x14ac:dyDescent="0.25">
      <c r="A52" s="215" t="s">
        <v>771</v>
      </c>
      <c r="B52" s="64">
        <v>12.26</v>
      </c>
      <c r="C52" s="64">
        <v>15.62</v>
      </c>
      <c r="D52" s="64">
        <v>19.09</v>
      </c>
      <c r="E52" s="64">
        <v>2.61</v>
      </c>
      <c r="F52" s="64">
        <v>5.8</v>
      </c>
      <c r="G52" s="216" t="s">
        <v>43</v>
      </c>
      <c r="H52" s="216" t="s">
        <v>43</v>
      </c>
      <c r="I52" s="64">
        <v>6.14</v>
      </c>
      <c r="J52" s="64">
        <v>0.1</v>
      </c>
      <c r="K52" s="64">
        <v>165.01</v>
      </c>
      <c r="L52" s="64">
        <v>25.41</v>
      </c>
      <c r="M52" s="64">
        <v>87.44</v>
      </c>
      <c r="N52" s="64">
        <v>159.80000000000001</v>
      </c>
      <c r="O52" s="64">
        <v>0</v>
      </c>
      <c r="P52" s="64">
        <v>0.7</v>
      </c>
      <c r="Q52" s="64">
        <v>20.52</v>
      </c>
      <c r="R52" s="198"/>
      <c r="S52" s="198"/>
      <c r="T52" s="198"/>
      <c r="U52" s="198"/>
    </row>
    <row r="53" spans="1:21" s="12" customFormat="1" x14ac:dyDescent="0.25">
      <c r="A53" s="215" t="s">
        <v>772</v>
      </c>
      <c r="B53" s="64">
        <v>10.92</v>
      </c>
      <c r="C53" s="64">
        <v>14.86</v>
      </c>
      <c r="D53" s="64">
        <v>17.61</v>
      </c>
      <c r="E53" s="64">
        <v>2.5099999999999998</v>
      </c>
      <c r="F53" s="64">
        <v>7.42</v>
      </c>
      <c r="G53" s="216" t="s">
        <v>43</v>
      </c>
      <c r="H53" s="216" t="s">
        <v>43</v>
      </c>
      <c r="I53" s="64">
        <v>6</v>
      </c>
      <c r="J53" s="64">
        <v>0.77</v>
      </c>
      <c r="K53" s="64">
        <v>172.25</v>
      </c>
      <c r="L53" s="64">
        <v>25.12</v>
      </c>
      <c r="M53" s="64">
        <v>89.37</v>
      </c>
      <c r="N53" s="64">
        <v>142.19999999999999</v>
      </c>
      <c r="O53" s="64">
        <v>0</v>
      </c>
      <c r="P53" s="64">
        <v>0.7</v>
      </c>
      <c r="Q53" s="64">
        <v>17.64</v>
      </c>
      <c r="R53" s="198"/>
      <c r="S53" s="198"/>
      <c r="T53" s="198"/>
      <c r="U53" s="198"/>
    </row>
    <row r="54" spans="1:21" s="12" customFormat="1" x14ac:dyDescent="0.25">
      <c r="A54" s="215" t="s">
        <v>773</v>
      </c>
      <c r="B54" s="64">
        <v>10.039999999999999</v>
      </c>
      <c r="C54" s="64">
        <v>14.45</v>
      </c>
      <c r="D54" s="64">
        <v>16.670000000000002</v>
      </c>
      <c r="E54" s="64">
        <v>2.59</v>
      </c>
      <c r="F54" s="64">
        <v>5.86</v>
      </c>
      <c r="G54" s="216" t="s">
        <v>43</v>
      </c>
      <c r="H54" s="216" t="s">
        <v>43</v>
      </c>
      <c r="I54" s="64">
        <v>5.67</v>
      </c>
      <c r="J54" s="64">
        <v>0.5</v>
      </c>
      <c r="K54" s="64">
        <v>190.85</v>
      </c>
      <c r="L54" s="64">
        <v>24.7</v>
      </c>
      <c r="M54" s="64">
        <v>92.52</v>
      </c>
      <c r="N54" s="64">
        <v>120.8</v>
      </c>
      <c r="O54" s="64">
        <v>0</v>
      </c>
      <c r="P54" s="64">
        <v>0.7</v>
      </c>
      <c r="Q54" s="64">
        <v>18.489999999999998</v>
      </c>
      <c r="R54" s="198"/>
      <c r="S54" s="198"/>
      <c r="T54" s="198"/>
      <c r="U54" s="198"/>
    </row>
    <row r="55" spans="1:21" s="12" customFormat="1" x14ac:dyDescent="0.25">
      <c r="A55" s="215" t="s">
        <v>774</v>
      </c>
      <c r="B55" s="64">
        <v>8.89</v>
      </c>
      <c r="C55" s="64">
        <v>16.16</v>
      </c>
      <c r="D55" s="64">
        <v>16.690000000000001</v>
      </c>
      <c r="E55" s="64">
        <v>2.5299999999999998</v>
      </c>
      <c r="F55" s="64">
        <v>9.85</v>
      </c>
      <c r="G55" s="216" t="s">
        <v>43</v>
      </c>
      <c r="H55" s="216" t="s">
        <v>43</v>
      </c>
      <c r="I55" s="64">
        <v>5.67</v>
      </c>
      <c r="J55" s="64">
        <v>0.38</v>
      </c>
      <c r="K55" s="64">
        <v>212.36</v>
      </c>
      <c r="L55" s="64">
        <v>24.56</v>
      </c>
      <c r="M55" s="64">
        <v>93.79</v>
      </c>
      <c r="N55" s="64">
        <v>133.4</v>
      </c>
      <c r="O55" s="64">
        <v>0</v>
      </c>
      <c r="P55" s="64">
        <v>0.68</v>
      </c>
      <c r="Q55" s="64">
        <v>20.73</v>
      </c>
      <c r="R55" s="198"/>
      <c r="S55" s="198"/>
      <c r="T55" s="198"/>
      <c r="U55" s="198"/>
    </row>
    <row r="56" spans="1:21" s="12" customFormat="1" x14ac:dyDescent="0.25">
      <c r="A56" s="215" t="s">
        <v>775</v>
      </c>
      <c r="B56" s="64">
        <v>8.77</v>
      </c>
      <c r="C56" s="64">
        <v>16.27</v>
      </c>
      <c r="D56" s="64">
        <v>16.649999999999999</v>
      </c>
      <c r="E56" s="64">
        <v>1.47</v>
      </c>
      <c r="F56" s="64">
        <v>8.76</v>
      </c>
      <c r="G56" s="216" t="s">
        <v>43</v>
      </c>
      <c r="H56" s="216" t="s">
        <v>43</v>
      </c>
      <c r="I56" s="64">
        <v>5.55</v>
      </c>
      <c r="J56" s="64">
        <v>0.78</v>
      </c>
      <c r="K56" s="64">
        <v>174.52</v>
      </c>
      <c r="L56" s="64">
        <v>24.38</v>
      </c>
      <c r="M56" s="64">
        <v>95.86</v>
      </c>
      <c r="N56" s="64">
        <v>185.6</v>
      </c>
      <c r="O56" s="64">
        <v>0</v>
      </c>
      <c r="P56" s="64">
        <v>0.68</v>
      </c>
      <c r="Q56" s="64">
        <v>18.64</v>
      </c>
      <c r="R56" s="198"/>
      <c r="S56" s="198"/>
      <c r="T56" s="198"/>
      <c r="U56" s="198"/>
    </row>
    <row r="57" spans="1:21" s="12" customFormat="1" x14ac:dyDescent="0.25">
      <c r="A57" s="215" t="s">
        <v>776</v>
      </c>
      <c r="B57" s="64">
        <v>10.44</v>
      </c>
      <c r="C57" s="64">
        <v>16.690000000000001</v>
      </c>
      <c r="D57" s="64">
        <v>18.23</v>
      </c>
      <c r="E57" s="64">
        <v>2.19</v>
      </c>
      <c r="F57" s="64">
        <v>7.39</v>
      </c>
      <c r="G57" s="216" t="s">
        <v>43</v>
      </c>
      <c r="H57" s="216" t="s">
        <v>43</v>
      </c>
      <c r="I57" s="64">
        <v>5.03</v>
      </c>
      <c r="J57" s="64">
        <v>0.91</v>
      </c>
      <c r="K57" s="64">
        <v>169.96</v>
      </c>
      <c r="L57" s="64">
        <v>24.2</v>
      </c>
      <c r="M57" s="64">
        <v>97.04</v>
      </c>
      <c r="N57" s="64">
        <v>184.4</v>
      </c>
      <c r="O57" s="64">
        <v>0</v>
      </c>
      <c r="P57" s="64">
        <v>0.67</v>
      </c>
      <c r="Q57" s="64">
        <v>19.55</v>
      </c>
      <c r="R57" s="198"/>
      <c r="S57" s="198"/>
      <c r="T57" s="198"/>
      <c r="U57" s="198"/>
    </row>
    <row r="58" spans="1:21" s="12" customFormat="1" x14ac:dyDescent="0.25">
      <c r="A58" s="215" t="s">
        <v>777</v>
      </c>
      <c r="B58" s="64">
        <v>10.55</v>
      </c>
      <c r="C58" s="64">
        <v>16.190000000000001</v>
      </c>
      <c r="D58" s="64">
        <v>18.04</v>
      </c>
      <c r="E58" s="64">
        <v>2.38</v>
      </c>
      <c r="F58" s="64">
        <v>8.06</v>
      </c>
      <c r="G58" s="216" t="s">
        <v>43</v>
      </c>
      <c r="H58" s="216" t="s">
        <v>43</v>
      </c>
      <c r="I58" s="64">
        <v>5.3</v>
      </c>
      <c r="J58" s="64">
        <v>0.78</v>
      </c>
      <c r="K58" s="64">
        <v>167.66</v>
      </c>
      <c r="L58" s="64">
        <v>24.26</v>
      </c>
      <c r="M58" s="64">
        <v>97.12</v>
      </c>
      <c r="N58" s="64">
        <v>181.5</v>
      </c>
      <c r="O58" s="64">
        <v>0</v>
      </c>
      <c r="P58" s="64">
        <v>0.65</v>
      </c>
      <c r="Q58" s="64">
        <v>18.77</v>
      </c>
      <c r="R58" s="198"/>
      <c r="S58" s="198"/>
      <c r="T58" s="198"/>
      <c r="U58" s="198"/>
    </row>
    <row r="59" spans="1:21" s="12" customFormat="1" x14ac:dyDescent="0.25">
      <c r="A59" s="215" t="s">
        <v>778</v>
      </c>
      <c r="B59" s="64">
        <v>9.43</v>
      </c>
      <c r="C59" s="64">
        <v>13.72</v>
      </c>
      <c r="D59" s="64">
        <v>15.78</v>
      </c>
      <c r="E59" s="64">
        <v>2.34</v>
      </c>
      <c r="F59" s="64">
        <v>5.84</v>
      </c>
      <c r="G59" s="216" t="s">
        <v>43</v>
      </c>
      <c r="H59" s="216" t="s">
        <v>43</v>
      </c>
      <c r="I59" s="64">
        <v>5.18</v>
      </c>
      <c r="J59" s="64">
        <v>0.57999999999999996</v>
      </c>
      <c r="K59" s="64">
        <v>178.32</v>
      </c>
      <c r="L59" s="64">
        <v>24.05</v>
      </c>
      <c r="M59" s="64">
        <v>97.12</v>
      </c>
      <c r="N59" s="64">
        <v>109.8</v>
      </c>
      <c r="O59" s="64">
        <v>0</v>
      </c>
      <c r="P59" s="64">
        <v>0.64</v>
      </c>
      <c r="Q59" s="64">
        <v>20.37</v>
      </c>
      <c r="R59" s="198"/>
      <c r="S59" s="198"/>
      <c r="T59" s="198"/>
      <c r="U59" s="198"/>
    </row>
    <row r="60" spans="1:21" s="12" customFormat="1" x14ac:dyDescent="0.25">
      <c r="A60" s="215" t="s">
        <v>779</v>
      </c>
      <c r="B60" s="64">
        <v>9.11</v>
      </c>
      <c r="C60" s="64">
        <v>14.86</v>
      </c>
      <c r="D60" s="64">
        <v>16.149999999999999</v>
      </c>
      <c r="E60" s="64">
        <v>2.23</v>
      </c>
      <c r="F60" s="64">
        <v>5.0999999999999996</v>
      </c>
      <c r="G60" s="216" t="s">
        <v>43</v>
      </c>
      <c r="H60" s="216" t="s">
        <v>43</v>
      </c>
      <c r="I60" s="64">
        <v>5.4</v>
      </c>
      <c r="J60" s="64">
        <v>0.7</v>
      </c>
      <c r="K60" s="64">
        <v>174.9</v>
      </c>
      <c r="L60" s="64">
        <v>24.05</v>
      </c>
      <c r="M60" s="64">
        <v>97.12</v>
      </c>
      <c r="N60" s="64">
        <v>120.5</v>
      </c>
      <c r="O60" s="64">
        <v>0</v>
      </c>
      <c r="P60" s="64">
        <v>0.61</v>
      </c>
      <c r="Q60" s="64">
        <v>20.190000000000001</v>
      </c>
      <c r="R60" s="198"/>
      <c r="S60" s="198"/>
      <c r="T60" s="198"/>
      <c r="U60" s="198"/>
    </row>
    <row r="61" spans="1:21" s="12" customFormat="1" x14ac:dyDescent="0.25">
      <c r="A61" s="215" t="s">
        <v>780</v>
      </c>
      <c r="B61" s="64">
        <v>8.43</v>
      </c>
      <c r="C61" s="64">
        <v>16.22</v>
      </c>
      <c r="D61" s="64">
        <v>16.36</v>
      </c>
      <c r="E61" s="64">
        <v>2.11</v>
      </c>
      <c r="F61" s="64">
        <v>3.39</v>
      </c>
      <c r="G61" s="216" t="s">
        <v>43</v>
      </c>
      <c r="H61" s="216" t="s">
        <v>43</v>
      </c>
      <c r="I61" s="64">
        <v>5.84</v>
      </c>
      <c r="J61" s="64">
        <v>0.63</v>
      </c>
      <c r="K61" s="64">
        <v>185.25</v>
      </c>
      <c r="L61" s="64">
        <v>24.06</v>
      </c>
      <c r="M61" s="64">
        <v>97.05</v>
      </c>
      <c r="N61" s="64">
        <v>188.1</v>
      </c>
      <c r="O61" s="64">
        <v>0</v>
      </c>
      <c r="P61" s="64">
        <v>0.57999999999999996</v>
      </c>
      <c r="Q61" s="64">
        <v>20.52</v>
      </c>
      <c r="R61" s="198"/>
      <c r="S61" s="198"/>
      <c r="T61" s="198"/>
      <c r="U61" s="198"/>
    </row>
    <row r="62" spans="1:21" s="12" customFormat="1" x14ac:dyDescent="0.25">
      <c r="A62" s="215" t="s">
        <v>781</v>
      </c>
      <c r="B62" s="64">
        <v>7.82</v>
      </c>
      <c r="C62" s="64">
        <v>14.24</v>
      </c>
      <c r="D62" s="64">
        <v>14.77</v>
      </c>
      <c r="E62" s="64">
        <v>2.19</v>
      </c>
      <c r="F62" s="64">
        <v>5.62</v>
      </c>
      <c r="G62" s="216" t="s">
        <v>43</v>
      </c>
      <c r="H62" s="216" t="s">
        <v>43</v>
      </c>
      <c r="I62" s="64">
        <v>5.93</v>
      </c>
      <c r="J62" s="64">
        <v>0.73</v>
      </c>
      <c r="K62" s="64">
        <v>180.61</v>
      </c>
      <c r="L62" s="64">
        <v>24.33</v>
      </c>
      <c r="M62" s="64">
        <v>95.68</v>
      </c>
      <c r="N62" s="64">
        <v>227.8</v>
      </c>
      <c r="O62" s="64">
        <v>0</v>
      </c>
      <c r="P62" s="64">
        <v>0.57999999999999996</v>
      </c>
      <c r="Q62" s="64">
        <v>18.64</v>
      </c>
      <c r="R62" s="198"/>
      <c r="S62" s="198"/>
      <c r="T62" s="198"/>
      <c r="U62" s="198"/>
    </row>
    <row r="63" spans="1:21" s="12" customFormat="1" x14ac:dyDescent="0.25">
      <c r="A63" s="215" t="s">
        <v>782</v>
      </c>
      <c r="B63" s="64">
        <v>7.32</v>
      </c>
      <c r="C63" s="64">
        <v>15.3</v>
      </c>
      <c r="D63" s="64">
        <v>14.96</v>
      </c>
      <c r="E63" s="64">
        <v>2.4700000000000002</v>
      </c>
      <c r="F63" s="64">
        <v>4.0199999999999996</v>
      </c>
      <c r="G63" s="216" t="s">
        <v>43</v>
      </c>
      <c r="H63" s="216" t="s">
        <v>43</v>
      </c>
      <c r="I63" s="64">
        <v>5.65</v>
      </c>
      <c r="J63" s="64">
        <v>0.61</v>
      </c>
      <c r="K63" s="64">
        <v>191.37</v>
      </c>
      <c r="L63" s="64">
        <v>24.63</v>
      </c>
      <c r="M63" s="64">
        <v>93.06</v>
      </c>
      <c r="N63" s="64">
        <v>291.2</v>
      </c>
      <c r="O63" s="64">
        <v>0</v>
      </c>
      <c r="P63" s="64">
        <v>0.56000000000000005</v>
      </c>
      <c r="Q63" s="64">
        <v>19.82</v>
      </c>
      <c r="R63" s="198"/>
      <c r="S63" s="198"/>
      <c r="T63" s="198"/>
      <c r="U63" s="198"/>
    </row>
    <row r="64" spans="1:21" s="12" customFormat="1" x14ac:dyDescent="0.25">
      <c r="A64" s="215" t="s">
        <v>783</v>
      </c>
      <c r="B64" s="64">
        <v>6.63</v>
      </c>
      <c r="C64" s="64">
        <v>15.41</v>
      </c>
      <c r="D64" s="64">
        <v>14.47</v>
      </c>
      <c r="E64" s="64">
        <v>2.23</v>
      </c>
      <c r="F64" s="64">
        <v>5.21</v>
      </c>
      <c r="G64" s="216" t="s">
        <v>43</v>
      </c>
      <c r="H64" s="216" t="s">
        <v>43</v>
      </c>
      <c r="I64" s="64">
        <v>5.45</v>
      </c>
      <c r="J64" s="64">
        <v>0.65</v>
      </c>
      <c r="K64" s="64">
        <v>182.72</v>
      </c>
      <c r="L64" s="64">
        <v>24.95</v>
      </c>
      <c r="M64" s="64">
        <v>91.43</v>
      </c>
      <c r="N64" s="64">
        <v>392.8</v>
      </c>
      <c r="O64" s="64">
        <v>0</v>
      </c>
      <c r="P64" s="64">
        <v>0.51</v>
      </c>
      <c r="Q64" s="64">
        <v>17.329999999999998</v>
      </c>
      <c r="R64" s="198"/>
      <c r="S64" s="198"/>
      <c r="T64" s="198"/>
      <c r="U64" s="198"/>
    </row>
    <row r="65" spans="1:21" s="12" customFormat="1" x14ac:dyDescent="0.25">
      <c r="A65" s="215" t="s">
        <v>784</v>
      </c>
      <c r="B65" s="64">
        <v>5.97</v>
      </c>
      <c r="C65" s="64">
        <v>14.15</v>
      </c>
      <c r="D65" s="64">
        <v>13.25</v>
      </c>
      <c r="E65" s="64">
        <v>2.0499999999999998</v>
      </c>
      <c r="F65" s="64">
        <v>6.62</v>
      </c>
      <c r="G65" s="216" t="s">
        <v>43</v>
      </c>
      <c r="H65" s="216" t="s">
        <v>43</v>
      </c>
      <c r="I65" s="64">
        <v>5.21</v>
      </c>
      <c r="J65" s="64">
        <v>0.64</v>
      </c>
      <c r="K65" s="64">
        <v>179.76</v>
      </c>
      <c r="L65" s="64">
        <v>24.98</v>
      </c>
      <c r="M65" s="64">
        <v>90.03</v>
      </c>
      <c r="N65" s="64">
        <v>294.10000000000002</v>
      </c>
      <c r="O65" s="64">
        <v>0</v>
      </c>
      <c r="P65" s="64">
        <v>0.5</v>
      </c>
      <c r="Q65" s="64">
        <v>15.41</v>
      </c>
      <c r="R65" s="198"/>
      <c r="S65" s="198"/>
      <c r="T65" s="198"/>
      <c r="U65" s="198"/>
    </row>
    <row r="66" spans="1:21" s="12" customFormat="1" x14ac:dyDescent="0.25">
      <c r="A66" s="215" t="s">
        <v>785</v>
      </c>
      <c r="B66" s="64">
        <v>5.42</v>
      </c>
      <c r="C66" s="64">
        <v>15.43</v>
      </c>
      <c r="D66" s="64">
        <v>13.51</v>
      </c>
      <c r="E66" s="64">
        <v>2.46</v>
      </c>
      <c r="F66" s="64">
        <v>4.38</v>
      </c>
      <c r="G66" s="216" t="s">
        <v>43</v>
      </c>
      <c r="H66" s="216" t="s">
        <v>43</v>
      </c>
      <c r="I66" s="64">
        <v>4.9400000000000004</v>
      </c>
      <c r="J66" s="64">
        <v>0.33</v>
      </c>
      <c r="K66" s="64">
        <v>203.63</v>
      </c>
      <c r="L66" s="64">
        <v>24.85</v>
      </c>
      <c r="M66" s="64">
        <v>88.99</v>
      </c>
      <c r="N66" s="64">
        <v>249.6</v>
      </c>
      <c r="O66" s="64">
        <v>0</v>
      </c>
      <c r="P66" s="64">
        <v>0.47</v>
      </c>
      <c r="Q66" s="64">
        <v>16.96</v>
      </c>
      <c r="R66" s="198"/>
      <c r="S66" s="198"/>
      <c r="T66" s="198"/>
      <c r="U66" s="198"/>
    </row>
    <row r="67" spans="1:21" s="12" customFormat="1" x14ac:dyDescent="0.25">
      <c r="A67" s="215" t="s">
        <v>786</v>
      </c>
      <c r="B67" s="64">
        <v>5.03</v>
      </c>
      <c r="C67" s="64">
        <v>15.61</v>
      </c>
      <c r="D67" s="64">
        <v>13.29</v>
      </c>
      <c r="E67" s="64">
        <v>2.0699999999999998</v>
      </c>
      <c r="F67" s="64">
        <v>8.73</v>
      </c>
      <c r="G67" s="216" t="s">
        <v>43</v>
      </c>
      <c r="H67" s="216" t="s">
        <v>43</v>
      </c>
      <c r="I67" s="64">
        <v>4.66</v>
      </c>
      <c r="J67" s="64">
        <v>0.35</v>
      </c>
      <c r="K67" s="64">
        <v>186.87</v>
      </c>
      <c r="L67" s="64">
        <v>24.93</v>
      </c>
      <c r="M67" s="64">
        <v>88.32</v>
      </c>
      <c r="N67" s="64">
        <v>324.2</v>
      </c>
      <c r="O67" s="64">
        <v>0</v>
      </c>
      <c r="P67" s="64">
        <v>0.45</v>
      </c>
      <c r="Q67" s="64">
        <v>16.579999999999998</v>
      </c>
      <c r="R67" s="198"/>
      <c r="S67" s="198"/>
      <c r="T67" s="198"/>
      <c r="U67" s="198"/>
    </row>
    <row r="68" spans="1:21" s="12" customFormat="1" x14ac:dyDescent="0.25">
      <c r="A68" s="215" t="s">
        <v>787</v>
      </c>
      <c r="B68" s="64">
        <v>5.0999999999999996</v>
      </c>
      <c r="C68" s="64">
        <v>13.92</v>
      </c>
      <c r="D68" s="64">
        <v>12.42</v>
      </c>
      <c r="E68" s="64">
        <v>1.83</v>
      </c>
      <c r="F68" s="64">
        <v>7.99</v>
      </c>
      <c r="G68" s="216" t="s">
        <v>43</v>
      </c>
      <c r="H68" s="216" t="s">
        <v>43</v>
      </c>
      <c r="I68" s="64">
        <v>4.3099999999999996</v>
      </c>
      <c r="J68" s="64">
        <v>0.63</v>
      </c>
      <c r="K68" s="64">
        <v>179.07</v>
      </c>
      <c r="L68" s="64">
        <v>25.13</v>
      </c>
      <c r="M68" s="64">
        <v>86.34</v>
      </c>
      <c r="N68" s="64">
        <v>392.1</v>
      </c>
      <c r="O68" s="64">
        <v>0</v>
      </c>
      <c r="P68" s="64">
        <v>0.43</v>
      </c>
      <c r="Q68" s="64">
        <v>14.18</v>
      </c>
      <c r="R68" s="198"/>
      <c r="S68" s="198"/>
      <c r="T68" s="198"/>
      <c r="U68" s="198"/>
    </row>
    <row r="69" spans="1:21" s="12" customFormat="1" x14ac:dyDescent="0.25">
      <c r="A69" s="215" t="s">
        <v>788</v>
      </c>
      <c r="B69" s="64">
        <v>5.35</v>
      </c>
      <c r="C69" s="64">
        <v>14.4</v>
      </c>
      <c r="D69" s="64">
        <v>12.88</v>
      </c>
      <c r="E69" s="64">
        <v>2.36</v>
      </c>
      <c r="F69" s="64">
        <v>8.19</v>
      </c>
      <c r="G69" s="216" t="s">
        <v>43</v>
      </c>
      <c r="H69" s="216" t="s">
        <v>43</v>
      </c>
      <c r="I69" s="64">
        <v>4.07</v>
      </c>
      <c r="J69" s="64">
        <v>0.44</v>
      </c>
      <c r="K69" s="64">
        <v>209.54</v>
      </c>
      <c r="L69" s="64">
        <v>25.3</v>
      </c>
      <c r="M69" s="64">
        <v>82.81</v>
      </c>
      <c r="N69" s="64">
        <v>291.60000000000002</v>
      </c>
      <c r="O69" s="64">
        <v>0</v>
      </c>
      <c r="P69" s="64">
        <v>0.42</v>
      </c>
      <c r="Q69" s="64">
        <v>15.72</v>
      </c>
      <c r="R69" s="198"/>
      <c r="S69" s="198"/>
      <c r="T69" s="198"/>
      <c r="U69" s="198"/>
    </row>
    <row r="70" spans="1:21" s="12" customFormat="1" x14ac:dyDescent="0.25">
      <c r="A70" s="215" t="s">
        <v>789</v>
      </c>
      <c r="B70" s="64">
        <v>5.3</v>
      </c>
      <c r="C70" s="64">
        <v>13.04</v>
      </c>
      <c r="D70" s="64">
        <v>12.09</v>
      </c>
      <c r="E70" s="64">
        <v>2.31</v>
      </c>
      <c r="F70" s="64">
        <v>11.96</v>
      </c>
      <c r="G70" s="216" t="s">
        <v>43</v>
      </c>
      <c r="H70" s="216" t="s">
        <v>43</v>
      </c>
      <c r="I70" s="64">
        <v>3.98</v>
      </c>
      <c r="J70" s="64">
        <v>0.35</v>
      </c>
      <c r="K70" s="64">
        <v>194.91</v>
      </c>
      <c r="L70" s="64">
        <v>25.22</v>
      </c>
      <c r="M70" s="64">
        <v>83.65</v>
      </c>
      <c r="N70" s="64">
        <v>251.1</v>
      </c>
      <c r="O70" s="64">
        <v>0</v>
      </c>
      <c r="P70" s="64">
        <v>0.41</v>
      </c>
      <c r="Q70" s="64">
        <v>13.82</v>
      </c>
      <c r="R70" s="198"/>
      <c r="S70" s="198"/>
      <c r="T70" s="198"/>
      <c r="U70" s="198"/>
    </row>
    <row r="71" spans="1:21" s="12" customFormat="1" x14ac:dyDescent="0.25">
      <c r="A71" s="215" t="s">
        <v>790</v>
      </c>
      <c r="B71" s="64">
        <v>5.39</v>
      </c>
      <c r="C71" s="64">
        <v>13.11</v>
      </c>
      <c r="D71" s="64">
        <v>12.2</v>
      </c>
      <c r="E71" s="64">
        <v>2.14</v>
      </c>
      <c r="F71" s="64">
        <v>8.84</v>
      </c>
      <c r="G71" s="216" t="s">
        <v>43</v>
      </c>
      <c r="H71" s="216" t="s">
        <v>43</v>
      </c>
      <c r="I71" s="64">
        <v>3.99</v>
      </c>
      <c r="J71" s="64">
        <v>0.11</v>
      </c>
      <c r="K71" s="64">
        <v>225.94</v>
      </c>
      <c r="L71" s="64">
        <v>25.29</v>
      </c>
      <c r="M71" s="64">
        <v>84.5</v>
      </c>
      <c r="N71" s="64">
        <v>195.6</v>
      </c>
      <c r="O71" s="64">
        <v>0</v>
      </c>
      <c r="P71" s="64">
        <v>0.41</v>
      </c>
      <c r="Q71" s="64">
        <v>15.31</v>
      </c>
      <c r="R71" s="198"/>
      <c r="S71" s="198"/>
      <c r="T71" s="198"/>
      <c r="U71" s="198"/>
    </row>
    <row r="72" spans="1:21" s="12" customFormat="1" x14ac:dyDescent="0.25">
      <c r="A72" s="215" t="s">
        <v>791</v>
      </c>
      <c r="B72" s="64">
        <v>5.23</v>
      </c>
      <c r="C72" s="64">
        <v>13.3</v>
      </c>
      <c r="D72" s="64">
        <v>12.18</v>
      </c>
      <c r="E72" s="64">
        <v>1.98</v>
      </c>
      <c r="F72" s="64">
        <v>3.26</v>
      </c>
      <c r="G72" s="216" t="s">
        <v>43</v>
      </c>
      <c r="H72" s="216" t="s">
        <v>43</v>
      </c>
      <c r="I72" s="64">
        <v>4</v>
      </c>
      <c r="J72" s="64">
        <v>0.13</v>
      </c>
      <c r="K72" s="64">
        <v>232.14</v>
      </c>
      <c r="L72" s="64">
        <v>24.91</v>
      </c>
      <c r="M72" s="64">
        <v>88.21</v>
      </c>
      <c r="N72" s="64">
        <v>201.5</v>
      </c>
      <c r="O72" s="64">
        <v>0</v>
      </c>
      <c r="P72" s="64">
        <v>0.39</v>
      </c>
      <c r="Q72" s="64">
        <v>15.74</v>
      </c>
      <c r="R72" s="198"/>
      <c r="S72" s="198"/>
      <c r="T72" s="198"/>
      <c r="U72" s="198"/>
    </row>
    <row r="73" spans="1:21" s="12" customFormat="1" x14ac:dyDescent="0.25">
      <c r="A73" s="215" t="s">
        <v>792</v>
      </c>
      <c r="B73" s="64">
        <v>4.72</v>
      </c>
      <c r="C73" s="64">
        <v>13.34</v>
      </c>
      <c r="D73" s="64">
        <v>11.79</v>
      </c>
      <c r="E73" s="64">
        <v>1.57</v>
      </c>
      <c r="F73" s="64">
        <v>5.82</v>
      </c>
      <c r="G73" s="216" t="s">
        <v>43</v>
      </c>
      <c r="H73" s="216" t="s">
        <v>43</v>
      </c>
      <c r="I73" s="64">
        <v>4.17</v>
      </c>
      <c r="J73" s="64">
        <v>0.15</v>
      </c>
      <c r="K73" s="64">
        <v>223.07</v>
      </c>
      <c r="L73" s="64">
        <v>24.89</v>
      </c>
      <c r="M73" s="64">
        <v>88.06</v>
      </c>
      <c r="N73" s="64">
        <v>240.2</v>
      </c>
      <c r="O73" s="64">
        <v>0</v>
      </c>
      <c r="P73" s="64">
        <v>0.36</v>
      </c>
      <c r="Q73" s="64">
        <v>12.59</v>
      </c>
      <c r="R73" s="198"/>
      <c r="S73" s="198"/>
      <c r="T73" s="198"/>
      <c r="U73" s="198"/>
    </row>
    <row r="74" spans="1:21" s="12" customFormat="1" x14ac:dyDescent="0.25">
      <c r="A74" s="215" t="s">
        <v>793</v>
      </c>
      <c r="B74" s="64">
        <v>4.46</v>
      </c>
      <c r="C74" s="64">
        <v>12.07</v>
      </c>
      <c r="D74" s="64">
        <v>10.88</v>
      </c>
      <c r="E74" s="64">
        <v>1.8</v>
      </c>
      <c r="F74" s="64">
        <v>7.15</v>
      </c>
      <c r="G74" s="216" t="s">
        <v>43</v>
      </c>
      <c r="H74" s="216" t="s">
        <v>43</v>
      </c>
      <c r="I74" s="64">
        <v>4.07</v>
      </c>
      <c r="J74" s="64">
        <v>0.12</v>
      </c>
      <c r="K74" s="64">
        <v>9.31</v>
      </c>
      <c r="L74" s="64">
        <v>24.95</v>
      </c>
      <c r="M74" s="64">
        <v>86.7</v>
      </c>
      <c r="N74" s="64">
        <v>212.5</v>
      </c>
      <c r="O74" s="64">
        <v>0</v>
      </c>
      <c r="P74" s="64">
        <v>0.37</v>
      </c>
      <c r="Q74" s="64">
        <v>10.57</v>
      </c>
      <c r="R74" s="198"/>
      <c r="S74" s="198"/>
      <c r="T74" s="198"/>
      <c r="U74" s="198"/>
    </row>
    <row r="75" spans="1:21" s="12" customFormat="1" x14ac:dyDescent="0.25">
      <c r="A75" s="215" t="s">
        <v>794</v>
      </c>
      <c r="B75" s="64">
        <v>4.3099999999999996</v>
      </c>
      <c r="C75" s="64">
        <v>12.99</v>
      </c>
      <c r="D75" s="64">
        <v>11.27</v>
      </c>
      <c r="E75" s="64">
        <v>2</v>
      </c>
      <c r="F75" s="64">
        <v>3.48</v>
      </c>
      <c r="G75" s="216" t="s">
        <v>43</v>
      </c>
      <c r="H75" s="216" t="s">
        <v>43</v>
      </c>
      <c r="I75" s="64">
        <v>3.89</v>
      </c>
      <c r="J75" s="64">
        <v>0.04</v>
      </c>
      <c r="K75" s="64">
        <v>263.27999999999997</v>
      </c>
      <c r="L75" s="64">
        <v>24.86</v>
      </c>
      <c r="M75" s="64">
        <v>87.78</v>
      </c>
      <c r="N75" s="64">
        <v>119.5</v>
      </c>
      <c r="O75" s="64">
        <v>0</v>
      </c>
      <c r="P75" s="64">
        <v>0.35</v>
      </c>
      <c r="Q75" s="64">
        <v>11.76</v>
      </c>
      <c r="R75" s="198"/>
      <c r="S75" s="198"/>
      <c r="T75" s="198"/>
      <c r="U75" s="198"/>
    </row>
    <row r="76" spans="1:21" s="12" customFormat="1" x14ac:dyDescent="0.25">
      <c r="A76" s="215" t="s">
        <v>795</v>
      </c>
      <c r="B76" s="64">
        <v>4.12</v>
      </c>
      <c r="C76" s="64">
        <v>13.1</v>
      </c>
      <c r="D76" s="64">
        <v>11.18</v>
      </c>
      <c r="E76" s="64">
        <v>1.82</v>
      </c>
      <c r="F76" s="64">
        <v>6.93</v>
      </c>
      <c r="G76" s="216" t="s">
        <v>43</v>
      </c>
      <c r="H76" s="216" t="s">
        <v>43</v>
      </c>
      <c r="I76" s="64">
        <v>3.56</v>
      </c>
      <c r="J76" s="64">
        <v>0.4</v>
      </c>
      <c r="K76" s="64">
        <v>202.04</v>
      </c>
      <c r="L76" s="64">
        <v>24.71</v>
      </c>
      <c r="M76" s="64">
        <v>88.66</v>
      </c>
      <c r="N76" s="64">
        <v>136.30000000000001</v>
      </c>
      <c r="O76" s="64">
        <v>0</v>
      </c>
      <c r="P76" s="64">
        <v>0.33</v>
      </c>
      <c r="Q76" s="64">
        <v>9.19</v>
      </c>
      <c r="R76" s="198"/>
      <c r="S76" s="198"/>
      <c r="T76" s="198"/>
      <c r="U76" s="198"/>
    </row>
    <row r="77" spans="1:21" s="12" customFormat="1" x14ac:dyDescent="0.25">
      <c r="A77" s="215" t="s">
        <v>796</v>
      </c>
      <c r="B77" s="64">
        <v>4.24</v>
      </c>
      <c r="C77" s="64">
        <v>12.22</v>
      </c>
      <c r="D77" s="64">
        <v>10.79</v>
      </c>
      <c r="E77" s="64">
        <v>1.28</v>
      </c>
      <c r="F77" s="64">
        <v>7.69</v>
      </c>
      <c r="G77" s="216" t="s">
        <v>43</v>
      </c>
      <c r="H77" s="216" t="s">
        <v>43</v>
      </c>
      <c r="I77" s="64">
        <v>3.33</v>
      </c>
      <c r="J77" s="64">
        <v>0.28000000000000003</v>
      </c>
      <c r="K77" s="64">
        <v>200.19</v>
      </c>
      <c r="L77" s="64">
        <v>24.69</v>
      </c>
      <c r="M77" s="64">
        <v>88.07</v>
      </c>
      <c r="N77" s="64">
        <v>117.4</v>
      </c>
      <c r="O77" s="64">
        <v>0</v>
      </c>
      <c r="P77" s="64">
        <v>0.34</v>
      </c>
      <c r="Q77" s="64">
        <v>7.67</v>
      </c>
      <c r="R77" s="198"/>
      <c r="S77" s="198"/>
      <c r="T77" s="198"/>
      <c r="U77" s="198"/>
    </row>
    <row r="78" spans="1:21" s="12" customFormat="1" x14ac:dyDescent="0.25">
      <c r="A78" s="215" t="s">
        <v>797</v>
      </c>
      <c r="B78" s="64">
        <v>4.4000000000000004</v>
      </c>
      <c r="C78" s="64">
        <v>12.63</v>
      </c>
      <c r="D78" s="64">
        <v>11.14</v>
      </c>
      <c r="E78" s="64">
        <v>2.06</v>
      </c>
      <c r="F78" s="64">
        <v>7.49</v>
      </c>
      <c r="G78" s="216" t="s">
        <v>43</v>
      </c>
      <c r="H78" s="216" t="s">
        <v>43</v>
      </c>
      <c r="I78" s="64">
        <v>3.22</v>
      </c>
      <c r="J78" s="64">
        <v>0.22</v>
      </c>
      <c r="K78" s="64">
        <v>222.66</v>
      </c>
      <c r="L78" s="64">
        <v>24.37</v>
      </c>
      <c r="M78" s="64">
        <v>88.67</v>
      </c>
      <c r="N78" s="64">
        <v>86.6</v>
      </c>
      <c r="O78" s="64">
        <v>0</v>
      </c>
      <c r="P78" s="64">
        <v>0.34</v>
      </c>
      <c r="Q78" s="64">
        <v>10.3</v>
      </c>
      <c r="R78" s="198"/>
      <c r="S78" s="198"/>
      <c r="T78" s="198"/>
      <c r="U78" s="198"/>
    </row>
    <row r="79" spans="1:21" s="12" customFormat="1" x14ac:dyDescent="0.25">
      <c r="A79" s="215" t="s">
        <v>798</v>
      </c>
      <c r="B79" s="64">
        <v>4.5199999999999996</v>
      </c>
      <c r="C79" s="64">
        <v>13.2</v>
      </c>
      <c r="D79" s="64">
        <v>11.55</v>
      </c>
      <c r="E79" s="64">
        <v>1.67</v>
      </c>
      <c r="F79" s="64">
        <v>9.91</v>
      </c>
      <c r="G79" s="216" t="s">
        <v>43</v>
      </c>
      <c r="H79" s="216" t="s">
        <v>43</v>
      </c>
      <c r="I79" s="64">
        <v>3.12</v>
      </c>
      <c r="J79" s="64">
        <v>0.45</v>
      </c>
      <c r="K79" s="64">
        <v>217.37</v>
      </c>
      <c r="L79" s="64">
        <v>24.14</v>
      </c>
      <c r="M79" s="64">
        <v>90.49</v>
      </c>
      <c r="N79" s="64">
        <v>71.099999999999994</v>
      </c>
      <c r="O79" s="64">
        <v>0</v>
      </c>
      <c r="P79" s="64">
        <v>0.31</v>
      </c>
      <c r="Q79" s="64">
        <v>10.59</v>
      </c>
      <c r="R79" s="198"/>
      <c r="S79" s="198"/>
      <c r="T79" s="198"/>
      <c r="U79" s="198"/>
    </row>
    <row r="80" spans="1:21" s="12" customFormat="1" x14ac:dyDescent="0.25">
      <c r="A80" s="215" t="s">
        <v>799</v>
      </c>
      <c r="B80" s="64">
        <v>5.05</v>
      </c>
      <c r="C80" s="64">
        <v>12.42</v>
      </c>
      <c r="D80" s="64">
        <v>11.55</v>
      </c>
      <c r="E80" s="64">
        <v>1.78</v>
      </c>
      <c r="F80" s="64">
        <v>10.26</v>
      </c>
      <c r="G80" s="216" t="s">
        <v>43</v>
      </c>
      <c r="H80" s="216" t="s">
        <v>43</v>
      </c>
      <c r="I80" s="64">
        <v>2.94</v>
      </c>
      <c r="J80" s="64">
        <v>0.1</v>
      </c>
      <c r="K80" s="64">
        <v>259.66000000000003</v>
      </c>
      <c r="L80" s="64">
        <v>23.99</v>
      </c>
      <c r="M80" s="64">
        <v>91.86</v>
      </c>
      <c r="N80" s="64">
        <v>46.6</v>
      </c>
      <c r="O80" s="64">
        <v>0</v>
      </c>
      <c r="P80" s="64">
        <v>0.33</v>
      </c>
      <c r="Q80" s="64">
        <v>9.4600000000000009</v>
      </c>
      <c r="R80" s="198"/>
      <c r="S80" s="198"/>
      <c r="T80" s="198"/>
      <c r="U80" s="198"/>
    </row>
    <row r="81" spans="1:26" s="12" customFormat="1" x14ac:dyDescent="0.25">
      <c r="A81" s="215" t="s">
        <v>800</v>
      </c>
      <c r="B81" s="64">
        <v>9.11</v>
      </c>
      <c r="C81" s="64">
        <v>16.55</v>
      </c>
      <c r="D81" s="64">
        <v>17.079999999999998</v>
      </c>
      <c r="E81" s="64">
        <v>1.75</v>
      </c>
      <c r="F81" s="64">
        <v>8.3699999999999992</v>
      </c>
      <c r="G81" s="216" t="s">
        <v>43</v>
      </c>
      <c r="H81" s="216" t="s">
        <v>43</v>
      </c>
      <c r="I81" s="64">
        <v>2.86</v>
      </c>
      <c r="J81" s="64">
        <v>0.03</v>
      </c>
      <c r="K81" s="64">
        <v>297.66000000000003</v>
      </c>
      <c r="L81" s="64">
        <v>23.85</v>
      </c>
      <c r="M81" s="64">
        <v>92.03</v>
      </c>
      <c r="N81" s="64">
        <v>28.2</v>
      </c>
      <c r="O81" s="64">
        <v>0</v>
      </c>
      <c r="P81" s="64">
        <v>0.32</v>
      </c>
      <c r="Q81" s="64">
        <v>11.15</v>
      </c>
      <c r="R81" s="198"/>
      <c r="S81" s="198"/>
      <c r="T81" s="198"/>
      <c r="U81" s="198"/>
    </row>
    <row r="82" spans="1:26" s="12" customFormat="1" x14ac:dyDescent="0.25">
      <c r="A82" s="215" t="s">
        <v>801</v>
      </c>
      <c r="B82" s="64">
        <v>6.19</v>
      </c>
      <c r="C82" s="64">
        <v>13.71</v>
      </c>
      <c r="D82" s="64">
        <v>13.18</v>
      </c>
      <c r="E82" s="64">
        <v>2.0099999999999998</v>
      </c>
      <c r="F82" s="64">
        <v>8.2899999999999991</v>
      </c>
      <c r="G82" s="216" t="s">
        <v>43</v>
      </c>
      <c r="H82" s="216" t="s">
        <v>43</v>
      </c>
      <c r="I82" s="64">
        <v>3.02</v>
      </c>
      <c r="J82" s="64">
        <v>0.02</v>
      </c>
      <c r="K82" s="64">
        <v>270.52</v>
      </c>
      <c r="L82" s="64">
        <v>23.79</v>
      </c>
      <c r="M82" s="64">
        <v>92.05</v>
      </c>
      <c r="N82" s="64">
        <v>26.6</v>
      </c>
      <c r="O82" s="64">
        <v>0</v>
      </c>
      <c r="P82" s="64">
        <v>0.35</v>
      </c>
      <c r="Q82" s="64">
        <v>10.54</v>
      </c>
      <c r="R82" s="198"/>
      <c r="S82" s="198"/>
      <c r="T82" s="198"/>
      <c r="U82" s="198"/>
    </row>
    <row r="83" spans="1:26" s="12" customFormat="1" x14ac:dyDescent="0.25">
      <c r="A83" s="215" t="s">
        <v>802</v>
      </c>
      <c r="B83" s="64">
        <v>6.25</v>
      </c>
      <c r="C83" s="64">
        <v>12.65</v>
      </c>
      <c r="D83" s="64">
        <v>12.64</v>
      </c>
      <c r="E83" s="64">
        <v>2.37</v>
      </c>
      <c r="F83" s="64">
        <v>7.71</v>
      </c>
      <c r="G83" s="216" t="s">
        <v>43</v>
      </c>
      <c r="H83" s="216" t="s">
        <v>43</v>
      </c>
      <c r="I83" s="64">
        <v>3.22</v>
      </c>
      <c r="J83" s="64">
        <v>0.01</v>
      </c>
      <c r="K83" s="64">
        <v>340.1</v>
      </c>
      <c r="L83" s="64">
        <v>23.6</v>
      </c>
      <c r="M83" s="64">
        <v>93.26</v>
      </c>
      <c r="N83" s="64">
        <v>24.5</v>
      </c>
      <c r="O83" s="64">
        <v>0</v>
      </c>
      <c r="P83" s="64">
        <v>0.36</v>
      </c>
      <c r="Q83" s="64">
        <v>12.32</v>
      </c>
      <c r="R83" s="198"/>
      <c r="S83" s="198"/>
      <c r="T83" s="198"/>
      <c r="U83" s="198"/>
    </row>
    <row r="84" spans="1:26" s="12" customFormat="1" x14ac:dyDescent="0.25">
      <c r="A84" s="215" t="s">
        <v>803</v>
      </c>
      <c r="B84" s="64">
        <v>5.95</v>
      </c>
      <c r="C84" s="64">
        <v>14.63</v>
      </c>
      <c r="D84" s="64">
        <v>13.49</v>
      </c>
      <c r="E84" s="64">
        <v>1.92</v>
      </c>
      <c r="F84" s="64">
        <v>2.29</v>
      </c>
      <c r="G84" s="216" t="s">
        <v>43</v>
      </c>
      <c r="H84" s="216" t="s">
        <v>43</v>
      </c>
      <c r="I84" s="64">
        <v>3.27</v>
      </c>
      <c r="J84" s="64">
        <v>0.11</v>
      </c>
      <c r="K84" s="64">
        <v>242.21</v>
      </c>
      <c r="L84" s="64">
        <v>23.56</v>
      </c>
      <c r="M84" s="64">
        <v>94.38</v>
      </c>
      <c r="N84" s="64">
        <v>23.8</v>
      </c>
      <c r="O84" s="64">
        <v>0</v>
      </c>
      <c r="P84" s="64">
        <v>0.35</v>
      </c>
      <c r="Q84" s="64">
        <v>12.11</v>
      </c>
      <c r="R84" s="198"/>
      <c r="S84" s="198"/>
      <c r="T84" s="198"/>
      <c r="U84" s="198"/>
    </row>
    <row r="85" spans="1:26" s="12" customFormat="1" x14ac:dyDescent="0.25">
      <c r="A85" s="215" t="s">
        <v>804</v>
      </c>
      <c r="B85" s="64">
        <v>5.64</v>
      </c>
      <c r="C85" s="64">
        <v>13.14</v>
      </c>
      <c r="D85" s="64">
        <v>12.42</v>
      </c>
      <c r="E85" s="64">
        <v>1.83</v>
      </c>
      <c r="F85" s="64">
        <v>5.84</v>
      </c>
      <c r="G85" s="216" t="s">
        <v>43</v>
      </c>
      <c r="H85" s="216" t="s">
        <v>43</v>
      </c>
      <c r="I85" s="64">
        <v>3.39</v>
      </c>
      <c r="J85" s="64">
        <v>0.32</v>
      </c>
      <c r="K85" s="64">
        <v>228.82</v>
      </c>
      <c r="L85" s="64">
        <v>23.5</v>
      </c>
      <c r="M85" s="64">
        <v>95.53</v>
      </c>
      <c r="N85" s="64">
        <v>23.8</v>
      </c>
      <c r="O85" s="64">
        <v>0</v>
      </c>
      <c r="P85" s="64">
        <v>0.35</v>
      </c>
      <c r="Q85" s="64">
        <v>10.69</v>
      </c>
      <c r="R85" s="198"/>
      <c r="S85" s="198"/>
      <c r="T85" s="198"/>
      <c r="U85" s="198"/>
    </row>
    <row r="86" spans="1:26" s="12" customFormat="1" x14ac:dyDescent="0.25">
      <c r="A86" s="215" t="s">
        <v>805</v>
      </c>
      <c r="B86" s="64">
        <v>5.64</v>
      </c>
      <c r="C86" s="64">
        <v>14.24</v>
      </c>
      <c r="D86" s="64">
        <v>13.03</v>
      </c>
      <c r="E86" s="64">
        <v>2.31</v>
      </c>
      <c r="F86" s="64">
        <v>2.37</v>
      </c>
      <c r="G86" s="216" t="s">
        <v>43</v>
      </c>
      <c r="H86" s="216" t="s">
        <v>43</v>
      </c>
      <c r="I86" s="64">
        <v>3.33</v>
      </c>
      <c r="J86" s="64">
        <v>0.18</v>
      </c>
      <c r="K86" s="64">
        <v>226.36</v>
      </c>
      <c r="L86" s="64">
        <v>23.48</v>
      </c>
      <c r="M86" s="64">
        <v>95.75</v>
      </c>
      <c r="N86" s="64">
        <v>23.7</v>
      </c>
      <c r="O86" s="64">
        <v>0</v>
      </c>
      <c r="P86" s="64">
        <v>0.36</v>
      </c>
      <c r="Q86" s="64">
        <v>11.68</v>
      </c>
      <c r="R86" s="198"/>
      <c r="S86" s="198"/>
      <c r="T86" s="198"/>
      <c r="U86" s="198"/>
    </row>
    <row r="87" spans="1:26" s="12" customFormat="1" x14ac:dyDescent="0.25">
      <c r="A87" s="215" t="s">
        <v>806</v>
      </c>
      <c r="B87" s="64">
        <v>5.67</v>
      </c>
      <c r="C87" s="64">
        <v>14.24</v>
      </c>
      <c r="D87" s="64">
        <v>13.05</v>
      </c>
      <c r="E87" s="64">
        <v>1.84</v>
      </c>
      <c r="F87" s="64">
        <v>6.88</v>
      </c>
      <c r="G87" s="216" t="s">
        <v>43</v>
      </c>
      <c r="H87" s="216" t="s">
        <v>43</v>
      </c>
      <c r="I87" s="64">
        <v>3.23</v>
      </c>
      <c r="J87" s="64">
        <v>0.11</v>
      </c>
      <c r="K87" s="64">
        <v>231.27</v>
      </c>
      <c r="L87" s="64">
        <v>23.45</v>
      </c>
      <c r="M87" s="64">
        <v>95.02</v>
      </c>
      <c r="N87" s="64">
        <v>23.7</v>
      </c>
      <c r="O87" s="64">
        <v>0</v>
      </c>
      <c r="P87" s="64">
        <v>0.34</v>
      </c>
      <c r="Q87" s="64">
        <v>8.61</v>
      </c>
      <c r="R87" s="198"/>
      <c r="S87" s="198"/>
      <c r="T87" s="198"/>
      <c r="U87" s="198"/>
    </row>
    <row r="88" spans="1:26" s="12" customFormat="1" x14ac:dyDescent="0.25">
      <c r="A88" s="215" t="s">
        <v>807</v>
      </c>
      <c r="B88" s="64">
        <v>5.55</v>
      </c>
      <c r="C88" s="64">
        <v>12.53</v>
      </c>
      <c r="D88" s="64">
        <v>12.01</v>
      </c>
      <c r="E88" s="64">
        <v>1.27</v>
      </c>
      <c r="F88" s="64">
        <v>5.85</v>
      </c>
      <c r="G88" s="216" t="s">
        <v>43</v>
      </c>
      <c r="H88" s="216" t="s">
        <v>43</v>
      </c>
      <c r="I88" s="64">
        <v>3.07</v>
      </c>
      <c r="J88" s="64">
        <v>0.03</v>
      </c>
      <c r="K88" s="64">
        <v>218.5</v>
      </c>
      <c r="L88" s="64">
        <v>23.45</v>
      </c>
      <c r="M88" s="64">
        <v>94.22</v>
      </c>
      <c r="N88" s="64">
        <v>23.7</v>
      </c>
      <c r="O88" s="64">
        <v>0</v>
      </c>
      <c r="P88" s="64">
        <v>0.36</v>
      </c>
      <c r="Q88" s="64">
        <v>6.62</v>
      </c>
      <c r="R88" s="198"/>
      <c r="S88" s="198"/>
      <c r="T88" s="198"/>
      <c r="U88" s="198"/>
    </row>
    <row r="89" spans="1:26" s="12" customFormat="1" x14ac:dyDescent="0.25">
      <c r="A89" s="215" t="s">
        <v>808</v>
      </c>
      <c r="B89" s="64">
        <v>5.57</v>
      </c>
      <c r="C89" s="64">
        <v>12.47</v>
      </c>
      <c r="D89" s="64">
        <v>12</v>
      </c>
      <c r="E89" s="64">
        <v>1.72</v>
      </c>
      <c r="F89" s="64">
        <v>5.67</v>
      </c>
      <c r="G89" s="216" t="s">
        <v>43</v>
      </c>
      <c r="H89" s="216" t="s">
        <v>43</v>
      </c>
      <c r="I89" s="64">
        <v>2.96</v>
      </c>
      <c r="J89" s="64">
        <v>0.1</v>
      </c>
      <c r="K89" s="64">
        <v>34.31</v>
      </c>
      <c r="L89" s="64">
        <v>23.5</v>
      </c>
      <c r="M89" s="64">
        <v>94.27</v>
      </c>
      <c r="N89" s="64">
        <v>23.8</v>
      </c>
      <c r="O89" s="64">
        <v>0</v>
      </c>
      <c r="P89" s="64">
        <v>0.39</v>
      </c>
      <c r="Q89" s="64">
        <v>8.56</v>
      </c>
      <c r="R89" s="198"/>
      <c r="S89" s="198"/>
      <c r="T89" s="198"/>
      <c r="U89" s="198"/>
    </row>
    <row r="90" spans="1:26" s="12" customFormat="1" x14ac:dyDescent="0.25">
      <c r="A90" s="215" t="s">
        <v>809</v>
      </c>
      <c r="B90" s="64">
        <v>5.89</v>
      </c>
      <c r="C90" s="64">
        <v>15.1</v>
      </c>
      <c r="D90" s="64">
        <v>13.7</v>
      </c>
      <c r="E90" s="64">
        <v>1.55</v>
      </c>
      <c r="F90" s="64">
        <v>8.82</v>
      </c>
      <c r="G90" s="216" t="s">
        <v>43</v>
      </c>
      <c r="H90" s="216" t="s">
        <v>43</v>
      </c>
      <c r="I90" s="64">
        <v>3.02</v>
      </c>
      <c r="J90" s="64">
        <v>0.06</v>
      </c>
      <c r="K90" s="64">
        <v>289.77</v>
      </c>
      <c r="L90" s="64">
        <v>23.54</v>
      </c>
      <c r="M90" s="64">
        <v>94.15</v>
      </c>
      <c r="N90" s="64">
        <v>23.8</v>
      </c>
      <c r="O90" s="64">
        <v>0</v>
      </c>
      <c r="P90" s="64">
        <v>0.4</v>
      </c>
      <c r="Q90" s="64">
        <v>11.93</v>
      </c>
      <c r="R90" s="198"/>
      <c r="S90" s="198"/>
      <c r="T90" s="198"/>
      <c r="U90" s="198"/>
    </row>
    <row r="91" spans="1:26" s="12" customFormat="1" x14ac:dyDescent="0.25">
      <c r="A91" s="215" t="s">
        <v>810</v>
      </c>
      <c r="B91" s="64">
        <v>9.06</v>
      </c>
      <c r="C91" s="64">
        <v>20.309999999999999</v>
      </c>
      <c r="D91" s="64">
        <v>19.12</v>
      </c>
      <c r="E91" s="64">
        <v>1.65</v>
      </c>
      <c r="F91" s="64">
        <v>13.86</v>
      </c>
      <c r="G91" s="216" t="s">
        <v>43</v>
      </c>
      <c r="H91" s="216" t="s">
        <v>43</v>
      </c>
      <c r="I91" s="64">
        <v>3.06</v>
      </c>
      <c r="J91" s="64">
        <v>0.13</v>
      </c>
      <c r="K91" s="64">
        <v>193.45</v>
      </c>
      <c r="L91" s="64">
        <v>23.56</v>
      </c>
      <c r="M91" s="64">
        <v>94.74</v>
      </c>
      <c r="N91" s="64">
        <v>23.7</v>
      </c>
      <c r="O91" s="64">
        <v>0</v>
      </c>
      <c r="P91" s="64">
        <v>0.4</v>
      </c>
      <c r="Q91" s="64">
        <v>10.47</v>
      </c>
      <c r="R91" s="198"/>
      <c r="S91" s="198"/>
      <c r="T91" s="198"/>
      <c r="U91" s="198"/>
    </row>
    <row r="92" spans="1:26" s="12" customFormat="1" x14ac:dyDescent="0.25">
      <c r="A92" s="215" t="s">
        <v>811</v>
      </c>
      <c r="B92" s="64">
        <v>7.78</v>
      </c>
      <c r="C92" s="64">
        <v>15.35</v>
      </c>
      <c r="D92" s="64">
        <v>15.35</v>
      </c>
      <c r="E92" s="64">
        <v>1.38</v>
      </c>
      <c r="F92" s="64">
        <v>9.99</v>
      </c>
      <c r="G92" s="216" t="s">
        <v>43</v>
      </c>
      <c r="H92" s="216" t="s">
        <v>43</v>
      </c>
      <c r="I92" s="64">
        <v>2.57</v>
      </c>
      <c r="J92" s="64">
        <v>0.64</v>
      </c>
      <c r="K92" s="64">
        <v>176.87</v>
      </c>
      <c r="L92" s="64">
        <v>23.37</v>
      </c>
      <c r="M92" s="64">
        <v>96.34</v>
      </c>
      <c r="N92" s="64">
        <v>24.4</v>
      </c>
      <c r="O92" s="64">
        <v>0.6</v>
      </c>
      <c r="P92" s="64">
        <v>0.41</v>
      </c>
      <c r="Q92" s="64">
        <v>10.88</v>
      </c>
      <c r="R92" s="198"/>
      <c r="S92" s="198"/>
      <c r="T92" s="198"/>
      <c r="U92" s="198"/>
    </row>
    <row r="93" spans="1:26" s="12" customFormat="1" x14ac:dyDescent="0.25">
      <c r="A93" s="215" t="s">
        <v>812</v>
      </c>
      <c r="B93" s="64">
        <v>7.4</v>
      </c>
      <c r="C93" s="64">
        <v>15.82</v>
      </c>
      <c r="D93" s="64">
        <v>15.31</v>
      </c>
      <c r="E93" s="64">
        <v>2.12</v>
      </c>
      <c r="F93" s="64">
        <v>10.41</v>
      </c>
      <c r="G93" s="216" t="s">
        <v>43</v>
      </c>
      <c r="H93" s="216" t="s">
        <v>43</v>
      </c>
      <c r="I93" s="64">
        <v>2.77</v>
      </c>
      <c r="J93" s="64">
        <v>0.37</v>
      </c>
      <c r="K93" s="64">
        <v>189.21</v>
      </c>
      <c r="L93" s="64">
        <v>22.91</v>
      </c>
      <c r="M93" s="64">
        <v>97.14</v>
      </c>
      <c r="N93" s="64">
        <v>24.2</v>
      </c>
      <c r="O93" s="64">
        <v>0.8</v>
      </c>
      <c r="P93" s="64">
        <v>0.4</v>
      </c>
      <c r="Q93" s="64">
        <v>12.71</v>
      </c>
      <c r="R93" s="198"/>
      <c r="S93" s="198"/>
      <c r="T93" s="198"/>
      <c r="U93" s="198"/>
    </row>
    <row r="94" spans="1:26" s="12" customFormat="1" x14ac:dyDescent="0.25">
      <c r="A94" s="215" t="s">
        <v>813</v>
      </c>
      <c r="B94" s="64">
        <v>7.65</v>
      </c>
      <c r="C94" s="64">
        <v>13</v>
      </c>
      <c r="D94" s="64">
        <v>13.96</v>
      </c>
      <c r="E94" s="64">
        <v>1.72</v>
      </c>
      <c r="F94" s="64">
        <v>8.94</v>
      </c>
      <c r="G94" s="216" t="s">
        <v>43</v>
      </c>
      <c r="H94" s="216" t="s">
        <v>43</v>
      </c>
      <c r="I94" s="64">
        <v>3.15</v>
      </c>
      <c r="J94" s="64">
        <v>0.24</v>
      </c>
      <c r="K94" s="64">
        <v>197.53</v>
      </c>
      <c r="L94" s="64">
        <v>22.68</v>
      </c>
      <c r="M94" s="64">
        <v>97.16</v>
      </c>
      <c r="N94" s="64">
        <v>23.9</v>
      </c>
      <c r="O94" s="64">
        <v>0.6</v>
      </c>
      <c r="P94" s="64">
        <v>0.41</v>
      </c>
      <c r="Q94" s="64">
        <v>12.97</v>
      </c>
      <c r="R94" s="198"/>
      <c r="S94" s="198"/>
      <c r="T94" s="198"/>
      <c r="U94" s="198"/>
    </row>
    <row r="95" spans="1:26" s="12" customFormat="1" x14ac:dyDescent="0.25">
      <c r="A95" s="215" t="s">
        <v>814</v>
      </c>
      <c r="B95" s="64">
        <v>8.15</v>
      </c>
      <c r="C95" s="64">
        <v>11.53</v>
      </c>
      <c r="D95" s="64">
        <v>13.54</v>
      </c>
      <c r="E95" s="64">
        <v>2.19</v>
      </c>
      <c r="F95" s="64">
        <v>5.97</v>
      </c>
      <c r="G95" s="216" t="s">
        <v>43</v>
      </c>
      <c r="H95" s="216" t="s">
        <v>43</v>
      </c>
      <c r="I95" s="64">
        <v>3.31</v>
      </c>
      <c r="J95" s="64">
        <v>0.05</v>
      </c>
      <c r="K95" s="64">
        <v>259.49</v>
      </c>
      <c r="L95" s="64">
        <v>22.63</v>
      </c>
      <c r="M95" s="64">
        <v>97.16</v>
      </c>
      <c r="N95" s="64">
        <v>23.7</v>
      </c>
      <c r="O95" s="64">
        <v>0</v>
      </c>
      <c r="P95" s="64">
        <v>0.41</v>
      </c>
      <c r="Q95" s="64">
        <v>14.87</v>
      </c>
      <c r="R95" s="198"/>
      <c r="S95" s="198"/>
      <c r="T95" s="198"/>
      <c r="U95" s="198"/>
    </row>
    <row r="96" spans="1:26" s="12" customFormat="1" x14ac:dyDescent="0.25">
      <c r="A96" s="215" t="s">
        <v>815</v>
      </c>
      <c r="B96" s="64">
        <v>8.0500000000000007</v>
      </c>
      <c r="C96" s="64">
        <v>14.21</v>
      </c>
      <c r="D96" s="64">
        <v>14.95</v>
      </c>
      <c r="E96" s="64">
        <v>1.65</v>
      </c>
      <c r="F96" s="64">
        <v>3.11</v>
      </c>
      <c r="G96" s="216" t="s">
        <v>43</v>
      </c>
      <c r="H96" s="216" t="s">
        <v>43</v>
      </c>
      <c r="I96" s="64">
        <v>3.92</v>
      </c>
      <c r="J96" s="64">
        <v>7.0000000000000007E-2</v>
      </c>
      <c r="K96" s="64">
        <v>254.19</v>
      </c>
      <c r="L96" s="64">
        <v>22.58</v>
      </c>
      <c r="M96" s="64">
        <v>97.16</v>
      </c>
      <c r="N96" s="64">
        <v>23.8</v>
      </c>
      <c r="O96" s="64">
        <v>0.2</v>
      </c>
      <c r="P96" s="64">
        <v>0.38</v>
      </c>
      <c r="Q96" s="64">
        <v>14.86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816</v>
      </c>
      <c r="B97" s="64">
        <v>7.92</v>
      </c>
      <c r="C97" s="64">
        <v>11.82</v>
      </c>
      <c r="D97" s="64">
        <v>13.53</v>
      </c>
      <c r="E97" s="64">
        <v>2.02</v>
      </c>
      <c r="F97" s="64">
        <v>5.45</v>
      </c>
      <c r="G97" s="216" t="s">
        <v>43</v>
      </c>
      <c r="H97" s="216" t="s">
        <v>43</v>
      </c>
      <c r="I97" s="64">
        <v>4.22</v>
      </c>
      <c r="J97" s="64">
        <v>0.1</v>
      </c>
      <c r="K97" s="64">
        <v>226.32</v>
      </c>
      <c r="L97" s="64">
        <v>22.58</v>
      </c>
      <c r="M97" s="64">
        <v>97.15</v>
      </c>
      <c r="N97" s="64">
        <v>23.8</v>
      </c>
      <c r="O97" s="64">
        <v>0</v>
      </c>
      <c r="P97" s="64">
        <v>0.39</v>
      </c>
      <c r="Q97" s="64">
        <v>12.87</v>
      </c>
      <c r="R97" s="198"/>
      <c r="S97" s="198"/>
      <c r="T97" s="198"/>
      <c r="U97" s="198"/>
    </row>
    <row r="98" spans="1:33" s="12" customFormat="1" x14ac:dyDescent="0.25">
      <c r="A98" s="215" t="s">
        <v>817</v>
      </c>
      <c r="B98" s="64">
        <v>7.71</v>
      </c>
      <c r="C98" s="64">
        <v>12.38</v>
      </c>
      <c r="D98" s="64">
        <v>13.66</v>
      </c>
      <c r="E98" s="64">
        <v>2.06</v>
      </c>
      <c r="F98" s="64">
        <v>3.8</v>
      </c>
      <c r="G98" s="216" t="s">
        <v>43</v>
      </c>
      <c r="H98" s="216" t="s">
        <v>43</v>
      </c>
      <c r="I98" s="64">
        <v>4.0599999999999996</v>
      </c>
      <c r="J98" s="64">
        <v>7.0000000000000007E-2</v>
      </c>
      <c r="K98" s="64">
        <v>235.16</v>
      </c>
      <c r="L98" s="64">
        <v>22.55</v>
      </c>
      <c r="M98" s="64">
        <v>97.16</v>
      </c>
      <c r="N98" s="64">
        <v>23.8</v>
      </c>
      <c r="O98" s="64">
        <v>0</v>
      </c>
      <c r="P98" s="64">
        <v>0.38</v>
      </c>
      <c r="Q98" s="64">
        <v>14.51</v>
      </c>
      <c r="R98" s="198"/>
      <c r="S98" s="198"/>
      <c r="T98" s="198"/>
      <c r="U98" s="198"/>
    </row>
    <row r="99" spans="1:33" s="12" customFormat="1" x14ac:dyDescent="0.25">
      <c r="A99" s="215" t="s">
        <v>818</v>
      </c>
      <c r="B99" s="64">
        <v>7.2</v>
      </c>
      <c r="C99" s="64">
        <v>13.15</v>
      </c>
      <c r="D99" s="64">
        <v>13.68</v>
      </c>
      <c r="E99" s="64">
        <v>1.86</v>
      </c>
      <c r="F99" s="64">
        <v>4.5199999999999996</v>
      </c>
      <c r="G99" s="216" t="s">
        <v>43</v>
      </c>
      <c r="H99" s="216" t="s">
        <v>43</v>
      </c>
      <c r="I99" s="64">
        <v>4.0199999999999996</v>
      </c>
      <c r="J99" s="64">
        <v>0.06</v>
      </c>
      <c r="K99" s="64">
        <v>223.77</v>
      </c>
      <c r="L99" s="64">
        <v>22.49</v>
      </c>
      <c r="M99" s="64">
        <v>97.16</v>
      </c>
      <c r="N99" s="64">
        <v>23.8</v>
      </c>
      <c r="O99" s="64">
        <v>0</v>
      </c>
      <c r="P99" s="64">
        <v>0.36</v>
      </c>
      <c r="Q99" s="64">
        <v>12.31</v>
      </c>
      <c r="R99" s="198"/>
      <c r="S99" s="198"/>
      <c r="T99" s="198"/>
      <c r="U99" s="198"/>
    </row>
    <row r="100" spans="1:33" s="12" customFormat="1" x14ac:dyDescent="0.25">
      <c r="A100" s="215" t="s">
        <v>819</v>
      </c>
      <c r="B100" s="64">
        <v>7.16</v>
      </c>
      <c r="C100" s="64">
        <v>11.47</v>
      </c>
      <c r="D100" s="64">
        <v>12.71</v>
      </c>
      <c r="E100" s="64">
        <v>1.38</v>
      </c>
      <c r="F100" s="64">
        <v>5.41</v>
      </c>
      <c r="G100" s="216" t="s">
        <v>43</v>
      </c>
      <c r="H100" s="216" t="s">
        <v>43</v>
      </c>
      <c r="I100" s="64">
        <v>3.84</v>
      </c>
      <c r="J100" s="64">
        <v>0.14000000000000001</v>
      </c>
      <c r="K100" s="64">
        <v>233.59</v>
      </c>
      <c r="L100" s="64">
        <v>22.5</v>
      </c>
      <c r="M100" s="64">
        <v>97.17</v>
      </c>
      <c r="N100" s="64">
        <v>23.8</v>
      </c>
      <c r="O100" s="64">
        <v>0</v>
      </c>
      <c r="P100" s="64">
        <v>0.36</v>
      </c>
      <c r="Q100" s="64">
        <v>9.84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820</v>
      </c>
      <c r="B101" s="64">
        <v>7.32</v>
      </c>
      <c r="C101" s="64">
        <v>11.33</v>
      </c>
      <c r="D101" s="64">
        <v>12.77</v>
      </c>
      <c r="E101" s="64">
        <v>1.31</v>
      </c>
      <c r="F101" s="64">
        <v>5.55</v>
      </c>
      <c r="G101" s="216" t="s">
        <v>43</v>
      </c>
      <c r="H101" s="216" t="s">
        <v>43</v>
      </c>
      <c r="I101" s="64">
        <v>3.65</v>
      </c>
      <c r="J101" s="64">
        <v>7.0000000000000007E-2</v>
      </c>
      <c r="K101" s="64">
        <v>232.12</v>
      </c>
      <c r="L101" s="64">
        <v>22.5</v>
      </c>
      <c r="M101" s="64">
        <v>97.15</v>
      </c>
      <c r="N101" s="64">
        <v>23.9</v>
      </c>
      <c r="O101" s="64">
        <v>0</v>
      </c>
      <c r="P101" s="64">
        <v>0.37</v>
      </c>
      <c r="Q101" s="64">
        <v>11.75</v>
      </c>
      <c r="R101" s="198"/>
      <c r="S101" s="198"/>
      <c r="T101" s="198"/>
      <c r="U101" s="198"/>
    </row>
    <row r="102" spans="1:33" s="12" customFormat="1" x14ac:dyDescent="0.25">
      <c r="A102" s="215" t="s">
        <v>821</v>
      </c>
      <c r="B102" s="64">
        <v>6.43</v>
      </c>
      <c r="C102" s="64">
        <v>12.65</v>
      </c>
      <c r="D102" s="64">
        <v>12.78</v>
      </c>
      <c r="E102" s="64">
        <v>1.66</v>
      </c>
      <c r="F102" s="64">
        <v>12.16</v>
      </c>
      <c r="G102" s="216" t="s">
        <v>43</v>
      </c>
      <c r="H102" s="216" t="s">
        <v>43</v>
      </c>
      <c r="I102" s="64">
        <v>3.67</v>
      </c>
      <c r="J102" s="64">
        <v>0.19</v>
      </c>
      <c r="K102" s="64">
        <v>221.19</v>
      </c>
      <c r="L102" s="64">
        <v>22.47</v>
      </c>
      <c r="M102" s="64">
        <v>97.17</v>
      </c>
      <c r="N102" s="64">
        <v>24.2</v>
      </c>
      <c r="O102" s="64">
        <v>0</v>
      </c>
      <c r="P102" s="64">
        <v>0.35</v>
      </c>
      <c r="Q102" s="64">
        <v>14.26</v>
      </c>
      <c r="R102" s="198"/>
      <c r="S102" s="198"/>
      <c r="T102" s="198"/>
      <c r="U102" s="198"/>
    </row>
    <row r="103" spans="1:33" s="12" customFormat="1" x14ac:dyDescent="0.25">
      <c r="A103" s="215" t="s">
        <v>822</v>
      </c>
      <c r="B103" s="64">
        <v>6.62</v>
      </c>
      <c r="C103" s="64">
        <v>10.99</v>
      </c>
      <c r="D103" s="64">
        <v>12.02</v>
      </c>
      <c r="E103" s="64">
        <v>1.4</v>
      </c>
      <c r="F103" s="64">
        <v>11.11</v>
      </c>
      <c r="G103" s="216" t="s">
        <v>43</v>
      </c>
      <c r="H103" s="216" t="s">
        <v>43</v>
      </c>
      <c r="I103" s="64">
        <v>3.46</v>
      </c>
      <c r="J103" s="64">
        <v>0.18</v>
      </c>
      <c r="K103" s="64">
        <v>209.79</v>
      </c>
      <c r="L103" s="64">
        <v>22.49</v>
      </c>
      <c r="M103" s="64">
        <v>97.17</v>
      </c>
      <c r="N103" s="64">
        <v>24.2</v>
      </c>
      <c r="O103" s="64">
        <v>0</v>
      </c>
      <c r="P103" s="64">
        <v>0.34</v>
      </c>
      <c r="Q103" s="64">
        <v>12.58</v>
      </c>
      <c r="R103" s="198"/>
      <c r="S103" s="198"/>
      <c r="T103" s="198"/>
      <c r="U103" s="198"/>
    </row>
    <row r="104" spans="1:33" s="12" customFormat="1" x14ac:dyDescent="0.25">
      <c r="A104" s="215" t="s">
        <v>823</v>
      </c>
      <c r="B104" s="64">
        <v>6.88</v>
      </c>
      <c r="C104" s="64">
        <v>10.62</v>
      </c>
      <c r="D104" s="64">
        <v>12.02</v>
      </c>
      <c r="E104" s="64">
        <v>2.2400000000000002</v>
      </c>
      <c r="F104" s="64">
        <v>11.5</v>
      </c>
      <c r="G104" s="216" t="s">
        <v>43</v>
      </c>
      <c r="H104" s="216" t="s">
        <v>43</v>
      </c>
      <c r="I104" s="64">
        <v>3.05</v>
      </c>
      <c r="J104" s="64">
        <v>0.08</v>
      </c>
      <c r="K104" s="64">
        <v>236.97</v>
      </c>
      <c r="L104" s="64">
        <v>22.38</v>
      </c>
      <c r="M104" s="64">
        <v>97.18</v>
      </c>
      <c r="N104" s="64">
        <v>24.1</v>
      </c>
      <c r="O104" s="64">
        <v>0</v>
      </c>
      <c r="P104" s="64">
        <v>0.33</v>
      </c>
      <c r="Q104" s="64">
        <v>14.54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4.12</v>
      </c>
      <c r="C106" s="67">
        <f>MIN(C9:C104)</f>
        <v>9.09</v>
      </c>
      <c r="D106" s="67">
        <f t="shared" ref="D106:Q106" si="0">MIN(D9:D104)</f>
        <v>9.56</v>
      </c>
      <c r="E106" s="67">
        <f t="shared" si="0"/>
        <v>1.27</v>
      </c>
      <c r="F106" s="67">
        <f t="shared" si="0"/>
        <v>2.29</v>
      </c>
      <c r="G106" s="67">
        <f t="shared" si="0"/>
        <v>0</v>
      </c>
      <c r="H106" s="67">
        <f t="shared" si="0"/>
        <v>0</v>
      </c>
      <c r="I106" s="67">
        <f t="shared" si="0"/>
        <v>2.5299999999999998</v>
      </c>
      <c r="J106" s="67">
        <f t="shared" si="0"/>
        <v>0.01</v>
      </c>
      <c r="K106" s="67">
        <f t="shared" si="0"/>
        <v>2.38</v>
      </c>
      <c r="L106" s="67">
        <f t="shared" si="0"/>
        <v>22.38</v>
      </c>
      <c r="M106" s="67">
        <f t="shared" si="0"/>
        <v>82.81</v>
      </c>
      <c r="N106" s="67">
        <f t="shared" si="0"/>
        <v>23.7</v>
      </c>
      <c r="O106" s="67">
        <f t="shared" si="0"/>
        <v>0</v>
      </c>
      <c r="P106" s="67">
        <f t="shared" si="0"/>
        <v>0.31</v>
      </c>
      <c r="Q106" s="67">
        <f t="shared" si="0"/>
        <v>6.62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26.21</v>
      </c>
      <c r="C107" s="66">
        <f t="shared" ref="C107:Q107" si="1">MAX(C9:C104)</f>
        <v>23.02</v>
      </c>
      <c r="D107" s="66">
        <f t="shared" si="1"/>
        <v>34.36</v>
      </c>
      <c r="E107" s="66">
        <f t="shared" si="1"/>
        <v>3.18</v>
      </c>
      <c r="F107" s="66">
        <f t="shared" si="1"/>
        <v>18.82</v>
      </c>
      <c r="G107" s="66">
        <f t="shared" si="1"/>
        <v>0</v>
      </c>
      <c r="H107" s="66">
        <f t="shared" si="1"/>
        <v>0</v>
      </c>
      <c r="I107" s="66">
        <f t="shared" si="1"/>
        <v>6.3</v>
      </c>
      <c r="J107" s="66">
        <f t="shared" si="1"/>
        <v>0.91</v>
      </c>
      <c r="K107" s="66">
        <f t="shared" si="1"/>
        <v>359.31</v>
      </c>
      <c r="L107" s="66">
        <f t="shared" si="1"/>
        <v>25.61</v>
      </c>
      <c r="M107" s="66">
        <f t="shared" si="1"/>
        <v>97.18</v>
      </c>
      <c r="N107" s="66">
        <f t="shared" si="1"/>
        <v>392.8</v>
      </c>
      <c r="O107" s="66">
        <f t="shared" si="1"/>
        <v>0.8</v>
      </c>
      <c r="P107" s="66">
        <f t="shared" si="1"/>
        <v>0.7</v>
      </c>
      <c r="Q107" s="66">
        <f t="shared" si="1"/>
        <v>22.36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9.0709374999999959</v>
      </c>
      <c r="C108" s="67">
        <f t="shared" ref="C108:Q108" si="2">AVERAGE(C9:C104)</f>
        <v>13.989062500000003</v>
      </c>
      <c r="D108" s="67">
        <f t="shared" si="2"/>
        <v>15.640208333333335</v>
      </c>
      <c r="E108" s="67">
        <f t="shared" si="2"/>
        <v>2.2729166666666676</v>
      </c>
      <c r="F108" s="67">
        <f t="shared" si="2"/>
        <v>7.801354166666667</v>
      </c>
      <c r="G108" s="67" t="e">
        <f t="shared" si="2"/>
        <v>#DIV/0!</v>
      </c>
      <c r="H108" s="67" t="e">
        <f t="shared" si="2"/>
        <v>#DIV/0!</v>
      </c>
      <c r="I108" s="67">
        <f t="shared" si="2"/>
        <v>4.2366666666666664</v>
      </c>
      <c r="J108" s="67">
        <f t="shared" si="2"/>
        <v>0.2742708333333333</v>
      </c>
      <c r="K108" s="67">
        <f t="shared" si="2"/>
        <v>185.79031250000006</v>
      </c>
      <c r="L108" s="67">
        <f t="shared" si="2"/>
        <v>23.923020833333325</v>
      </c>
      <c r="M108" s="67">
        <f t="shared" si="2"/>
        <v>92.709895833333334</v>
      </c>
      <c r="N108" s="67">
        <f t="shared" si="2"/>
        <v>99.9791666666667</v>
      </c>
      <c r="O108" s="67">
        <f t="shared" si="2"/>
        <v>2.2916666666666669E-2</v>
      </c>
      <c r="P108" s="67">
        <f t="shared" si="2"/>
        <v>0.46208333333333318</v>
      </c>
      <c r="Q108" s="67">
        <f t="shared" si="2"/>
        <v>16.205104166666658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4.9454102225939653</v>
      </c>
      <c r="C109" s="67">
        <f t="shared" ref="C109:Q109" si="3">STDEV(C9:C104)</f>
        <v>2.7359851792938801</v>
      </c>
      <c r="D109" s="67">
        <f t="shared" si="3"/>
        <v>5.1340594340083179</v>
      </c>
      <c r="E109" s="67">
        <f t="shared" si="3"/>
        <v>0.47638532980785198</v>
      </c>
      <c r="F109" s="67">
        <f t="shared" si="3"/>
        <v>3.5353995143232675</v>
      </c>
      <c r="G109" s="67" t="e">
        <f t="shared" si="3"/>
        <v>#DIV/0!</v>
      </c>
      <c r="H109" s="67" t="e">
        <f t="shared" si="3"/>
        <v>#DIV/0!</v>
      </c>
      <c r="I109" s="67">
        <f t="shared" si="3"/>
        <v>0.96321027563441508</v>
      </c>
      <c r="J109" s="67">
        <f t="shared" si="3"/>
        <v>0.23646406110227924</v>
      </c>
      <c r="K109" s="67">
        <f t="shared" si="3"/>
        <v>99.706659508919444</v>
      </c>
      <c r="L109" s="67">
        <f t="shared" si="3"/>
        <v>0.94480754909376186</v>
      </c>
      <c r="M109" s="67">
        <f t="shared" si="3"/>
        <v>4.5335336501956345</v>
      </c>
      <c r="N109" s="67">
        <f t="shared" si="3"/>
        <v>95.736446248807752</v>
      </c>
      <c r="O109" s="67">
        <f t="shared" si="3"/>
        <v>0.11918951443343156</v>
      </c>
      <c r="P109" s="67">
        <f t="shared" si="3"/>
        <v>0.11780373210660894</v>
      </c>
      <c r="Q109" s="67">
        <f t="shared" si="3"/>
        <v>3.9475476717342262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0</v>
      </c>
      <c r="H110" s="66">
        <f>COUNT(H9:H104)</f>
        <v>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46" sqref="G14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824</v>
      </c>
      <c r="B9" s="64">
        <v>6.89</v>
      </c>
      <c r="C9" s="64">
        <v>10.69</v>
      </c>
      <c r="D9" s="64">
        <v>12.07</v>
      </c>
      <c r="E9" s="64">
        <v>2.16</v>
      </c>
      <c r="F9" s="64">
        <v>10.220000000000001</v>
      </c>
      <c r="G9" s="216" t="s">
        <v>43</v>
      </c>
      <c r="H9" s="216" t="s">
        <v>43</v>
      </c>
      <c r="I9" s="64">
        <v>3.32</v>
      </c>
      <c r="J9" s="64">
        <v>0.09</v>
      </c>
      <c r="K9" s="64">
        <v>28.38</v>
      </c>
      <c r="L9" s="64">
        <v>22.4</v>
      </c>
      <c r="M9" s="64">
        <v>97.17</v>
      </c>
      <c r="N9" s="64">
        <v>24</v>
      </c>
      <c r="O9" s="64">
        <v>0</v>
      </c>
      <c r="P9" s="64">
        <v>0.33</v>
      </c>
      <c r="Q9" s="64">
        <v>14.21</v>
      </c>
      <c r="R9" s="198"/>
      <c r="S9" s="198"/>
      <c r="T9" s="198"/>
      <c r="U9" s="198"/>
    </row>
    <row r="10" spans="1:21" s="12" customFormat="1" x14ac:dyDescent="0.25">
      <c r="A10" s="215" t="s">
        <v>825</v>
      </c>
      <c r="B10" s="64">
        <v>7.77</v>
      </c>
      <c r="C10" s="64">
        <v>10.18</v>
      </c>
      <c r="D10" s="64">
        <v>12.5</v>
      </c>
      <c r="E10" s="64">
        <v>2.21</v>
      </c>
      <c r="F10" s="64">
        <v>6.36</v>
      </c>
      <c r="G10" s="216" t="s">
        <v>43</v>
      </c>
      <c r="H10" s="216" t="s">
        <v>43</v>
      </c>
      <c r="I10" s="64">
        <v>3.1</v>
      </c>
      <c r="J10" s="64">
        <v>0.14000000000000001</v>
      </c>
      <c r="K10" s="64">
        <v>25.17</v>
      </c>
      <c r="L10" s="64">
        <v>22.54</v>
      </c>
      <c r="M10" s="64">
        <v>97.12</v>
      </c>
      <c r="N10" s="64">
        <v>23.8</v>
      </c>
      <c r="O10" s="64">
        <v>0.2</v>
      </c>
      <c r="P10" s="64">
        <v>0.34</v>
      </c>
      <c r="Q10" s="64">
        <v>15.71</v>
      </c>
      <c r="R10" s="198"/>
      <c r="S10" s="198"/>
      <c r="T10" s="198"/>
      <c r="U10" s="198"/>
    </row>
    <row r="11" spans="1:21" s="12" customFormat="1" x14ac:dyDescent="0.25">
      <c r="A11" s="215" t="s">
        <v>826</v>
      </c>
      <c r="B11" s="64">
        <v>7.8</v>
      </c>
      <c r="C11" s="64">
        <v>12.77</v>
      </c>
      <c r="D11" s="64">
        <v>13.95</v>
      </c>
      <c r="E11" s="64">
        <v>2.72</v>
      </c>
      <c r="F11" s="64">
        <v>2.9</v>
      </c>
      <c r="G11" s="216" t="s">
        <v>43</v>
      </c>
      <c r="H11" s="216" t="s">
        <v>43</v>
      </c>
      <c r="I11" s="64">
        <v>3.62</v>
      </c>
      <c r="J11" s="64">
        <v>0.05</v>
      </c>
      <c r="K11" s="64">
        <v>332.6</v>
      </c>
      <c r="L11" s="64">
        <v>22.57</v>
      </c>
      <c r="M11" s="64">
        <v>97.1</v>
      </c>
      <c r="N11" s="64">
        <v>23.8</v>
      </c>
      <c r="O11" s="64">
        <v>0</v>
      </c>
      <c r="P11" s="64">
        <v>0.31</v>
      </c>
      <c r="Q11" s="64">
        <v>16.22</v>
      </c>
      <c r="R11" s="198"/>
      <c r="S11" s="198"/>
      <c r="T11" s="198"/>
      <c r="U11" s="198"/>
    </row>
    <row r="12" spans="1:21" s="12" customFormat="1" x14ac:dyDescent="0.25">
      <c r="A12" s="215" t="s">
        <v>827</v>
      </c>
      <c r="B12" s="64">
        <v>7.14</v>
      </c>
      <c r="C12" s="64">
        <v>12.81</v>
      </c>
      <c r="D12" s="64">
        <v>13.44</v>
      </c>
      <c r="E12" s="64">
        <v>2.13</v>
      </c>
      <c r="F12" s="64">
        <v>4.93</v>
      </c>
      <c r="G12" s="216" t="s">
        <v>43</v>
      </c>
      <c r="H12" s="216" t="s">
        <v>43</v>
      </c>
      <c r="I12" s="64">
        <v>4.24</v>
      </c>
      <c r="J12" s="64">
        <v>0.16</v>
      </c>
      <c r="K12" s="64">
        <v>23.83</v>
      </c>
      <c r="L12" s="64">
        <v>22.58</v>
      </c>
      <c r="M12" s="64">
        <v>97.1</v>
      </c>
      <c r="N12" s="64">
        <v>23.9</v>
      </c>
      <c r="O12" s="64">
        <v>0</v>
      </c>
      <c r="P12" s="64">
        <v>0.3</v>
      </c>
      <c r="Q12" s="64">
        <v>13.82</v>
      </c>
      <c r="R12" s="198"/>
      <c r="S12" s="198"/>
      <c r="T12" s="198"/>
      <c r="U12" s="198"/>
    </row>
    <row r="13" spans="1:21" s="12" customFormat="1" x14ac:dyDescent="0.25">
      <c r="A13" s="215" t="s">
        <v>828</v>
      </c>
      <c r="B13" s="64">
        <v>6.67</v>
      </c>
      <c r="C13" s="64">
        <v>12.1</v>
      </c>
      <c r="D13" s="64">
        <v>12.68</v>
      </c>
      <c r="E13" s="64">
        <v>2.66</v>
      </c>
      <c r="F13" s="64">
        <v>4.2300000000000004</v>
      </c>
      <c r="G13" s="216" t="s">
        <v>43</v>
      </c>
      <c r="H13" s="216" t="s">
        <v>43</v>
      </c>
      <c r="I13" s="64">
        <v>4.17</v>
      </c>
      <c r="J13" s="64">
        <v>0.08</v>
      </c>
      <c r="K13" s="64">
        <v>19.97</v>
      </c>
      <c r="L13" s="64">
        <v>22.58</v>
      </c>
      <c r="M13" s="64">
        <v>97.09</v>
      </c>
      <c r="N13" s="64">
        <v>24</v>
      </c>
      <c r="O13" s="64">
        <v>0</v>
      </c>
      <c r="P13" s="64">
        <v>0.28000000000000003</v>
      </c>
      <c r="Q13" s="64">
        <v>14.27</v>
      </c>
      <c r="R13" s="198"/>
      <c r="S13" s="198"/>
      <c r="T13" s="198"/>
      <c r="U13" s="198"/>
    </row>
    <row r="14" spans="1:21" s="12" customFormat="1" x14ac:dyDescent="0.25">
      <c r="A14" s="215" t="s">
        <v>829</v>
      </c>
      <c r="B14" s="64">
        <v>6.12</v>
      </c>
      <c r="C14" s="64">
        <v>13.52</v>
      </c>
      <c r="D14" s="64">
        <v>13.01</v>
      </c>
      <c r="E14" s="64">
        <v>2.36</v>
      </c>
      <c r="F14" s="64">
        <v>2.0699999999999998</v>
      </c>
      <c r="G14" s="216" t="s">
        <v>43</v>
      </c>
      <c r="H14" s="216" t="s">
        <v>43</v>
      </c>
      <c r="I14" s="64">
        <v>3.97</v>
      </c>
      <c r="J14" s="64">
        <v>0.05</v>
      </c>
      <c r="K14" s="64">
        <v>351.26</v>
      </c>
      <c r="L14" s="64">
        <v>22.57</v>
      </c>
      <c r="M14" s="64">
        <v>97.08</v>
      </c>
      <c r="N14" s="64">
        <v>24.1</v>
      </c>
      <c r="O14" s="64">
        <v>0</v>
      </c>
      <c r="P14" s="64">
        <v>0.27</v>
      </c>
      <c r="Q14" s="64">
        <v>13.14</v>
      </c>
      <c r="R14" s="198"/>
      <c r="S14" s="198"/>
      <c r="T14" s="198"/>
      <c r="U14" s="198"/>
    </row>
    <row r="15" spans="1:21" s="12" customFormat="1" x14ac:dyDescent="0.25">
      <c r="A15" s="215" t="s">
        <v>830</v>
      </c>
      <c r="B15" s="64">
        <v>5.74</v>
      </c>
      <c r="C15" s="64">
        <v>11.5</v>
      </c>
      <c r="D15" s="64">
        <v>11.59</v>
      </c>
      <c r="E15" s="64">
        <v>1.78</v>
      </c>
      <c r="F15" s="64">
        <v>5.09</v>
      </c>
      <c r="G15" s="216" t="s">
        <v>43</v>
      </c>
      <c r="H15" s="216" t="s">
        <v>43</v>
      </c>
      <c r="I15" s="64">
        <v>3.79</v>
      </c>
      <c r="J15" s="64">
        <v>0.1</v>
      </c>
      <c r="K15" s="64">
        <v>19.309999999999999</v>
      </c>
      <c r="L15" s="64">
        <v>22.55</v>
      </c>
      <c r="M15" s="64">
        <v>97.09</v>
      </c>
      <c r="N15" s="64">
        <v>24.1</v>
      </c>
      <c r="O15" s="64">
        <v>0</v>
      </c>
      <c r="P15" s="64">
        <v>0.27</v>
      </c>
      <c r="Q15" s="64">
        <v>9.67</v>
      </c>
      <c r="R15" s="198"/>
      <c r="S15" s="198"/>
      <c r="T15" s="198"/>
      <c r="U15" s="198"/>
    </row>
    <row r="16" spans="1:21" s="12" customFormat="1" x14ac:dyDescent="0.25">
      <c r="A16" s="215" t="s">
        <v>831</v>
      </c>
      <c r="B16" s="64">
        <v>5.63</v>
      </c>
      <c r="C16" s="64">
        <v>11.17</v>
      </c>
      <c r="D16" s="64">
        <v>11.32</v>
      </c>
      <c r="E16" s="64">
        <v>2.06</v>
      </c>
      <c r="F16" s="64">
        <v>5.31</v>
      </c>
      <c r="G16" s="216" t="s">
        <v>43</v>
      </c>
      <c r="H16" s="216" t="s">
        <v>43</v>
      </c>
      <c r="I16" s="64">
        <v>3.5</v>
      </c>
      <c r="J16" s="64">
        <v>0.01</v>
      </c>
      <c r="K16" s="64">
        <v>150.30000000000001</v>
      </c>
      <c r="L16" s="64">
        <v>22.52</v>
      </c>
      <c r="M16" s="64">
        <v>97.11</v>
      </c>
      <c r="N16" s="64">
        <v>24.3</v>
      </c>
      <c r="O16" s="64">
        <v>0</v>
      </c>
      <c r="P16" s="64">
        <v>0.26</v>
      </c>
      <c r="Q16" s="64">
        <v>10.61</v>
      </c>
      <c r="R16" s="198"/>
      <c r="S16" s="198"/>
      <c r="T16" s="198"/>
      <c r="U16" s="198"/>
    </row>
    <row r="17" spans="1:21" s="12" customFormat="1" x14ac:dyDescent="0.25">
      <c r="A17" s="215" t="s">
        <v>832</v>
      </c>
      <c r="B17" s="64">
        <v>5.48</v>
      </c>
      <c r="C17" s="64">
        <v>12.4</v>
      </c>
      <c r="D17" s="64">
        <v>11.89</v>
      </c>
      <c r="E17" s="64">
        <v>2.2999999999999998</v>
      </c>
      <c r="F17" s="64">
        <v>6.96</v>
      </c>
      <c r="G17" s="216" t="s">
        <v>43</v>
      </c>
      <c r="H17" s="216" t="s">
        <v>43</v>
      </c>
      <c r="I17" s="64">
        <v>3.36</v>
      </c>
      <c r="J17" s="64">
        <v>0.1</v>
      </c>
      <c r="K17" s="64">
        <v>232.5</v>
      </c>
      <c r="L17" s="64">
        <v>22.49</v>
      </c>
      <c r="M17" s="64">
        <v>97.1</v>
      </c>
      <c r="N17" s="64">
        <v>24.3</v>
      </c>
      <c r="O17" s="64">
        <v>0</v>
      </c>
      <c r="P17" s="64">
        <v>0.25</v>
      </c>
      <c r="Q17" s="64">
        <v>12.69</v>
      </c>
      <c r="R17" s="198"/>
      <c r="S17" s="198"/>
      <c r="T17" s="198"/>
      <c r="U17" s="198"/>
    </row>
    <row r="18" spans="1:21" s="12" customFormat="1" x14ac:dyDescent="0.25">
      <c r="A18" s="215" t="s">
        <v>833</v>
      </c>
      <c r="B18" s="64">
        <v>5.0199999999999996</v>
      </c>
      <c r="C18" s="64">
        <v>11.55</v>
      </c>
      <c r="D18" s="64">
        <v>11.05</v>
      </c>
      <c r="E18" s="64">
        <v>2.2000000000000002</v>
      </c>
      <c r="F18" s="64">
        <v>15.11</v>
      </c>
      <c r="G18" s="216" t="s">
        <v>43</v>
      </c>
      <c r="H18" s="216" t="s">
        <v>43</v>
      </c>
      <c r="I18" s="64">
        <v>3.27</v>
      </c>
      <c r="J18" s="64">
        <v>0.28000000000000003</v>
      </c>
      <c r="K18" s="64">
        <v>220.94</v>
      </c>
      <c r="L18" s="64">
        <v>22.43</v>
      </c>
      <c r="M18" s="64">
        <v>97.11</v>
      </c>
      <c r="N18" s="64">
        <v>24.5</v>
      </c>
      <c r="O18" s="64">
        <v>0</v>
      </c>
      <c r="P18" s="64">
        <v>0.24</v>
      </c>
      <c r="Q18" s="64">
        <v>12.04</v>
      </c>
      <c r="R18" s="198"/>
      <c r="S18" s="198"/>
      <c r="T18" s="198"/>
      <c r="U18" s="198"/>
    </row>
    <row r="19" spans="1:21" s="12" customFormat="1" x14ac:dyDescent="0.25">
      <c r="A19" s="215" t="s">
        <v>834</v>
      </c>
      <c r="B19" s="64">
        <v>5.46</v>
      </c>
      <c r="C19" s="64">
        <v>9.99</v>
      </c>
      <c r="D19" s="64">
        <v>10.54</v>
      </c>
      <c r="E19" s="64">
        <v>1.81</v>
      </c>
      <c r="F19" s="64">
        <v>11.74</v>
      </c>
      <c r="G19" s="216" t="s">
        <v>43</v>
      </c>
      <c r="H19" s="216" t="s">
        <v>43</v>
      </c>
      <c r="I19" s="64">
        <v>2.74</v>
      </c>
      <c r="J19" s="64">
        <v>0.15</v>
      </c>
      <c r="K19" s="64">
        <v>221.76</v>
      </c>
      <c r="L19" s="64">
        <v>22.37</v>
      </c>
      <c r="M19" s="64">
        <v>97.13</v>
      </c>
      <c r="N19" s="64">
        <v>24.4</v>
      </c>
      <c r="O19" s="64">
        <v>0</v>
      </c>
      <c r="P19" s="64">
        <v>0.26</v>
      </c>
      <c r="Q19" s="64">
        <v>12.62</v>
      </c>
      <c r="R19" s="198"/>
      <c r="S19" s="198"/>
      <c r="T19" s="198"/>
      <c r="U19" s="198"/>
    </row>
    <row r="20" spans="1:21" s="12" customFormat="1" x14ac:dyDescent="0.25">
      <c r="A20" s="215" t="s">
        <v>835</v>
      </c>
      <c r="B20" s="64">
        <v>5.56</v>
      </c>
      <c r="C20" s="64">
        <v>10.7</v>
      </c>
      <c r="D20" s="64">
        <v>11.01</v>
      </c>
      <c r="E20" s="64">
        <v>2.11</v>
      </c>
      <c r="F20" s="64">
        <v>13.77</v>
      </c>
      <c r="G20" s="216" t="s">
        <v>43</v>
      </c>
      <c r="H20" s="216" t="s">
        <v>43</v>
      </c>
      <c r="I20" s="64">
        <v>2.58</v>
      </c>
      <c r="J20" s="64">
        <v>0.13</v>
      </c>
      <c r="K20" s="64">
        <v>228.5</v>
      </c>
      <c r="L20" s="64">
        <v>22.36</v>
      </c>
      <c r="M20" s="64">
        <v>97.15</v>
      </c>
      <c r="N20" s="64">
        <v>24.4</v>
      </c>
      <c r="O20" s="64">
        <v>0</v>
      </c>
      <c r="P20" s="64">
        <v>0.23</v>
      </c>
      <c r="Q20" s="64">
        <v>13.83</v>
      </c>
      <c r="R20" s="198"/>
      <c r="S20" s="198"/>
      <c r="T20" s="198"/>
      <c r="U20" s="198"/>
    </row>
    <row r="21" spans="1:21" s="12" customFormat="1" x14ac:dyDescent="0.25">
      <c r="A21" s="215" t="s">
        <v>836</v>
      </c>
      <c r="B21" s="64">
        <v>6.06</v>
      </c>
      <c r="C21" s="64">
        <v>9.49</v>
      </c>
      <c r="D21" s="64">
        <v>10.74</v>
      </c>
      <c r="E21" s="64">
        <v>2.2000000000000002</v>
      </c>
      <c r="F21" s="64">
        <v>9.84</v>
      </c>
      <c r="G21" s="216" t="s">
        <v>43</v>
      </c>
      <c r="H21" s="216" t="s">
        <v>43</v>
      </c>
      <c r="I21" s="64">
        <v>2.74</v>
      </c>
      <c r="J21" s="64">
        <v>0.1</v>
      </c>
      <c r="K21" s="64">
        <v>221.7</v>
      </c>
      <c r="L21" s="64">
        <v>22.41</v>
      </c>
      <c r="M21" s="64">
        <v>97.15</v>
      </c>
      <c r="N21" s="64">
        <v>24.5</v>
      </c>
      <c r="O21" s="64">
        <v>0</v>
      </c>
      <c r="P21" s="64">
        <v>0.24</v>
      </c>
      <c r="Q21" s="64">
        <v>13.86</v>
      </c>
      <c r="R21" s="198"/>
      <c r="S21" s="198"/>
      <c r="T21" s="198"/>
      <c r="U21" s="198"/>
    </row>
    <row r="22" spans="1:21" s="12" customFormat="1" x14ac:dyDescent="0.25">
      <c r="A22" s="215" t="s">
        <v>837</v>
      </c>
      <c r="B22" s="64">
        <v>6.65</v>
      </c>
      <c r="C22" s="64">
        <v>10.17</v>
      </c>
      <c r="D22" s="64">
        <v>11.59</v>
      </c>
      <c r="E22" s="64">
        <v>2.19</v>
      </c>
      <c r="F22" s="64">
        <v>5.0599999999999996</v>
      </c>
      <c r="G22" s="216" t="s">
        <v>43</v>
      </c>
      <c r="H22" s="216" t="s">
        <v>43</v>
      </c>
      <c r="I22" s="64">
        <v>3</v>
      </c>
      <c r="J22" s="64">
        <v>0.11</v>
      </c>
      <c r="K22" s="64">
        <v>17.91</v>
      </c>
      <c r="L22" s="64">
        <v>22.47</v>
      </c>
      <c r="M22" s="64">
        <v>97.15</v>
      </c>
      <c r="N22" s="64">
        <v>24.4</v>
      </c>
      <c r="O22" s="64">
        <v>0</v>
      </c>
      <c r="P22" s="64">
        <v>0.24</v>
      </c>
      <c r="Q22" s="64">
        <v>16.09</v>
      </c>
      <c r="R22" s="198"/>
      <c r="S22" s="198"/>
      <c r="T22" s="198"/>
      <c r="U22" s="198"/>
    </row>
    <row r="23" spans="1:21" s="12" customFormat="1" x14ac:dyDescent="0.25">
      <c r="A23" s="215" t="s">
        <v>838</v>
      </c>
      <c r="B23" s="64">
        <v>6.87</v>
      </c>
      <c r="C23" s="64">
        <v>12.43</v>
      </c>
      <c r="D23" s="64">
        <v>13.02</v>
      </c>
      <c r="E23" s="64">
        <v>2.79</v>
      </c>
      <c r="F23" s="64">
        <v>2.41</v>
      </c>
      <c r="G23" s="216" t="s">
        <v>43</v>
      </c>
      <c r="H23" s="216" t="s">
        <v>43</v>
      </c>
      <c r="I23" s="64">
        <v>3.43</v>
      </c>
      <c r="J23" s="64">
        <v>0.04</v>
      </c>
      <c r="K23" s="64">
        <v>252.35</v>
      </c>
      <c r="L23" s="64">
        <v>22.5</v>
      </c>
      <c r="M23" s="64">
        <v>97.15</v>
      </c>
      <c r="N23" s="64">
        <v>24.4</v>
      </c>
      <c r="O23" s="64">
        <v>0</v>
      </c>
      <c r="P23" s="64">
        <v>0.22</v>
      </c>
      <c r="Q23" s="64">
        <v>16.03</v>
      </c>
      <c r="R23" s="198"/>
      <c r="S23" s="198"/>
      <c r="T23" s="198"/>
      <c r="U23" s="198"/>
    </row>
    <row r="24" spans="1:21" s="12" customFormat="1" x14ac:dyDescent="0.25">
      <c r="A24" s="215" t="s">
        <v>839</v>
      </c>
      <c r="B24" s="64">
        <v>6.62</v>
      </c>
      <c r="C24" s="64">
        <v>11.32</v>
      </c>
      <c r="D24" s="64">
        <v>12.2</v>
      </c>
      <c r="E24" s="64">
        <v>1.64</v>
      </c>
      <c r="F24" s="64">
        <v>5.42</v>
      </c>
      <c r="G24" s="216" t="s">
        <v>43</v>
      </c>
      <c r="H24" s="216" t="s">
        <v>43</v>
      </c>
      <c r="I24" s="64">
        <v>4.01</v>
      </c>
      <c r="J24" s="64">
        <v>0.04</v>
      </c>
      <c r="K24" s="64">
        <v>280.44</v>
      </c>
      <c r="L24" s="64">
        <v>22.44</v>
      </c>
      <c r="M24" s="64">
        <v>97.15</v>
      </c>
      <c r="N24" s="64">
        <v>24.3</v>
      </c>
      <c r="O24" s="64">
        <v>0</v>
      </c>
      <c r="P24" s="64">
        <v>0.23</v>
      </c>
      <c r="Q24" s="64">
        <v>13.36</v>
      </c>
      <c r="R24" s="198"/>
      <c r="S24" s="198"/>
      <c r="T24" s="198"/>
      <c r="U24" s="198"/>
    </row>
    <row r="25" spans="1:21" s="12" customFormat="1" x14ac:dyDescent="0.25">
      <c r="A25" s="215" t="s">
        <v>840</v>
      </c>
      <c r="B25" s="64">
        <v>6.56</v>
      </c>
      <c r="C25" s="64">
        <v>11</v>
      </c>
      <c r="D25" s="64">
        <v>11.98</v>
      </c>
      <c r="E25" s="64">
        <v>2.46</v>
      </c>
      <c r="F25" s="64">
        <v>3.96</v>
      </c>
      <c r="G25" s="216" t="s">
        <v>43</v>
      </c>
      <c r="H25" s="216" t="s">
        <v>43</v>
      </c>
      <c r="I25" s="64">
        <v>4.01</v>
      </c>
      <c r="J25" s="64">
        <v>0.04</v>
      </c>
      <c r="K25" s="64">
        <v>275.25</v>
      </c>
      <c r="L25" s="64">
        <v>22.25</v>
      </c>
      <c r="M25" s="64">
        <v>97.17</v>
      </c>
      <c r="N25" s="64">
        <v>24.1</v>
      </c>
      <c r="O25" s="64">
        <v>0.4</v>
      </c>
      <c r="P25" s="64">
        <v>0.22</v>
      </c>
      <c r="Q25" s="64">
        <v>14.52</v>
      </c>
      <c r="R25" s="198"/>
      <c r="S25" s="198"/>
      <c r="T25" s="198"/>
      <c r="U25" s="198"/>
    </row>
    <row r="26" spans="1:21" s="12" customFormat="1" x14ac:dyDescent="0.25">
      <c r="A26" s="215" t="s">
        <v>841</v>
      </c>
      <c r="B26" s="64">
        <v>6.33</v>
      </c>
      <c r="C26" s="64">
        <v>12.23</v>
      </c>
      <c r="D26" s="64">
        <v>12.47</v>
      </c>
      <c r="E26" s="64">
        <v>2.5</v>
      </c>
      <c r="F26" s="64">
        <v>3.3</v>
      </c>
      <c r="G26" s="216" t="s">
        <v>43</v>
      </c>
      <c r="H26" s="216" t="s">
        <v>43</v>
      </c>
      <c r="I26" s="64">
        <v>3.89</v>
      </c>
      <c r="J26" s="64">
        <v>0.03</v>
      </c>
      <c r="K26" s="64">
        <v>296</v>
      </c>
      <c r="L26" s="64">
        <v>22.11</v>
      </c>
      <c r="M26" s="64">
        <v>97.18</v>
      </c>
      <c r="N26" s="64">
        <v>24</v>
      </c>
      <c r="O26" s="64">
        <v>0</v>
      </c>
      <c r="P26" s="64">
        <v>0.2</v>
      </c>
      <c r="Q26" s="64">
        <v>13.19</v>
      </c>
      <c r="R26" s="198"/>
      <c r="S26" s="198"/>
      <c r="T26" s="198"/>
      <c r="U26" s="198"/>
    </row>
    <row r="27" spans="1:21" s="12" customFormat="1" x14ac:dyDescent="0.25">
      <c r="A27" s="215" t="s">
        <v>842</v>
      </c>
      <c r="B27" s="64">
        <v>6.22</v>
      </c>
      <c r="C27" s="64">
        <v>10.52</v>
      </c>
      <c r="D27" s="64">
        <v>11.44</v>
      </c>
      <c r="E27" s="64">
        <v>2.2200000000000002</v>
      </c>
      <c r="F27" s="64">
        <v>5.37</v>
      </c>
      <c r="G27" s="216" t="s">
        <v>43</v>
      </c>
      <c r="H27" s="216" t="s">
        <v>43</v>
      </c>
      <c r="I27" s="64">
        <v>3.82</v>
      </c>
      <c r="J27" s="64">
        <v>0.04</v>
      </c>
      <c r="K27" s="64">
        <v>250.61</v>
      </c>
      <c r="L27" s="64">
        <v>22.09</v>
      </c>
      <c r="M27" s="64">
        <v>97.18</v>
      </c>
      <c r="N27" s="64">
        <v>24.1</v>
      </c>
      <c r="O27" s="64">
        <v>0.4</v>
      </c>
      <c r="P27" s="64">
        <v>0.22</v>
      </c>
      <c r="Q27" s="64">
        <v>11.84</v>
      </c>
      <c r="R27" s="198"/>
      <c r="S27" s="198"/>
      <c r="T27" s="198"/>
      <c r="U27" s="198"/>
    </row>
    <row r="28" spans="1:21" s="12" customFormat="1" x14ac:dyDescent="0.25">
      <c r="A28" s="215" t="s">
        <v>843</v>
      </c>
      <c r="B28" s="64">
        <v>6.17</v>
      </c>
      <c r="C28" s="64">
        <v>11.8</v>
      </c>
      <c r="D28" s="64">
        <v>12.11</v>
      </c>
      <c r="E28" s="64">
        <v>1.9</v>
      </c>
      <c r="F28" s="64">
        <v>2.6</v>
      </c>
      <c r="G28" s="216" t="s">
        <v>43</v>
      </c>
      <c r="H28" s="216" t="s">
        <v>43</v>
      </c>
      <c r="I28" s="64">
        <v>3.62</v>
      </c>
      <c r="J28" s="64">
        <v>0.05</v>
      </c>
      <c r="K28" s="64">
        <v>6.85</v>
      </c>
      <c r="L28" s="64">
        <v>22.02</v>
      </c>
      <c r="M28" s="64">
        <v>97.18</v>
      </c>
      <c r="N28" s="64">
        <v>24.1</v>
      </c>
      <c r="O28" s="64">
        <v>0.8</v>
      </c>
      <c r="P28" s="64">
        <v>0.2</v>
      </c>
      <c r="Q28" s="64">
        <v>12.95</v>
      </c>
      <c r="R28" s="198"/>
      <c r="S28" s="198"/>
      <c r="T28" s="198"/>
      <c r="U28" s="198"/>
    </row>
    <row r="29" spans="1:21" s="12" customFormat="1" x14ac:dyDescent="0.25">
      <c r="A29" s="215" t="s">
        <v>844</v>
      </c>
      <c r="B29" s="64">
        <v>5.96</v>
      </c>
      <c r="C29" s="64">
        <v>12.28</v>
      </c>
      <c r="D29" s="64">
        <v>12.2</v>
      </c>
      <c r="E29" s="64">
        <v>2.4300000000000002</v>
      </c>
      <c r="F29" s="64">
        <v>4.49</v>
      </c>
      <c r="G29" s="216" t="s">
        <v>43</v>
      </c>
      <c r="H29" s="216" t="s">
        <v>43</v>
      </c>
      <c r="I29" s="64">
        <v>3.53</v>
      </c>
      <c r="J29" s="64">
        <v>0.12</v>
      </c>
      <c r="K29" s="64">
        <v>24.57</v>
      </c>
      <c r="L29" s="64">
        <v>21.83</v>
      </c>
      <c r="M29" s="64">
        <v>97.18</v>
      </c>
      <c r="N29" s="64">
        <v>24.4</v>
      </c>
      <c r="O29" s="64">
        <v>1.4</v>
      </c>
      <c r="P29" s="64">
        <v>0.19</v>
      </c>
      <c r="Q29" s="64">
        <v>11.05</v>
      </c>
      <c r="R29" s="198"/>
      <c r="S29" s="198"/>
      <c r="T29" s="198"/>
      <c r="U29" s="198"/>
    </row>
    <row r="30" spans="1:21" s="12" customFormat="1" x14ac:dyDescent="0.25">
      <c r="A30" s="215" t="s">
        <v>845</v>
      </c>
      <c r="B30" s="64">
        <v>6.01</v>
      </c>
      <c r="C30" s="64">
        <v>13.48</v>
      </c>
      <c r="D30" s="64">
        <v>12.91</v>
      </c>
      <c r="E30" s="64">
        <v>1.58</v>
      </c>
      <c r="F30" s="64">
        <v>4.33</v>
      </c>
      <c r="G30" s="216" t="s">
        <v>43</v>
      </c>
      <c r="H30" s="216" t="s">
        <v>43</v>
      </c>
      <c r="I30" s="64">
        <v>3.4</v>
      </c>
      <c r="J30" s="64">
        <v>0.18</v>
      </c>
      <c r="K30" s="64">
        <v>40.340000000000003</v>
      </c>
      <c r="L30" s="64">
        <v>21.73</v>
      </c>
      <c r="M30" s="64">
        <v>97.18</v>
      </c>
      <c r="N30" s="64">
        <v>24.5</v>
      </c>
      <c r="O30" s="64">
        <v>1.4</v>
      </c>
      <c r="P30" s="64">
        <v>0.2</v>
      </c>
      <c r="Q30" s="64">
        <v>12.3</v>
      </c>
      <c r="R30" s="198"/>
      <c r="S30" s="198"/>
      <c r="T30" s="198"/>
      <c r="U30" s="198"/>
    </row>
    <row r="31" spans="1:21" s="12" customFormat="1" x14ac:dyDescent="0.25">
      <c r="A31" s="215" t="s">
        <v>846</v>
      </c>
      <c r="B31" s="64">
        <v>6.34</v>
      </c>
      <c r="C31" s="64">
        <v>12.45</v>
      </c>
      <c r="D31" s="64">
        <v>12.61</v>
      </c>
      <c r="E31" s="64">
        <v>2.0299999999999998</v>
      </c>
      <c r="F31" s="64">
        <v>5.05</v>
      </c>
      <c r="G31" s="216" t="s">
        <v>43</v>
      </c>
      <c r="H31" s="216" t="s">
        <v>43</v>
      </c>
      <c r="I31" s="64">
        <v>3.24</v>
      </c>
      <c r="J31" s="64">
        <v>0.2</v>
      </c>
      <c r="K31" s="64">
        <v>43.62</v>
      </c>
      <c r="L31" s="64">
        <v>21.58</v>
      </c>
      <c r="M31" s="64">
        <v>97.15</v>
      </c>
      <c r="N31" s="64">
        <v>25.8</v>
      </c>
      <c r="O31" s="64">
        <v>3.8</v>
      </c>
      <c r="P31" s="64">
        <v>0.2</v>
      </c>
      <c r="Q31" s="64">
        <v>11.55</v>
      </c>
      <c r="R31" s="198"/>
      <c r="S31" s="198"/>
      <c r="T31" s="198"/>
      <c r="U31" s="198"/>
    </row>
    <row r="32" spans="1:21" s="12" customFormat="1" x14ac:dyDescent="0.25">
      <c r="A32" s="215" t="s">
        <v>847</v>
      </c>
      <c r="B32" s="64">
        <v>6.55</v>
      </c>
      <c r="C32" s="64">
        <v>14.85</v>
      </c>
      <c r="D32" s="64">
        <v>14.09</v>
      </c>
      <c r="E32" s="64">
        <v>2.0299999999999998</v>
      </c>
      <c r="F32" s="64">
        <v>4.97</v>
      </c>
      <c r="G32" s="216" t="s">
        <v>43</v>
      </c>
      <c r="H32" s="216" t="s">
        <v>43</v>
      </c>
      <c r="I32" s="64">
        <v>3.08</v>
      </c>
      <c r="J32" s="64">
        <v>0.18</v>
      </c>
      <c r="K32" s="64">
        <v>15.29</v>
      </c>
      <c r="L32" s="64">
        <v>21.38</v>
      </c>
      <c r="M32" s="64">
        <v>97.15</v>
      </c>
      <c r="N32" s="64">
        <v>27</v>
      </c>
      <c r="O32" s="64">
        <v>10</v>
      </c>
      <c r="P32" s="64">
        <v>0.2</v>
      </c>
      <c r="Q32" s="64">
        <v>12.01</v>
      </c>
      <c r="R32" s="198"/>
      <c r="S32" s="198"/>
      <c r="T32" s="198"/>
      <c r="U32" s="198"/>
    </row>
    <row r="33" spans="1:21" s="12" customFormat="1" x14ac:dyDescent="0.25">
      <c r="A33" s="215" t="s">
        <v>848</v>
      </c>
      <c r="B33" s="64">
        <v>6.33</v>
      </c>
      <c r="C33" s="64">
        <v>12.81</v>
      </c>
      <c r="D33" s="64">
        <v>12.8</v>
      </c>
      <c r="E33" s="64">
        <v>1.86</v>
      </c>
      <c r="F33" s="64">
        <v>5.72</v>
      </c>
      <c r="G33" s="216" t="s">
        <v>43</v>
      </c>
      <c r="H33" s="216" t="s">
        <v>43</v>
      </c>
      <c r="I33" s="64">
        <v>3.04</v>
      </c>
      <c r="J33" s="64">
        <v>0.15</v>
      </c>
      <c r="K33" s="64">
        <v>258.58999999999997</v>
      </c>
      <c r="L33" s="64">
        <v>21.24</v>
      </c>
      <c r="M33" s="64">
        <v>97.16</v>
      </c>
      <c r="N33" s="64">
        <v>28.8</v>
      </c>
      <c r="O33" s="64">
        <v>9.1999999999999993</v>
      </c>
      <c r="P33" s="64">
        <v>0.2</v>
      </c>
      <c r="Q33" s="64">
        <v>11.09</v>
      </c>
      <c r="R33" s="198"/>
      <c r="S33" s="198"/>
      <c r="T33" s="198"/>
      <c r="U33" s="198"/>
    </row>
    <row r="34" spans="1:21" s="12" customFormat="1" x14ac:dyDescent="0.25">
      <c r="A34" s="215" t="s">
        <v>849</v>
      </c>
      <c r="B34" s="64">
        <v>6.13</v>
      </c>
      <c r="C34" s="64">
        <v>13.22</v>
      </c>
      <c r="D34" s="64">
        <v>12.86</v>
      </c>
      <c r="E34" s="64">
        <v>2.23</v>
      </c>
      <c r="F34" s="64">
        <v>4.1100000000000003</v>
      </c>
      <c r="G34" s="216" t="s">
        <v>43</v>
      </c>
      <c r="H34" s="216" t="s">
        <v>43</v>
      </c>
      <c r="I34" s="64">
        <v>2.84</v>
      </c>
      <c r="J34" s="64">
        <v>0.14000000000000001</v>
      </c>
      <c r="K34" s="64">
        <v>36.11</v>
      </c>
      <c r="L34" s="64">
        <v>21.27</v>
      </c>
      <c r="M34" s="64">
        <v>97.14</v>
      </c>
      <c r="N34" s="64">
        <v>29.6</v>
      </c>
      <c r="O34" s="64">
        <v>9.1999999999999993</v>
      </c>
      <c r="P34" s="64">
        <v>0.19</v>
      </c>
      <c r="Q34" s="64">
        <v>11.37</v>
      </c>
      <c r="R34" s="198"/>
      <c r="S34" s="198"/>
      <c r="T34" s="198"/>
      <c r="U34" s="198"/>
    </row>
    <row r="35" spans="1:21" s="12" customFormat="1" x14ac:dyDescent="0.25">
      <c r="A35" s="215" t="s">
        <v>850</v>
      </c>
      <c r="B35" s="64">
        <v>5.97</v>
      </c>
      <c r="C35" s="64">
        <v>14.54</v>
      </c>
      <c r="D35" s="64">
        <v>13.46</v>
      </c>
      <c r="E35" s="64">
        <v>2.14</v>
      </c>
      <c r="F35" s="64">
        <v>3.61</v>
      </c>
      <c r="G35" s="216" t="s">
        <v>43</v>
      </c>
      <c r="H35" s="216" t="s">
        <v>43</v>
      </c>
      <c r="I35" s="64">
        <v>2.71</v>
      </c>
      <c r="J35" s="64">
        <v>0.08</v>
      </c>
      <c r="K35" s="64">
        <v>31.4</v>
      </c>
      <c r="L35" s="64">
        <v>21.23</v>
      </c>
      <c r="M35" s="64">
        <v>97.15</v>
      </c>
      <c r="N35" s="64">
        <v>31.6</v>
      </c>
      <c r="O35" s="64">
        <v>5</v>
      </c>
      <c r="P35" s="64">
        <v>0.18</v>
      </c>
      <c r="Q35" s="64">
        <v>8.23</v>
      </c>
      <c r="R35" s="198"/>
      <c r="S35" s="198"/>
      <c r="T35" s="198"/>
      <c r="U35" s="198"/>
    </row>
    <row r="36" spans="1:21" s="12" customFormat="1" x14ac:dyDescent="0.25">
      <c r="A36" s="215" t="s">
        <v>851</v>
      </c>
      <c r="B36" s="64">
        <v>5.93</v>
      </c>
      <c r="C36" s="64">
        <v>12.21</v>
      </c>
      <c r="D36" s="64">
        <v>12.15</v>
      </c>
      <c r="E36" s="64">
        <v>2.14</v>
      </c>
      <c r="F36" s="64">
        <v>5.1100000000000003</v>
      </c>
      <c r="G36" s="216" t="s">
        <v>43</v>
      </c>
      <c r="H36" s="216" t="s">
        <v>43</v>
      </c>
      <c r="I36" s="64">
        <v>2.66</v>
      </c>
      <c r="J36" s="64">
        <v>0.45</v>
      </c>
      <c r="K36" s="64">
        <v>237.87</v>
      </c>
      <c r="L36" s="64">
        <v>21.26</v>
      </c>
      <c r="M36" s="64">
        <v>97.14</v>
      </c>
      <c r="N36" s="64">
        <v>32.5</v>
      </c>
      <c r="O36" s="64">
        <v>2.6</v>
      </c>
      <c r="P36" s="64">
        <v>0.2</v>
      </c>
      <c r="Q36" s="64">
        <v>6.57</v>
      </c>
      <c r="R36" s="198"/>
      <c r="S36" s="198"/>
      <c r="T36" s="198"/>
      <c r="U36" s="198"/>
    </row>
    <row r="37" spans="1:21" s="12" customFormat="1" x14ac:dyDescent="0.25">
      <c r="A37" s="215" t="s">
        <v>852</v>
      </c>
      <c r="B37" s="64">
        <v>6.04</v>
      </c>
      <c r="C37" s="64">
        <v>11.33</v>
      </c>
      <c r="D37" s="64">
        <v>11.74</v>
      </c>
      <c r="E37" s="64">
        <v>2.23</v>
      </c>
      <c r="F37" s="64">
        <v>5.2</v>
      </c>
      <c r="G37" s="216" t="s">
        <v>43</v>
      </c>
      <c r="H37" s="216" t="s">
        <v>43</v>
      </c>
      <c r="I37" s="64">
        <v>2.5499999999999998</v>
      </c>
      <c r="J37" s="64">
        <v>0.97</v>
      </c>
      <c r="K37" s="64">
        <v>222.29</v>
      </c>
      <c r="L37" s="64">
        <v>21.33</v>
      </c>
      <c r="M37" s="64">
        <v>97.14</v>
      </c>
      <c r="N37" s="64">
        <v>32.5</v>
      </c>
      <c r="O37" s="64">
        <v>3</v>
      </c>
      <c r="P37" s="64">
        <v>0.19</v>
      </c>
      <c r="Q37" s="64">
        <v>8.31</v>
      </c>
      <c r="R37" s="198"/>
      <c r="S37" s="198"/>
      <c r="T37" s="198"/>
      <c r="U37" s="198"/>
    </row>
    <row r="38" spans="1:21" s="12" customFormat="1" x14ac:dyDescent="0.25">
      <c r="A38" s="215" t="s">
        <v>853</v>
      </c>
      <c r="B38" s="64">
        <v>6.36</v>
      </c>
      <c r="C38" s="64">
        <v>11.93</v>
      </c>
      <c r="D38" s="64">
        <v>12.33</v>
      </c>
      <c r="E38" s="64">
        <v>2.56</v>
      </c>
      <c r="F38" s="64">
        <v>4.1500000000000004</v>
      </c>
      <c r="G38" s="216" t="s">
        <v>43</v>
      </c>
      <c r="H38" s="216" t="s">
        <v>43</v>
      </c>
      <c r="I38" s="64">
        <v>2.48</v>
      </c>
      <c r="J38" s="64">
        <v>0.66</v>
      </c>
      <c r="K38" s="64">
        <v>222.83</v>
      </c>
      <c r="L38" s="64">
        <v>21.36</v>
      </c>
      <c r="M38" s="64">
        <v>97.15</v>
      </c>
      <c r="N38" s="64">
        <v>36.799999999999997</v>
      </c>
      <c r="O38" s="64">
        <v>1.6</v>
      </c>
      <c r="P38" s="64">
        <v>0.2</v>
      </c>
      <c r="Q38" s="64">
        <v>10.53</v>
      </c>
      <c r="R38" s="198"/>
      <c r="S38" s="198"/>
      <c r="T38" s="198"/>
      <c r="U38" s="198"/>
    </row>
    <row r="39" spans="1:21" s="12" customFormat="1" x14ac:dyDescent="0.25">
      <c r="A39" s="215" t="s">
        <v>854</v>
      </c>
      <c r="B39" s="64">
        <v>6.46</v>
      </c>
      <c r="C39" s="64">
        <v>15.86</v>
      </c>
      <c r="D39" s="64">
        <v>14.58</v>
      </c>
      <c r="E39" s="64">
        <v>2.4900000000000002</v>
      </c>
      <c r="F39" s="64">
        <v>3.25</v>
      </c>
      <c r="G39" s="216" t="s">
        <v>43</v>
      </c>
      <c r="H39" s="216" t="s">
        <v>43</v>
      </c>
      <c r="I39" s="64">
        <v>2.42</v>
      </c>
      <c r="J39" s="64">
        <v>0.31</v>
      </c>
      <c r="K39" s="64">
        <v>223.1</v>
      </c>
      <c r="L39" s="64">
        <v>21.4</v>
      </c>
      <c r="M39" s="64">
        <v>97.15</v>
      </c>
      <c r="N39" s="64">
        <v>49</v>
      </c>
      <c r="O39" s="64">
        <v>1</v>
      </c>
      <c r="P39" s="64">
        <v>0.19</v>
      </c>
      <c r="Q39" s="64">
        <v>8.66</v>
      </c>
      <c r="R39" s="198"/>
      <c r="S39" s="198"/>
      <c r="T39" s="198"/>
      <c r="U39" s="198"/>
    </row>
    <row r="40" spans="1:21" s="12" customFormat="1" x14ac:dyDescent="0.25">
      <c r="A40" s="215" t="s">
        <v>855</v>
      </c>
      <c r="B40" s="64">
        <v>6.54</v>
      </c>
      <c r="C40" s="64">
        <v>11.9</v>
      </c>
      <c r="D40" s="64">
        <v>12.46</v>
      </c>
      <c r="E40" s="64">
        <v>2.0699999999999998</v>
      </c>
      <c r="F40" s="64">
        <v>3.98</v>
      </c>
      <c r="G40" s="216" t="s">
        <v>43</v>
      </c>
      <c r="H40" s="216" t="s">
        <v>43</v>
      </c>
      <c r="I40" s="64">
        <v>2.4300000000000002</v>
      </c>
      <c r="J40" s="64">
        <v>0.17</v>
      </c>
      <c r="K40" s="64">
        <v>224.04</v>
      </c>
      <c r="L40" s="64">
        <v>21.45</v>
      </c>
      <c r="M40" s="64">
        <v>97.13</v>
      </c>
      <c r="N40" s="64">
        <v>60.3</v>
      </c>
      <c r="O40" s="64">
        <v>1</v>
      </c>
      <c r="P40" s="64">
        <v>0.21</v>
      </c>
      <c r="Q40" s="64">
        <v>5.71</v>
      </c>
      <c r="R40" s="198"/>
      <c r="S40" s="198"/>
      <c r="T40" s="198"/>
      <c r="U40" s="198"/>
    </row>
    <row r="41" spans="1:21" s="12" customFormat="1" x14ac:dyDescent="0.25">
      <c r="A41" s="215" t="s">
        <v>856</v>
      </c>
      <c r="B41" s="64">
        <v>6.59</v>
      </c>
      <c r="C41" s="64">
        <v>11.73</v>
      </c>
      <c r="D41" s="64">
        <v>12.41</v>
      </c>
      <c r="E41" s="64">
        <v>1.94</v>
      </c>
      <c r="F41" s="64">
        <v>5.47</v>
      </c>
      <c r="G41" s="216" t="s">
        <v>43</v>
      </c>
      <c r="H41" s="216" t="s">
        <v>43</v>
      </c>
      <c r="I41" s="64">
        <v>2.34</v>
      </c>
      <c r="J41" s="64">
        <v>0.46</v>
      </c>
      <c r="K41" s="64">
        <v>220.42</v>
      </c>
      <c r="L41" s="64">
        <v>21.42</v>
      </c>
      <c r="M41" s="64">
        <v>97.18</v>
      </c>
      <c r="N41" s="64">
        <v>64.7</v>
      </c>
      <c r="O41" s="64">
        <v>0.6</v>
      </c>
      <c r="P41" s="64">
        <v>0.2</v>
      </c>
      <c r="Q41" s="64">
        <v>7.46</v>
      </c>
      <c r="R41" s="198"/>
      <c r="S41" s="198"/>
      <c r="T41" s="198"/>
      <c r="U41" s="198"/>
    </row>
    <row r="42" spans="1:21" s="12" customFormat="1" x14ac:dyDescent="0.25">
      <c r="A42" s="215" t="s">
        <v>857</v>
      </c>
      <c r="B42" s="64">
        <v>6.9</v>
      </c>
      <c r="C42" s="64">
        <v>10.79</v>
      </c>
      <c r="D42" s="64">
        <v>12.13</v>
      </c>
      <c r="E42" s="64">
        <v>2.15</v>
      </c>
      <c r="F42" s="64">
        <v>6.49</v>
      </c>
      <c r="G42" s="216" t="s">
        <v>43</v>
      </c>
      <c r="H42" s="216" t="s">
        <v>43</v>
      </c>
      <c r="I42" s="64">
        <v>2.33</v>
      </c>
      <c r="J42" s="64">
        <v>0.84</v>
      </c>
      <c r="K42" s="64">
        <v>223.27</v>
      </c>
      <c r="L42" s="64">
        <v>21.51</v>
      </c>
      <c r="M42" s="64">
        <v>97.2</v>
      </c>
      <c r="N42" s="64">
        <v>103.3</v>
      </c>
      <c r="O42" s="64">
        <v>0.2</v>
      </c>
      <c r="P42" s="64">
        <v>0.21</v>
      </c>
      <c r="Q42" s="64">
        <v>8.08</v>
      </c>
      <c r="R42" s="198"/>
      <c r="S42" s="198"/>
      <c r="T42" s="198"/>
      <c r="U42" s="198"/>
    </row>
    <row r="43" spans="1:21" s="12" customFormat="1" x14ac:dyDescent="0.25">
      <c r="A43" s="215" t="s">
        <v>858</v>
      </c>
      <c r="B43" s="64">
        <v>7.21</v>
      </c>
      <c r="C43" s="64">
        <v>12.2</v>
      </c>
      <c r="D43" s="64">
        <v>13.16</v>
      </c>
      <c r="E43" s="64">
        <v>1.76</v>
      </c>
      <c r="F43" s="64">
        <v>5.51</v>
      </c>
      <c r="G43" s="216" t="s">
        <v>43</v>
      </c>
      <c r="H43" s="216" t="s">
        <v>43</v>
      </c>
      <c r="I43" s="64">
        <v>2.33</v>
      </c>
      <c r="J43" s="64">
        <v>0.77</v>
      </c>
      <c r="K43" s="64">
        <v>226.72</v>
      </c>
      <c r="L43" s="64">
        <v>21.62</v>
      </c>
      <c r="M43" s="64">
        <v>97.2</v>
      </c>
      <c r="N43" s="64">
        <v>110.9</v>
      </c>
      <c r="O43" s="64">
        <v>0.2</v>
      </c>
      <c r="P43" s="64">
        <v>0.2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859</v>
      </c>
      <c r="B44" s="64">
        <v>7.28</v>
      </c>
      <c r="C44" s="64">
        <v>10.93</v>
      </c>
      <c r="D44" s="64">
        <v>12.51</v>
      </c>
      <c r="E44" s="64">
        <v>1.86</v>
      </c>
      <c r="F44" s="64">
        <v>6.29</v>
      </c>
      <c r="G44" s="216" t="s">
        <v>43</v>
      </c>
      <c r="H44" s="216" t="s">
        <v>43</v>
      </c>
      <c r="I44" s="64">
        <v>2.4500000000000002</v>
      </c>
      <c r="J44" s="64">
        <v>0.2</v>
      </c>
      <c r="K44" s="64">
        <v>236.24</v>
      </c>
      <c r="L44" s="64">
        <v>21.7</v>
      </c>
      <c r="M44" s="64">
        <v>97.2</v>
      </c>
      <c r="N44" s="64">
        <v>123</v>
      </c>
      <c r="O44" s="64">
        <v>0</v>
      </c>
      <c r="P44" s="64">
        <v>0.21</v>
      </c>
      <c r="Q44" s="64">
        <v>9.4700000000000006</v>
      </c>
      <c r="R44" s="198"/>
      <c r="S44" s="198"/>
      <c r="T44" s="198"/>
      <c r="U44" s="198"/>
    </row>
    <row r="45" spans="1:21" s="12" customFormat="1" x14ac:dyDescent="0.25">
      <c r="A45" s="215" t="s">
        <v>860</v>
      </c>
      <c r="B45" s="64">
        <v>7.21</v>
      </c>
      <c r="C45" s="64">
        <v>12.33</v>
      </c>
      <c r="D45" s="64">
        <v>13.23</v>
      </c>
      <c r="E45" s="64">
        <v>2.09</v>
      </c>
      <c r="F45" s="64">
        <v>3.03</v>
      </c>
      <c r="G45" s="216" t="s">
        <v>43</v>
      </c>
      <c r="H45" s="216" t="s">
        <v>43</v>
      </c>
      <c r="I45" s="64">
        <v>2.58</v>
      </c>
      <c r="J45" s="64">
        <v>0.15</v>
      </c>
      <c r="K45" s="64">
        <v>223.53</v>
      </c>
      <c r="L45" s="64">
        <v>21.77</v>
      </c>
      <c r="M45" s="64">
        <v>97.2</v>
      </c>
      <c r="N45" s="64">
        <v>87.2</v>
      </c>
      <c r="O45" s="64">
        <v>0</v>
      </c>
      <c r="P45" s="64">
        <v>0.19</v>
      </c>
      <c r="Q45" s="64">
        <v>9.85</v>
      </c>
      <c r="R45" s="198"/>
      <c r="S45" s="198"/>
      <c r="T45" s="198"/>
      <c r="U45" s="198"/>
    </row>
    <row r="46" spans="1:21" s="12" customFormat="1" x14ac:dyDescent="0.25">
      <c r="A46" s="215" t="s">
        <v>861</v>
      </c>
      <c r="B46" s="64">
        <v>7.09</v>
      </c>
      <c r="C46" s="64">
        <v>12.62</v>
      </c>
      <c r="D46" s="64">
        <v>13.3</v>
      </c>
      <c r="E46" s="64">
        <v>2.19</v>
      </c>
      <c r="F46" s="64">
        <v>4.93</v>
      </c>
      <c r="G46" s="216" t="s">
        <v>43</v>
      </c>
      <c r="H46" s="216" t="s">
        <v>43</v>
      </c>
      <c r="I46" s="64">
        <v>2.68</v>
      </c>
      <c r="J46" s="64">
        <v>0.09</v>
      </c>
      <c r="K46" s="64">
        <v>234.61</v>
      </c>
      <c r="L46" s="64">
        <v>21.9</v>
      </c>
      <c r="M46" s="64">
        <v>97.2</v>
      </c>
      <c r="N46" s="64">
        <v>88.3</v>
      </c>
      <c r="O46" s="64">
        <v>0</v>
      </c>
      <c r="P46" s="64">
        <v>0.22</v>
      </c>
      <c r="Q46" s="64">
        <v>9.16</v>
      </c>
      <c r="R46" s="198"/>
      <c r="S46" s="198"/>
      <c r="T46" s="198"/>
      <c r="U46" s="198"/>
    </row>
    <row r="47" spans="1:21" s="12" customFormat="1" x14ac:dyDescent="0.25">
      <c r="A47" s="215" t="s">
        <v>862</v>
      </c>
      <c r="B47" s="64">
        <v>6.94</v>
      </c>
      <c r="C47" s="64">
        <v>13.78</v>
      </c>
      <c r="D47" s="64">
        <v>13.82</v>
      </c>
      <c r="E47" s="64">
        <v>2.2799999999999998</v>
      </c>
      <c r="F47" s="64">
        <v>3.76</v>
      </c>
      <c r="G47" s="216" t="s">
        <v>43</v>
      </c>
      <c r="H47" s="216" t="s">
        <v>43</v>
      </c>
      <c r="I47" s="64">
        <v>2.77</v>
      </c>
      <c r="J47" s="64">
        <v>0.02</v>
      </c>
      <c r="K47" s="64">
        <v>339.51</v>
      </c>
      <c r="L47" s="64">
        <v>22.18</v>
      </c>
      <c r="M47" s="64">
        <v>97.2</v>
      </c>
      <c r="N47" s="64">
        <v>125</v>
      </c>
      <c r="O47" s="64">
        <v>0</v>
      </c>
      <c r="P47" s="64">
        <v>0.23</v>
      </c>
      <c r="Q47" s="64">
        <v>11.12</v>
      </c>
      <c r="R47" s="198"/>
      <c r="S47" s="198"/>
      <c r="T47" s="198"/>
      <c r="U47" s="198"/>
    </row>
    <row r="48" spans="1:21" s="12" customFormat="1" x14ac:dyDescent="0.25">
      <c r="A48" s="215" t="s">
        <v>863</v>
      </c>
      <c r="B48" s="64">
        <v>6.72</v>
      </c>
      <c r="C48" s="64">
        <v>14.88</v>
      </c>
      <c r="D48" s="64">
        <v>14.25</v>
      </c>
      <c r="E48" s="64">
        <v>2.13</v>
      </c>
      <c r="F48" s="64">
        <v>3.43</v>
      </c>
      <c r="G48" s="216" t="s">
        <v>43</v>
      </c>
      <c r="H48" s="216" t="s">
        <v>43</v>
      </c>
      <c r="I48" s="64">
        <v>2.8</v>
      </c>
      <c r="J48" s="64">
        <v>0.11</v>
      </c>
      <c r="K48" s="64">
        <v>238.19</v>
      </c>
      <c r="L48" s="64">
        <v>22.49</v>
      </c>
      <c r="M48" s="64">
        <v>97.2</v>
      </c>
      <c r="N48" s="64">
        <v>134.9</v>
      </c>
      <c r="O48" s="64">
        <v>0</v>
      </c>
      <c r="P48" s="64">
        <v>0.23</v>
      </c>
      <c r="Q48" s="64">
        <v>9.9600000000000009</v>
      </c>
      <c r="R48" s="198"/>
      <c r="S48" s="198"/>
      <c r="T48" s="198"/>
      <c r="U48" s="198"/>
    </row>
    <row r="49" spans="1:21" s="12" customFormat="1" x14ac:dyDescent="0.25">
      <c r="A49" s="215" t="s">
        <v>864</v>
      </c>
      <c r="B49" s="64">
        <v>6.52</v>
      </c>
      <c r="C49" s="64">
        <v>12.9</v>
      </c>
      <c r="D49" s="64">
        <v>13</v>
      </c>
      <c r="E49" s="64">
        <v>1.93</v>
      </c>
      <c r="F49" s="64">
        <v>5.72</v>
      </c>
      <c r="G49" s="216" t="s">
        <v>43</v>
      </c>
      <c r="H49" s="216" t="s">
        <v>43</v>
      </c>
      <c r="I49" s="64">
        <v>2.76</v>
      </c>
      <c r="J49" s="64">
        <v>0.1</v>
      </c>
      <c r="K49" s="64">
        <v>339.66</v>
      </c>
      <c r="L49" s="64">
        <v>22.58</v>
      </c>
      <c r="M49" s="64">
        <v>97.19</v>
      </c>
      <c r="N49" s="64">
        <v>120.1</v>
      </c>
      <c r="O49" s="64">
        <v>0</v>
      </c>
      <c r="P49" s="64">
        <v>0.25</v>
      </c>
      <c r="Q49" s="64">
        <v>8.91</v>
      </c>
      <c r="R49" s="198"/>
      <c r="S49" s="198"/>
      <c r="T49" s="198"/>
      <c r="U49" s="198"/>
    </row>
    <row r="50" spans="1:21" s="12" customFormat="1" x14ac:dyDescent="0.25">
      <c r="A50" s="215" t="s">
        <v>865</v>
      </c>
      <c r="B50" s="64">
        <v>6.31</v>
      </c>
      <c r="C50" s="64">
        <v>14.07</v>
      </c>
      <c r="D50" s="64">
        <v>13.47</v>
      </c>
      <c r="E50" s="64">
        <v>2.35</v>
      </c>
      <c r="F50" s="64">
        <v>2.58</v>
      </c>
      <c r="G50" s="216" t="s">
        <v>43</v>
      </c>
      <c r="H50" s="216" t="s">
        <v>43</v>
      </c>
      <c r="I50" s="64">
        <v>2.66</v>
      </c>
      <c r="J50" s="64">
        <v>0.16</v>
      </c>
      <c r="K50" s="64">
        <v>21.35</v>
      </c>
      <c r="L50" s="64">
        <v>22.66</v>
      </c>
      <c r="M50" s="64">
        <v>97.17</v>
      </c>
      <c r="N50" s="64">
        <v>118.9</v>
      </c>
      <c r="O50" s="64">
        <v>0</v>
      </c>
      <c r="P50" s="64">
        <v>0.26</v>
      </c>
      <c r="Q50" s="64">
        <v>10.62</v>
      </c>
      <c r="R50" s="198"/>
      <c r="S50" s="198"/>
      <c r="T50" s="198"/>
      <c r="U50" s="198"/>
    </row>
    <row r="51" spans="1:21" s="12" customFormat="1" x14ac:dyDescent="0.25">
      <c r="A51" s="215" t="s">
        <v>866</v>
      </c>
      <c r="B51" s="64">
        <v>6.08</v>
      </c>
      <c r="C51" s="64">
        <v>14.14</v>
      </c>
      <c r="D51" s="64">
        <v>13.32</v>
      </c>
      <c r="E51" s="64">
        <v>1.99</v>
      </c>
      <c r="F51" s="64">
        <v>3.24</v>
      </c>
      <c r="G51" s="216" t="s">
        <v>43</v>
      </c>
      <c r="H51" s="216" t="s">
        <v>43</v>
      </c>
      <c r="I51" s="64">
        <v>2.59</v>
      </c>
      <c r="J51" s="64">
        <v>0.13</v>
      </c>
      <c r="K51" s="64">
        <v>338.46</v>
      </c>
      <c r="L51" s="64">
        <v>22.76</v>
      </c>
      <c r="M51" s="64">
        <v>96.69</v>
      </c>
      <c r="N51" s="64">
        <v>134.80000000000001</v>
      </c>
      <c r="O51" s="64">
        <v>0</v>
      </c>
      <c r="P51" s="64">
        <v>0.26</v>
      </c>
      <c r="Q51" s="64">
        <v>8.18</v>
      </c>
      <c r="R51" s="198"/>
      <c r="S51" s="198"/>
      <c r="T51" s="198"/>
      <c r="U51" s="198"/>
    </row>
    <row r="52" spans="1:21" s="12" customFormat="1" x14ac:dyDescent="0.25">
      <c r="A52" s="215" t="s">
        <v>867</v>
      </c>
      <c r="B52" s="64">
        <v>6.06</v>
      </c>
      <c r="C52" s="64">
        <v>12.77</v>
      </c>
      <c r="D52" s="64">
        <v>12.55</v>
      </c>
      <c r="E52" s="64">
        <v>2.0499999999999998</v>
      </c>
      <c r="F52" s="64">
        <v>5.12</v>
      </c>
      <c r="G52" s="216" t="s">
        <v>43</v>
      </c>
      <c r="H52" s="216" t="s">
        <v>43</v>
      </c>
      <c r="I52" s="64">
        <v>2.5299999999999998</v>
      </c>
      <c r="J52" s="64">
        <v>0.21</v>
      </c>
      <c r="K52" s="64">
        <v>240.14</v>
      </c>
      <c r="L52" s="64">
        <v>22.71</v>
      </c>
      <c r="M52" s="64">
        <v>97.17</v>
      </c>
      <c r="N52" s="64">
        <v>119.1</v>
      </c>
      <c r="O52" s="64">
        <v>0</v>
      </c>
      <c r="P52" s="64">
        <v>0.28000000000000003</v>
      </c>
      <c r="Q52" s="64">
        <v>7.75</v>
      </c>
      <c r="R52" s="198"/>
      <c r="S52" s="198"/>
      <c r="T52" s="198"/>
      <c r="U52" s="198"/>
    </row>
    <row r="53" spans="1:21" s="12" customFormat="1" x14ac:dyDescent="0.25">
      <c r="A53" s="215" t="s">
        <v>868</v>
      </c>
      <c r="B53" s="64">
        <v>6.16</v>
      </c>
      <c r="C53" s="64">
        <v>13.28</v>
      </c>
      <c r="D53" s="64">
        <v>12.92</v>
      </c>
      <c r="E53" s="64">
        <v>2.13</v>
      </c>
      <c r="F53" s="64">
        <v>4.3</v>
      </c>
      <c r="G53" s="216" t="s">
        <v>43</v>
      </c>
      <c r="H53" s="216" t="s">
        <v>43</v>
      </c>
      <c r="I53" s="64">
        <v>2.42</v>
      </c>
      <c r="J53" s="64">
        <v>0.38</v>
      </c>
      <c r="K53" s="64">
        <v>232.79</v>
      </c>
      <c r="L53" s="64">
        <v>22.73</v>
      </c>
      <c r="M53" s="64">
        <v>96.68</v>
      </c>
      <c r="N53" s="64">
        <v>104.1</v>
      </c>
      <c r="O53" s="64">
        <v>0.2</v>
      </c>
      <c r="P53" s="64">
        <v>0.27</v>
      </c>
      <c r="Q53" s="64">
        <v>8.1199999999999992</v>
      </c>
      <c r="R53" s="198"/>
      <c r="S53" s="198"/>
      <c r="T53" s="198"/>
      <c r="U53" s="198"/>
    </row>
    <row r="54" spans="1:21" s="12" customFormat="1" x14ac:dyDescent="0.25">
      <c r="A54" s="215" t="s">
        <v>869</v>
      </c>
      <c r="B54" s="64">
        <v>6.23</v>
      </c>
      <c r="C54" s="64">
        <v>11.58</v>
      </c>
      <c r="D54" s="64">
        <v>12.04</v>
      </c>
      <c r="E54" s="64">
        <v>1.84</v>
      </c>
      <c r="F54" s="64">
        <v>5.8</v>
      </c>
      <c r="G54" s="216" t="s">
        <v>43</v>
      </c>
      <c r="H54" s="216" t="s">
        <v>43</v>
      </c>
      <c r="I54" s="64">
        <v>2.31</v>
      </c>
      <c r="J54" s="64">
        <v>0.16</v>
      </c>
      <c r="K54" s="64">
        <v>259.29000000000002</v>
      </c>
      <c r="L54" s="64">
        <v>22.88</v>
      </c>
      <c r="M54" s="64">
        <v>96.64</v>
      </c>
      <c r="N54" s="64">
        <v>181.2</v>
      </c>
      <c r="O54" s="64">
        <v>0</v>
      </c>
      <c r="P54" s="64">
        <v>0.28000000000000003</v>
      </c>
      <c r="Q54" s="64">
        <v>6.4</v>
      </c>
      <c r="R54" s="198"/>
      <c r="S54" s="198"/>
      <c r="T54" s="198"/>
      <c r="U54" s="198"/>
    </row>
    <row r="55" spans="1:21" s="12" customFormat="1" x14ac:dyDescent="0.25">
      <c r="A55" s="215" t="s">
        <v>870</v>
      </c>
      <c r="B55" s="64">
        <v>6.24</v>
      </c>
      <c r="C55" s="64">
        <v>12.21</v>
      </c>
      <c r="D55" s="64">
        <v>12.39</v>
      </c>
      <c r="E55" s="64">
        <v>1.82</v>
      </c>
      <c r="F55" s="64">
        <v>5.13</v>
      </c>
      <c r="G55" s="216" t="s">
        <v>43</v>
      </c>
      <c r="H55" s="216" t="s">
        <v>43</v>
      </c>
      <c r="I55" s="64">
        <v>2.33</v>
      </c>
      <c r="J55" s="64">
        <v>0.21</v>
      </c>
      <c r="K55" s="64">
        <v>12.74</v>
      </c>
      <c r="L55" s="64">
        <v>23</v>
      </c>
      <c r="M55" s="64">
        <v>96.49</v>
      </c>
      <c r="N55" s="64">
        <v>143.19999999999999</v>
      </c>
      <c r="O55" s="64">
        <v>0</v>
      </c>
      <c r="P55" s="64">
        <v>0.28000000000000003</v>
      </c>
      <c r="Q55" s="64">
        <v>7.52</v>
      </c>
      <c r="R55" s="198"/>
      <c r="S55" s="198"/>
      <c r="T55" s="198"/>
      <c r="U55" s="198"/>
    </row>
    <row r="56" spans="1:21" s="12" customFormat="1" x14ac:dyDescent="0.25">
      <c r="A56" s="215" t="s">
        <v>871</v>
      </c>
      <c r="B56" s="64">
        <v>6.25</v>
      </c>
      <c r="C56" s="64">
        <v>12.03</v>
      </c>
      <c r="D56" s="64">
        <v>12.3</v>
      </c>
      <c r="E56" s="64">
        <v>2.5499999999999998</v>
      </c>
      <c r="F56" s="64">
        <v>6.21</v>
      </c>
      <c r="G56" s="216" t="s">
        <v>43</v>
      </c>
      <c r="H56" s="216" t="s">
        <v>43</v>
      </c>
      <c r="I56" s="64">
        <v>2.37</v>
      </c>
      <c r="J56" s="64">
        <v>7.0000000000000007E-2</v>
      </c>
      <c r="K56" s="64">
        <v>345.85</v>
      </c>
      <c r="L56" s="64">
        <v>22.92</v>
      </c>
      <c r="M56" s="64">
        <v>97.15</v>
      </c>
      <c r="N56" s="64">
        <v>189.3</v>
      </c>
      <c r="O56" s="64">
        <v>0</v>
      </c>
      <c r="P56" s="64">
        <v>0.28000000000000003</v>
      </c>
      <c r="Q56" s="64">
        <v>6.27</v>
      </c>
      <c r="R56" s="198"/>
      <c r="S56" s="198"/>
      <c r="T56" s="198"/>
      <c r="U56" s="198"/>
    </row>
    <row r="57" spans="1:21" s="12" customFormat="1" x14ac:dyDescent="0.25">
      <c r="A57" s="215" t="s">
        <v>872</v>
      </c>
      <c r="B57" s="64">
        <v>6.56</v>
      </c>
      <c r="C57" s="64">
        <v>11.45</v>
      </c>
      <c r="D57" s="64">
        <v>12.23</v>
      </c>
      <c r="E57" s="64">
        <v>3.04</v>
      </c>
      <c r="F57" s="64">
        <v>6.36</v>
      </c>
      <c r="G57" s="216" t="s">
        <v>43</v>
      </c>
      <c r="H57" s="216" t="s">
        <v>43</v>
      </c>
      <c r="I57" s="64">
        <v>2.34</v>
      </c>
      <c r="J57" s="64">
        <v>0.12</v>
      </c>
      <c r="K57" s="64">
        <v>250.98</v>
      </c>
      <c r="L57" s="64">
        <v>22.99</v>
      </c>
      <c r="M57" s="64">
        <v>96.64</v>
      </c>
      <c r="N57" s="64">
        <v>239.8</v>
      </c>
      <c r="O57" s="64">
        <v>0</v>
      </c>
      <c r="P57" s="64">
        <v>0.28999999999999998</v>
      </c>
      <c r="Q57" s="64">
        <v>7.39</v>
      </c>
      <c r="R57" s="198"/>
      <c r="S57" s="198"/>
      <c r="T57" s="198"/>
      <c r="U57" s="198"/>
    </row>
    <row r="58" spans="1:21" s="12" customFormat="1" x14ac:dyDescent="0.25">
      <c r="A58" s="215" t="s">
        <v>873</v>
      </c>
      <c r="B58" s="64">
        <v>6.5</v>
      </c>
      <c r="C58" s="64">
        <v>14.01</v>
      </c>
      <c r="D58" s="64">
        <v>13.59</v>
      </c>
      <c r="E58" s="64">
        <v>2.99</v>
      </c>
      <c r="F58" s="64">
        <v>2.06</v>
      </c>
      <c r="G58" s="216" t="s">
        <v>43</v>
      </c>
      <c r="H58" s="216" t="s">
        <v>43</v>
      </c>
      <c r="I58" s="64">
        <v>2.42</v>
      </c>
      <c r="J58" s="64">
        <v>0.17</v>
      </c>
      <c r="K58" s="64">
        <v>26.38</v>
      </c>
      <c r="L58" s="64">
        <v>23.41</v>
      </c>
      <c r="M58" s="64">
        <v>95.55</v>
      </c>
      <c r="N58" s="64">
        <v>277.89999999999998</v>
      </c>
      <c r="O58" s="64">
        <v>0</v>
      </c>
      <c r="P58" s="64">
        <v>0.28000000000000003</v>
      </c>
      <c r="Q58" s="64">
        <v>7.54</v>
      </c>
      <c r="R58" s="198"/>
      <c r="S58" s="198"/>
      <c r="T58" s="198"/>
      <c r="U58" s="198"/>
    </row>
    <row r="59" spans="1:21" s="12" customFormat="1" x14ac:dyDescent="0.25">
      <c r="A59" s="215" t="s">
        <v>874</v>
      </c>
      <c r="B59" s="64">
        <v>6.27</v>
      </c>
      <c r="C59" s="64">
        <v>13.17</v>
      </c>
      <c r="D59" s="64">
        <v>12.94</v>
      </c>
      <c r="E59" s="64">
        <v>3.24</v>
      </c>
      <c r="F59" s="64">
        <v>5.23</v>
      </c>
      <c r="G59" s="216" t="s">
        <v>43</v>
      </c>
      <c r="H59" s="216" t="s">
        <v>43</v>
      </c>
      <c r="I59" s="64">
        <v>2.5099999999999998</v>
      </c>
      <c r="J59" s="64">
        <v>0.25</v>
      </c>
      <c r="K59" s="64">
        <v>17.11</v>
      </c>
      <c r="L59" s="64">
        <v>23.36</v>
      </c>
      <c r="M59" s="64">
        <v>93.42</v>
      </c>
      <c r="N59" s="64">
        <v>308.2</v>
      </c>
      <c r="O59" s="64">
        <v>0</v>
      </c>
      <c r="P59" s="64">
        <v>0.3</v>
      </c>
      <c r="Q59" s="64">
        <v>6.75</v>
      </c>
      <c r="R59" s="198"/>
      <c r="S59" s="198"/>
      <c r="T59" s="198"/>
      <c r="U59" s="198"/>
    </row>
    <row r="60" spans="1:21" s="12" customFormat="1" x14ac:dyDescent="0.25">
      <c r="A60" s="215" t="s">
        <v>875</v>
      </c>
      <c r="B60" s="64">
        <v>5.73</v>
      </c>
      <c r="C60" s="64">
        <v>14.96</v>
      </c>
      <c r="D60" s="64">
        <v>13.5</v>
      </c>
      <c r="E60" s="64">
        <v>2.37</v>
      </c>
      <c r="F60" s="64">
        <v>2.2799999999999998</v>
      </c>
      <c r="G60" s="216" t="s">
        <v>43</v>
      </c>
      <c r="H60" s="216" t="s">
        <v>43</v>
      </c>
      <c r="I60" s="64">
        <v>2.4900000000000002</v>
      </c>
      <c r="J60" s="64">
        <v>0.17</v>
      </c>
      <c r="K60" s="64">
        <v>21.03</v>
      </c>
      <c r="L60" s="64">
        <v>23.67</v>
      </c>
      <c r="M60" s="64">
        <v>91.96</v>
      </c>
      <c r="N60" s="64">
        <v>405.4</v>
      </c>
      <c r="O60" s="64">
        <v>0</v>
      </c>
      <c r="P60" s="64">
        <v>0.28000000000000003</v>
      </c>
      <c r="Q60" s="64">
        <v>6.67</v>
      </c>
      <c r="R60" s="198"/>
      <c r="S60" s="198"/>
      <c r="T60" s="198"/>
      <c r="U60" s="198"/>
    </row>
    <row r="61" spans="1:21" s="12" customFormat="1" x14ac:dyDescent="0.25">
      <c r="A61" s="215" t="s">
        <v>876</v>
      </c>
      <c r="B61" s="64">
        <v>5.38</v>
      </c>
      <c r="C61" s="64">
        <v>14.29</v>
      </c>
      <c r="D61" s="64">
        <v>12.85</v>
      </c>
      <c r="E61" s="64">
        <v>2.62</v>
      </c>
      <c r="F61" s="64">
        <v>5.91</v>
      </c>
      <c r="G61" s="216" t="s">
        <v>43</v>
      </c>
      <c r="H61" s="216" t="s">
        <v>43</v>
      </c>
      <c r="I61" s="64">
        <v>2.2200000000000002</v>
      </c>
      <c r="J61" s="64">
        <v>0.32</v>
      </c>
      <c r="K61" s="64">
        <v>24.37</v>
      </c>
      <c r="L61" s="64">
        <v>24.02</v>
      </c>
      <c r="M61" s="64">
        <v>89.57</v>
      </c>
      <c r="N61" s="64">
        <v>458.3</v>
      </c>
      <c r="O61" s="64">
        <v>0</v>
      </c>
      <c r="P61" s="64">
        <v>0.27</v>
      </c>
      <c r="Q61" s="64">
        <v>3.99</v>
      </c>
      <c r="R61" s="198"/>
      <c r="S61" s="198"/>
      <c r="T61" s="198"/>
      <c r="U61" s="198"/>
    </row>
    <row r="62" spans="1:21" s="12" customFormat="1" x14ac:dyDescent="0.25">
      <c r="A62" s="215" t="s">
        <v>877</v>
      </c>
      <c r="B62" s="64">
        <v>5.24</v>
      </c>
      <c r="C62" s="64">
        <v>14.14</v>
      </c>
      <c r="D62" s="64">
        <v>12.66</v>
      </c>
      <c r="E62" s="64">
        <v>2.42</v>
      </c>
      <c r="F62" s="64">
        <v>7.67</v>
      </c>
      <c r="G62" s="216" t="s">
        <v>43</v>
      </c>
      <c r="H62" s="216" t="s">
        <v>43</v>
      </c>
      <c r="I62" s="64">
        <v>2.0299999999999998</v>
      </c>
      <c r="J62" s="64">
        <v>0.32</v>
      </c>
      <c r="K62" s="64">
        <v>32.270000000000003</v>
      </c>
      <c r="L62" s="64">
        <v>24.19</v>
      </c>
      <c r="M62" s="64">
        <v>88.13</v>
      </c>
      <c r="N62" s="64">
        <v>483.8</v>
      </c>
      <c r="O62" s="64">
        <v>0</v>
      </c>
      <c r="P62" s="64">
        <v>0.31</v>
      </c>
      <c r="Q62" s="64">
        <v>4.8099999999999996</v>
      </c>
      <c r="R62" s="198"/>
      <c r="S62" s="198"/>
      <c r="T62" s="198"/>
      <c r="U62" s="198"/>
    </row>
    <row r="63" spans="1:21" s="12" customFormat="1" x14ac:dyDescent="0.25">
      <c r="A63" s="215" t="s">
        <v>878</v>
      </c>
      <c r="B63" s="64">
        <v>4.8</v>
      </c>
      <c r="C63" s="64">
        <v>18.86</v>
      </c>
      <c r="D63" s="64">
        <v>14.91</v>
      </c>
      <c r="E63" s="64">
        <v>2.85</v>
      </c>
      <c r="F63" s="64">
        <v>24.28</v>
      </c>
      <c r="G63" s="216" t="s">
        <v>43</v>
      </c>
      <c r="H63" s="216" t="s">
        <v>43</v>
      </c>
      <c r="I63" s="64">
        <v>1.93</v>
      </c>
      <c r="J63" s="64">
        <v>0.32</v>
      </c>
      <c r="K63" s="64">
        <v>30.55</v>
      </c>
      <c r="L63" s="64">
        <v>24.51</v>
      </c>
      <c r="M63" s="64">
        <v>87.12</v>
      </c>
      <c r="N63" s="64">
        <v>330.2</v>
      </c>
      <c r="O63" s="64">
        <v>0</v>
      </c>
      <c r="P63" s="64">
        <v>0.28000000000000003</v>
      </c>
      <c r="Q63" s="64">
        <v>5.15</v>
      </c>
      <c r="R63" s="198"/>
      <c r="S63" s="198"/>
      <c r="T63" s="198"/>
      <c r="U63" s="198"/>
    </row>
    <row r="64" spans="1:21" s="12" customFormat="1" x14ac:dyDescent="0.25">
      <c r="A64" s="215" t="s">
        <v>879</v>
      </c>
      <c r="B64" s="64">
        <v>4.37</v>
      </c>
      <c r="C64" s="64">
        <v>20</v>
      </c>
      <c r="D64" s="64">
        <v>15.19</v>
      </c>
      <c r="E64" s="64">
        <v>2.57</v>
      </c>
      <c r="F64" s="64">
        <v>12.09</v>
      </c>
      <c r="G64" s="216" t="s">
        <v>43</v>
      </c>
      <c r="H64" s="216" t="s">
        <v>43</v>
      </c>
      <c r="I64" s="64">
        <v>1.69</v>
      </c>
      <c r="J64" s="64">
        <v>0.28999999999999998</v>
      </c>
      <c r="K64" s="64">
        <v>27.04</v>
      </c>
      <c r="L64" s="64">
        <v>24.07</v>
      </c>
      <c r="M64" s="64">
        <v>88.91</v>
      </c>
      <c r="N64" s="64">
        <v>254.2</v>
      </c>
      <c r="O64" s="64">
        <v>0</v>
      </c>
      <c r="P64" s="64">
        <v>0.28000000000000003</v>
      </c>
      <c r="Q64" s="64">
        <v>3.52</v>
      </c>
      <c r="R64" s="198"/>
      <c r="S64" s="198"/>
      <c r="T64" s="198"/>
      <c r="U64" s="198"/>
    </row>
    <row r="65" spans="1:21" s="12" customFormat="1" x14ac:dyDescent="0.25">
      <c r="A65" s="215" t="s">
        <v>880</v>
      </c>
      <c r="B65" s="64">
        <v>4.9000000000000004</v>
      </c>
      <c r="C65" s="64">
        <v>19.54</v>
      </c>
      <c r="D65" s="64">
        <v>15.36</v>
      </c>
      <c r="E65" s="64">
        <v>2.72</v>
      </c>
      <c r="F65" s="64">
        <v>6.53</v>
      </c>
      <c r="G65" s="216" t="s">
        <v>43</v>
      </c>
      <c r="H65" s="216" t="s">
        <v>43</v>
      </c>
      <c r="I65" s="64">
        <v>1.53</v>
      </c>
      <c r="J65" s="64">
        <v>0.23</v>
      </c>
      <c r="K65" s="64">
        <v>24.64</v>
      </c>
      <c r="L65" s="64">
        <v>24.2</v>
      </c>
      <c r="M65" s="64">
        <v>88.54</v>
      </c>
      <c r="N65" s="64">
        <v>327.2</v>
      </c>
      <c r="O65" s="64">
        <v>0</v>
      </c>
      <c r="P65" s="64">
        <v>0.28000000000000003</v>
      </c>
      <c r="Q65" s="64">
        <v>6</v>
      </c>
      <c r="R65" s="198"/>
      <c r="S65" s="198"/>
      <c r="T65" s="198"/>
      <c r="U65" s="198"/>
    </row>
    <row r="66" spans="1:21" s="12" customFormat="1" x14ac:dyDescent="0.25">
      <c r="A66" s="215" t="s">
        <v>881</v>
      </c>
      <c r="B66" s="64">
        <v>5.32</v>
      </c>
      <c r="C66" s="64">
        <v>16.59</v>
      </c>
      <c r="D66" s="64">
        <v>14.07</v>
      </c>
      <c r="E66" s="64">
        <v>2.2200000000000002</v>
      </c>
      <c r="F66" s="64">
        <v>6.17</v>
      </c>
      <c r="G66" s="216" t="s">
        <v>43</v>
      </c>
      <c r="H66" s="216" t="s">
        <v>43</v>
      </c>
      <c r="I66" s="64">
        <v>1.71</v>
      </c>
      <c r="J66" s="64">
        <v>0.19</v>
      </c>
      <c r="K66" s="64">
        <v>16.91</v>
      </c>
      <c r="L66" s="64">
        <v>24.15</v>
      </c>
      <c r="M66" s="64">
        <v>88.57</v>
      </c>
      <c r="N66" s="64">
        <v>231.6</v>
      </c>
      <c r="O66" s="64">
        <v>0</v>
      </c>
      <c r="P66" s="64">
        <v>0.28999999999999998</v>
      </c>
      <c r="Q66" s="64">
        <v>6.4</v>
      </c>
      <c r="R66" s="198"/>
      <c r="S66" s="198"/>
      <c r="T66" s="198"/>
      <c r="U66" s="198"/>
    </row>
    <row r="67" spans="1:21" s="12" customFormat="1" x14ac:dyDescent="0.25">
      <c r="A67" s="215" t="s">
        <v>882</v>
      </c>
      <c r="B67" s="64">
        <v>5.78</v>
      </c>
      <c r="C67" s="64">
        <v>16.420000000000002</v>
      </c>
      <c r="D67" s="64">
        <v>14.35</v>
      </c>
      <c r="E67" s="64">
        <v>2.29</v>
      </c>
      <c r="F67" s="64">
        <v>4.57</v>
      </c>
      <c r="G67" s="216" t="s">
        <v>43</v>
      </c>
      <c r="H67" s="216" t="s">
        <v>43</v>
      </c>
      <c r="I67" s="64">
        <v>2</v>
      </c>
      <c r="J67" s="64">
        <v>0.23</v>
      </c>
      <c r="K67" s="64">
        <v>31.54</v>
      </c>
      <c r="L67" s="64">
        <v>24.31</v>
      </c>
      <c r="M67" s="64">
        <v>88.25</v>
      </c>
      <c r="N67" s="64">
        <v>274.10000000000002</v>
      </c>
      <c r="O67" s="64">
        <v>0</v>
      </c>
      <c r="P67" s="64">
        <v>0.28000000000000003</v>
      </c>
      <c r="Q67" s="64">
        <v>7.6</v>
      </c>
      <c r="R67" s="198"/>
      <c r="S67" s="198"/>
      <c r="T67" s="198"/>
      <c r="U67" s="198"/>
    </row>
    <row r="68" spans="1:21" s="12" customFormat="1" x14ac:dyDescent="0.25">
      <c r="A68" s="215" t="s">
        <v>883</v>
      </c>
      <c r="B68" s="64">
        <v>6.03</v>
      </c>
      <c r="C68" s="64">
        <v>14.28</v>
      </c>
      <c r="D68" s="64">
        <v>13.36</v>
      </c>
      <c r="E68" s="64">
        <v>2.4500000000000002</v>
      </c>
      <c r="F68" s="64">
        <v>7.3</v>
      </c>
      <c r="G68" s="216" t="s">
        <v>43</v>
      </c>
      <c r="H68" s="216" t="s">
        <v>43</v>
      </c>
      <c r="I68" s="64">
        <v>2.31</v>
      </c>
      <c r="J68" s="64">
        <v>0.26</v>
      </c>
      <c r="K68" s="64">
        <v>29.3</v>
      </c>
      <c r="L68" s="64">
        <v>24.54</v>
      </c>
      <c r="M68" s="64">
        <v>87.53</v>
      </c>
      <c r="N68" s="64">
        <v>223.7</v>
      </c>
      <c r="O68" s="64">
        <v>0</v>
      </c>
      <c r="P68" s="64">
        <v>0.3</v>
      </c>
      <c r="Q68" s="64">
        <v>6.66</v>
      </c>
      <c r="R68" s="198"/>
      <c r="S68" s="198"/>
      <c r="T68" s="198"/>
      <c r="U68" s="198"/>
    </row>
    <row r="69" spans="1:21" s="12" customFormat="1" x14ac:dyDescent="0.25">
      <c r="A69" s="215" t="s">
        <v>884</v>
      </c>
      <c r="B69" s="64">
        <v>6.21</v>
      </c>
      <c r="C69" s="64">
        <v>15.28</v>
      </c>
      <c r="D69" s="64">
        <v>14.06</v>
      </c>
      <c r="E69" s="64">
        <v>2.61</v>
      </c>
      <c r="F69" s="64">
        <v>2.7</v>
      </c>
      <c r="G69" s="216" t="s">
        <v>43</v>
      </c>
      <c r="H69" s="216" t="s">
        <v>43</v>
      </c>
      <c r="I69" s="64">
        <v>2.58</v>
      </c>
      <c r="J69" s="64">
        <v>0.28000000000000003</v>
      </c>
      <c r="K69" s="64">
        <v>32.18</v>
      </c>
      <c r="L69" s="64">
        <v>24.32</v>
      </c>
      <c r="M69" s="64">
        <v>88.57</v>
      </c>
      <c r="N69" s="64">
        <v>229.8</v>
      </c>
      <c r="O69" s="64">
        <v>0</v>
      </c>
      <c r="P69" s="64">
        <v>0.28999999999999998</v>
      </c>
      <c r="Q69" s="64">
        <v>8.27</v>
      </c>
      <c r="R69" s="198"/>
      <c r="S69" s="198"/>
      <c r="T69" s="198"/>
      <c r="U69" s="198"/>
    </row>
    <row r="70" spans="1:21" s="12" customFormat="1" x14ac:dyDescent="0.25">
      <c r="A70" s="215" t="s">
        <v>885</v>
      </c>
      <c r="B70" s="64">
        <v>6</v>
      </c>
      <c r="C70" s="64">
        <v>14.87</v>
      </c>
      <c r="D70" s="64">
        <v>13.67</v>
      </c>
      <c r="E70" s="64">
        <v>2.16</v>
      </c>
      <c r="F70" s="64">
        <v>3.63</v>
      </c>
      <c r="G70" s="216" t="s">
        <v>43</v>
      </c>
      <c r="H70" s="216" t="s">
        <v>43</v>
      </c>
      <c r="I70" s="64">
        <v>2.82</v>
      </c>
      <c r="J70" s="64">
        <v>0.13</v>
      </c>
      <c r="K70" s="64">
        <v>354.09</v>
      </c>
      <c r="L70" s="64">
        <v>24.28</v>
      </c>
      <c r="M70" s="64">
        <v>89.13</v>
      </c>
      <c r="N70" s="64">
        <v>190.5</v>
      </c>
      <c r="O70" s="64">
        <v>0</v>
      </c>
      <c r="P70" s="64">
        <v>0.28999999999999998</v>
      </c>
      <c r="Q70" s="64">
        <v>5.27</v>
      </c>
      <c r="R70" s="198"/>
      <c r="S70" s="198"/>
      <c r="T70" s="198"/>
      <c r="U70" s="198"/>
    </row>
    <row r="71" spans="1:21" s="12" customFormat="1" x14ac:dyDescent="0.25">
      <c r="A71" s="215" t="s">
        <v>886</v>
      </c>
      <c r="B71" s="64">
        <v>5.82</v>
      </c>
      <c r="C71" s="64">
        <v>13.73</v>
      </c>
      <c r="D71" s="64">
        <v>12.89</v>
      </c>
      <c r="E71" s="64">
        <v>2.44</v>
      </c>
      <c r="F71" s="64">
        <v>6.36</v>
      </c>
      <c r="G71" s="216" t="s">
        <v>43</v>
      </c>
      <c r="H71" s="216" t="s">
        <v>43</v>
      </c>
      <c r="I71" s="64">
        <v>3</v>
      </c>
      <c r="J71" s="64">
        <v>0.22</v>
      </c>
      <c r="K71" s="64">
        <v>247.6</v>
      </c>
      <c r="L71" s="64">
        <v>24.13</v>
      </c>
      <c r="M71" s="64">
        <v>90.66</v>
      </c>
      <c r="N71" s="64">
        <v>111.6</v>
      </c>
      <c r="O71" s="64">
        <v>0</v>
      </c>
      <c r="P71" s="64">
        <v>0.3</v>
      </c>
      <c r="Q71" s="64">
        <v>2.65</v>
      </c>
      <c r="R71" s="198"/>
      <c r="S71" s="198"/>
      <c r="T71" s="198"/>
      <c r="U71" s="198"/>
    </row>
    <row r="72" spans="1:21" s="12" customFormat="1" x14ac:dyDescent="0.25">
      <c r="A72" s="215" t="s">
        <v>887</v>
      </c>
      <c r="B72" s="64">
        <v>5.9</v>
      </c>
      <c r="C72" s="64">
        <v>13.08</v>
      </c>
      <c r="D72" s="64">
        <v>12.59</v>
      </c>
      <c r="E72" s="64">
        <v>1.89</v>
      </c>
      <c r="F72" s="64">
        <v>4.1399999999999997</v>
      </c>
      <c r="G72" s="216" t="s">
        <v>43</v>
      </c>
      <c r="H72" s="216" t="s">
        <v>43</v>
      </c>
      <c r="I72" s="64">
        <v>3.13</v>
      </c>
      <c r="J72" s="64">
        <v>0.22</v>
      </c>
      <c r="K72" s="64">
        <v>221.88</v>
      </c>
      <c r="L72" s="64">
        <v>23.97</v>
      </c>
      <c r="M72" s="64">
        <v>90.53</v>
      </c>
      <c r="N72" s="64">
        <v>132.30000000000001</v>
      </c>
      <c r="O72" s="64">
        <v>0</v>
      </c>
      <c r="P72" s="64">
        <v>0.3</v>
      </c>
      <c r="Q72" s="64">
        <v>4.75</v>
      </c>
      <c r="R72" s="198"/>
      <c r="S72" s="198"/>
      <c r="T72" s="198"/>
      <c r="U72" s="198"/>
    </row>
    <row r="73" spans="1:21" s="12" customFormat="1" x14ac:dyDescent="0.25">
      <c r="A73" s="215" t="s">
        <v>888</v>
      </c>
      <c r="B73" s="64">
        <v>5.69</v>
      </c>
      <c r="C73" s="64">
        <v>13.37</v>
      </c>
      <c r="D73" s="64">
        <v>12.59</v>
      </c>
      <c r="E73" s="64">
        <v>2.11</v>
      </c>
      <c r="F73" s="64">
        <v>4.32</v>
      </c>
      <c r="G73" s="216" t="s">
        <v>43</v>
      </c>
      <c r="H73" s="216" t="s">
        <v>43</v>
      </c>
      <c r="I73" s="64">
        <v>3.31</v>
      </c>
      <c r="J73" s="64">
        <v>0.05</v>
      </c>
      <c r="K73" s="64">
        <v>307.05</v>
      </c>
      <c r="L73" s="64">
        <v>24</v>
      </c>
      <c r="M73" s="64">
        <v>90.31</v>
      </c>
      <c r="N73" s="64">
        <v>100</v>
      </c>
      <c r="O73" s="64">
        <v>0</v>
      </c>
      <c r="P73" s="64">
        <v>0.27</v>
      </c>
      <c r="Q73" s="64">
        <v>4.3099999999999996</v>
      </c>
      <c r="R73" s="198"/>
      <c r="S73" s="198"/>
      <c r="T73" s="198"/>
      <c r="U73" s="198"/>
    </row>
    <row r="74" spans="1:21" s="12" customFormat="1" x14ac:dyDescent="0.25">
      <c r="A74" s="215" t="s">
        <v>889</v>
      </c>
      <c r="B74" s="64">
        <v>5.57</v>
      </c>
      <c r="C74" s="64">
        <v>12.19</v>
      </c>
      <c r="D74" s="64">
        <v>11.84</v>
      </c>
      <c r="E74" s="64">
        <v>2.25</v>
      </c>
      <c r="F74" s="64">
        <v>6.09</v>
      </c>
      <c r="G74" s="216" t="s">
        <v>43</v>
      </c>
      <c r="H74" s="216" t="s">
        <v>43</v>
      </c>
      <c r="I74" s="64">
        <v>3.41</v>
      </c>
      <c r="J74" s="64">
        <v>7.0000000000000007E-2</v>
      </c>
      <c r="K74" s="64">
        <v>234.57</v>
      </c>
      <c r="L74" s="64">
        <v>23.89</v>
      </c>
      <c r="M74" s="64">
        <v>90.5</v>
      </c>
      <c r="N74" s="64">
        <v>104.3</v>
      </c>
      <c r="O74" s="64">
        <v>0</v>
      </c>
      <c r="P74" s="64">
        <v>0.27</v>
      </c>
      <c r="Q74" s="64">
        <v>2.56</v>
      </c>
      <c r="R74" s="198"/>
      <c r="S74" s="198"/>
      <c r="T74" s="198"/>
      <c r="U74" s="198"/>
    </row>
    <row r="75" spans="1:21" s="12" customFormat="1" x14ac:dyDescent="0.25">
      <c r="A75" s="215" t="s">
        <v>890</v>
      </c>
      <c r="B75" s="64">
        <v>5.74</v>
      </c>
      <c r="C75" s="64">
        <v>11.97</v>
      </c>
      <c r="D75" s="64">
        <v>11.86</v>
      </c>
      <c r="E75" s="64">
        <v>2.4</v>
      </c>
      <c r="F75" s="64">
        <v>4.57</v>
      </c>
      <c r="G75" s="216" t="s">
        <v>43</v>
      </c>
      <c r="H75" s="216" t="s">
        <v>43</v>
      </c>
      <c r="I75" s="64">
        <v>3.42</v>
      </c>
      <c r="J75" s="64">
        <v>0.04</v>
      </c>
      <c r="K75" s="64">
        <v>254.49</v>
      </c>
      <c r="L75" s="64">
        <v>23.91</v>
      </c>
      <c r="M75" s="64">
        <v>90.5</v>
      </c>
      <c r="N75" s="64">
        <v>100.5</v>
      </c>
      <c r="O75" s="64">
        <v>0</v>
      </c>
      <c r="P75" s="64">
        <v>0.27</v>
      </c>
      <c r="Q75" s="64">
        <v>4.8099999999999996</v>
      </c>
      <c r="R75" s="198"/>
      <c r="S75" s="198"/>
      <c r="T75" s="198"/>
      <c r="U75" s="198"/>
    </row>
    <row r="76" spans="1:21" s="12" customFormat="1" x14ac:dyDescent="0.25">
      <c r="A76" s="215" t="s">
        <v>891</v>
      </c>
      <c r="B76" s="64">
        <v>5.66</v>
      </c>
      <c r="C76" s="64">
        <v>13.08</v>
      </c>
      <c r="D76" s="64">
        <v>12.4</v>
      </c>
      <c r="E76" s="64">
        <v>2.23</v>
      </c>
      <c r="F76" s="64">
        <v>8.49</v>
      </c>
      <c r="G76" s="216" t="s">
        <v>43</v>
      </c>
      <c r="H76" s="216" t="s">
        <v>43</v>
      </c>
      <c r="I76" s="64">
        <v>3.57</v>
      </c>
      <c r="J76" s="64">
        <v>0.03</v>
      </c>
      <c r="K76" s="64">
        <v>338.01</v>
      </c>
      <c r="L76" s="64">
        <v>23.93</v>
      </c>
      <c r="M76" s="64">
        <v>89.77</v>
      </c>
      <c r="N76" s="64">
        <v>99.1</v>
      </c>
      <c r="O76" s="64">
        <v>0</v>
      </c>
      <c r="P76" s="64">
        <v>0.25</v>
      </c>
      <c r="Q76" s="64">
        <v>6.93</v>
      </c>
      <c r="R76" s="198"/>
      <c r="S76" s="198"/>
      <c r="T76" s="198"/>
      <c r="U76" s="198"/>
    </row>
    <row r="77" spans="1:21" s="12" customFormat="1" x14ac:dyDescent="0.25">
      <c r="A77" s="215" t="s">
        <v>892</v>
      </c>
      <c r="B77" s="64">
        <v>5.53</v>
      </c>
      <c r="C77" s="64">
        <v>13.78</v>
      </c>
      <c r="D77" s="64">
        <v>12.69</v>
      </c>
      <c r="E77" s="64">
        <v>2.97</v>
      </c>
      <c r="F77" s="64">
        <v>9.49</v>
      </c>
      <c r="G77" s="216" t="s">
        <v>43</v>
      </c>
      <c r="H77" s="216" t="s">
        <v>43</v>
      </c>
      <c r="I77" s="64">
        <v>3.68</v>
      </c>
      <c r="J77" s="64">
        <v>0.08</v>
      </c>
      <c r="K77" s="64">
        <v>300.68</v>
      </c>
      <c r="L77" s="64">
        <v>24.02</v>
      </c>
      <c r="M77" s="64">
        <v>90.02</v>
      </c>
      <c r="N77" s="64">
        <v>97.4</v>
      </c>
      <c r="O77" s="64">
        <v>0</v>
      </c>
      <c r="P77" s="64">
        <v>0.26</v>
      </c>
      <c r="Q77" s="64">
        <v>7.69</v>
      </c>
      <c r="R77" s="198"/>
      <c r="S77" s="198"/>
      <c r="T77" s="198"/>
      <c r="U77" s="198"/>
    </row>
    <row r="78" spans="1:21" s="12" customFormat="1" x14ac:dyDescent="0.25">
      <c r="A78" s="215" t="s">
        <v>893</v>
      </c>
      <c r="B78" s="64">
        <v>5.88</v>
      </c>
      <c r="C78" s="64">
        <v>14.16</v>
      </c>
      <c r="D78" s="64">
        <v>13.17</v>
      </c>
      <c r="E78" s="64">
        <v>2.52</v>
      </c>
      <c r="F78" s="64">
        <v>8.36</v>
      </c>
      <c r="G78" s="216" t="s">
        <v>43</v>
      </c>
      <c r="H78" s="216" t="s">
        <v>43</v>
      </c>
      <c r="I78" s="64">
        <v>3.6</v>
      </c>
      <c r="J78" s="64">
        <v>0.05</v>
      </c>
      <c r="K78" s="64">
        <v>233.91</v>
      </c>
      <c r="L78" s="64">
        <v>24.11</v>
      </c>
      <c r="M78" s="64">
        <v>89.21</v>
      </c>
      <c r="N78" s="64">
        <v>79.8</v>
      </c>
      <c r="O78" s="64">
        <v>0</v>
      </c>
      <c r="P78" s="64">
        <v>0.25</v>
      </c>
      <c r="Q78" s="64">
        <v>7.7</v>
      </c>
      <c r="R78" s="198"/>
      <c r="S78" s="198"/>
      <c r="T78" s="198"/>
      <c r="U78" s="198"/>
    </row>
    <row r="79" spans="1:21" s="12" customFormat="1" x14ac:dyDescent="0.25">
      <c r="A79" s="215" t="s">
        <v>894</v>
      </c>
      <c r="B79" s="64">
        <v>6.02</v>
      </c>
      <c r="C79" s="64">
        <v>16.149999999999999</v>
      </c>
      <c r="D79" s="64">
        <v>14.39</v>
      </c>
      <c r="E79" s="64">
        <v>2.82</v>
      </c>
      <c r="F79" s="64">
        <v>420.45</v>
      </c>
      <c r="G79" s="216" t="s">
        <v>43</v>
      </c>
      <c r="H79" s="216" t="s">
        <v>43</v>
      </c>
      <c r="I79" s="64">
        <v>3.61</v>
      </c>
      <c r="J79" s="64">
        <v>0.15</v>
      </c>
      <c r="K79" s="64">
        <v>230.2</v>
      </c>
      <c r="L79" s="64">
        <v>24.12</v>
      </c>
      <c r="M79" s="64">
        <v>88.62</v>
      </c>
      <c r="N79" s="64">
        <v>67.900000000000006</v>
      </c>
      <c r="O79" s="64">
        <v>0</v>
      </c>
      <c r="P79" s="64">
        <v>0.28999999999999998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895</v>
      </c>
      <c r="B80" s="64">
        <v>5.37</v>
      </c>
      <c r="C80" s="64">
        <v>14.95</v>
      </c>
      <c r="D80" s="64">
        <v>13.21</v>
      </c>
      <c r="E80" s="64">
        <v>2.42</v>
      </c>
      <c r="F80" s="64">
        <v>10.33</v>
      </c>
      <c r="G80" s="216" t="s">
        <v>43</v>
      </c>
      <c r="H80" s="216" t="s">
        <v>43</v>
      </c>
      <c r="I80" s="64">
        <v>3.91</v>
      </c>
      <c r="J80" s="64">
        <v>0.11</v>
      </c>
      <c r="K80" s="64">
        <v>258.10000000000002</v>
      </c>
      <c r="L80" s="64">
        <v>24.04</v>
      </c>
      <c r="M80" s="64">
        <v>86.94</v>
      </c>
      <c r="N80" s="64">
        <v>68</v>
      </c>
      <c r="O80" s="64">
        <v>0</v>
      </c>
      <c r="P80" s="64">
        <v>0.3</v>
      </c>
      <c r="Q80" s="64">
        <v>7.71</v>
      </c>
      <c r="R80" s="198"/>
      <c r="S80" s="198"/>
      <c r="T80" s="198"/>
      <c r="U80" s="198"/>
    </row>
    <row r="81" spans="1:26" s="12" customFormat="1" x14ac:dyDescent="0.25">
      <c r="A81" s="215" t="s">
        <v>896</v>
      </c>
      <c r="B81" s="64">
        <v>5.23</v>
      </c>
      <c r="C81" s="64">
        <v>13.21</v>
      </c>
      <c r="D81" s="64">
        <v>12.13</v>
      </c>
      <c r="E81" s="64">
        <v>2.7</v>
      </c>
      <c r="F81" s="64">
        <v>6.32</v>
      </c>
      <c r="G81" s="216" t="s">
        <v>43</v>
      </c>
      <c r="H81" s="216" t="s">
        <v>43</v>
      </c>
      <c r="I81" s="64">
        <v>4.01</v>
      </c>
      <c r="J81" s="64">
        <v>0.13</v>
      </c>
      <c r="K81" s="64">
        <v>223.04</v>
      </c>
      <c r="L81" s="64">
        <v>24</v>
      </c>
      <c r="M81" s="64">
        <v>87.3</v>
      </c>
      <c r="N81" s="64">
        <v>58.9</v>
      </c>
      <c r="O81" s="64">
        <v>0</v>
      </c>
      <c r="P81" s="64">
        <v>0.3</v>
      </c>
      <c r="Q81" s="64">
        <v>8.2200000000000006</v>
      </c>
      <c r="R81" s="198"/>
      <c r="S81" s="198"/>
      <c r="T81" s="198"/>
      <c r="U81" s="198"/>
    </row>
    <row r="82" spans="1:26" s="12" customFormat="1" x14ac:dyDescent="0.25">
      <c r="A82" s="215" t="s">
        <v>897</v>
      </c>
      <c r="B82" s="64">
        <v>5.33</v>
      </c>
      <c r="C82" s="64">
        <v>14.24</v>
      </c>
      <c r="D82" s="64">
        <v>12.78</v>
      </c>
      <c r="E82" s="64">
        <v>3.08</v>
      </c>
      <c r="F82" s="64">
        <v>3.11</v>
      </c>
      <c r="G82" s="216" t="s">
        <v>43</v>
      </c>
      <c r="H82" s="216" t="s">
        <v>43</v>
      </c>
      <c r="I82" s="64">
        <v>4.21</v>
      </c>
      <c r="J82" s="64">
        <v>0.12</v>
      </c>
      <c r="K82" s="64">
        <v>214.67</v>
      </c>
      <c r="L82" s="64">
        <v>23.97</v>
      </c>
      <c r="M82" s="64">
        <v>88.19</v>
      </c>
      <c r="N82" s="64">
        <v>51.7</v>
      </c>
      <c r="O82" s="64">
        <v>0</v>
      </c>
      <c r="P82" s="64">
        <v>0.3</v>
      </c>
      <c r="Q82" s="64">
        <v>8.27</v>
      </c>
      <c r="R82" s="198"/>
      <c r="S82" s="198"/>
      <c r="T82" s="198"/>
      <c r="U82" s="198"/>
    </row>
    <row r="83" spans="1:26" s="12" customFormat="1" x14ac:dyDescent="0.25">
      <c r="A83" s="215" t="s">
        <v>898</v>
      </c>
      <c r="B83" s="64">
        <v>5.54</v>
      </c>
      <c r="C83" s="64">
        <v>13.4</v>
      </c>
      <c r="D83" s="64">
        <v>12.48</v>
      </c>
      <c r="E83" s="64">
        <v>2.88</v>
      </c>
      <c r="F83" s="64">
        <v>5.84</v>
      </c>
      <c r="G83" s="216" t="s">
        <v>43</v>
      </c>
      <c r="H83" s="216" t="s">
        <v>43</v>
      </c>
      <c r="I83" s="64">
        <v>4.3600000000000003</v>
      </c>
      <c r="J83" s="64">
        <v>0.26</v>
      </c>
      <c r="K83" s="64">
        <v>234.24</v>
      </c>
      <c r="L83" s="64">
        <v>23.92</v>
      </c>
      <c r="M83" s="64">
        <v>88.54</v>
      </c>
      <c r="N83" s="64">
        <v>46.1</v>
      </c>
      <c r="O83" s="64">
        <v>0</v>
      </c>
      <c r="P83" s="64">
        <v>0.32</v>
      </c>
      <c r="Q83" s="64">
        <v>5.32</v>
      </c>
      <c r="R83" s="198"/>
      <c r="S83" s="198"/>
      <c r="T83" s="198"/>
      <c r="U83" s="198"/>
    </row>
    <row r="84" spans="1:26" s="12" customFormat="1" x14ac:dyDescent="0.25">
      <c r="A84" s="215" t="s">
        <v>899</v>
      </c>
      <c r="B84" s="64">
        <v>5.86</v>
      </c>
      <c r="C84" s="64">
        <v>12.07</v>
      </c>
      <c r="D84" s="64">
        <v>12</v>
      </c>
      <c r="E84" s="64">
        <v>2.59</v>
      </c>
      <c r="F84" s="64">
        <v>5.13</v>
      </c>
      <c r="G84" s="216" t="s">
        <v>43</v>
      </c>
      <c r="H84" s="216" t="s">
        <v>43</v>
      </c>
      <c r="I84" s="64">
        <v>4.33</v>
      </c>
      <c r="J84" s="64">
        <v>0.18</v>
      </c>
      <c r="K84" s="64">
        <v>236.7</v>
      </c>
      <c r="L84" s="64">
        <v>23.86</v>
      </c>
      <c r="M84" s="64">
        <v>88.22</v>
      </c>
      <c r="N84" s="64">
        <v>44.3</v>
      </c>
      <c r="O84" s="64">
        <v>0</v>
      </c>
      <c r="P84" s="64">
        <v>0.33</v>
      </c>
      <c r="Q84" s="64">
        <v>6.52</v>
      </c>
      <c r="R84" s="198"/>
      <c r="S84" s="198"/>
      <c r="T84" s="198"/>
      <c r="U84" s="198"/>
    </row>
    <row r="85" spans="1:26" s="12" customFormat="1" x14ac:dyDescent="0.25">
      <c r="A85" s="215" t="s">
        <v>900</v>
      </c>
      <c r="B85" s="64">
        <v>5.95</v>
      </c>
      <c r="C85" s="64">
        <v>12.93</v>
      </c>
      <c r="D85" s="64">
        <v>12.55</v>
      </c>
      <c r="E85" s="64">
        <v>2.75</v>
      </c>
      <c r="F85" s="64">
        <v>3.21</v>
      </c>
      <c r="G85" s="216" t="s">
        <v>43</v>
      </c>
      <c r="H85" s="216" t="s">
        <v>43</v>
      </c>
      <c r="I85" s="64">
        <v>4.59</v>
      </c>
      <c r="J85" s="64">
        <v>0.13</v>
      </c>
      <c r="K85" s="64">
        <v>231.45</v>
      </c>
      <c r="L85" s="64">
        <v>23.76</v>
      </c>
      <c r="M85" s="64">
        <v>89.32</v>
      </c>
      <c r="N85" s="64">
        <v>44.4</v>
      </c>
      <c r="O85" s="64">
        <v>0</v>
      </c>
      <c r="P85" s="64">
        <v>0.31</v>
      </c>
      <c r="Q85" s="64">
        <v>7.94</v>
      </c>
      <c r="R85" s="198"/>
      <c r="S85" s="198"/>
      <c r="T85" s="198"/>
      <c r="U85" s="198"/>
    </row>
    <row r="86" spans="1:26" s="12" customFormat="1" x14ac:dyDescent="0.25">
      <c r="A86" s="215" t="s">
        <v>901</v>
      </c>
      <c r="B86" s="64">
        <v>6.3</v>
      </c>
      <c r="C86" s="64">
        <v>13.18</v>
      </c>
      <c r="D86" s="64">
        <v>12.97</v>
      </c>
      <c r="E86" s="64">
        <v>2.58</v>
      </c>
      <c r="F86" s="64">
        <v>5.01</v>
      </c>
      <c r="G86" s="216" t="s">
        <v>43</v>
      </c>
      <c r="H86" s="216" t="s">
        <v>43</v>
      </c>
      <c r="I86" s="64">
        <v>4.84</v>
      </c>
      <c r="J86" s="64">
        <v>0.34</v>
      </c>
      <c r="K86" s="64">
        <v>209.82</v>
      </c>
      <c r="L86" s="64">
        <v>23.75</v>
      </c>
      <c r="M86" s="64">
        <v>90.36</v>
      </c>
      <c r="N86" s="64">
        <v>44.2</v>
      </c>
      <c r="O86" s="64">
        <v>0</v>
      </c>
      <c r="P86" s="64">
        <v>0.34</v>
      </c>
      <c r="Q86" s="64">
        <v>5.34</v>
      </c>
      <c r="R86" s="198"/>
      <c r="S86" s="198"/>
      <c r="T86" s="198"/>
      <c r="U86" s="198"/>
    </row>
    <row r="87" spans="1:26" s="12" customFormat="1" x14ac:dyDescent="0.25">
      <c r="A87" s="215" t="s">
        <v>902</v>
      </c>
      <c r="B87" s="64">
        <v>6.55</v>
      </c>
      <c r="C87" s="64">
        <v>11.89</v>
      </c>
      <c r="D87" s="64">
        <v>12.46</v>
      </c>
      <c r="E87" s="64">
        <v>2.46</v>
      </c>
      <c r="F87" s="64">
        <v>4.7699999999999996</v>
      </c>
      <c r="G87" s="216" t="s">
        <v>43</v>
      </c>
      <c r="H87" s="216" t="s">
        <v>43</v>
      </c>
      <c r="I87" s="64">
        <v>4.79</v>
      </c>
      <c r="J87" s="64">
        <v>0.52</v>
      </c>
      <c r="K87" s="64">
        <v>194.03</v>
      </c>
      <c r="L87" s="64">
        <v>23.76</v>
      </c>
      <c r="M87" s="64">
        <v>90.08</v>
      </c>
      <c r="N87" s="64">
        <v>44.4</v>
      </c>
      <c r="O87" s="64">
        <v>0</v>
      </c>
      <c r="P87" s="64">
        <v>0.39</v>
      </c>
      <c r="Q87" s="64">
        <v>6.39</v>
      </c>
      <c r="R87" s="198"/>
      <c r="S87" s="198"/>
      <c r="T87" s="198"/>
      <c r="U87" s="198"/>
    </row>
    <row r="88" spans="1:26" s="12" customFormat="1" x14ac:dyDescent="0.25">
      <c r="A88" s="215" t="s">
        <v>903</v>
      </c>
      <c r="B88" s="64">
        <v>7.15</v>
      </c>
      <c r="C88" s="64">
        <v>16.45</v>
      </c>
      <c r="D88" s="64">
        <v>15.46</v>
      </c>
      <c r="E88" s="64">
        <v>1.27</v>
      </c>
      <c r="F88" s="64">
        <v>4.54</v>
      </c>
      <c r="G88" s="216" t="s">
        <v>43</v>
      </c>
      <c r="H88" s="216" t="s">
        <v>43</v>
      </c>
      <c r="I88" s="64">
        <v>5.0599999999999996</v>
      </c>
      <c r="J88" s="64">
        <v>0.39</v>
      </c>
      <c r="K88" s="64">
        <v>202.1</v>
      </c>
      <c r="L88" s="64">
        <v>23.72</v>
      </c>
      <c r="M88" s="64">
        <v>89.76</v>
      </c>
      <c r="N88" s="64">
        <v>44.3</v>
      </c>
      <c r="O88" s="64">
        <v>0</v>
      </c>
      <c r="P88" s="64">
        <v>0.4</v>
      </c>
      <c r="Q88" s="64">
        <v>9.3000000000000007</v>
      </c>
      <c r="R88" s="198"/>
      <c r="S88" s="198"/>
      <c r="T88" s="198"/>
      <c r="U88" s="198"/>
    </row>
    <row r="89" spans="1:26" s="12" customFormat="1" x14ac:dyDescent="0.25">
      <c r="A89" s="215" t="s">
        <v>904</v>
      </c>
      <c r="B89" s="64">
        <v>7.27</v>
      </c>
      <c r="C89" s="64">
        <v>13.18</v>
      </c>
      <c r="D89" s="64">
        <v>13.75</v>
      </c>
      <c r="E89" s="64">
        <v>1.43</v>
      </c>
      <c r="F89" s="64">
        <v>6.07</v>
      </c>
      <c r="G89" s="216" t="s">
        <v>43</v>
      </c>
      <c r="H89" s="216" t="s">
        <v>43</v>
      </c>
      <c r="I89" s="64">
        <v>5.35</v>
      </c>
      <c r="J89" s="64">
        <v>0.23</v>
      </c>
      <c r="K89" s="64">
        <v>224.75</v>
      </c>
      <c r="L89" s="64">
        <v>23.64</v>
      </c>
      <c r="M89" s="64">
        <v>89.38</v>
      </c>
      <c r="N89" s="64">
        <v>44.5</v>
      </c>
      <c r="O89" s="64">
        <v>0</v>
      </c>
      <c r="P89" s="64">
        <v>0.43</v>
      </c>
      <c r="Q89" s="64">
        <v>9.43</v>
      </c>
      <c r="R89" s="198"/>
      <c r="S89" s="198"/>
      <c r="T89" s="198"/>
      <c r="U89" s="198"/>
    </row>
    <row r="90" spans="1:26" s="12" customFormat="1" x14ac:dyDescent="0.25">
      <c r="A90" s="215" t="s">
        <v>905</v>
      </c>
      <c r="B90" s="64">
        <v>8.2200000000000006</v>
      </c>
      <c r="C90" s="64">
        <v>15.7</v>
      </c>
      <c r="D90" s="64">
        <v>15.9</v>
      </c>
      <c r="E90" s="64">
        <v>1.46</v>
      </c>
      <c r="F90" s="64">
        <v>5.35</v>
      </c>
      <c r="G90" s="216" t="s">
        <v>43</v>
      </c>
      <c r="H90" s="216" t="s">
        <v>43</v>
      </c>
      <c r="I90" s="64">
        <v>5.54</v>
      </c>
      <c r="J90" s="64">
        <v>0.21</v>
      </c>
      <c r="K90" s="64">
        <v>234.17</v>
      </c>
      <c r="L90" s="64">
        <v>23.51</v>
      </c>
      <c r="M90" s="64">
        <v>90.12</v>
      </c>
      <c r="N90" s="64">
        <v>44.7</v>
      </c>
      <c r="O90" s="64">
        <v>0</v>
      </c>
      <c r="P90" s="64">
        <v>0.43</v>
      </c>
      <c r="Q90" s="64">
        <v>11.72</v>
      </c>
      <c r="R90" s="198"/>
      <c r="S90" s="198"/>
      <c r="T90" s="198"/>
      <c r="U90" s="198"/>
    </row>
    <row r="91" spans="1:26" s="12" customFormat="1" x14ac:dyDescent="0.25">
      <c r="A91" s="215" t="s">
        <v>906</v>
      </c>
      <c r="B91" s="64">
        <v>8.1999999999999993</v>
      </c>
      <c r="C91" s="64">
        <v>14.96</v>
      </c>
      <c r="D91" s="64">
        <v>15.48</v>
      </c>
      <c r="E91" s="64">
        <v>1.65</v>
      </c>
      <c r="F91" s="64">
        <v>6.34</v>
      </c>
      <c r="G91" s="216" t="s">
        <v>43</v>
      </c>
      <c r="H91" s="216" t="s">
        <v>43</v>
      </c>
      <c r="I91" s="64">
        <v>5.72</v>
      </c>
      <c r="J91" s="64">
        <v>0.44</v>
      </c>
      <c r="K91" s="64">
        <v>216.79</v>
      </c>
      <c r="L91" s="64">
        <v>23.47</v>
      </c>
      <c r="M91" s="64">
        <v>90.75</v>
      </c>
      <c r="N91" s="64">
        <v>44.5</v>
      </c>
      <c r="O91" s="64">
        <v>0</v>
      </c>
      <c r="P91" s="64">
        <v>0.44</v>
      </c>
      <c r="Q91" s="64">
        <v>10.76</v>
      </c>
      <c r="R91" s="198"/>
      <c r="S91" s="198"/>
      <c r="T91" s="198"/>
      <c r="U91" s="198"/>
    </row>
    <row r="92" spans="1:26" s="12" customFormat="1" x14ac:dyDescent="0.25">
      <c r="A92" s="215" t="s">
        <v>907</v>
      </c>
      <c r="B92" s="64">
        <v>8.15</v>
      </c>
      <c r="C92" s="64">
        <v>13.37</v>
      </c>
      <c r="D92" s="64">
        <v>14.56</v>
      </c>
      <c r="E92" s="64">
        <v>2.21</v>
      </c>
      <c r="F92" s="64">
        <v>5.1100000000000003</v>
      </c>
      <c r="G92" s="216" t="s">
        <v>43</v>
      </c>
      <c r="H92" s="216" t="s">
        <v>43</v>
      </c>
      <c r="I92" s="64">
        <v>5.61</v>
      </c>
      <c r="J92" s="64">
        <v>0.22</v>
      </c>
      <c r="K92" s="64">
        <v>219.89</v>
      </c>
      <c r="L92" s="64">
        <v>23.49</v>
      </c>
      <c r="M92" s="64">
        <v>91.19</v>
      </c>
      <c r="N92" s="64">
        <v>44.7</v>
      </c>
      <c r="O92" s="64">
        <v>0</v>
      </c>
      <c r="P92" s="64">
        <v>0.47</v>
      </c>
      <c r="Q92" s="64">
        <v>13.05</v>
      </c>
      <c r="R92" s="198"/>
      <c r="S92" s="198"/>
      <c r="T92" s="198"/>
      <c r="U92" s="198"/>
    </row>
    <row r="93" spans="1:26" s="12" customFormat="1" x14ac:dyDescent="0.25">
      <c r="A93" s="215" t="s">
        <v>908</v>
      </c>
      <c r="B93" s="64">
        <v>8.2899999999999991</v>
      </c>
      <c r="C93" s="64">
        <v>16.03</v>
      </c>
      <c r="D93" s="64">
        <v>16.14</v>
      </c>
      <c r="E93" s="64">
        <v>1.84</v>
      </c>
      <c r="F93" s="64">
        <v>2.69</v>
      </c>
      <c r="G93" s="216" t="s">
        <v>43</v>
      </c>
      <c r="H93" s="216" t="s">
        <v>43</v>
      </c>
      <c r="I93" s="64">
        <v>6.23</v>
      </c>
      <c r="J93" s="64">
        <v>0.11</v>
      </c>
      <c r="K93" s="64">
        <v>191.44</v>
      </c>
      <c r="L93" s="64">
        <v>23.39</v>
      </c>
      <c r="M93" s="64">
        <v>92.11</v>
      </c>
      <c r="N93" s="64">
        <v>44.8</v>
      </c>
      <c r="O93" s="64">
        <v>0</v>
      </c>
      <c r="P93" s="64">
        <v>0.47</v>
      </c>
      <c r="Q93" s="64">
        <v>12.73</v>
      </c>
      <c r="R93" s="198"/>
      <c r="S93" s="198"/>
      <c r="T93" s="198"/>
      <c r="U93" s="198"/>
    </row>
    <row r="94" spans="1:26" s="12" customFormat="1" x14ac:dyDescent="0.25">
      <c r="A94" s="215" t="s">
        <v>909</v>
      </c>
      <c r="B94" s="64">
        <v>8.39</v>
      </c>
      <c r="C94" s="64">
        <v>12.68</v>
      </c>
      <c r="D94" s="64">
        <v>14.37</v>
      </c>
      <c r="E94" s="64">
        <v>2.1</v>
      </c>
      <c r="F94" s="64">
        <v>5.04</v>
      </c>
      <c r="G94" s="216" t="s">
        <v>43</v>
      </c>
      <c r="H94" s="216" t="s">
        <v>43</v>
      </c>
      <c r="I94" s="64">
        <v>6.71</v>
      </c>
      <c r="J94" s="64">
        <v>7.0000000000000007E-2</v>
      </c>
      <c r="K94" s="64">
        <v>262.22000000000003</v>
      </c>
      <c r="L94" s="64">
        <v>23.35</v>
      </c>
      <c r="M94" s="64">
        <v>91.52</v>
      </c>
      <c r="N94" s="64">
        <v>44.7</v>
      </c>
      <c r="O94" s="64">
        <v>0</v>
      </c>
      <c r="P94" s="64">
        <v>0.47</v>
      </c>
      <c r="Q94" s="64">
        <v>10.29</v>
      </c>
      <c r="R94" s="198"/>
      <c r="S94" s="198"/>
      <c r="T94" s="198"/>
      <c r="U94" s="198"/>
    </row>
    <row r="95" spans="1:26" s="12" customFormat="1" x14ac:dyDescent="0.25">
      <c r="A95" s="215" t="s">
        <v>910</v>
      </c>
      <c r="B95" s="64">
        <v>8.42</v>
      </c>
      <c r="C95" s="64">
        <v>11.99</v>
      </c>
      <c r="D95" s="64">
        <v>14.01</v>
      </c>
      <c r="E95" s="64">
        <v>1.87</v>
      </c>
      <c r="F95" s="64">
        <v>4.45</v>
      </c>
      <c r="G95" s="216" t="s">
        <v>43</v>
      </c>
      <c r="H95" s="216" t="s">
        <v>43</v>
      </c>
      <c r="I95" s="64">
        <v>6.72</v>
      </c>
      <c r="J95" s="64">
        <v>0.21</v>
      </c>
      <c r="K95" s="64">
        <v>225.38</v>
      </c>
      <c r="L95" s="64">
        <v>23.33</v>
      </c>
      <c r="M95" s="64">
        <v>90.88</v>
      </c>
      <c r="N95" s="64">
        <v>44.3</v>
      </c>
      <c r="O95" s="64">
        <v>0</v>
      </c>
      <c r="P95" s="64">
        <v>0.49</v>
      </c>
      <c r="Q95" s="64">
        <v>11.73</v>
      </c>
      <c r="R95" s="198"/>
      <c r="S95" s="198"/>
      <c r="T95" s="198"/>
      <c r="U95" s="198"/>
    </row>
    <row r="96" spans="1:26" s="12" customFormat="1" x14ac:dyDescent="0.25">
      <c r="A96" s="215" t="s">
        <v>911</v>
      </c>
      <c r="B96" s="64">
        <v>8.1199999999999992</v>
      </c>
      <c r="C96" s="64">
        <v>13.86</v>
      </c>
      <c r="D96" s="64">
        <v>14.81</v>
      </c>
      <c r="E96" s="64">
        <v>1.91</v>
      </c>
      <c r="F96" s="64">
        <v>3.04</v>
      </c>
      <c r="G96" s="216" t="s">
        <v>43</v>
      </c>
      <c r="H96" s="216" t="s">
        <v>43</v>
      </c>
      <c r="I96" s="64">
        <v>6.87</v>
      </c>
      <c r="J96" s="64">
        <v>0.18</v>
      </c>
      <c r="K96" s="64">
        <v>224.45</v>
      </c>
      <c r="L96" s="64">
        <v>23.34</v>
      </c>
      <c r="M96" s="64">
        <v>90.6</v>
      </c>
      <c r="N96" s="64">
        <v>44.7</v>
      </c>
      <c r="O96" s="64">
        <v>0</v>
      </c>
      <c r="P96" s="64">
        <v>0.49</v>
      </c>
      <c r="Q96" s="64">
        <v>11.61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912</v>
      </c>
      <c r="B97" s="64">
        <v>7.82</v>
      </c>
      <c r="C97" s="64">
        <v>12.26</v>
      </c>
      <c r="D97" s="64">
        <v>13.68</v>
      </c>
      <c r="E97" s="64">
        <v>1.35</v>
      </c>
      <c r="F97" s="64">
        <v>4.3899999999999997</v>
      </c>
      <c r="G97" s="216" t="s">
        <v>43</v>
      </c>
      <c r="H97" s="216" t="s">
        <v>43</v>
      </c>
      <c r="I97" s="64">
        <v>6.93</v>
      </c>
      <c r="J97" s="64">
        <v>0.28000000000000003</v>
      </c>
      <c r="K97" s="64">
        <v>210.67</v>
      </c>
      <c r="L97" s="64">
        <v>23.32</v>
      </c>
      <c r="M97" s="64">
        <v>90.37</v>
      </c>
      <c r="N97" s="64">
        <v>44.7</v>
      </c>
      <c r="O97" s="64">
        <v>0</v>
      </c>
      <c r="P97" s="64">
        <v>0.52</v>
      </c>
      <c r="Q97" s="64">
        <v>9.11</v>
      </c>
      <c r="R97" s="198"/>
      <c r="S97" s="198"/>
      <c r="T97" s="198"/>
      <c r="U97" s="198"/>
    </row>
    <row r="98" spans="1:33" s="12" customFormat="1" x14ac:dyDescent="0.25">
      <c r="A98" s="215" t="s">
        <v>913</v>
      </c>
      <c r="B98" s="64">
        <v>7.68</v>
      </c>
      <c r="C98" s="64">
        <v>11.65</v>
      </c>
      <c r="D98" s="64">
        <v>13.24</v>
      </c>
      <c r="E98" s="64">
        <v>1.71</v>
      </c>
      <c r="F98" s="64">
        <v>4.57</v>
      </c>
      <c r="G98" s="216" t="s">
        <v>43</v>
      </c>
      <c r="H98" s="216" t="s">
        <v>43</v>
      </c>
      <c r="I98" s="64">
        <v>6.78</v>
      </c>
      <c r="J98" s="64">
        <v>0.16</v>
      </c>
      <c r="K98" s="64">
        <v>217.34</v>
      </c>
      <c r="L98" s="64">
        <v>23.27</v>
      </c>
      <c r="M98" s="64">
        <v>90.46</v>
      </c>
      <c r="N98" s="64">
        <v>44.8</v>
      </c>
      <c r="O98" s="64">
        <v>0</v>
      </c>
      <c r="P98" s="64">
        <v>0.52</v>
      </c>
      <c r="Q98" s="64">
        <v>10.56</v>
      </c>
      <c r="R98" s="198"/>
      <c r="S98" s="198"/>
      <c r="T98" s="198"/>
      <c r="U98" s="198"/>
    </row>
    <row r="99" spans="1:33" s="12" customFormat="1" x14ac:dyDescent="0.25">
      <c r="A99" s="215" t="s">
        <v>914</v>
      </c>
      <c r="B99" s="64">
        <v>7.18</v>
      </c>
      <c r="C99" s="64">
        <v>13.2</v>
      </c>
      <c r="D99" s="64">
        <v>13.68</v>
      </c>
      <c r="E99" s="64">
        <v>1.98</v>
      </c>
      <c r="F99" s="64">
        <v>4.8099999999999996</v>
      </c>
      <c r="G99" s="216" t="s">
        <v>43</v>
      </c>
      <c r="H99" s="216" t="s">
        <v>43</v>
      </c>
      <c r="I99" s="64">
        <v>6.78</v>
      </c>
      <c r="J99" s="64">
        <v>0.22</v>
      </c>
      <c r="K99" s="64">
        <v>216.49</v>
      </c>
      <c r="L99" s="64">
        <v>23.21</v>
      </c>
      <c r="M99" s="64">
        <v>90.85</v>
      </c>
      <c r="N99" s="64">
        <v>45.1</v>
      </c>
      <c r="O99" s="64">
        <v>0</v>
      </c>
      <c r="P99" s="64">
        <v>0.5</v>
      </c>
      <c r="Q99" s="64">
        <v>12.35</v>
      </c>
      <c r="R99" s="198"/>
      <c r="S99" s="198"/>
      <c r="T99" s="198"/>
      <c r="U99" s="198"/>
    </row>
    <row r="100" spans="1:33" s="12" customFormat="1" x14ac:dyDescent="0.25">
      <c r="A100" s="215" t="s">
        <v>915</v>
      </c>
      <c r="B100" s="64">
        <v>6.64</v>
      </c>
      <c r="C100" s="64">
        <v>13.64</v>
      </c>
      <c r="D100" s="64">
        <v>13.5</v>
      </c>
      <c r="E100" s="64">
        <v>2.23</v>
      </c>
      <c r="F100" s="64">
        <v>8.51</v>
      </c>
      <c r="G100" s="216" t="s">
        <v>43</v>
      </c>
      <c r="H100" s="216" t="s">
        <v>43</v>
      </c>
      <c r="I100" s="64">
        <v>6.76</v>
      </c>
      <c r="J100" s="64">
        <v>0.32</v>
      </c>
      <c r="K100" s="64">
        <v>189.76</v>
      </c>
      <c r="L100" s="64">
        <v>23.21</v>
      </c>
      <c r="M100" s="64">
        <v>90.75</v>
      </c>
      <c r="N100" s="64">
        <v>45.1</v>
      </c>
      <c r="O100" s="64">
        <v>0</v>
      </c>
      <c r="P100" s="64">
        <v>0.5</v>
      </c>
      <c r="Q100" s="64">
        <v>12.34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916</v>
      </c>
      <c r="B101" s="64">
        <v>6.61</v>
      </c>
      <c r="C101" s="64">
        <v>14.18</v>
      </c>
      <c r="D101" s="64">
        <v>13.78</v>
      </c>
      <c r="E101" s="64">
        <v>2.1</v>
      </c>
      <c r="F101" s="64">
        <v>8.92</v>
      </c>
      <c r="G101" s="216" t="s">
        <v>43</v>
      </c>
      <c r="H101" s="216" t="s">
        <v>43</v>
      </c>
      <c r="I101" s="64">
        <v>5.87</v>
      </c>
      <c r="J101" s="64">
        <v>0.21</v>
      </c>
      <c r="K101" s="64">
        <v>176.3</v>
      </c>
      <c r="L101" s="64">
        <v>23.12</v>
      </c>
      <c r="M101" s="64">
        <v>91.72</v>
      </c>
      <c r="N101" s="64">
        <v>45.2</v>
      </c>
      <c r="O101" s="64">
        <v>0</v>
      </c>
      <c r="P101" s="64">
        <v>0.5</v>
      </c>
      <c r="Q101" s="64">
        <v>14.38</v>
      </c>
      <c r="R101" s="198"/>
      <c r="S101" s="198"/>
      <c r="T101" s="198"/>
      <c r="U101" s="198"/>
    </row>
    <row r="102" spans="1:33" s="12" customFormat="1" x14ac:dyDescent="0.25">
      <c r="A102" s="215" t="s">
        <v>917</v>
      </c>
      <c r="B102" s="64">
        <v>6.74</v>
      </c>
      <c r="C102" s="64">
        <v>12.95</v>
      </c>
      <c r="D102" s="64">
        <v>13.19</v>
      </c>
      <c r="E102" s="64">
        <v>1.8</v>
      </c>
      <c r="F102" s="64">
        <v>8.1199999999999992</v>
      </c>
      <c r="G102" s="216" t="s">
        <v>43</v>
      </c>
      <c r="H102" s="216" t="s">
        <v>43</v>
      </c>
      <c r="I102" s="64">
        <v>5.9</v>
      </c>
      <c r="J102" s="64">
        <v>0.06</v>
      </c>
      <c r="K102" s="64">
        <v>197.01</v>
      </c>
      <c r="L102" s="64">
        <v>23.07</v>
      </c>
      <c r="M102" s="64">
        <v>92.09</v>
      </c>
      <c r="N102" s="64">
        <v>45.3</v>
      </c>
      <c r="O102" s="64">
        <v>0</v>
      </c>
      <c r="P102" s="64">
        <v>0.5</v>
      </c>
      <c r="Q102" s="64">
        <v>14.65</v>
      </c>
      <c r="R102" s="198"/>
      <c r="S102" s="198"/>
      <c r="T102" s="198"/>
      <c r="U102" s="198"/>
    </row>
    <row r="103" spans="1:33" s="12" customFormat="1" x14ac:dyDescent="0.25">
      <c r="A103" s="215" t="s">
        <v>918</v>
      </c>
      <c r="B103" s="64">
        <v>6.85</v>
      </c>
      <c r="C103" s="64">
        <v>13.7</v>
      </c>
      <c r="D103" s="64">
        <v>13.7</v>
      </c>
      <c r="E103" s="64">
        <v>2.06</v>
      </c>
      <c r="F103" s="64">
        <v>9.2100000000000009</v>
      </c>
      <c r="G103" s="216" t="s">
        <v>43</v>
      </c>
      <c r="H103" s="216" t="s">
        <v>43</v>
      </c>
      <c r="I103" s="64">
        <v>5.36</v>
      </c>
      <c r="J103" s="64">
        <v>0.17</v>
      </c>
      <c r="K103" s="64">
        <v>185.84</v>
      </c>
      <c r="L103" s="64">
        <v>23.05</v>
      </c>
      <c r="M103" s="64">
        <v>92.25</v>
      </c>
      <c r="N103" s="64">
        <v>45.4</v>
      </c>
      <c r="O103" s="64">
        <v>0</v>
      </c>
      <c r="P103" s="64">
        <v>0.48</v>
      </c>
      <c r="Q103" s="64">
        <v>17.03</v>
      </c>
      <c r="R103" s="198"/>
      <c r="S103" s="198"/>
      <c r="T103" s="198"/>
      <c r="U103" s="198"/>
    </row>
    <row r="104" spans="1:33" s="12" customFormat="1" x14ac:dyDescent="0.25">
      <c r="A104" s="215" t="s">
        <v>919</v>
      </c>
      <c r="B104" s="64">
        <v>7.83</v>
      </c>
      <c r="C104" s="64">
        <v>11.24</v>
      </c>
      <c r="D104" s="64">
        <v>13.13</v>
      </c>
      <c r="E104" s="64">
        <v>2.46</v>
      </c>
      <c r="F104" s="64">
        <v>5.26</v>
      </c>
      <c r="G104" s="216" t="s">
        <v>43</v>
      </c>
      <c r="H104" s="216" t="s">
        <v>43</v>
      </c>
      <c r="I104" s="64">
        <v>5.69</v>
      </c>
      <c r="J104" s="64">
        <v>0.02</v>
      </c>
      <c r="K104" s="64">
        <v>263.41000000000003</v>
      </c>
      <c r="L104" s="64">
        <v>23.02</v>
      </c>
      <c r="M104" s="64">
        <v>92.74</v>
      </c>
      <c r="N104" s="64">
        <v>45.5</v>
      </c>
      <c r="O104" s="64">
        <v>0</v>
      </c>
      <c r="P104" s="64">
        <v>0.49</v>
      </c>
      <c r="Q104" s="64">
        <v>16.25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4.37</v>
      </c>
      <c r="C106" s="67">
        <f>MIN(C9:C104)</f>
        <v>9.49</v>
      </c>
      <c r="D106" s="67">
        <f t="shared" ref="D106:Q106" si="0">MIN(D9:D104)</f>
        <v>10.54</v>
      </c>
      <c r="E106" s="67">
        <f t="shared" si="0"/>
        <v>1.27</v>
      </c>
      <c r="F106" s="67">
        <f t="shared" si="0"/>
        <v>2.06</v>
      </c>
      <c r="G106" s="67">
        <f t="shared" si="0"/>
        <v>0</v>
      </c>
      <c r="H106" s="67">
        <f t="shared" si="0"/>
        <v>0</v>
      </c>
      <c r="I106" s="67">
        <f t="shared" si="0"/>
        <v>1.53</v>
      </c>
      <c r="J106" s="67">
        <f t="shared" si="0"/>
        <v>0.01</v>
      </c>
      <c r="K106" s="67">
        <f t="shared" si="0"/>
        <v>6.85</v>
      </c>
      <c r="L106" s="67">
        <f t="shared" si="0"/>
        <v>21.23</v>
      </c>
      <c r="M106" s="67">
        <f t="shared" si="0"/>
        <v>86.94</v>
      </c>
      <c r="N106" s="67">
        <f t="shared" si="0"/>
        <v>23.8</v>
      </c>
      <c r="O106" s="67">
        <f t="shared" si="0"/>
        <v>0</v>
      </c>
      <c r="P106" s="67">
        <f t="shared" si="0"/>
        <v>0.18</v>
      </c>
      <c r="Q106" s="67">
        <f t="shared" si="0"/>
        <v>2.56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8.42</v>
      </c>
      <c r="C107" s="66">
        <f t="shared" ref="C107:Q107" si="1">MAX(C9:C104)</f>
        <v>20</v>
      </c>
      <c r="D107" s="66">
        <f t="shared" si="1"/>
        <v>16.14</v>
      </c>
      <c r="E107" s="66">
        <f t="shared" si="1"/>
        <v>3.24</v>
      </c>
      <c r="F107" s="66">
        <f t="shared" si="1"/>
        <v>420.45</v>
      </c>
      <c r="G107" s="66">
        <f t="shared" si="1"/>
        <v>0</v>
      </c>
      <c r="H107" s="66">
        <f t="shared" si="1"/>
        <v>0</v>
      </c>
      <c r="I107" s="66">
        <f t="shared" si="1"/>
        <v>6.93</v>
      </c>
      <c r="J107" s="66">
        <f t="shared" si="1"/>
        <v>0.97</v>
      </c>
      <c r="K107" s="66">
        <f t="shared" si="1"/>
        <v>354.09</v>
      </c>
      <c r="L107" s="66">
        <f t="shared" si="1"/>
        <v>24.54</v>
      </c>
      <c r="M107" s="66">
        <f t="shared" si="1"/>
        <v>97.2</v>
      </c>
      <c r="N107" s="66">
        <f t="shared" si="1"/>
        <v>483.8</v>
      </c>
      <c r="O107" s="66">
        <f t="shared" si="1"/>
        <v>10</v>
      </c>
      <c r="P107" s="66">
        <f t="shared" si="1"/>
        <v>0.52</v>
      </c>
      <c r="Q107" s="66">
        <f t="shared" si="1"/>
        <v>17.03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6.3933333333333335</v>
      </c>
      <c r="C108" s="67">
        <f t="shared" ref="C108:Q108" si="2">AVERAGE(C9:C104)</f>
        <v>13.163750000000006</v>
      </c>
      <c r="D108" s="67">
        <f t="shared" si="2"/>
        <v>13.038645833333335</v>
      </c>
      <c r="E108" s="67">
        <f t="shared" si="2"/>
        <v>2.2324999999999999</v>
      </c>
      <c r="F108" s="67">
        <f t="shared" si="2"/>
        <v>10.07104166666667</v>
      </c>
      <c r="G108" s="67" t="e">
        <f t="shared" si="2"/>
        <v>#DIV/0!</v>
      </c>
      <c r="H108" s="67" t="e">
        <f t="shared" si="2"/>
        <v>#DIV/0!</v>
      </c>
      <c r="I108" s="67">
        <f t="shared" si="2"/>
        <v>3.5941666666666676</v>
      </c>
      <c r="J108" s="67">
        <f t="shared" si="2"/>
        <v>0.19729166666666675</v>
      </c>
      <c r="K108" s="67">
        <f t="shared" si="2"/>
        <v>182.45093750000001</v>
      </c>
      <c r="L108" s="67">
        <f t="shared" si="2"/>
        <v>22.935520833333339</v>
      </c>
      <c r="M108" s="67">
        <f t="shared" si="2"/>
        <v>93.643124999999984</v>
      </c>
      <c r="N108" s="67">
        <f t="shared" si="2"/>
        <v>95.064583333333346</v>
      </c>
      <c r="O108" s="67">
        <f t="shared" si="2"/>
        <v>0.54375000000000007</v>
      </c>
      <c r="P108" s="67">
        <f t="shared" si="2"/>
        <v>0.29666666666666652</v>
      </c>
      <c r="Q108" s="67">
        <f t="shared" si="2"/>
        <v>9.6516666666666637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0.85864969472166941</v>
      </c>
      <c r="C109" s="67">
        <f t="shared" ref="C109:Q109" si="3">STDEV(C9:C104)</f>
        <v>1.9151662013901707</v>
      </c>
      <c r="D109" s="67">
        <f t="shared" si="3"/>
        <v>1.1156632389387482</v>
      </c>
      <c r="E109" s="67">
        <f t="shared" si="3"/>
        <v>0.3925248902600747</v>
      </c>
      <c r="F109" s="67">
        <f t="shared" si="3"/>
        <v>42.437960203948663</v>
      </c>
      <c r="G109" s="67" t="e">
        <f t="shared" si="3"/>
        <v>#DIV/0!</v>
      </c>
      <c r="H109" s="67" t="e">
        <f t="shared" si="3"/>
        <v>#DIV/0!</v>
      </c>
      <c r="I109" s="67">
        <f t="shared" si="3"/>
        <v>1.385182995067638</v>
      </c>
      <c r="J109" s="67">
        <f t="shared" si="3"/>
        <v>0.1688941067599625</v>
      </c>
      <c r="K109" s="67">
        <f t="shared" si="3"/>
        <v>105.92428285861484</v>
      </c>
      <c r="L109" s="67">
        <f t="shared" si="3"/>
        <v>0.94430466737412733</v>
      </c>
      <c r="M109" s="67">
        <f t="shared" si="3"/>
        <v>3.7475680008577097</v>
      </c>
      <c r="N109" s="67">
        <f t="shared" si="3"/>
        <v>99.699145305069749</v>
      </c>
      <c r="O109" s="67">
        <f t="shared" si="3"/>
        <v>1.7948940739893553</v>
      </c>
      <c r="P109" s="67">
        <f t="shared" si="3"/>
        <v>9.4297029775923927E-2</v>
      </c>
      <c r="Q109" s="67">
        <f t="shared" si="3"/>
        <v>3.4218359696965019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 t="shared" si="4"/>
        <v>0</v>
      </c>
      <c r="H110" s="66">
        <f>COUNT(H9:H104)</f>
        <v>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8" sqref="H13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920</v>
      </c>
      <c r="B9" s="64">
        <v>8.49</v>
      </c>
      <c r="C9" s="64">
        <v>10.87</v>
      </c>
      <c r="D9" s="64">
        <v>13.45</v>
      </c>
      <c r="E9" s="64">
        <v>3.39</v>
      </c>
      <c r="F9" s="64">
        <v>3.7</v>
      </c>
      <c r="G9" s="216" t="s">
        <v>43</v>
      </c>
      <c r="H9" s="216" t="s">
        <v>43</v>
      </c>
      <c r="I9" s="64">
        <v>6.17</v>
      </c>
      <c r="J9" s="64">
        <v>0.09</v>
      </c>
      <c r="K9" s="64">
        <v>243.7</v>
      </c>
      <c r="L9" s="64">
        <v>22.98</v>
      </c>
      <c r="M9" s="64">
        <v>92.38</v>
      </c>
      <c r="N9" s="64">
        <v>45.4</v>
      </c>
      <c r="O9" s="64">
        <v>0</v>
      </c>
      <c r="P9" s="64">
        <v>0.47</v>
      </c>
      <c r="Q9" s="64">
        <v>17.36</v>
      </c>
      <c r="R9" s="198"/>
      <c r="S9" s="198"/>
      <c r="T9" s="198"/>
      <c r="U9" s="198"/>
    </row>
    <row r="10" spans="1:21" s="12" customFormat="1" x14ac:dyDescent="0.25">
      <c r="A10" s="215" t="s">
        <v>921</v>
      </c>
      <c r="B10" s="64">
        <v>7.76</v>
      </c>
      <c r="C10" s="64">
        <v>12.12</v>
      </c>
      <c r="D10" s="64">
        <v>13.56</v>
      </c>
      <c r="E10" s="64">
        <v>2.81</v>
      </c>
      <c r="F10" s="64">
        <v>4.92</v>
      </c>
      <c r="G10" s="216" t="s">
        <v>43</v>
      </c>
      <c r="H10" s="216" t="s">
        <v>43</v>
      </c>
      <c r="I10" s="64">
        <v>7.77</v>
      </c>
      <c r="J10" s="64">
        <v>0.15</v>
      </c>
      <c r="K10" s="64">
        <v>229.93</v>
      </c>
      <c r="L10" s="64">
        <v>22.91</v>
      </c>
      <c r="M10" s="64">
        <v>92.91</v>
      </c>
      <c r="N10" s="64">
        <v>45.5</v>
      </c>
      <c r="O10" s="64">
        <v>0</v>
      </c>
      <c r="P10" s="64">
        <v>0.44</v>
      </c>
      <c r="Q10" s="64">
        <v>15.47</v>
      </c>
      <c r="R10" s="198"/>
      <c r="S10" s="198"/>
      <c r="T10" s="198"/>
      <c r="U10" s="198"/>
    </row>
    <row r="11" spans="1:21" s="12" customFormat="1" x14ac:dyDescent="0.25">
      <c r="A11" s="215" t="s">
        <v>922</v>
      </c>
      <c r="B11" s="64">
        <v>7.65</v>
      </c>
      <c r="C11" s="64">
        <v>10.5</v>
      </c>
      <c r="D11" s="64">
        <v>12.58</v>
      </c>
      <c r="E11" s="64">
        <v>2.38</v>
      </c>
      <c r="F11" s="64">
        <v>4.97</v>
      </c>
      <c r="G11" s="216" t="s">
        <v>43</v>
      </c>
      <c r="H11" s="216" t="s">
        <v>43</v>
      </c>
      <c r="I11" s="64">
        <v>8.2100000000000009</v>
      </c>
      <c r="J11" s="64">
        <v>0.12</v>
      </c>
      <c r="K11" s="64">
        <v>240.44</v>
      </c>
      <c r="L11" s="64">
        <v>22.85</v>
      </c>
      <c r="M11" s="64">
        <v>93.15</v>
      </c>
      <c r="N11" s="64">
        <v>45.4</v>
      </c>
      <c r="O11" s="64">
        <v>0</v>
      </c>
      <c r="P11" s="64">
        <v>0.44</v>
      </c>
      <c r="Q11" s="64">
        <v>13</v>
      </c>
      <c r="R11" s="198"/>
      <c r="S11" s="198"/>
      <c r="T11" s="198"/>
      <c r="U11" s="198"/>
    </row>
    <row r="12" spans="1:21" s="12" customFormat="1" x14ac:dyDescent="0.25">
      <c r="A12" s="215" t="s">
        <v>923</v>
      </c>
      <c r="B12" s="64">
        <v>7.6</v>
      </c>
      <c r="C12" s="64">
        <v>10.5</v>
      </c>
      <c r="D12" s="64">
        <v>12.54</v>
      </c>
      <c r="E12" s="64">
        <v>2.83</v>
      </c>
      <c r="F12" s="64">
        <v>4.7300000000000004</v>
      </c>
      <c r="G12" s="216" t="s">
        <v>43</v>
      </c>
      <c r="H12" s="216" t="s">
        <v>43</v>
      </c>
      <c r="I12" s="64">
        <v>7.75</v>
      </c>
      <c r="J12" s="64">
        <v>0.15</v>
      </c>
      <c r="K12" s="64">
        <v>237.79</v>
      </c>
      <c r="L12" s="64">
        <v>22.8</v>
      </c>
      <c r="M12" s="64">
        <v>93.33</v>
      </c>
      <c r="N12" s="64">
        <v>45.7</v>
      </c>
      <c r="O12" s="64">
        <v>0</v>
      </c>
      <c r="P12" s="64">
        <v>0.44</v>
      </c>
      <c r="Q12" s="64">
        <v>14.51</v>
      </c>
      <c r="R12" s="198"/>
      <c r="S12" s="198"/>
      <c r="T12" s="198"/>
      <c r="U12" s="198"/>
    </row>
    <row r="13" spans="1:21" s="12" customFormat="1" x14ac:dyDescent="0.25">
      <c r="A13" s="215" t="s">
        <v>924</v>
      </c>
      <c r="B13" s="64">
        <v>7.22</v>
      </c>
      <c r="C13" s="64">
        <v>11.97</v>
      </c>
      <c r="D13" s="64">
        <v>13.04</v>
      </c>
      <c r="E13" s="64">
        <v>3.05</v>
      </c>
      <c r="F13" s="64">
        <v>3.46</v>
      </c>
      <c r="G13" s="216" t="s">
        <v>43</v>
      </c>
      <c r="H13" s="216" t="s">
        <v>43</v>
      </c>
      <c r="I13" s="64">
        <v>7.94</v>
      </c>
      <c r="J13" s="64">
        <v>0.1</v>
      </c>
      <c r="K13" s="64">
        <v>219.33</v>
      </c>
      <c r="L13" s="64">
        <v>22.74</v>
      </c>
      <c r="M13" s="64">
        <v>93.68</v>
      </c>
      <c r="N13" s="64">
        <v>46</v>
      </c>
      <c r="O13" s="64">
        <v>0</v>
      </c>
      <c r="P13" s="64">
        <v>0.43</v>
      </c>
      <c r="Q13" s="64">
        <v>15.81</v>
      </c>
      <c r="R13" s="198"/>
      <c r="S13" s="198"/>
      <c r="T13" s="198"/>
      <c r="U13" s="198"/>
    </row>
    <row r="14" spans="1:21" s="12" customFormat="1" x14ac:dyDescent="0.25">
      <c r="A14" s="215" t="s">
        <v>925</v>
      </c>
      <c r="B14" s="64">
        <v>6.88</v>
      </c>
      <c r="C14" s="64">
        <v>10.9</v>
      </c>
      <c r="D14" s="64">
        <v>12.19</v>
      </c>
      <c r="E14" s="64">
        <v>2.5</v>
      </c>
      <c r="F14" s="64">
        <v>5</v>
      </c>
      <c r="G14" s="216" t="s">
        <v>43</v>
      </c>
      <c r="H14" s="216" t="s">
        <v>43</v>
      </c>
      <c r="I14" s="64">
        <v>8.01</v>
      </c>
      <c r="J14" s="64">
        <v>0.37</v>
      </c>
      <c r="K14" s="64">
        <v>198.95</v>
      </c>
      <c r="L14" s="64">
        <v>22.73</v>
      </c>
      <c r="M14" s="64">
        <v>93.29</v>
      </c>
      <c r="N14" s="64">
        <v>45.8</v>
      </c>
      <c r="O14" s="64">
        <v>0</v>
      </c>
      <c r="P14" s="64">
        <v>0.44</v>
      </c>
      <c r="Q14" s="64">
        <v>12.56</v>
      </c>
      <c r="R14" s="198"/>
      <c r="S14" s="198"/>
      <c r="T14" s="198"/>
      <c r="U14" s="198"/>
    </row>
    <row r="15" spans="1:21" s="12" customFormat="1" x14ac:dyDescent="0.25">
      <c r="A15" s="215" t="s">
        <v>926</v>
      </c>
      <c r="B15" s="64">
        <v>6.61</v>
      </c>
      <c r="C15" s="64">
        <v>10.48</v>
      </c>
      <c r="D15" s="64">
        <v>11.73</v>
      </c>
      <c r="E15" s="64">
        <v>2.5</v>
      </c>
      <c r="F15" s="64">
        <v>6.27</v>
      </c>
      <c r="G15" s="216" t="s">
        <v>43</v>
      </c>
      <c r="H15" s="216" t="s">
        <v>43</v>
      </c>
      <c r="I15" s="64">
        <v>7.5</v>
      </c>
      <c r="J15" s="64">
        <v>0.19</v>
      </c>
      <c r="K15" s="64">
        <v>191.29</v>
      </c>
      <c r="L15" s="64">
        <v>22.76</v>
      </c>
      <c r="M15" s="64">
        <v>93.31</v>
      </c>
      <c r="N15" s="64">
        <v>46</v>
      </c>
      <c r="O15" s="64">
        <v>0</v>
      </c>
      <c r="P15" s="64">
        <v>0.44</v>
      </c>
      <c r="Q15" s="64">
        <v>14.1</v>
      </c>
      <c r="R15" s="198"/>
      <c r="S15" s="198"/>
      <c r="T15" s="198"/>
      <c r="U15" s="198"/>
    </row>
    <row r="16" spans="1:21" s="12" customFormat="1" x14ac:dyDescent="0.25">
      <c r="A16" s="215" t="s">
        <v>927</v>
      </c>
      <c r="B16" s="64">
        <v>6.29</v>
      </c>
      <c r="C16" s="64">
        <v>10.28</v>
      </c>
      <c r="D16" s="64">
        <v>11.37</v>
      </c>
      <c r="E16" s="64">
        <v>2.69</v>
      </c>
      <c r="F16" s="64">
        <v>9.7899999999999991</v>
      </c>
      <c r="G16" s="216" t="s">
        <v>43</v>
      </c>
      <c r="H16" s="216" t="s">
        <v>43</v>
      </c>
      <c r="I16" s="64">
        <v>7.4</v>
      </c>
      <c r="J16" s="64">
        <v>0.19</v>
      </c>
      <c r="K16" s="64">
        <v>207.23</v>
      </c>
      <c r="L16" s="64">
        <v>22.87</v>
      </c>
      <c r="M16" s="64">
        <v>91.84</v>
      </c>
      <c r="N16" s="64">
        <v>46.3</v>
      </c>
      <c r="O16" s="64">
        <v>0</v>
      </c>
      <c r="P16" s="64">
        <v>0.43</v>
      </c>
      <c r="Q16" s="64">
        <v>15.23</v>
      </c>
      <c r="R16" s="198"/>
      <c r="S16" s="198"/>
      <c r="T16" s="198"/>
      <c r="U16" s="198"/>
    </row>
    <row r="17" spans="1:21" s="12" customFormat="1" x14ac:dyDescent="0.25">
      <c r="A17" s="215" t="s">
        <v>928</v>
      </c>
      <c r="B17" s="64">
        <v>7.15</v>
      </c>
      <c r="C17" s="64">
        <v>9.85</v>
      </c>
      <c r="D17" s="64">
        <v>11.81</v>
      </c>
      <c r="E17" s="64">
        <v>2.99</v>
      </c>
      <c r="F17" s="64">
        <v>6.25</v>
      </c>
      <c r="G17" s="216" t="s">
        <v>43</v>
      </c>
      <c r="H17" s="216" t="s">
        <v>43</v>
      </c>
      <c r="I17" s="64">
        <v>6.21</v>
      </c>
      <c r="J17" s="64">
        <v>0.14000000000000001</v>
      </c>
      <c r="K17" s="64">
        <v>242.12</v>
      </c>
      <c r="L17" s="64">
        <v>23</v>
      </c>
      <c r="M17" s="64">
        <v>90.22</v>
      </c>
      <c r="N17" s="64">
        <v>46.5</v>
      </c>
      <c r="O17" s="64">
        <v>0</v>
      </c>
      <c r="P17" s="64">
        <v>0.42</v>
      </c>
      <c r="Q17" s="64">
        <v>17.12</v>
      </c>
      <c r="R17" s="198"/>
      <c r="S17" s="198"/>
      <c r="T17" s="198"/>
      <c r="U17" s="198"/>
    </row>
    <row r="18" spans="1:21" s="12" customFormat="1" x14ac:dyDescent="0.25">
      <c r="A18" s="215" t="s">
        <v>929</v>
      </c>
      <c r="B18" s="64">
        <v>6.93</v>
      </c>
      <c r="C18" s="64">
        <v>10.89</v>
      </c>
      <c r="D18" s="64">
        <v>12.21</v>
      </c>
      <c r="E18" s="64">
        <v>2.94</v>
      </c>
      <c r="F18" s="64">
        <v>7.76</v>
      </c>
      <c r="G18" s="216" t="s">
        <v>43</v>
      </c>
      <c r="H18" s="216" t="s">
        <v>43</v>
      </c>
      <c r="I18" s="64">
        <v>6.73</v>
      </c>
      <c r="J18" s="64">
        <v>0.15</v>
      </c>
      <c r="K18" s="64">
        <v>227.96</v>
      </c>
      <c r="L18" s="64">
        <v>23.05</v>
      </c>
      <c r="M18" s="64">
        <v>89.47</v>
      </c>
      <c r="N18" s="64">
        <v>46.6</v>
      </c>
      <c r="O18" s="64">
        <v>0</v>
      </c>
      <c r="P18" s="64">
        <v>0.4</v>
      </c>
      <c r="Q18" s="64">
        <v>17.43</v>
      </c>
      <c r="R18" s="198"/>
      <c r="S18" s="198"/>
      <c r="T18" s="198"/>
      <c r="U18" s="198"/>
    </row>
    <row r="19" spans="1:21" s="12" customFormat="1" x14ac:dyDescent="0.25">
      <c r="A19" s="215" t="s">
        <v>930</v>
      </c>
      <c r="B19" s="64">
        <v>7.2</v>
      </c>
      <c r="C19" s="64">
        <v>9.7200000000000006</v>
      </c>
      <c r="D19" s="64">
        <v>11.79</v>
      </c>
      <c r="E19" s="64">
        <v>2.72</v>
      </c>
      <c r="F19" s="64">
        <v>6.73</v>
      </c>
      <c r="G19" s="216" t="s">
        <v>43</v>
      </c>
      <c r="H19" s="216" t="s">
        <v>43</v>
      </c>
      <c r="I19" s="64">
        <v>7.29</v>
      </c>
      <c r="J19" s="64">
        <v>0.18</v>
      </c>
      <c r="K19" s="64">
        <v>209.36</v>
      </c>
      <c r="L19" s="64">
        <v>23</v>
      </c>
      <c r="M19" s="64">
        <v>89.66</v>
      </c>
      <c r="N19" s="64">
        <v>46.8</v>
      </c>
      <c r="O19" s="64">
        <v>0</v>
      </c>
      <c r="P19" s="64">
        <v>0.41</v>
      </c>
      <c r="Q19" s="64">
        <v>17.95</v>
      </c>
      <c r="R19" s="198"/>
      <c r="S19" s="198"/>
      <c r="T19" s="198"/>
      <c r="U19" s="198"/>
    </row>
    <row r="20" spans="1:21" s="12" customFormat="1" x14ac:dyDescent="0.25">
      <c r="A20" s="215" t="s">
        <v>931</v>
      </c>
      <c r="B20" s="64">
        <v>7.24</v>
      </c>
      <c r="C20" s="64">
        <v>11.8</v>
      </c>
      <c r="D20" s="64">
        <v>12.97</v>
      </c>
      <c r="E20" s="64">
        <v>2.83</v>
      </c>
      <c r="F20" s="64">
        <v>3.13</v>
      </c>
      <c r="G20" s="216" t="s">
        <v>43</v>
      </c>
      <c r="H20" s="216" t="s">
        <v>43</v>
      </c>
      <c r="I20" s="64">
        <v>7.78</v>
      </c>
      <c r="J20" s="64">
        <v>0.25</v>
      </c>
      <c r="K20" s="64">
        <v>196.7</v>
      </c>
      <c r="L20" s="64">
        <v>22.84</v>
      </c>
      <c r="M20" s="64">
        <v>91.32</v>
      </c>
      <c r="N20" s="64">
        <v>47</v>
      </c>
      <c r="O20" s="64">
        <v>0</v>
      </c>
      <c r="P20" s="64">
        <v>0.39</v>
      </c>
      <c r="Q20" s="64">
        <v>19.07</v>
      </c>
      <c r="R20" s="198"/>
      <c r="S20" s="198"/>
      <c r="T20" s="198"/>
      <c r="U20" s="198"/>
    </row>
    <row r="21" spans="1:21" s="12" customFormat="1" x14ac:dyDescent="0.25">
      <c r="A21" s="215" t="s">
        <v>932</v>
      </c>
      <c r="B21" s="64">
        <v>6.74</v>
      </c>
      <c r="C21" s="64">
        <v>12.19</v>
      </c>
      <c r="D21" s="64">
        <v>12.78</v>
      </c>
      <c r="E21" s="64">
        <v>3.01</v>
      </c>
      <c r="F21" s="64">
        <v>3.62</v>
      </c>
      <c r="G21" s="216" t="s">
        <v>43</v>
      </c>
      <c r="H21" s="216" t="s">
        <v>43</v>
      </c>
      <c r="I21" s="64">
        <v>8.51</v>
      </c>
      <c r="J21" s="64">
        <v>0.22</v>
      </c>
      <c r="K21" s="64">
        <v>233.15</v>
      </c>
      <c r="L21" s="64">
        <v>22.64</v>
      </c>
      <c r="M21" s="64">
        <v>93.11</v>
      </c>
      <c r="N21" s="64">
        <v>47</v>
      </c>
      <c r="O21" s="64">
        <v>0</v>
      </c>
      <c r="P21" s="64">
        <v>0.35</v>
      </c>
      <c r="Q21" s="64">
        <v>15.69</v>
      </c>
      <c r="R21" s="198"/>
      <c r="S21" s="198"/>
      <c r="T21" s="198"/>
      <c r="U21" s="198"/>
    </row>
    <row r="22" spans="1:21" s="12" customFormat="1" x14ac:dyDescent="0.25">
      <c r="A22" s="215" t="s">
        <v>933</v>
      </c>
      <c r="B22" s="64">
        <v>6.56</v>
      </c>
      <c r="C22" s="64">
        <v>10.33</v>
      </c>
      <c r="D22" s="64">
        <v>11.6</v>
      </c>
      <c r="E22" s="64">
        <v>2.9</v>
      </c>
      <c r="F22" s="64">
        <v>4.5999999999999996</v>
      </c>
      <c r="G22" s="216" t="s">
        <v>43</v>
      </c>
      <c r="H22" s="216" t="s">
        <v>43</v>
      </c>
      <c r="I22" s="64">
        <v>8.3699999999999992</v>
      </c>
      <c r="J22" s="64">
        <v>0.2</v>
      </c>
      <c r="K22" s="64">
        <v>210.94</v>
      </c>
      <c r="L22" s="64">
        <v>22.54</v>
      </c>
      <c r="M22" s="64">
        <v>94.51</v>
      </c>
      <c r="N22" s="64">
        <v>47.1</v>
      </c>
      <c r="O22" s="64">
        <v>0</v>
      </c>
      <c r="P22" s="64">
        <v>0.36</v>
      </c>
      <c r="Q22" s="64">
        <v>13.56</v>
      </c>
      <c r="R22" s="198"/>
      <c r="S22" s="198"/>
      <c r="T22" s="198"/>
      <c r="U22" s="198"/>
    </row>
    <row r="23" spans="1:21" s="12" customFormat="1" x14ac:dyDescent="0.25">
      <c r="A23" s="215" t="s">
        <v>934</v>
      </c>
      <c r="B23" s="64">
        <v>6.47</v>
      </c>
      <c r="C23" s="64">
        <v>10.86</v>
      </c>
      <c r="D23" s="64">
        <v>11.83</v>
      </c>
      <c r="E23" s="64">
        <v>2.8</v>
      </c>
      <c r="F23" s="64">
        <v>3.88</v>
      </c>
      <c r="G23" s="216" t="s">
        <v>43</v>
      </c>
      <c r="H23" s="216" t="s">
        <v>43</v>
      </c>
      <c r="I23" s="64">
        <v>7.98</v>
      </c>
      <c r="J23" s="64">
        <v>0.05</v>
      </c>
      <c r="K23" s="64">
        <v>252.6</v>
      </c>
      <c r="L23" s="64">
        <v>22.56</v>
      </c>
      <c r="M23" s="64">
        <v>94.51</v>
      </c>
      <c r="N23" s="64">
        <v>47.4</v>
      </c>
      <c r="O23" s="64">
        <v>0</v>
      </c>
      <c r="P23" s="64">
        <v>0.35</v>
      </c>
      <c r="Q23" s="64">
        <v>15.38</v>
      </c>
      <c r="R23" s="198"/>
      <c r="S23" s="198"/>
      <c r="T23" s="198"/>
      <c r="U23" s="198"/>
    </row>
    <row r="24" spans="1:21" s="12" customFormat="1" x14ac:dyDescent="0.25">
      <c r="A24" s="215" t="s">
        <v>935</v>
      </c>
      <c r="B24" s="64">
        <v>6.22</v>
      </c>
      <c r="C24" s="64">
        <v>11.97</v>
      </c>
      <c r="D24" s="64">
        <v>12.24</v>
      </c>
      <c r="E24" s="64">
        <v>1.8</v>
      </c>
      <c r="F24" s="64">
        <v>3.31</v>
      </c>
      <c r="G24" s="216" t="s">
        <v>43</v>
      </c>
      <c r="H24" s="216" t="s">
        <v>43</v>
      </c>
      <c r="I24" s="64">
        <v>7.88</v>
      </c>
      <c r="J24" s="64">
        <v>0.17</v>
      </c>
      <c r="K24" s="64">
        <v>219.03</v>
      </c>
      <c r="L24" s="64">
        <v>22.69</v>
      </c>
      <c r="M24" s="64">
        <v>93.11</v>
      </c>
      <c r="N24" s="64">
        <v>47</v>
      </c>
      <c r="O24" s="64">
        <v>0</v>
      </c>
      <c r="P24" s="64">
        <v>0.32</v>
      </c>
      <c r="Q24" s="64">
        <v>14.57</v>
      </c>
      <c r="R24" s="198"/>
      <c r="S24" s="198"/>
      <c r="T24" s="198"/>
      <c r="U24" s="198"/>
    </row>
    <row r="25" spans="1:21" s="12" customFormat="1" x14ac:dyDescent="0.25">
      <c r="A25" s="215" t="s">
        <v>936</v>
      </c>
      <c r="B25" s="64">
        <v>6.2</v>
      </c>
      <c r="C25" s="64">
        <v>10.49</v>
      </c>
      <c r="D25" s="64">
        <v>11.4</v>
      </c>
      <c r="E25" s="64">
        <v>2.5099999999999998</v>
      </c>
      <c r="F25" s="64">
        <v>4.63</v>
      </c>
      <c r="G25" s="216" t="s">
        <v>43</v>
      </c>
      <c r="H25" s="216" t="s">
        <v>43</v>
      </c>
      <c r="I25" s="64">
        <v>7.69</v>
      </c>
      <c r="J25" s="64">
        <v>0.11</v>
      </c>
      <c r="K25" s="64">
        <v>217.58</v>
      </c>
      <c r="L25" s="64">
        <v>22.79</v>
      </c>
      <c r="M25" s="64">
        <v>92.16</v>
      </c>
      <c r="N25" s="64">
        <v>47.1</v>
      </c>
      <c r="O25" s="64">
        <v>0</v>
      </c>
      <c r="P25" s="64">
        <v>0.32</v>
      </c>
      <c r="Q25" s="64">
        <v>13.08</v>
      </c>
      <c r="R25" s="198"/>
      <c r="S25" s="198"/>
      <c r="T25" s="198"/>
      <c r="U25" s="198"/>
    </row>
    <row r="26" spans="1:21" s="12" customFormat="1" x14ac:dyDescent="0.25">
      <c r="A26" s="215" t="s">
        <v>937</v>
      </c>
      <c r="B26" s="64">
        <v>5.98</v>
      </c>
      <c r="C26" s="64">
        <v>11.65</v>
      </c>
      <c r="D26" s="64">
        <v>11.87</v>
      </c>
      <c r="E26" s="64">
        <v>2.78</v>
      </c>
      <c r="F26" s="64">
        <v>2.85</v>
      </c>
      <c r="G26" s="216" t="s">
        <v>43</v>
      </c>
      <c r="H26" s="216" t="s">
        <v>43</v>
      </c>
      <c r="I26" s="64">
        <v>7.49</v>
      </c>
      <c r="J26" s="64">
        <v>0.28999999999999998</v>
      </c>
      <c r="K26" s="64">
        <v>216.91</v>
      </c>
      <c r="L26" s="64">
        <v>22.83</v>
      </c>
      <c r="M26" s="64">
        <v>91.79</v>
      </c>
      <c r="N26" s="64">
        <v>47.4</v>
      </c>
      <c r="O26" s="64">
        <v>0</v>
      </c>
      <c r="P26" s="64">
        <v>0.31</v>
      </c>
      <c r="Q26" s="64">
        <v>14.28</v>
      </c>
      <c r="R26" s="198"/>
      <c r="S26" s="198"/>
      <c r="T26" s="198"/>
      <c r="U26" s="198"/>
    </row>
    <row r="27" spans="1:21" s="12" customFormat="1" x14ac:dyDescent="0.25">
      <c r="A27" s="215" t="s">
        <v>938</v>
      </c>
      <c r="B27" s="64">
        <v>5.6</v>
      </c>
      <c r="C27" s="64">
        <v>11.93</v>
      </c>
      <c r="D27" s="64">
        <v>11.72</v>
      </c>
      <c r="E27" s="64">
        <v>3.02</v>
      </c>
      <c r="F27" s="64">
        <v>6.03</v>
      </c>
      <c r="G27" s="216" t="s">
        <v>43</v>
      </c>
      <c r="H27" s="216" t="s">
        <v>43</v>
      </c>
      <c r="I27" s="64">
        <v>7.33</v>
      </c>
      <c r="J27" s="64">
        <v>0.23</v>
      </c>
      <c r="K27" s="64">
        <v>234.49</v>
      </c>
      <c r="L27" s="64">
        <v>22.71</v>
      </c>
      <c r="M27" s="64">
        <v>92.6</v>
      </c>
      <c r="N27" s="64">
        <v>47.4</v>
      </c>
      <c r="O27" s="64">
        <v>0</v>
      </c>
      <c r="P27" s="64">
        <v>0.28000000000000003</v>
      </c>
      <c r="Q27" s="64">
        <v>13.57</v>
      </c>
      <c r="R27" s="198"/>
      <c r="S27" s="198"/>
      <c r="T27" s="198"/>
      <c r="U27" s="198"/>
    </row>
    <row r="28" spans="1:21" s="12" customFormat="1" x14ac:dyDescent="0.25">
      <c r="A28" s="215" t="s">
        <v>939</v>
      </c>
      <c r="B28" s="64">
        <v>5.74</v>
      </c>
      <c r="C28" s="64">
        <v>11.75</v>
      </c>
      <c r="D28" s="64">
        <v>11.74</v>
      </c>
      <c r="E28" s="64">
        <v>2.35</v>
      </c>
      <c r="F28" s="64">
        <v>6.17</v>
      </c>
      <c r="G28" s="216" t="s">
        <v>43</v>
      </c>
      <c r="H28" s="216" t="s">
        <v>43</v>
      </c>
      <c r="I28" s="64">
        <v>6.94</v>
      </c>
      <c r="J28" s="64">
        <v>0.4</v>
      </c>
      <c r="K28" s="64">
        <v>212.58</v>
      </c>
      <c r="L28" s="64">
        <v>22.61</v>
      </c>
      <c r="M28" s="64">
        <v>93.08</v>
      </c>
      <c r="N28" s="64">
        <v>47.4</v>
      </c>
      <c r="O28" s="64">
        <v>0</v>
      </c>
      <c r="P28" s="64">
        <v>0.28000000000000003</v>
      </c>
      <c r="Q28" s="64">
        <v>13.97</v>
      </c>
      <c r="R28" s="198"/>
      <c r="S28" s="198"/>
      <c r="T28" s="198"/>
      <c r="U28" s="198"/>
    </row>
    <row r="29" spans="1:21" s="12" customFormat="1" x14ac:dyDescent="0.25">
      <c r="A29" s="215" t="s">
        <v>940</v>
      </c>
      <c r="B29" s="64">
        <v>5.98</v>
      </c>
      <c r="C29" s="64">
        <v>11.31</v>
      </c>
      <c r="D29" s="64">
        <v>11.68</v>
      </c>
      <c r="E29" s="64">
        <v>2.2200000000000002</v>
      </c>
      <c r="F29" s="64">
        <v>5.66</v>
      </c>
      <c r="G29" s="216" t="s">
        <v>43</v>
      </c>
      <c r="H29" s="216" t="s">
        <v>43</v>
      </c>
      <c r="I29" s="64">
        <v>6.49</v>
      </c>
      <c r="J29" s="64">
        <v>0.22</v>
      </c>
      <c r="K29" s="64">
        <v>239.31</v>
      </c>
      <c r="L29" s="64">
        <v>22.53</v>
      </c>
      <c r="M29" s="64">
        <v>94.02</v>
      </c>
      <c r="N29" s="64">
        <v>47.7</v>
      </c>
      <c r="O29" s="64">
        <v>0</v>
      </c>
      <c r="P29" s="64">
        <v>0.28000000000000003</v>
      </c>
      <c r="Q29" s="64">
        <v>14.18</v>
      </c>
      <c r="R29" s="198"/>
      <c r="S29" s="198"/>
      <c r="T29" s="198"/>
      <c r="U29" s="198"/>
    </row>
    <row r="30" spans="1:21" s="12" customFormat="1" x14ac:dyDescent="0.25">
      <c r="A30" s="215" t="s">
        <v>941</v>
      </c>
      <c r="B30" s="64">
        <v>6.12</v>
      </c>
      <c r="C30" s="64">
        <v>11.41</v>
      </c>
      <c r="D30" s="64">
        <v>11.85</v>
      </c>
      <c r="E30" s="64">
        <v>2.68</v>
      </c>
      <c r="F30" s="64">
        <v>5.94</v>
      </c>
      <c r="G30" s="216" t="s">
        <v>43</v>
      </c>
      <c r="H30" s="216" t="s">
        <v>43</v>
      </c>
      <c r="I30" s="64">
        <v>6.46</v>
      </c>
      <c r="J30" s="64">
        <v>0.18</v>
      </c>
      <c r="K30" s="64">
        <v>226.88</v>
      </c>
      <c r="L30" s="64">
        <v>22.51</v>
      </c>
      <c r="M30" s="64">
        <v>94.16</v>
      </c>
      <c r="N30" s="64">
        <v>50</v>
      </c>
      <c r="O30" s="64">
        <v>0</v>
      </c>
      <c r="P30" s="64">
        <v>0.26</v>
      </c>
      <c r="Q30" s="64">
        <v>14.37</v>
      </c>
      <c r="R30" s="198"/>
      <c r="S30" s="198"/>
      <c r="T30" s="198"/>
      <c r="U30" s="198"/>
    </row>
    <row r="31" spans="1:21" s="12" customFormat="1" x14ac:dyDescent="0.25">
      <c r="A31" s="215" t="s">
        <v>942</v>
      </c>
      <c r="B31" s="64">
        <v>6.32</v>
      </c>
      <c r="C31" s="64">
        <v>11.1</v>
      </c>
      <c r="D31" s="64">
        <v>11.84</v>
      </c>
      <c r="E31" s="64">
        <v>2.5299999999999998</v>
      </c>
      <c r="F31" s="64">
        <v>5.08</v>
      </c>
      <c r="G31" s="216" t="s">
        <v>43</v>
      </c>
      <c r="H31" s="216" t="s">
        <v>43</v>
      </c>
      <c r="I31" s="64">
        <v>6.61</v>
      </c>
      <c r="J31" s="64">
        <v>7.0000000000000007E-2</v>
      </c>
      <c r="K31" s="64">
        <v>269.27</v>
      </c>
      <c r="L31" s="64">
        <v>22.48</v>
      </c>
      <c r="M31" s="64">
        <v>94.62</v>
      </c>
      <c r="N31" s="64">
        <v>56.3</v>
      </c>
      <c r="O31" s="64">
        <v>0</v>
      </c>
      <c r="P31" s="64">
        <v>0.27</v>
      </c>
      <c r="Q31" s="64">
        <v>14.88</v>
      </c>
      <c r="R31" s="198"/>
      <c r="S31" s="198"/>
      <c r="T31" s="198"/>
      <c r="U31" s="198"/>
    </row>
    <row r="32" spans="1:21" s="12" customFormat="1" x14ac:dyDescent="0.25">
      <c r="A32" s="215" t="s">
        <v>943</v>
      </c>
      <c r="B32" s="64">
        <v>6.47</v>
      </c>
      <c r="C32" s="64">
        <v>11.82</v>
      </c>
      <c r="D32" s="64">
        <v>12.36</v>
      </c>
      <c r="E32" s="64">
        <v>2.46</v>
      </c>
      <c r="F32" s="64">
        <v>2.4500000000000002</v>
      </c>
      <c r="G32" s="216" t="s">
        <v>43</v>
      </c>
      <c r="H32" s="216" t="s">
        <v>43</v>
      </c>
      <c r="I32" s="64">
        <v>6.78</v>
      </c>
      <c r="J32" s="64">
        <v>0.15</v>
      </c>
      <c r="K32" s="64">
        <v>235.45</v>
      </c>
      <c r="L32" s="64">
        <v>22.45</v>
      </c>
      <c r="M32" s="64">
        <v>95.22</v>
      </c>
      <c r="N32" s="64">
        <v>66.099999999999994</v>
      </c>
      <c r="O32" s="64">
        <v>0</v>
      </c>
      <c r="P32" s="64">
        <v>0.27</v>
      </c>
      <c r="Q32" s="64">
        <v>15.29</v>
      </c>
      <c r="R32" s="198"/>
      <c r="S32" s="198"/>
      <c r="T32" s="198"/>
      <c r="U32" s="198"/>
    </row>
    <row r="33" spans="1:21" s="12" customFormat="1" x14ac:dyDescent="0.25">
      <c r="A33" s="215" t="s">
        <v>944</v>
      </c>
      <c r="B33" s="64">
        <v>6.31</v>
      </c>
      <c r="C33" s="64">
        <v>11.38</v>
      </c>
      <c r="D33" s="64">
        <v>11.98</v>
      </c>
      <c r="E33" s="64">
        <v>2.84</v>
      </c>
      <c r="F33" s="64">
        <v>3.85</v>
      </c>
      <c r="G33" s="216" t="s">
        <v>43</v>
      </c>
      <c r="H33" s="216" t="s">
        <v>43</v>
      </c>
      <c r="I33" s="64">
        <v>7.01</v>
      </c>
      <c r="J33" s="64">
        <v>0.08</v>
      </c>
      <c r="K33" s="64">
        <v>266.79000000000002</v>
      </c>
      <c r="L33" s="64">
        <v>22.44</v>
      </c>
      <c r="M33" s="64">
        <v>95.55</v>
      </c>
      <c r="N33" s="64">
        <v>78.599999999999994</v>
      </c>
      <c r="O33" s="64">
        <v>0</v>
      </c>
      <c r="P33" s="64">
        <v>0.25</v>
      </c>
      <c r="Q33" s="64">
        <v>12.41</v>
      </c>
      <c r="R33" s="198"/>
      <c r="S33" s="198"/>
      <c r="T33" s="198"/>
      <c r="U33" s="198"/>
    </row>
    <row r="34" spans="1:21" s="12" customFormat="1" x14ac:dyDescent="0.25">
      <c r="A34" s="215" t="s">
        <v>945</v>
      </c>
      <c r="B34" s="64">
        <v>6.4</v>
      </c>
      <c r="C34" s="64">
        <v>10.6</v>
      </c>
      <c r="D34" s="64">
        <v>11.62</v>
      </c>
      <c r="E34" s="64">
        <v>2.91</v>
      </c>
      <c r="F34" s="64">
        <v>4.63</v>
      </c>
      <c r="G34" s="216" t="s">
        <v>43</v>
      </c>
      <c r="H34" s="216" t="s">
        <v>43</v>
      </c>
      <c r="I34" s="64">
        <v>6.89</v>
      </c>
      <c r="J34" s="64">
        <v>0.1</v>
      </c>
      <c r="K34" s="64">
        <v>352.56</v>
      </c>
      <c r="L34" s="64">
        <v>22.32</v>
      </c>
      <c r="M34" s="64">
        <v>95.71</v>
      </c>
      <c r="N34" s="64">
        <v>80.8</v>
      </c>
      <c r="O34" s="64">
        <v>0</v>
      </c>
      <c r="P34" s="64">
        <v>0.27</v>
      </c>
      <c r="Q34" s="64">
        <v>12.33</v>
      </c>
      <c r="R34" s="198"/>
      <c r="S34" s="198"/>
      <c r="T34" s="198"/>
      <c r="U34" s="198"/>
    </row>
    <row r="35" spans="1:21" s="12" customFormat="1" x14ac:dyDescent="0.25">
      <c r="A35" s="215" t="s">
        <v>946</v>
      </c>
      <c r="B35" s="64">
        <v>6.23</v>
      </c>
      <c r="C35" s="64">
        <v>12.19</v>
      </c>
      <c r="D35" s="64">
        <v>12.37</v>
      </c>
      <c r="E35" s="64">
        <v>2.86</v>
      </c>
      <c r="F35" s="64">
        <v>1.45</v>
      </c>
      <c r="G35" s="216" t="s">
        <v>43</v>
      </c>
      <c r="H35" s="216" t="s">
        <v>43</v>
      </c>
      <c r="I35" s="64">
        <v>6.76</v>
      </c>
      <c r="J35" s="64">
        <v>0.05</v>
      </c>
      <c r="K35" s="64">
        <v>316.35000000000002</v>
      </c>
      <c r="L35" s="64">
        <v>22.06</v>
      </c>
      <c r="M35" s="64">
        <v>97.16</v>
      </c>
      <c r="N35" s="64">
        <v>94</v>
      </c>
      <c r="O35" s="64">
        <v>0</v>
      </c>
      <c r="P35" s="64">
        <v>0.24</v>
      </c>
      <c r="Q35" s="64">
        <v>12.64</v>
      </c>
      <c r="R35" s="198"/>
      <c r="S35" s="198"/>
      <c r="T35" s="198"/>
      <c r="U35" s="198"/>
    </row>
    <row r="36" spans="1:21" s="12" customFormat="1" x14ac:dyDescent="0.25">
      <c r="A36" s="215" t="s">
        <v>947</v>
      </c>
      <c r="B36" s="64">
        <v>6.15</v>
      </c>
      <c r="C36" s="64">
        <v>10.97</v>
      </c>
      <c r="D36" s="64">
        <v>11.63</v>
      </c>
      <c r="E36" s="64">
        <v>2.5299999999999998</v>
      </c>
      <c r="F36" s="64">
        <v>3.95</v>
      </c>
      <c r="G36" s="216" t="s">
        <v>43</v>
      </c>
      <c r="H36" s="216" t="s">
        <v>43</v>
      </c>
      <c r="I36" s="64">
        <v>6.6</v>
      </c>
      <c r="J36" s="64">
        <v>0.02</v>
      </c>
      <c r="K36" s="64">
        <v>16.940000000000001</v>
      </c>
      <c r="L36" s="64">
        <v>22.1</v>
      </c>
      <c r="M36" s="64">
        <v>97.17</v>
      </c>
      <c r="N36" s="64">
        <v>125.8</v>
      </c>
      <c r="O36" s="64">
        <v>0</v>
      </c>
      <c r="P36" s="64">
        <v>0.24</v>
      </c>
      <c r="Q36" s="64">
        <v>9.98</v>
      </c>
      <c r="R36" s="198"/>
      <c r="S36" s="198"/>
      <c r="T36" s="198"/>
      <c r="U36" s="198"/>
    </row>
    <row r="37" spans="1:21" s="12" customFormat="1" x14ac:dyDescent="0.25">
      <c r="A37" s="215" t="s">
        <v>948</v>
      </c>
      <c r="B37" s="64">
        <v>6.23</v>
      </c>
      <c r="C37" s="64">
        <v>11.13</v>
      </c>
      <c r="D37" s="64">
        <v>11.78</v>
      </c>
      <c r="E37" s="64">
        <v>2.5499999999999998</v>
      </c>
      <c r="F37" s="64">
        <v>3.7</v>
      </c>
      <c r="G37" s="216" t="s">
        <v>43</v>
      </c>
      <c r="H37" s="216" t="s">
        <v>43</v>
      </c>
      <c r="I37" s="64">
        <v>6.32</v>
      </c>
      <c r="J37" s="64">
        <v>0.08</v>
      </c>
      <c r="K37" s="64">
        <v>259.95</v>
      </c>
      <c r="L37" s="64">
        <v>22.03</v>
      </c>
      <c r="M37" s="64">
        <v>97.18</v>
      </c>
      <c r="N37" s="64">
        <v>123</v>
      </c>
      <c r="O37" s="64">
        <v>0</v>
      </c>
      <c r="P37" s="64">
        <v>0.24</v>
      </c>
      <c r="Q37" s="64">
        <v>11.37</v>
      </c>
      <c r="R37" s="198"/>
      <c r="S37" s="198"/>
      <c r="T37" s="198"/>
      <c r="U37" s="198"/>
    </row>
    <row r="38" spans="1:21" s="12" customFormat="1" x14ac:dyDescent="0.25">
      <c r="A38" s="215" t="s">
        <v>949</v>
      </c>
      <c r="B38" s="64">
        <v>6.19</v>
      </c>
      <c r="C38" s="64">
        <v>11.88</v>
      </c>
      <c r="D38" s="64">
        <v>12.17</v>
      </c>
      <c r="E38" s="64">
        <v>2.76</v>
      </c>
      <c r="F38" s="64">
        <v>3.05</v>
      </c>
      <c r="G38" s="216" t="s">
        <v>43</v>
      </c>
      <c r="H38" s="216" t="s">
        <v>43</v>
      </c>
      <c r="I38" s="64">
        <v>6.17</v>
      </c>
      <c r="J38" s="64">
        <v>0.1</v>
      </c>
      <c r="K38" s="64">
        <v>349.04</v>
      </c>
      <c r="L38" s="64">
        <v>21.87</v>
      </c>
      <c r="M38" s="64">
        <v>97.18</v>
      </c>
      <c r="N38" s="64">
        <v>110.8</v>
      </c>
      <c r="O38" s="64">
        <v>0.2</v>
      </c>
      <c r="P38" s="64">
        <v>0.23</v>
      </c>
      <c r="Q38" s="64">
        <v>10.210000000000001</v>
      </c>
      <c r="R38" s="198"/>
      <c r="S38" s="198"/>
      <c r="T38" s="198"/>
      <c r="U38" s="198"/>
    </row>
    <row r="39" spans="1:21" s="12" customFormat="1" x14ac:dyDescent="0.25">
      <c r="A39" s="215" t="s">
        <v>950</v>
      </c>
      <c r="B39" s="64">
        <v>6.17</v>
      </c>
      <c r="C39" s="64">
        <v>11.18</v>
      </c>
      <c r="D39" s="64">
        <v>11.77</v>
      </c>
      <c r="E39" s="64">
        <v>2.13</v>
      </c>
      <c r="F39" s="64">
        <v>3.9</v>
      </c>
      <c r="G39" s="216" t="s">
        <v>43</v>
      </c>
      <c r="H39" s="216" t="s">
        <v>43</v>
      </c>
      <c r="I39" s="64">
        <v>6</v>
      </c>
      <c r="J39" s="64">
        <v>0.13</v>
      </c>
      <c r="K39" s="64">
        <v>357.37</v>
      </c>
      <c r="L39" s="64">
        <v>21.68</v>
      </c>
      <c r="M39" s="64">
        <v>97.19</v>
      </c>
      <c r="N39" s="64">
        <v>122.4</v>
      </c>
      <c r="O39" s="64">
        <v>0.6</v>
      </c>
      <c r="P39" s="64">
        <v>0.23</v>
      </c>
      <c r="Q39" s="64">
        <v>9.4700000000000006</v>
      </c>
      <c r="R39" s="198"/>
      <c r="S39" s="198"/>
      <c r="T39" s="198"/>
      <c r="U39" s="198"/>
    </row>
    <row r="40" spans="1:21" s="12" customFormat="1" x14ac:dyDescent="0.25">
      <c r="A40" s="215" t="s">
        <v>951</v>
      </c>
      <c r="B40" s="64">
        <v>6.14</v>
      </c>
      <c r="C40" s="64">
        <v>11.6</v>
      </c>
      <c r="D40" s="64">
        <v>11.97</v>
      </c>
      <c r="E40" s="64">
        <v>2.16</v>
      </c>
      <c r="F40" s="64">
        <v>4.29</v>
      </c>
      <c r="G40" s="216" t="s">
        <v>43</v>
      </c>
      <c r="H40" s="216" t="s">
        <v>43</v>
      </c>
      <c r="I40" s="64">
        <v>5.84</v>
      </c>
      <c r="J40" s="64">
        <v>0.12</v>
      </c>
      <c r="K40" s="64">
        <v>0.64</v>
      </c>
      <c r="L40" s="64">
        <v>21.28</v>
      </c>
      <c r="M40" s="64">
        <v>97.2</v>
      </c>
      <c r="N40" s="64">
        <v>142.1</v>
      </c>
      <c r="O40" s="64">
        <v>1</v>
      </c>
      <c r="P40" s="64">
        <v>0.23</v>
      </c>
      <c r="Q40" s="64">
        <v>9.4600000000000009</v>
      </c>
      <c r="R40" s="198"/>
      <c r="S40" s="198"/>
      <c r="T40" s="198"/>
      <c r="U40" s="198"/>
    </row>
    <row r="41" spans="1:21" s="12" customFormat="1" x14ac:dyDescent="0.25">
      <c r="A41" s="215" t="s">
        <v>952</v>
      </c>
      <c r="B41" s="64">
        <v>6.08</v>
      </c>
      <c r="C41" s="64">
        <v>12.03</v>
      </c>
      <c r="D41" s="64">
        <v>12.16</v>
      </c>
      <c r="E41" s="64">
        <v>3.13</v>
      </c>
      <c r="F41" s="64">
        <v>4.96</v>
      </c>
      <c r="G41" s="216" t="s">
        <v>43</v>
      </c>
      <c r="H41" s="216" t="s">
        <v>43</v>
      </c>
      <c r="I41" s="64">
        <v>5.62</v>
      </c>
      <c r="J41" s="64">
        <v>0.3</v>
      </c>
      <c r="K41" s="64">
        <v>35.53</v>
      </c>
      <c r="L41" s="64">
        <v>21</v>
      </c>
      <c r="M41" s="64">
        <v>97.2</v>
      </c>
      <c r="N41" s="64">
        <v>155.4</v>
      </c>
      <c r="O41" s="64">
        <v>1.4</v>
      </c>
      <c r="P41" s="64">
        <v>0.23</v>
      </c>
      <c r="Q41" s="64">
        <v>9.01</v>
      </c>
      <c r="R41" s="198"/>
      <c r="S41" s="198"/>
      <c r="T41" s="198"/>
      <c r="U41" s="198"/>
    </row>
    <row r="42" spans="1:21" s="12" customFormat="1" x14ac:dyDescent="0.25">
      <c r="A42" s="215" t="s">
        <v>953</v>
      </c>
      <c r="B42" s="64">
        <v>5.88</v>
      </c>
      <c r="C42" s="64">
        <v>12.82</v>
      </c>
      <c r="D42" s="64">
        <v>12.43</v>
      </c>
      <c r="E42" s="64">
        <v>3.12</v>
      </c>
      <c r="F42" s="64">
        <v>4.8</v>
      </c>
      <c r="G42" s="216" t="s">
        <v>43</v>
      </c>
      <c r="H42" s="216" t="s">
        <v>43</v>
      </c>
      <c r="I42" s="64">
        <v>5.29</v>
      </c>
      <c r="J42" s="64">
        <v>0.32</v>
      </c>
      <c r="K42" s="64">
        <v>33.799999999999997</v>
      </c>
      <c r="L42" s="64">
        <v>20.99</v>
      </c>
      <c r="M42" s="64">
        <v>97.2</v>
      </c>
      <c r="N42" s="64">
        <v>217.3</v>
      </c>
      <c r="O42" s="64">
        <v>2.6</v>
      </c>
      <c r="P42" s="64">
        <v>0.23</v>
      </c>
      <c r="Q42" s="64">
        <v>8.32</v>
      </c>
      <c r="R42" s="198"/>
      <c r="S42" s="198"/>
      <c r="T42" s="198"/>
      <c r="U42" s="198"/>
    </row>
    <row r="43" spans="1:21" s="12" customFormat="1" x14ac:dyDescent="0.25">
      <c r="A43" s="215" t="s">
        <v>954</v>
      </c>
      <c r="B43" s="64">
        <v>6.11</v>
      </c>
      <c r="C43" s="64">
        <v>12.55</v>
      </c>
      <c r="D43" s="64">
        <v>12.48</v>
      </c>
      <c r="E43" s="64">
        <v>3.16</v>
      </c>
      <c r="F43" s="64">
        <v>4.2699999999999996</v>
      </c>
      <c r="G43" s="216" t="s">
        <v>43</v>
      </c>
      <c r="H43" s="216" t="s">
        <v>43</v>
      </c>
      <c r="I43" s="64">
        <v>4.8600000000000003</v>
      </c>
      <c r="J43" s="64">
        <v>0.22</v>
      </c>
      <c r="K43" s="64">
        <v>40.020000000000003</v>
      </c>
      <c r="L43" s="64">
        <v>21.36</v>
      </c>
      <c r="M43" s="64">
        <v>97.2</v>
      </c>
      <c r="N43" s="64">
        <v>193.4</v>
      </c>
      <c r="O43" s="64">
        <v>1.2</v>
      </c>
      <c r="P43" s="64">
        <v>0.25</v>
      </c>
      <c r="Q43" s="64">
        <v>8.14</v>
      </c>
      <c r="R43" s="198"/>
      <c r="S43" s="198"/>
      <c r="T43" s="198"/>
      <c r="U43" s="198"/>
    </row>
    <row r="44" spans="1:21" s="12" customFormat="1" x14ac:dyDescent="0.25">
      <c r="A44" s="215" t="s">
        <v>955</v>
      </c>
      <c r="B44" s="64">
        <v>6.48</v>
      </c>
      <c r="C44" s="64">
        <v>13.74</v>
      </c>
      <c r="D44" s="64">
        <v>13.42</v>
      </c>
      <c r="E44" s="64">
        <v>3.3</v>
      </c>
      <c r="F44" s="64">
        <v>2.25</v>
      </c>
      <c r="G44" s="216" t="s">
        <v>43</v>
      </c>
      <c r="H44" s="216" t="s">
        <v>43</v>
      </c>
      <c r="I44" s="64">
        <v>4.49</v>
      </c>
      <c r="J44" s="64">
        <v>0.11</v>
      </c>
      <c r="K44" s="64">
        <v>39.96</v>
      </c>
      <c r="L44" s="64">
        <v>21.67</v>
      </c>
      <c r="M44" s="64">
        <v>97.2</v>
      </c>
      <c r="N44" s="64">
        <v>188.1</v>
      </c>
      <c r="O44" s="64">
        <v>0.8</v>
      </c>
      <c r="P44" s="64">
        <v>0.24</v>
      </c>
      <c r="Q44" s="64">
        <v>8.3699999999999992</v>
      </c>
      <c r="R44" s="198"/>
      <c r="S44" s="198"/>
      <c r="T44" s="198"/>
      <c r="U44" s="198"/>
    </row>
    <row r="45" spans="1:21" s="12" customFormat="1" x14ac:dyDescent="0.25">
      <c r="A45" s="215" t="s">
        <v>956</v>
      </c>
      <c r="B45" s="64">
        <v>6.99</v>
      </c>
      <c r="C45" s="64">
        <v>12.48</v>
      </c>
      <c r="D45" s="64">
        <v>13.14</v>
      </c>
      <c r="E45" s="64">
        <v>2.96</v>
      </c>
      <c r="F45" s="64">
        <v>4.01</v>
      </c>
      <c r="G45" s="216" t="s">
        <v>43</v>
      </c>
      <c r="H45" s="216" t="s">
        <v>43</v>
      </c>
      <c r="I45" s="64">
        <v>4.34</v>
      </c>
      <c r="J45" s="64">
        <v>7.0000000000000007E-2</v>
      </c>
      <c r="K45" s="64">
        <v>34.18</v>
      </c>
      <c r="L45" s="64">
        <v>21.75</v>
      </c>
      <c r="M45" s="64">
        <v>97.2</v>
      </c>
      <c r="N45" s="64">
        <v>232.5</v>
      </c>
      <c r="O45" s="64">
        <v>0.2</v>
      </c>
      <c r="P45" s="64">
        <v>0.26</v>
      </c>
      <c r="Q45" s="64">
        <v>5.98</v>
      </c>
      <c r="R45" s="198"/>
      <c r="S45" s="198"/>
      <c r="T45" s="198"/>
      <c r="U45" s="198"/>
    </row>
    <row r="46" spans="1:21" s="12" customFormat="1" x14ac:dyDescent="0.25">
      <c r="A46" s="215" t="s">
        <v>957</v>
      </c>
      <c r="B46" s="64">
        <v>7.62</v>
      </c>
      <c r="C46" s="64">
        <v>11.8</v>
      </c>
      <c r="D46" s="64">
        <v>13.26</v>
      </c>
      <c r="E46" s="64">
        <v>3.32</v>
      </c>
      <c r="F46" s="64">
        <v>3.86</v>
      </c>
      <c r="G46" s="216" t="s">
        <v>43</v>
      </c>
      <c r="H46" s="216" t="s">
        <v>43</v>
      </c>
      <c r="I46" s="64">
        <v>4.32</v>
      </c>
      <c r="J46" s="64">
        <v>0.19</v>
      </c>
      <c r="K46" s="64">
        <v>190.77</v>
      </c>
      <c r="L46" s="64">
        <v>22.11</v>
      </c>
      <c r="M46" s="64">
        <v>97.2</v>
      </c>
      <c r="N46" s="64">
        <v>236.7</v>
      </c>
      <c r="O46" s="64">
        <v>0</v>
      </c>
      <c r="P46" s="64">
        <v>0.27</v>
      </c>
      <c r="Q46" s="64">
        <v>7.39</v>
      </c>
      <c r="R46" s="198"/>
      <c r="S46" s="198"/>
      <c r="T46" s="198"/>
      <c r="U46" s="198"/>
    </row>
    <row r="47" spans="1:21" s="12" customFormat="1" x14ac:dyDescent="0.25">
      <c r="A47" s="215" t="s">
        <v>958</v>
      </c>
      <c r="B47" s="64">
        <v>7.75</v>
      </c>
      <c r="C47" s="64">
        <v>12.62</v>
      </c>
      <c r="D47" s="64">
        <v>13.83</v>
      </c>
      <c r="E47" s="64">
        <v>3.2</v>
      </c>
      <c r="F47" s="64">
        <v>2.04</v>
      </c>
      <c r="G47" s="216" t="s">
        <v>43</v>
      </c>
      <c r="H47" s="216" t="s">
        <v>43</v>
      </c>
      <c r="I47" s="64">
        <v>4.3899999999999997</v>
      </c>
      <c r="J47" s="64">
        <v>0.21</v>
      </c>
      <c r="K47" s="64">
        <v>183.36</v>
      </c>
      <c r="L47" s="64">
        <v>22.42</v>
      </c>
      <c r="M47" s="64">
        <v>97.2</v>
      </c>
      <c r="N47" s="64">
        <v>200.5</v>
      </c>
      <c r="O47" s="64">
        <v>0.2</v>
      </c>
      <c r="P47" s="64">
        <v>0.26</v>
      </c>
      <c r="Q47" s="64">
        <v>7.73</v>
      </c>
      <c r="R47" s="198"/>
      <c r="S47" s="198"/>
      <c r="T47" s="198"/>
      <c r="U47" s="198"/>
    </row>
    <row r="48" spans="1:21" s="12" customFormat="1" x14ac:dyDescent="0.25">
      <c r="A48" s="215" t="s">
        <v>959</v>
      </c>
      <c r="B48" s="64">
        <v>7.94</v>
      </c>
      <c r="C48" s="64">
        <v>11.13</v>
      </c>
      <c r="D48" s="64">
        <v>13.16</v>
      </c>
      <c r="E48" s="64">
        <v>3.43</v>
      </c>
      <c r="F48" s="64">
        <v>3.89</v>
      </c>
      <c r="G48" s="216" t="s">
        <v>43</v>
      </c>
      <c r="H48" s="216" t="s">
        <v>43</v>
      </c>
      <c r="I48" s="64">
        <v>4.51</v>
      </c>
      <c r="J48" s="64">
        <v>0.15</v>
      </c>
      <c r="K48" s="64">
        <v>198.91</v>
      </c>
      <c r="L48" s="64">
        <v>22.71</v>
      </c>
      <c r="M48" s="64">
        <v>97.19</v>
      </c>
      <c r="N48" s="64">
        <v>144.5</v>
      </c>
      <c r="O48" s="64">
        <v>0</v>
      </c>
      <c r="P48" s="64">
        <v>0.28000000000000003</v>
      </c>
      <c r="Q48" s="64">
        <v>5.96</v>
      </c>
      <c r="R48" s="198"/>
      <c r="S48" s="198"/>
      <c r="T48" s="198"/>
      <c r="U48" s="198"/>
    </row>
    <row r="49" spans="1:21" s="12" customFormat="1" x14ac:dyDescent="0.25">
      <c r="A49" s="215" t="s">
        <v>960</v>
      </c>
      <c r="B49" s="64">
        <v>8.16</v>
      </c>
      <c r="C49" s="64">
        <v>11.16</v>
      </c>
      <c r="D49" s="64">
        <v>13.35</v>
      </c>
      <c r="E49" s="64">
        <v>3.07</v>
      </c>
      <c r="F49" s="64">
        <v>4.13</v>
      </c>
      <c r="G49" s="216" t="s">
        <v>43</v>
      </c>
      <c r="H49" s="216" t="s">
        <v>43</v>
      </c>
      <c r="I49" s="64">
        <v>4.58</v>
      </c>
      <c r="J49" s="64">
        <v>0.26</v>
      </c>
      <c r="K49" s="64">
        <v>200.28</v>
      </c>
      <c r="L49" s="64">
        <v>22.67</v>
      </c>
      <c r="M49" s="64">
        <v>97.18</v>
      </c>
      <c r="N49" s="64">
        <v>131.4</v>
      </c>
      <c r="O49" s="64">
        <v>0</v>
      </c>
      <c r="P49" s="64">
        <v>0.28000000000000003</v>
      </c>
      <c r="Q49" s="64">
        <v>8.02</v>
      </c>
      <c r="R49" s="198"/>
      <c r="S49" s="198"/>
      <c r="T49" s="198"/>
      <c r="U49" s="198"/>
    </row>
    <row r="50" spans="1:21" s="12" customFormat="1" x14ac:dyDescent="0.25">
      <c r="A50" s="215" t="s">
        <v>961</v>
      </c>
      <c r="B50" s="64">
        <v>8.1</v>
      </c>
      <c r="C50" s="64">
        <v>13.03</v>
      </c>
      <c r="D50" s="64">
        <v>14.34</v>
      </c>
      <c r="E50" s="64">
        <v>3.03</v>
      </c>
      <c r="F50" s="64">
        <v>3.98</v>
      </c>
      <c r="G50" s="216" t="s">
        <v>43</v>
      </c>
      <c r="H50" s="216" t="s">
        <v>43</v>
      </c>
      <c r="I50" s="64">
        <v>4.7300000000000004</v>
      </c>
      <c r="J50" s="64">
        <v>0.15</v>
      </c>
      <c r="K50" s="64">
        <v>179.6</v>
      </c>
      <c r="L50" s="64">
        <v>22.78</v>
      </c>
      <c r="M50" s="64">
        <v>97.18</v>
      </c>
      <c r="N50" s="64">
        <v>138</v>
      </c>
      <c r="O50" s="64">
        <v>0</v>
      </c>
      <c r="P50" s="64">
        <v>0.28000000000000003</v>
      </c>
      <c r="Q50" s="64">
        <v>9.2100000000000009</v>
      </c>
      <c r="R50" s="198"/>
      <c r="S50" s="198"/>
      <c r="T50" s="198"/>
      <c r="U50" s="198"/>
    </row>
    <row r="51" spans="1:21" s="12" customFormat="1" x14ac:dyDescent="0.25">
      <c r="A51" s="215" t="s">
        <v>962</v>
      </c>
      <c r="B51" s="64">
        <v>9.0399999999999991</v>
      </c>
      <c r="C51" s="64">
        <v>16.2</v>
      </c>
      <c r="D51" s="64">
        <v>16.84</v>
      </c>
      <c r="E51" s="64">
        <v>3.07</v>
      </c>
      <c r="F51" s="64">
        <v>6.4</v>
      </c>
      <c r="G51" s="216" t="s">
        <v>43</v>
      </c>
      <c r="H51" s="216" t="s">
        <v>43</v>
      </c>
      <c r="I51" s="64">
        <v>4.83</v>
      </c>
      <c r="J51" s="64">
        <v>0.4</v>
      </c>
      <c r="K51" s="64">
        <v>188.03</v>
      </c>
      <c r="L51" s="64">
        <v>22.79</v>
      </c>
      <c r="M51" s="64">
        <v>97.13</v>
      </c>
      <c r="N51" s="64">
        <v>108.5</v>
      </c>
      <c r="O51" s="64">
        <v>0</v>
      </c>
      <c r="P51" s="64">
        <v>0.31</v>
      </c>
      <c r="Q51" s="64">
        <v>9.7200000000000006</v>
      </c>
      <c r="R51" s="198"/>
      <c r="S51" s="198"/>
      <c r="T51" s="198"/>
      <c r="U51" s="198"/>
    </row>
    <row r="52" spans="1:21" s="12" customFormat="1" x14ac:dyDescent="0.25">
      <c r="A52" s="215" t="s">
        <v>963</v>
      </c>
      <c r="B52" s="64">
        <v>10.67</v>
      </c>
      <c r="C52" s="64">
        <v>26.05</v>
      </c>
      <c r="D52" s="64">
        <v>23.58</v>
      </c>
      <c r="E52" s="64">
        <v>3.03</v>
      </c>
      <c r="F52" s="64">
        <v>10.27</v>
      </c>
      <c r="G52" s="216" t="s">
        <v>43</v>
      </c>
      <c r="H52" s="216" t="s">
        <v>43</v>
      </c>
      <c r="I52" s="64">
        <v>4.42</v>
      </c>
      <c r="J52" s="64">
        <v>0.73</v>
      </c>
      <c r="K52" s="64">
        <v>183.34</v>
      </c>
      <c r="L52" s="64">
        <v>22.77</v>
      </c>
      <c r="M52" s="64">
        <v>96.9</v>
      </c>
      <c r="N52" s="64">
        <v>90.5</v>
      </c>
      <c r="O52" s="64">
        <v>0</v>
      </c>
      <c r="P52" s="64">
        <v>0.31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15" t="s">
        <v>964</v>
      </c>
      <c r="B53" s="64">
        <v>13.33</v>
      </c>
      <c r="C53" s="64">
        <v>29.2</v>
      </c>
      <c r="D53" s="64">
        <v>27.46</v>
      </c>
      <c r="E53" s="64">
        <v>3.02</v>
      </c>
      <c r="F53" s="64">
        <v>9.61</v>
      </c>
      <c r="G53" s="216" t="s">
        <v>43</v>
      </c>
      <c r="H53" s="216" t="s">
        <v>43</v>
      </c>
      <c r="I53" s="64">
        <v>2.78</v>
      </c>
      <c r="J53" s="64">
        <v>0.31</v>
      </c>
      <c r="K53" s="64">
        <v>193.72</v>
      </c>
      <c r="L53" s="64">
        <v>22.8</v>
      </c>
      <c r="M53" s="64">
        <v>97</v>
      </c>
      <c r="N53" s="64">
        <v>95.6</v>
      </c>
      <c r="O53" s="64">
        <v>0</v>
      </c>
      <c r="P53" s="64">
        <v>0.31</v>
      </c>
      <c r="Q53" s="64">
        <v>9.5500000000000007</v>
      </c>
      <c r="R53" s="198"/>
      <c r="S53" s="198"/>
      <c r="T53" s="198"/>
      <c r="U53" s="198"/>
    </row>
    <row r="54" spans="1:21" s="12" customFormat="1" x14ac:dyDescent="0.25">
      <c r="A54" s="215" t="s">
        <v>965</v>
      </c>
      <c r="B54" s="64">
        <v>8.44</v>
      </c>
      <c r="C54" s="64">
        <v>24.74</v>
      </c>
      <c r="D54" s="64">
        <v>21.07</v>
      </c>
      <c r="E54" s="64">
        <v>2.36</v>
      </c>
      <c r="F54" s="64">
        <v>8.8800000000000008</v>
      </c>
      <c r="G54" s="216" t="s">
        <v>43</v>
      </c>
      <c r="H54" s="216" t="s">
        <v>43</v>
      </c>
      <c r="I54" s="64">
        <v>1.54</v>
      </c>
      <c r="J54" s="64">
        <v>0.2</v>
      </c>
      <c r="K54" s="64">
        <v>227.41</v>
      </c>
      <c r="L54" s="64">
        <v>22.82</v>
      </c>
      <c r="M54" s="64">
        <v>97.03</v>
      </c>
      <c r="N54" s="64">
        <v>86.2</v>
      </c>
      <c r="O54" s="64">
        <v>0</v>
      </c>
      <c r="P54" s="64">
        <v>0.28000000000000003</v>
      </c>
      <c r="Q54" s="64">
        <v>7.01</v>
      </c>
      <c r="R54" s="198"/>
      <c r="S54" s="198"/>
      <c r="T54" s="198"/>
      <c r="U54" s="198"/>
    </row>
    <row r="55" spans="1:21" s="12" customFormat="1" x14ac:dyDescent="0.25">
      <c r="A55" s="215" t="s">
        <v>966</v>
      </c>
      <c r="B55" s="64">
        <v>7.61</v>
      </c>
      <c r="C55" s="64">
        <v>20.260000000000002</v>
      </c>
      <c r="D55" s="64">
        <v>17.93</v>
      </c>
      <c r="E55" s="64">
        <v>2.6</v>
      </c>
      <c r="F55" s="64">
        <v>4.24</v>
      </c>
      <c r="G55" s="216" t="s">
        <v>43</v>
      </c>
      <c r="H55" s="216" t="s">
        <v>43</v>
      </c>
      <c r="I55" s="64">
        <v>6.34</v>
      </c>
      <c r="J55" s="64">
        <v>0.08</v>
      </c>
      <c r="K55" s="64">
        <v>227.75</v>
      </c>
      <c r="L55" s="64">
        <v>22.7</v>
      </c>
      <c r="M55" s="64">
        <v>97.01</v>
      </c>
      <c r="N55" s="64">
        <v>96.6</v>
      </c>
      <c r="O55" s="64">
        <v>0</v>
      </c>
      <c r="P55" s="64">
        <v>0.27</v>
      </c>
      <c r="Q55" s="64">
        <v>8.2200000000000006</v>
      </c>
      <c r="R55" s="198"/>
      <c r="S55" s="198"/>
      <c r="T55" s="198"/>
      <c r="U55" s="198"/>
    </row>
    <row r="56" spans="1:21" s="12" customFormat="1" x14ac:dyDescent="0.25">
      <c r="A56" s="215" t="s">
        <v>967</v>
      </c>
      <c r="B56" s="64">
        <v>7.81</v>
      </c>
      <c r="C56" s="64">
        <v>17.440000000000001</v>
      </c>
      <c r="D56" s="64">
        <v>16.54</v>
      </c>
      <c r="E56" s="64">
        <v>1.48</v>
      </c>
      <c r="F56" s="64">
        <v>4.43</v>
      </c>
      <c r="G56" s="216" t="s">
        <v>43</v>
      </c>
      <c r="H56" s="216" t="s">
        <v>43</v>
      </c>
      <c r="I56" s="64">
        <v>21.6</v>
      </c>
      <c r="J56" s="64">
        <v>7.0000000000000007E-2</v>
      </c>
      <c r="K56" s="64">
        <v>272.31</v>
      </c>
      <c r="L56" s="64">
        <v>22.77</v>
      </c>
      <c r="M56" s="64">
        <v>96.66</v>
      </c>
      <c r="N56" s="64">
        <v>120.6</v>
      </c>
      <c r="O56" s="64">
        <v>0</v>
      </c>
      <c r="P56" s="64">
        <v>0.26</v>
      </c>
      <c r="Q56" s="64">
        <v>7.28</v>
      </c>
      <c r="R56" s="198"/>
      <c r="S56" s="198"/>
      <c r="T56" s="198"/>
      <c r="U56" s="198"/>
    </row>
    <row r="57" spans="1:21" s="12" customFormat="1" x14ac:dyDescent="0.25">
      <c r="A57" s="215" t="s">
        <v>968</v>
      </c>
      <c r="B57" s="64">
        <v>7.86</v>
      </c>
      <c r="C57" s="64">
        <v>16.329999999999998</v>
      </c>
      <c r="D57" s="64">
        <v>15.96</v>
      </c>
      <c r="E57" s="64">
        <v>2.58</v>
      </c>
      <c r="F57" s="64">
        <v>7.59</v>
      </c>
      <c r="G57" s="216" t="s">
        <v>43</v>
      </c>
      <c r="H57" s="216" t="s">
        <v>43</v>
      </c>
      <c r="I57" s="64">
        <v>43.9</v>
      </c>
      <c r="J57" s="64">
        <v>0.18</v>
      </c>
      <c r="K57" s="64">
        <v>259.27</v>
      </c>
      <c r="L57" s="64">
        <v>23.06</v>
      </c>
      <c r="M57" s="64">
        <v>94.22</v>
      </c>
      <c r="N57" s="64">
        <v>108.9</v>
      </c>
      <c r="O57" s="64">
        <v>0</v>
      </c>
      <c r="P57" s="64">
        <v>0.24</v>
      </c>
      <c r="Q57" s="64">
        <v>8.09</v>
      </c>
      <c r="R57" s="198"/>
      <c r="S57" s="198"/>
      <c r="T57" s="198"/>
      <c r="U57" s="198"/>
    </row>
    <row r="58" spans="1:21" s="12" customFormat="1" x14ac:dyDescent="0.25">
      <c r="A58" s="215" t="s">
        <v>969</v>
      </c>
      <c r="B58" s="64">
        <v>6.91</v>
      </c>
      <c r="C58" s="64">
        <v>21.25</v>
      </c>
      <c r="D58" s="64">
        <v>17.91</v>
      </c>
      <c r="E58" s="64">
        <v>2.42</v>
      </c>
      <c r="F58" s="64">
        <v>11.24</v>
      </c>
      <c r="G58" s="216" t="s">
        <v>43</v>
      </c>
      <c r="H58" s="216" t="s">
        <v>43</v>
      </c>
      <c r="I58" s="64">
        <v>66.040000000000006</v>
      </c>
      <c r="J58" s="64">
        <v>0.05</v>
      </c>
      <c r="K58" s="64">
        <v>287.57</v>
      </c>
      <c r="L58" s="64">
        <v>23.19</v>
      </c>
      <c r="M58" s="64">
        <v>94.29</v>
      </c>
      <c r="N58" s="64">
        <v>117.6</v>
      </c>
      <c r="O58" s="64">
        <v>0</v>
      </c>
      <c r="P58" s="64">
        <v>0.26</v>
      </c>
      <c r="Q58" s="64">
        <v>10.46</v>
      </c>
      <c r="R58" s="198"/>
      <c r="S58" s="198"/>
      <c r="T58" s="198"/>
      <c r="U58" s="198"/>
    </row>
    <row r="59" spans="1:21" s="12" customFormat="1" x14ac:dyDescent="0.25">
      <c r="A59" s="215" t="s">
        <v>970</v>
      </c>
      <c r="B59" s="64">
        <v>5.85</v>
      </c>
      <c r="C59" s="64">
        <v>20.91</v>
      </c>
      <c r="D59" s="64">
        <v>16.87</v>
      </c>
      <c r="E59" s="64">
        <v>2.0499999999999998</v>
      </c>
      <c r="F59" s="64">
        <v>14.09</v>
      </c>
      <c r="G59" s="216" t="s">
        <v>43</v>
      </c>
      <c r="H59" s="216" t="s">
        <v>43</v>
      </c>
      <c r="I59" s="64">
        <v>43.88</v>
      </c>
      <c r="J59" s="64">
        <v>0.08</v>
      </c>
      <c r="K59" s="64">
        <v>312.94</v>
      </c>
      <c r="L59" s="64">
        <v>23.31</v>
      </c>
      <c r="M59" s="64">
        <v>93.55</v>
      </c>
      <c r="N59" s="64">
        <v>132.69999999999999</v>
      </c>
      <c r="O59" s="64">
        <v>0</v>
      </c>
      <c r="P59" s="64">
        <v>0.24</v>
      </c>
      <c r="Q59" s="64">
        <v>7.43</v>
      </c>
      <c r="R59" s="198"/>
      <c r="S59" s="198"/>
      <c r="T59" s="198"/>
      <c r="U59" s="198"/>
    </row>
    <row r="60" spans="1:21" s="12" customFormat="1" x14ac:dyDescent="0.25">
      <c r="A60" s="215" t="s">
        <v>971</v>
      </c>
      <c r="B60" s="64">
        <v>5.27</v>
      </c>
      <c r="C60" s="64">
        <v>19.32</v>
      </c>
      <c r="D60" s="64">
        <v>15.53</v>
      </c>
      <c r="E60" s="64">
        <v>2.12</v>
      </c>
      <c r="F60" s="64">
        <v>14.11</v>
      </c>
      <c r="G60" s="216" t="s">
        <v>43</v>
      </c>
      <c r="H60" s="216" t="s">
        <v>43</v>
      </c>
      <c r="I60" s="64">
        <v>15.3</v>
      </c>
      <c r="J60" s="64">
        <v>0.13</v>
      </c>
      <c r="K60" s="64">
        <v>233.08</v>
      </c>
      <c r="L60" s="64">
        <v>23.45</v>
      </c>
      <c r="M60" s="64">
        <v>92.07</v>
      </c>
      <c r="N60" s="64">
        <v>142.69999999999999</v>
      </c>
      <c r="O60" s="64">
        <v>0</v>
      </c>
      <c r="P60" s="64">
        <v>0.27</v>
      </c>
      <c r="Q60" s="64">
        <v>5.61</v>
      </c>
      <c r="R60" s="198"/>
      <c r="S60" s="198"/>
      <c r="T60" s="198"/>
      <c r="U60" s="198"/>
    </row>
    <row r="61" spans="1:21" s="12" customFormat="1" x14ac:dyDescent="0.25">
      <c r="A61" s="215" t="s">
        <v>972</v>
      </c>
      <c r="B61" s="64">
        <v>4.8499999999999996</v>
      </c>
      <c r="C61" s="64">
        <v>17.05</v>
      </c>
      <c r="D61" s="64">
        <v>13.95</v>
      </c>
      <c r="E61" s="64">
        <v>2.59</v>
      </c>
      <c r="F61" s="64">
        <v>10.99</v>
      </c>
      <c r="G61" s="216" t="s">
        <v>43</v>
      </c>
      <c r="H61" s="216" t="s">
        <v>43</v>
      </c>
      <c r="I61" s="64">
        <v>6.25</v>
      </c>
      <c r="J61" s="64">
        <v>0.28999999999999998</v>
      </c>
      <c r="K61" s="64">
        <v>232.29</v>
      </c>
      <c r="L61" s="64">
        <v>23.62</v>
      </c>
      <c r="M61" s="64">
        <v>91.51</v>
      </c>
      <c r="N61" s="64">
        <v>190.5</v>
      </c>
      <c r="O61" s="64">
        <v>0</v>
      </c>
      <c r="P61" s="64">
        <v>0.23</v>
      </c>
      <c r="Q61" s="64">
        <v>5.95</v>
      </c>
      <c r="R61" s="198"/>
      <c r="S61" s="198"/>
      <c r="T61" s="198"/>
      <c r="U61" s="198"/>
    </row>
    <row r="62" spans="1:21" s="12" customFormat="1" x14ac:dyDescent="0.25">
      <c r="A62" s="215" t="s">
        <v>973</v>
      </c>
      <c r="B62" s="64">
        <v>4.84</v>
      </c>
      <c r="C62" s="64">
        <v>16.64</v>
      </c>
      <c r="D62" s="64">
        <v>13.71</v>
      </c>
      <c r="E62" s="64">
        <v>2.84</v>
      </c>
      <c r="F62" s="64">
        <v>16.98</v>
      </c>
      <c r="G62" s="216" t="s">
        <v>43</v>
      </c>
      <c r="H62" s="216" t="s">
        <v>43</v>
      </c>
      <c r="I62" s="64">
        <v>6.57</v>
      </c>
      <c r="J62" s="64">
        <v>0.04</v>
      </c>
      <c r="K62" s="64">
        <v>28.74</v>
      </c>
      <c r="L62" s="64">
        <v>23.44</v>
      </c>
      <c r="M62" s="64">
        <v>94.01</v>
      </c>
      <c r="N62" s="64">
        <v>173</v>
      </c>
      <c r="O62" s="64">
        <v>0.2</v>
      </c>
      <c r="P62" s="64">
        <v>0.23</v>
      </c>
      <c r="Q62" s="64">
        <v>6.93</v>
      </c>
      <c r="R62" s="198"/>
      <c r="S62" s="198"/>
      <c r="T62" s="198"/>
      <c r="U62" s="198"/>
    </row>
    <row r="63" spans="1:21" s="12" customFormat="1" x14ac:dyDescent="0.25">
      <c r="A63" s="215" t="s">
        <v>974</v>
      </c>
      <c r="B63" s="64">
        <v>4.62</v>
      </c>
      <c r="C63" s="64">
        <v>15.97</v>
      </c>
      <c r="D63" s="64">
        <v>13.17</v>
      </c>
      <c r="E63" s="64">
        <v>2.12</v>
      </c>
      <c r="F63" s="64">
        <v>16.66</v>
      </c>
      <c r="G63" s="216" t="s">
        <v>43</v>
      </c>
      <c r="H63" s="216" t="s">
        <v>43</v>
      </c>
      <c r="I63" s="64">
        <v>6.79</v>
      </c>
      <c r="J63" s="64">
        <v>0.03</v>
      </c>
      <c r="K63" s="64">
        <v>5.39</v>
      </c>
      <c r="L63" s="64">
        <v>22.98</v>
      </c>
      <c r="M63" s="64">
        <v>96.97</v>
      </c>
      <c r="N63" s="64">
        <v>170.8</v>
      </c>
      <c r="O63" s="64">
        <v>0</v>
      </c>
      <c r="P63" s="64">
        <v>0.23</v>
      </c>
      <c r="Q63" s="64">
        <v>6.15</v>
      </c>
      <c r="R63" s="198"/>
      <c r="S63" s="198"/>
      <c r="T63" s="198"/>
      <c r="U63" s="198"/>
    </row>
    <row r="64" spans="1:21" s="12" customFormat="1" x14ac:dyDescent="0.25">
      <c r="A64" s="215" t="s">
        <v>975</v>
      </c>
      <c r="B64" s="64">
        <v>5.51</v>
      </c>
      <c r="C64" s="64">
        <v>15.45</v>
      </c>
      <c r="D64" s="64">
        <v>13.59</v>
      </c>
      <c r="E64" s="64">
        <v>2.23</v>
      </c>
      <c r="F64" s="64">
        <v>11.25</v>
      </c>
      <c r="G64" s="216" t="s">
        <v>43</v>
      </c>
      <c r="H64" s="216" t="s">
        <v>43</v>
      </c>
      <c r="I64" s="64">
        <v>4.18</v>
      </c>
      <c r="J64" s="64">
        <v>0.03</v>
      </c>
      <c r="K64" s="64">
        <v>43.36</v>
      </c>
      <c r="L64" s="64">
        <v>23.06</v>
      </c>
      <c r="M64" s="64">
        <v>97.13</v>
      </c>
      <c r="N64" s="64">
        <v>167</v>
      </c>
      <c r="O64" s="64">
        <v>0</v>
      </c>
      <c r="P64" s="64">
        <v>0.2</v>
      </c>
      <c r="Q64" s="64">
        <v>3.59</v>
      </c>
      <c r="R64" s="198"/>
      <c r="S64" s="198"/>
      <c r="T64" s="198"/>
      <c r="U64" s="198"/>
    </row>
    <row r="65" spans="1:21" s="12" customFormat="1" x14ac:dyDescent="0.25">
      <c r="A65" s="215" t="s">
        <v>976</v>
      </c>
      <c r="B65" s="64">
        <v>6.61</v>
      </c>
      <c r="C65" s="64">
        <v>13.98</v>
      </c>
      <c r="D65" s="64">
        <v>13.66</v>
      </c>
      <c r="E65" s="64">
        <v>2.2000000000000002</v>
      </c>
      <c r="F65" s="64">
        <v>7.99</v>
      </c>
      <c r="G65" s="216" t="s">
        <v>43</v>
      </c>
      <c r="H65" s="216" t="s">
        <v>43</v>
      </c>
      <c r="I65" s="64">
        <v>3.06</v>
      </c>
      <c r="J65" s="64">
        <v>0.04</v>
      </c>
      <c r="K65" s="64">
        <v>300.14999999999998</v>
      </c>
      <c r="L65" s="64">
        <v>23.6</v>
      </c>
      <c r="M65" s="64">
        <v>94.69</v>
      </c>
      <c r="N65" s="64">
        <v>320.7</v>
      </c>
      <c r="O65" s="64">
        <v>0</v>
      </c>
      <c r="P65" s="64">
        <v>0.22</v>
      </c>
      <c r="Q65" s="64">
        <v>6.73</v>
      </c>
      <c r="R65" s="198"/>
      <c r="S65" s="198"/>
      <c r="T65" s="198"/>
      <c r="U65" s="198"/>
    </row>
    <row r="66" spans="1:21" s="12" customFormat="1" x14ac:dyDescent="0.25">
      <c r="A66" s="215" t="s">
        <v>977</v>
      </c>
      <c r="B66" s="64">
        <v>6.12</v>
      </c>
      <c r="C66" s="64">
        <v>16.010000000000002</v>
      </c>
      <c r="D66" s="64">
        <v>14.39</v>
      </c>
      <c r="E66" s="64">
        <v>2.2799999999999998</v>
      </c>
      <c r="F66" s="64">
        <v>17.96</v>
      </c>
      <c r="G66" s="216" t="s">
        <v>43</v>
      </c>
      <c r="H66" s="216" t="s">
        <v>43</v>
      </c>
      <c r="I66" s="64">
        <v>4.5199999999999996</v>
      </c>
      <c r="J66" s="64">
        <v>0.16</v>
      </c>
      <c r="K66" s="64">
        <v>224.87</v>
      </c>
      <c r="L66" s="64">
        <v>24.25</v>
      </c>
      <c r="M66" s="64">
        <v>90.92</v>
      </c>
      <c r="N66" s="64">
        <v>369.9</v>
      </c>
      <c r="O66" s="64">
        <v>0</v>
      </c>
      <c r="P66" s="64">
        <v>0.22</v>
      </c>
      <c r="Q66" s="64">
        <v>6.67</v>
      </c>
      <c r="R66" s="198"/>
      <c r="S66" s="198"/>
      <c r="T66" s="198"/>
      <c r="U66" s="198"/>
    </row>
    <row r="67" spans="1:21" s="12" customFormat="1" x14ac:dyDescent="0.25">
      <c r="A67" s="215" t="s">
        <v>978</v>
      </c>
      <c r="B67" s="64">
        <v>4.88</v>
      </c>
      <c r="C67" s="64">
        <v>15.65</v>
      </c>
      <c r="D67" s="64">
        <v>13.19</v>
      </c>
      <c r="E67" s="64">
        <v>2.14</v>
      </c>
      <c r="F67" s="64">
        <v>7.92</v>
      </c>
      <c r="G67" s="216" t="s">
        <v>43</v>
      </c>
      <c r="H67" s="216" t="s">
        <v>43</v>
      </c>
      <c r="I67" s="64">
        <v>5.36</v>
      </c>
      <c r="J67" s="64">
        <v>0.15</v>
      </c>
      <c r="K67" s="64">
        <v>256.10000000000002</v>
      </c>
      <c r="L67" s="64">
        <v>24.45</v>
      </c>
      <c r="M67" s="64">
        <v>89.88</v>
      </c>
      <c r="N67" s="64">
        <v>228.3</v>
      </c>
      <c r="O67" s="64">
        <v>0</v>
      </c>
      <c r="P67" s="64">
        <v>0.22</v>
      </c>
      <c r="Q67" s="64">
        <v>5.59</v>
      </c>
      <c r="R67" s="198"/>
      <c r="S67" s="198"/>
      <c r="T67" s="198"/>
      <c r="U67" s="198"/>
    </row>
    <row r="68" spans="1:21" s="12" customFormat="1" x14ac:dyDescent="0.25">
      <c r="A68" s="215" t="s">
        <v>979</v>
      </c>
      <c r="B68" s="64">
        <v>4.7300000000000004</v>
      </c>
      <c r="C68" s="64">
        <v>13.49</v>
      </c>
      <c r="D68" s="64">
        <v>11.89</v>
      </c>
      <c r="E68" s="64">
        <v>1.72</v>
      </c>
      <c r="F68" s="64">
        <v>5.37</v>
      </c>
      <c r="G68" s="216" t="s">
        <v>43</v>
      </c>
      <c r="H68" s="216" t="s">
        <v>43</v>
      </c>
      <c r="I68" s="64">
        <v>3.86</v>
      </c>
      <c r="J68" s="64">
        <v>0.08</v>
      </c>
      <c r="K68" s="64">
        <v>224.38</v>
      </c>
      <c r="L68" s="64">
        <v>24.58</v>
      </c>
      <c r="M68" s="64">
        <v>87.55</v>
      </c>
      <c r="N68" s="64">
        <v>310.3</v>
      </c>
      <c r="O68" s="64">
        <v>0</v>
      </c>
      <c r="P68" s="64">
        <v>0.21</v>
      </c>
      <c r="Q68" s="64">
        <v>2.88</v>
      </c>
      <c r="R68" s="198"/>
      <c r="S68" s="198"/>
      <c r="T68" s="198"/>
      <c r="U68" s="198"/>
    </row>
    <row r="69" spans="1:21" s="12" customFormat="1" x14ac:dyDescent="0.25">
      <c r="A69" s="215" t="s">
        <v>980</v>
      </c>
      <c r="B69" s="64">
        <v>4.82</v>
      </c>
      <c r="C69" s="64">
        <v>13.63</v>
      </c>
      <c r="D69" s="64">
        <v>12.03</v>
      </c>
      <c r="E69" s="64">
        <v>2.1</v>
      </c>
      <c r="F69" s="64">
        <v>20.05</v>
      </c>
      <c r="G69" s="216" t="s">
        <v>43</v>
      </c>
      <c r="H69" s="216" t="s">
        <v>43</v>
      </c>
      <c r="I69" s="64">
        <v>4.68</v>
      </c>
      <c r="J69" s="64">
        <v>0.37</v>
      </c>
      <c r="K69" s="64">
        <v>216.81</v>
      </c>
      <c r="L69" s="64">
        <v>25.01</v>
      </c>
      <c r="M69" s="64">
        <v>85.22</v>
      </c>
      <c r="N69" s="64">
        <v>305</v>
      </c>
      <c r="O69" s="64">
        <v>0</v>
      </c>
      <c r="P69" s="64">
        <v>0.22</v>
      </c>
      <c r="Q69" s="64">
        <v>2.25</v>
      </c>
      <c r="R69" s="198"/>
      <c r="S69" s="198"/>
      <c r="T69" s="198"/>
      <c r="U69" s="198"/>
    </row>
    <row r="70" spans="1:21" s="12" customFormat="1" x14ac:dyDescent="0.25">
      <c r="A70" s="215" t="s">
        <v>981</v>
      </c>
      <c r="B70" s="64">
        <v>4.4000000000000004</v>
      </c>
      <c r="C70" s="64">
        <v>15.68</v>
      </c>
      <c r="D70" s="64">
        <v>12.83</v>
      </c>
      <c r="E70" s="64">
        <v>2.15</v>
      </c>
      <c r="F70" s="64">
        <v>10.58</v>
      </c>
      <c r="G70" s="216" t="s">
        <v>43</v>
      </c>
      <c r="H70" s="216" t="s">
        <v>43</v>
      </c>
      <c r="I70" s="64">
        <v>5.56</v>
      </c>
      <c r="J70" s="64">
        <v>0.3</v>
      </c>
      <c r="K70" s="64">
        <v>232.91</v>
      </c>
      <c r="L70" s="64">
        <v>24.87</v>
      </c>
      <c r="M70" s="64">
        <v>85.35</v>
      </c>
      <c r="N70" s="64">
        <v>213.9</v>
      </c>
      <c r="O70" s="64">
        <v>0</v>
      </c>
      <c r="P70" s="64">
        <v>0.23</v>
      </c>
      <c r="Q70" s="64">
        <v>1.9</v>
      </c>
      <c r="R70" s="198"/>
      <c r="S70" s="198"/>
      <c r="T70" s="198"/>
      <c r="U70" s="198"/>
    </row>
    <row r="71" spans="1:21" s="12" customFormat="1" x14ac:dyDescent="0.25">
      <c r="A71" s="215" t="s">
        <v>982</v>
      </c>
      <c r="B71" s="64">
        <v>4.45</v>
      </c>
      <c r="C71" s="64">
        <v>13.63</v>
      </c>
      <c r="D71" s="64">
        <v>11.74</v>
      </c>
      <c r="E71" s="64">
        <v>2.11</v>
      </c>
      <c r="F71" s="64">
        <v>6.92</v>
      </c>
      <c r="G71" s="216" t="s">
        <v>43</v>
      </c>
      <c r="H71" s="216" t="s">
        <v>43</v>
      </c>
      <c r="I71" s="64">
        <v>3.55</v>
      </c>
      <c r="J71" s="64">
        <v>0.22</v>
      </c>
      <c r="K71" s="64">
        <v>239.19</v>
      </c>
      <c r="L71" s="64">
        <v>24.98</v>
      </c>
      <c r="M71" s="64">
        <v>85.01</v>
      </c>
      <c r="N71" s="64">
        <v>325.7</v>
      </c>
      <c r="O71" s="64">
        <v>0</v>
      </c>
      <c r="P71" s="64">
        <v>0.24</v>
      </c>
      <c r="Q71" s="64">
        <v>1.66</v>
      </c>
      <c r="R71" s="198"/>
      <c r="S71" s="198"/>
      <c r="T71" s="198"/>
      <c r="U71" s="198"/>
    </row>
    <row r="72" spans="1:21" s="12" customFormat="1" x14ac:dyDescent="0.25">
      <c r="A72" s="215" t="s">
        <v>983</v>
      </c>
      <c r="B72" s="64">
        <v>4.78</v>
      </c>
      <c r="C72" s="64">
        <v>11.91</v>
      </c>
      <c r="D72" s="64">
        <v>11.05</v>
      </c>
      <c r="E72" s="64">
        <v>1.1399999999999999</v>
      </c>
      <c r="F72" s="64">
        <v>3.22</v>
      </c>
      <c r="G72" s="216" t="s">
        <v>43</v>
      </c>
      <c r="H72" s="216" t="s">
        <v>43</v>
      </c>
      <c r="I72" s="64">
        <v>3.25</v>
      </c>
      <c r="J72" s="64">
        <v>0.22</v>
      </c>
      <c r="K72" s="64">
        <v>235.81</v>
      </c>
      <c r="L72" s="64">
        <v>25.32</v>
      </c>
      <c r="M72" s="64">
        <v>83.21</v>
      </c>
      <c r="N72" s="64">
        <v>313.8</v>
      </c>
      <c r="O72" s="64">
        <v>0</v>
      </c>
      <c r="P72" s="64">
        <v>0.24</v>
      </c>
      <c r="Q72" s="64">
        <v>3.29</v>
      </c>
      <c r="R72" s="198"/>
      <c r="S72" s="198"/>
      <c r="T72" s="198"/>
      <c r="U72" s="198"/>
    </row>
    <row r="73" spans="1:21" s="12" customFormat="1" x14ac:dyDescent="0.25">
      <c r="A73" s="215" t="s">
        <v>984</v>
      </c>
      <c r="B73" s="64">
        <v>4.84</v>
      </c>
      <c r="C73" s="64">
        <v>10.76</v>
      </c>
      <c r="D73" s="64">
        <v>10.47</v>
      </c>
      <c r="E73" s="64">
        <v>1.94</v>
      </c>
      <c r="F73" s="64">
        <v>5.41</v>
      </c>
      <c r="G73" s="216" t="s">
        <v>43</v>
      </c>
      <c r="H73" s="216" t="s">
        <v>43</v>
      </c>
      <c r="I73" s="64">
        <v>4.5999999999999996</v>
      </c>
      <c r="J73" s="64">
        <v>0.28000000000000003</v>
      </c>
      <c r="K73" s="64">
        <v>232.76</v>
      </c>
      <c r="L73" s="64">
        <v>25.37</v>
      </c>
      <c r="M73" s="64">
        <v>82</v>
      </c>
      <c r="N73" s="64">
        <v>283.2</v>
      </c>
      <c r="O73" s="64">
        <v>0</v>
      </c>
      <c r="P73" s="64">
        <v>0.22</v>
      </c>
      <c r="Q73" s="64">
        <v>1.53</v>
      </c>
      <c r="R73" s="198"/>
      <c r="S73" s="198"/>
      <c r="T73" s="198"/>
      <c r="U73" s="198"/>
    </row>
    <row r="74" spans="1:21" s="12" customFormat="1" x14ac:dyDescent="0.25">
      <c r="A74" s="215" t="s">
        <v>985</v>
      </c>
      <c r="B74" s="64">
        <v>5.28</v>
      </c>
      <c r="C74" s="64">
        <v>10.31</v>
      </c>
      <c r="D74" s="64">
        <v>10.57</v>
      </c>
      <c r="E74" s="64">
        <v>1.64</v>
      </c>
      <c r="F74" s="64">
        <v>9.1999999999999993</v>
      </c>
      <c r="G74" s="216" t="s">
        <v>43</v>
      </c>
      <c r="H74" s="216" t="s">
        <v>43</v>
      </c>
      <c r="I74" s="64">
        <v>5.44</v>
      </c>
      <c r="J74" s="64">
        <v>0.32</v>
      </c>
      <c r="K74" s="64">
        <v>194.91</v>
      </c>
      <c r="L74" s="64">
        <v>25.33</v>
      </c>
      <c r="M74" s="64">
        <v>83.84</v>
      </c>
      <c r="N74" s="64">
        <v>152.80000000000001</v>
      </c>
      <c r="O74" s="64">
        <v>0</v>
      </c>
      <c r="P74" s="64">
        <v>0.24</v>
      </c>
      <c r="Q74" s="64">
        <v>2.5499999999999998</v>
      </c>
      <c r="R74" s="198"/>
      <c r="S74" s="198"/>
      <c r="T74" s="198"/>
      <c r="U74" s="198"/>
    </row>
    <row r="75" spans="1:21" s="12" customFormat="1" x14ac:dyDescent="0.25">
      <c r="A75" s="215" t="s">
        <v>986</v>
      </c>
      <c r="B75" s="64">
        <v>5.67</v>
      </c>
      <c r="C75" s="64">
        <v>12.37</v>
      </c>
      <c r="D75" s="64">
        <v>12.02</v>
      </c>
      <c r="E75" s="64">
        <v>1.93</v>
      </c>
      <c r="F75" s="64">
        <v>9.3699999999999992</v>
      </c>
      <c r="G75" s="216" t="s">
        <v>43</v>
      </c>
      <c r="H75" s="216" t="s">
        <v>43</v>
      </c>
      <c r="I75" s="64">
        <v>5.54</v>
      </c>
      <c r="J75" s="64">
        <v>0.63</v>
      </c>
      <c r="K75" s="64">
        <v>188.97</v>
      </c>
      <c r="L75" s="64">
        <v>25.02</v>
      </c>
      <c r="M75" s="64">
        <v>85.18</v>
      </c>
      <c r="N75" s="64">
        <v>148.69999999999999</v>
      </c>
      <c r="O75" s="64">
        <v>0</v>
      </c>
      <c r="P75" s="64">
        <v>0.23</v>
      </c>
      <c r="Q75" s="64">
        <v>4.3899999999999997</v>
      </c>
      <c r="R75" s="198"/>
      <c r="S75" s="198"/>
      <c r="T75" s="198"/>
      <c r="U75" s="198"/>
    </row>
    <row r="76" spans="1:21" s="12" customFormat="1" x14ac:dyDescent="0.25">
      <c r="A76" s="215" t="s">
        <v>987</v>
      </c>
      <c r="B76" s="64">
        <v>6.09</v>
      </c>
      <c r="C76" s="64">
        <v>11.94</v>
      </c>
      <c r="D76" s="64">
        <v>12.12</v>
      </c>
      <c r="E76" s="64">
        <v>2.33</v>
      </c>
      <c r="F76" s="64">
        <v>8.9600000000000009</v>
      </c>
      <c r="G76" s="216" t="s">
        <v>43</v>
      </c>
      <c r="H76" s="216" t="s">
        <v>43</v>
      </c>
      <c r="I76" s="64">
        <v>5.76</v>
      </c>
      <c r="J76" s="64">
        <v>0.73</v>
      </c>
      <c r="K76" s="64">
        <v>190.83</v>
      </c>
      <c r="L76" s="64">
        <v>25.03</v>
      </c>
      <c r="M76" s="64">
        <v>85.13</v>
      </c>
      <c r="N76" s="64">
        <v>142.1</v>
      </c>
      <c r="O76" s="64">
        <v>0</v>
      </c>
      <c r="P76" s="64">
        <v>0.24</v>
      </c>
      <c r="Q76" s="64">
        <v>4.6399999999999997</v>
      </c>
      <c r="R76" s="198"/>
      <c r="S76" s="198"/>
      <c r="T76" s="198"/>
      <c r="U76" s="198"/>
    </row>
    <row r="77" spans="1:21" s="12" customFormat="1" x14ac:dyDescent="0.25">
      <c r="A77" s="215" t="s">
        <v>988</v>
      </c>
      <c r="B77" s="64">
        <v>6.53</v>
      </c>
      <c r="C77" s="64">
        <v>12.8</v>
      </c>
      <c r="D77" s="64">
        <v>12.95</v>
      </c>
      <c r="E77" s="64">
        <v>1.99</v>
      </c>
      <c r="F77" s="64">
        <v>8.93</v>
      </c>
      <c r="G77" s="216" t="s">
        <v>43</v>
      </c>
      <c r="H77" s="216" t="s">
        <v>43</v>
      </c>
      <c r="I77" s="64">
        <v>6.13</v>
      </c>
      <c r="J77" s="64">
        <v>0.48</v>
      </c>
      <c r="K77" s="64">
        <v>210.18</v>
      </c>
      <c r="L77" s="64">
        <v>25</v>
      </c>
      <c r="M77" s="64">
        <v>85.38</v>
      </c>
      <c r="N77" s="64">
        <v>132.1</v>
      </c>
      <c r="O77" s="64">
        <v>0</v>
      </c>
      <c r="P77" s="64">
        <v>0.23</v>
      </c>
      <c r="Q77" s="64">
        <v>6.89</v>
      </c>
      <c r="R77" s="198"/>
      <c r="S77" s="198"/>
      <c r="T77" s="198"/>
      <c r="U77" s="198"/>
    </row>
    <row r="78" spans="1:21" s="12" customFormat="1" x14ac:dyDescent="0.25">
      <c r="A78" s="215" t="s">
        <v>989</v>
      </c>
      <c r="B78" s="64">
        <v>6.56</v>
      </c>
      <c r="C78" s="64">
        <v>12.7</v>
      </c>
      <c r="D78" s="64">
        <v>12.92</v>
      </c>
      <c r="E78" s="64">
        <v>1.85</v>
      </c>
      <c r="F78" s="64">
        <v>7.73</v>
      </c>
      <c r="G78" s="216" t="s">
        <v>43</v>
      </c>
      <c r="H78" s="216" t="s">
        <v>43</v>
      </c>
      <c r="I78" s="64">
        <v>6.88</v>
      </c>
      <c r="J78" s="64">
        <v>0.48</v>
      </c>
      <c r="K78" s="64">
        <v>214.43</v>
      </c>
      <c r="L78" s="64">
        <v>25.01</v>
      </c>
      <c r="M78" s="64">
        <v>85.82</v>
      </c>
      <c r="N78" s="64">
        <v>122.4</v>
      </c>
      <c r="O78" s="64">
        <v>0</v>
      </c>
      <c r="P78" s="64">
        <v>0.24</v>
      </c>
      <c r="Q78" s="64">
        <v>6.2</v>
      </c>
      <c r="R78" s="198"/>
      <c r="S78" s="198"/>
      <c r="T78" s="198"/>
      <c r="U78" s="198"/>
    </row>
    <row r="79" spans="1:21" s="12" customFormat="1" x14ac:dyDescent="0.25">
      <c r="A79" s="215" t="s">
        <v>990</v>
      </c>
      <c r="B79" s="64">
        <v>6.73</v>
      </c>
      <c r="C79" s="64">
        <v>9.84</v>
      </c>
      <c r="D79" s="64">
        <v>11.47</v>
      </c>
      <c r="E79" s="64">
        <v>2.17</v>
      </c>
      <c r="F79" s="64">
        <v>3.88</v>
      </c>
      <c r="G79" s="216" t="s">
        <v>43</v>
      </c>
      <c r="H79" s="216" t="s">
        <v>43</v>
      </c>
      <c r="I79" s="64">
        <v>6.5</v>
      </c>
      <c r="J79" s="64">
        <v>0.28999999999999998</v>
      </c>
      <c r="K79" s="64">
        <v>224.99</v>
      </c>
      <c r="L79" s="64">
        <v>25</v>
      </c>
      <c r="M79" s="64">
        <v>85.22</v>
      </c>
      <c r="N79" s="64">
        <v>124</v>
      </c>
      <c r="O79" s="64">
        <v>0</v>
      </c>
      <c r="P79" s="64">
        <v>0.25</v>
      </c>
      <c r="Q79" s="64">
        <v>7.49</v>
      </c>
      <c r="R79" s="198"/>
      <c r="S79" s="198"/>
      <c r="T79" s="198"/>
      <c r="U79" s="198"/>
    </row>
    <row r="80" spans="1:21" s="12" customFormat="1" x14ac:dyDescent="0.25">
      <c r="A80" s="215" t="s">
        <v>991</v>
      </c>
      <c r="B80" s="64">
        <v>6.92</v>
      </c>
      <c r="C80" s="64">
        <v>12.12</v>
      </c>
      <c r="D80" s="64">
        <v>12.89</v>
      </c>
      <c r="E80" s="64">
        <v>1.93</v>
      </c>
      <c r="F80" s="64">
        <v>5.65</v>
      </c>
      <c r="G80" s="216" t="s">
        <v>43</v>
      </c>
      <c r="H80" s="216" t="s">
        <v>43</v>
      </c>
      <c r="I80" s="64">
        <v>8.34</v>
      </c>
      <c r="J80" s="64">
        <v>0.3</v>
      </c>
      <c r="K80" s="64">
        <v>221.51</v>
      </c>
      <c r="L80" s="64">
        <v>24.95</v>
      </c>
      <c r="M80" s="64">
        <v>85.53</v>
      </c>
      <c r="N80" s="64">
        <v>98.7</v>
      </c>
      <c r="O80" s="64">
        <v>0</v>
      </c>
      <c r="P80" s="64">
        <v>0.25</v>
      </c>
      <c r="Q80" s="64">
        <v>5.92</v>
      </c>
      <c r="R80" s="198"/>
      <c r="S80" s="198"/>
      <c r="T80" s="198"/>
      <c r="U80" s="198"/>
    </row>
    <row r="81" spans="1:26" s="12" customFormat="1" x14ac:dyDescent="0.25">
      <c r="A81" s="215" t="s">
        <v>992</v>
      </c>
      <c r="B81" s="64">
        <v>6.62</v>
      </c>
      <c r="C81" s="64">
        <v>10.02</v>
      </c>
      <c r="D81" s="64">
        <v>11.49</v>
      </c>
      <c r="E81" s="64">
        <v>2.16</v>
      </c>
      <c r="F81" s="64">
        <v>5.69</v>
      </c>
      <c r="G81" s="216" t="s">
        <v>43</v>
      </c>
      <c r="H81" s="216" t="s">
        <v>43</v>
      </c>
      <c r="I81" s="64">
        <v>8.94</v>
      </c>
      <c r="J81" s="64">
        <v>0.34</v>
      </c>
      <c r="K81" s="64">
        <v>235.42</v>
      </c>
      <c r="L81" s="64">
        <v>24.8</v>
      </c>
      <c r="M81" s="64">
        <v>85.18</v>
      </c>
      <c r="N81" s="64">
        <v>80.2</v>
      </c>
      <c r="O81" s="64">
        <v>0</v>
      </c>
      <c r="P81" s="64">
        <v>0.27</v>
      </c>
      <c r="Q81" s="64">
        <v>5.78</v>
      </c>
      <c r="R81" s="198"/>
      <c r="S81" s="198"/>
      <c r="T81" s="198"/>
      <c r="U81" s="198"/>
    </row>
    <row r="82" spans="1:26" s="12" customFormat="1" x14ac:dyDescent="0.25">
      <c r="A82" s="215" t="s">
        <v>993</v>
      </c>
      <c r="B82" s="64">
        <v>6.54</v>
      </c>
      <c r="C82" s="64">
        <v>10.96</v>
      </c>
      <c r="D82" s="64">
        <v>11.94</v>
      </c>
      <c r="E82" s="64">
        <v>2.37</v>
      </c>
      <c r="F82" s="64">
        <v>5.07</v>
      </c>
      <c r="G82" s="216" t="s">
        <v>43</v>
      </c>
      <c r="H82" s="216" t="s">
        <v>43</v>
      </c>
      <c r="I82" s="64">
        <v>8.84</v>
      </c>
      <c r="J82" s="64">
        <v>0.23</v>
      </c>
      <c r="K82" s="64">
        <v>207.28</v>
      </c>
      <c r="L82" s="64">
        <v>24.71</v>
      </c>
      <c r="M82" s="64">
        <v>86.54</v>
      </c>
      <c r="N82" s="64">
        <v>65.400000000000006</v>
      </c>
      <c r="O82" s="64">
        <v>0</v>
      </c>
      <c r="P82" s="64">
        <v>0.27</v>
      </c>
      <c r="Q82" s="64">
        <v>7.9</v>
      </c>
      <c r="R82" s="198"/>
      <c r="S82" s="198"/>
      <c r="T82" s="198"/>
      <c r="U82" s="198"/>
    </row>
    <row r="83" spans="1:26" s="12" customFormat="1" x14ac:dyDescent="0.25">
      <c r="A83" s="215" t="s">
        <v>994</v>
      </c>
      <c r="B83" s="64">
        <v>7.64</v>
      </c>
      <c r="C83" s="64">
        <v>16.329999999999998</v>
      </c>
      <c r="D83" s="64">
        <v>15.78</v>
      </c>
      <c r="E83" s="64">
        <v>2.27</v>
      </c>
      <c r="F83" s="64">
        <v>6.49</v>
      </c>
      <c r="G83" s="216" t="s">
        <v>43</v>
      </c>
      <c r="H83" s="216" t="s">
        <v>43</v>
      </c>
      <c r="I83" s="64">
        <v>9.25</v>
      </c>
      <c r="J83" s="64">
        <v>0.52</v>
      </c>
      <c r="K83" s="64">
        <v>196.67</v>
      </c>
      <c r="L83" s="64">
        <v>24.58</v>
      </c>
      <c r="M83" s="64">
        <v>87.14</v>
      </c>
      <c r="N83" s="64">
        <v>52.8</v>
      </c>
      <c r="O83" s="64">
        <v>0</v>
      </c>
      <c r="P83" s="64">
        <v>0.26</v>
      </c>
      <c r="Q83" s="64">
        <v>6.13</v>
      </c>
      <c r="R83" s="198"/>
      <c r="S83" s="198"/>
      <c r="T83" s="198"/>
      <c r="U83" s="198"/>
    </row>
    <row r="84" spans="1:26" s="12" customFormat="1" x14ac:dyDescent="0.25">
      <c r="A84" s="215" t="s">
        <v>995</v>
      </c>
      <c r="B84" s="64">
        <v>7.73</v>
      </c>
      <c r="C84" s="64">
        <v>13.89</v>
      </c>
      <c r="D84" s="64">
        <v>14.51</v>
      </c>
      <c r="E84" s="64">
        <v>1.83</v>
      </c>
      <c r="F84" s="64">
        <v>6.08</v>
      </c>
      <c r="G84" s="216" t="s">
        <v>43</v>
      </c>
      <c r="H84" s="216" t="s">
        <v>43</v>
      </c>
      <c r="I84" s="64">
        <v>8.31</v>
      </c>
      <c r="J84" s="64">
        <v>0.21</v>
      </c>
      <c r="K84" s="64">
        <v>213.14</v>
      </c>
      <c r="L84" s="64">
        <v>24.39</v>
      </c>
      <c r="M84" s="64">
        <v>88.96</v>
      </c>
      <c r="N84" s="64">
        <v>48.2</v>
      </c>
      <c r="O84" s="64">
        <v>0</v>
      </c>
      <c r="P84" s="64">
        <v>0.3</v>
      </c>
      <c r="Q84" s="64">
        <v>5.2</v>
      </c>
      <c r="R84" s="198"/>
      <c r="S84" s="198"/>
      <c r="T84" s="198"/>
      <c r="U84" s="198"/>
    </row>
    <row r="85" spans="1:26" s="12" customFormat="1" x14ac:dyDescent="0.25">
      <c r="A85" s="215" t="s">
        <v>996</v>
      </c>
      <c r="B85" s="64">
        <v>9.0399999999999991</v>
      </c>
      <c r="C85" s="64">
        <v>18.18</v>
      </c>
      <c r="D85" s="64">
        <v>17.93</v>
      </c>
      <c r="E85" s="64">
        <v>2.1800000000000002</v>
      </c>
      <c r="F85" s="64">
        <v>6.72</v>
      </c>
      <c r="G85" s="216" t="s">
        <v>43</v>
      </c>
      <c r="H85" s="216" t="s">
        <v>43</v>
      </c>
      <c r="I85" s="64">
        <v>7.7</v>
      </c>
      <c r="J85" s="64">
        <v>0.27</v>
      </c>
      <c r="K85" s="64">
        <v>201.88</v>
      </c>
      <c r="L85" s="64">
        <v>24.19</v>
      </c>
      <c r="M85" s="64">
        <v>90.25</v>
      </c>
      <c r="N85" s="64">
        <v>47.5</v>
      </c>
      <c r="O85" s="64">
        <v>0</v>
      </c>
      <c r="P85" s="64">
        <v>0.24</v>
      </c>
      <c r="Q85" s="64">
        <v>7.98</v>
      </c>
      <c r="R85" s="198"/>
      <c r="S85" s="198"/>
      <c r="T85" s="198"/>
      <c r="U85" s="198"/>
    </row>
    <row r="86" spans="1:26" s="12" customFormat="1" x14ac:dyDescent="0.25">
      <c r="A86" s="215" t="s">
        <v>997</v>
      </c>
      <c r="B86" s="64">
        <v>10.49</v>
      </c>
      <c r="C86" s="64">
        <v>25.73</v>
      </c>
      <c r="D86" s="64">
        <v>23.26</v>
      </c>
      <c r="E86" s="64">
        <v>2.39</v>
      </c>
      <c r="F86" s="64">
        <v>9.1</v>
      </c>
      <c r="G86" s="216" t="s">
        <v>43</v>
      </c>
      <c r="H86" s="216" t="s">
        <v>43</v>
      </c>
      <c r="I86" s="64">
        <v>8.4</v>
      </c>
      <c r="J86" s="64">
        <v>0.57999999999999996</v>
      </c>
      <c r="K86" s="64">
        <v>185.08</v>
      </c>
      <c r="L86" s="64">
        <v>24.06</v>
      </c>
      <c r="M86" s="64">
        <v>90.97</v>
      </c>
      <c r="N86" s="64">
        <v>47.4</v>
      </c>
      <c r="O86" s="64">
        <v>0</v>
      </c>
      <c r="P86" s="64">
        <v>0.27</v>
      </c>
      <c r="Q86" s="64">
        <v>9.11</v>
      </c>
      <c r="R86" s="198"/>
      <c r="S86" s="198"/>
      <c r="T86" s="198"/>
      <c r="U86" s="198"/>
    </row>
    <row r="87" spans="1:26" s="12" customFormat="1" x14ac:dyDescent="0.25">
      <c r="A87" s="215" t="s">
        <v>998</v>
      </c>
      <c r="B87" s="64">
        <v>10.82</v>
      </c>
      <c r="C87" s="64">
        <v>23.9</v>
      </c>
      <c r="D87" s="64">
        <v>22.52</v>
      </c>
      <c r="E87" s="64">
        <v>2.46</v>
      </c>
      <c r="F87" s="64">
        <v>7.98</v>
      </c>
      <c r="G87" s="216" t="s">
        <v>43</v>
      </c>
      <c r="H87" s="216" t="s">
        <v>43</v>
      </c>
      <c r="I87" s="64">
        <v>6.45</v>
      </c>
      <c r="J87" s="64">
        <v>0.03</v>
      </c>
      <c r="K87" s="64">
        <v>246.24</v>
      </c>
      <c r="L87" s="64">
        <v>23.95</v>
      </c>
      <c r="M87" s="64">
        <v>92.57</v>
      </c>
      <c r="N87" s="64">
        <v>47.4</v>
      </c>
      <c r="O87" s="64">
        <v>0</v>
      </c>
      <c r="P87" s="64">
        <v>0.3</v>
      </c>
      <c r="Q87" s="64">
        <v>10.47</v>
      </c>
      <c r="R87" s="198"/>
      <c r="S87" s="198"/>
      <c r="T87" s="198"/>
      <c r="U87" s="198"/>
    </row>
    <row r="88" spans="1:26" s="12" customFormat="1" x14ac:dyDescent="0.25">
      <c r="A88" s="215" t="s">
        <v>999</v>
      </c>
      <c r="B88" s="64">
        <v>15.37</v>
      </c>
      <c r="C88" s="64">
        <v>32.44</v>
      </c>
      <c r="D88" s="64">
        <v>30.88</v>
      </c>
      <c r="E88" s="64">
        <v>1.52</v>
      </c>
      <c r="F88" s="64">
        <v>6.07</v>
      </c>
      <c r="G88" s="216" t="s">
        <v>43</v>
      </c>
      <c r="H88" s="216" t="s">
        <v>43</v>
      </c>
      <c r="I88" s="64">
        <v>6.04</v>
      </c>
      <c r="J88" s="64">
        <v>0.16</v>
      </c>
      <c r="K88" s="64">
        <v>185.68</v>
      </c>
      <c r="L88" s="64">
        <v>23.78</v>
      </c>
      <c r="M88" s="64">
        <v>93.92</v>
      </c>
      <c r="N88" s="64">
        <v>47.1</v>
      </c>
      <c r="O88" s="64">
        <v>0</v>
      </c>
      <c r="P88" s="64">
        <v>0.3</v>
      </c>
      <c r="Q88" s="64">
        <v>12.17</v>
      </c>
      <c r="R88" s="198"/>
      <c r="S88" s="198"/>
      <c r="T88" s="198"/>
      <c r="U88" s="198"/>
    </row>
    <row r="89" spans="1:26" s="12" customFormat="1" x14ac:dyDescent="0.25">
      <c r="A89" s="215" t="s">
        <v>1000</v>
      </c>
      <c r="B89" s="64">
        <v>15.44</v>
      </c>
      <c r="C89" s="64">
        <v>28.94</v>
      </c>
      <c r="D89" s="64">
        <v>29</v>
      </c>
      <c r="E89" s="64">
        <v>1.91</v>
      </c>
      <c r="F89" s="64">
        <v>6</v>
      </c>
      <c r="G89" s="216" t="s">
        <v>43</v>
      </c>
      <c r="H89" s="216" t="s">
        <v>43</v>
      </c>
      <c r="I89" s="64">
        <v>6.16</v>
      </c>
      <c r="J89" s="64">
        <v>0.1</v>
      </c>
      <c r="K89" s="64">
        <v>228.42</v>
      </c>
      <c r="L89" s="64">
        <v>23.71</v>
      </c>
      <c r="M89" s="64">
        <v>94.67</v>
      </c>
      <c r="N89" s="64">
        <v>47.1</v>
      </c>
      <c r="O89" s="64">
        <v>0</v>
      </c>
      <c r="P89" s="64">
        <v>0.34</v>
      </c>
      <c r="Q89" s="64">
        <v>13.31</v>
      </c>
      <c r="R89" s="198"/>
      <c r="S89" s="198"/>
      <c r="T89" s="198"/>
      <c r="U89" s="198"/>
    </row>
    <row r="90" spans="1:26" s="12" customFormat="1" x14ac:dyDescent="0.25">
      <c r="A90" s="215" t="s">
        <v>1001</v>
      </c>
      <c r="B90" s="64">
        <v>13.63</v>
      </c>
      <c r="C90" s="64">
        <v>17.04</v>
      </c>
      <c r="D90" s="64">
        <v>20.98</v>
      </c>
      <c r="E90" s="64">
        <v>2.15</v>
      </c>
      <c r="F90" s="64">
        <v>4.62</v>
      </c>
      <c r="G90" s="216" t="s">
        <v>43</v>
      </c>
      <c r="H90" s="216" t="s">
        <v>43</v>
      </c>
      <c r="I90" s="64">
        <v>6.08</v>
      </c>
      <c r="J90" s="64">
        <v>0.02</v>
      </c>
      <c r="K90" s="64">
        <v>280.69</v>
      </c>
      <c r="L90" s="64">
        <v>23.74</v>
      </c>
      <c r="M90" s="64">
        <v>93.78</v>
      </c>
      <c r="N90" s="64">
        <v>47</v>
      </c>
      <c r="O90" s="64">
        <v>0</v>
      </c>
      <c r="P90" s="64">
        <v>0.36</v>
      </c>
      <c r="Q90" s="64">
        <v>15.83</v>
      </c>
      <c r="R90" s="198"/>
      <c r="S90" s="198"/>
      <c r="T90" s="198"/>
      <c r="U90" s="198"/>
    </row>
    <row r="91" spans="1:26" s="12" customFormat="1" x14ac:dyDescent="0.25">
      <c r="A91" s="215" t="s">
        <v>1002</v>
      </c>
      <c r="B91" s="64">
        <v>13.02</v>
      </c>
      <c r="C91" s="64">
        <v>18.920000000000002</v>
      </c>
      <c r="D91" s="64">
        <v>21.53</v>
      </c>
      <c r="E91" s="64">
        <v>1.91</v>
      </c>
      <c r="F91" s="64">
        <v>4.96</v>
      </c>
      <c r="G91" s="216" t="s">
        <v>43</v>
      </c>
      <c r="H91" s="216" t="s">
        <v>43</v>
      </c>
      <c r="I91" s="64">
        <v>7.75</v>
      </c>
      <c r="J91" s="64">
        <v>0.03</v>
      </c>
      <c r="K91" s="64">
        <v>247.09</v>
      </c>
      <c r="L91" s="64">
        <v>23.78</v>
      </c>
      <c r="M91" s="64">
        <v>92.87</v>
      </c>
      <c r="N91" s="64">
        <v>46.9</v>
      </c>
      <c r="O91" s="64">
        <v>0</v>
      </c>
      <c r="P91" s="64">
        <v>0.37</v>
      </c>
      <c r="Q91" s="64">
        <v>13.86</v>
      </c>
      <c r="R91" s="198"/>
      <c r="S91" s="198"/>
      <c r="T91" s="198"/>
      <c r="U91" s="198"/>
    </row>
    <row r="92" spans="1:26" s="12" customFormat="1" x14ac:dyDescent="0.25">
      <c r="A92" s="215" t="s">
        <v>1003</v>
      </c>
      <c r="B92" s="64">
        <v>11.7</v>
      </c>
      <c r="C92" s="64">
        <v>15.35</v>
      </c>
      <c r="D92" s="64">
        <v>18.5</v>
      </c>
      <c r="E92" s="64">
        <v>1.77</v>
      </c>
      <c r="F92" s="64">
        <v>5.99</v>
      </c>
      <c r="G92" s="216" t="s">
        <v>43</v>
      </c>
      <c r="H92" s="216" t="s">
        <v>43</v>
      </c>
      <c r="I92" s="64">
        <v>8.67</v>
      </c>
      <c r="J92" s="64">
        <v>0.25</v>
      </c>
      <c r="K92" s="64">
        <v>191.4</v>
      </c>
      <c r="L92" s="64">
        <v>23.81</v>
      </c>
      <c r="M92" s="64">
        <v>92.42</v>
      </c>
      <c r="N92" s="64">
        <v>46.8</v>
      </c>
      <c r="O92" s="64">
        <v>0</v>
      </c>
      <c r="P92" s="64">
        <v>0.41</v>
      </c>
      <c r="Q92" s="64">
        <v>12.74</v>
      </c>
      <c r="R92" s="198"/>
      <c r="S92" s="198"/>
      <c r="T92" s="198"/>
      <c r="U92" s="198"/>
    </row>
    <row r="93" spans="1:26" s="12" customFormat="1" x14ac:dyDescent="0.25">
      <c r="A93" s="215" t="s">
        <v>1004</v>
      </c>
      <c r="B93" s="64">
        <v>18.850000000000001</v>
      </c>
      <c r="C93" s="64">
        <v>17.52</v>
      </c>
      <c r="D93" s="64">
        <v>25.43</v>
      </c>
      <c r="E93" s="64">
        <v>2.12</v>
      </c>
      <c r="F93" s="64">
        <v>3.75</v>
      </c>
      <c r="G93" s="216" t="s">
        <v>43</v>
      </c>
      <c r="H93" s="216" t="s">
        <v>43</v>
      </c>
      <c r="I93" s="64">
        <v>8.67</v>
      </c>
      <c r="J93" s="64">
        <v>0.34</v>
      </c>
      <c r="K93" s="64">
        <v>187.99</v>
      </c>
      <c r="L93" s="64">
        <v>23.88</v>
      </c>
      <c r="M93" s="64">
        <v>92.41</v>
      </c>
      <c r="N93" s="64">
        <v>46.6</v>
      </c>
      <c r="O93" s="64">
        <v>0</v>
      </c>
      <c r="P93" s="64">
        <v>0.42</v>
      </c>
      <c r="Q93" s="64">
        <v>15.68</v>
      </c>
      <c r="R93" s="198"/>
      <c r="S93" s="198"/>
      <c r="T93" s="198"/>
      <c r="U93" s="198"/>
    </row>
    <row r="94" spans="1:26" s="12" customFormat="1" x14ac:dyDescent="0.25">
      <c r="A94" s="215" t="s">
        <v>1005</v>
      </c>
      <c r="B94" s="64">
        <v>18.72</v>
      </c>
      <c r="C94" s="64">
        <v>21.38</v>
      </c>
      <c r="D94" s="64">
        <v>27.46</v>
      </c>
      <c r="E94" s="64">
        <v>1.79</v>
      </c>
      <c r="F94" s="64">
        <v>3.89</v>
      </c>
      <c r="G94" s="216" t="s">
        <v>43</v>
      </c>
      <c r="H94" s="216" t="s">
        <v>43</v>
      </c>
      <c r="I94" s="64">
        <v>9.6999999999999993</v>
      </c>
      <c r="J94" s="64">
        <v>0.28999999999999998</v>
      </c>
      <c r="K94" s="64">
        <v>208.24</v>
      </c>
      <c r="L94" s="64">
        <v>23.9</v>
      </c>
      <c r="M94" s="64">
        <v>91.9</v>
      </c>
      <c r="N94" s="64">
        <v>46.8</v>
      </c>
      <c r="O94" s="64">
        <v>0</v>
      </c>
      <c r="P94" s="64">
        <v>0.43</v>
      </c>
      <c r="Q94" s="64">
        <v>14.26</v>
      </c>
      <c r="R94" s="198"/>
      <c r="S94" s="198"/>
      <c r="T94" s="198"/>
      <c r="U94" s="198"/>
    </row>
    <row r="95" spans="1:26" s="12" customFormat="1" x14ac:dyDescent="0.25">
      <c r="A95" s="215" t="s">
        <v>1006</v>
      </c>
      <c r="B95" s="64">
        <v>17.39</v>
      </c>
      <c r="C95" s="64">
        <v>14.1</v>
      </c>
      <c r="D95" s="64">
        <v>22.37</v>
      </c>
      <c r="E95" s="64">
        <v>1.77</v>
      </c>
      <c r="F95" s="64">
        <v>4.76</v>
      </c>
      <c r="G95" s="216" t="s">
        <v>43</v>
      </c>
      <c r="H95" s="216" t="s">
        <v>43</v>
      </c>
      <c r="I95" s="64">
        <v>8.49</v>
      </c>
      <c r="J95" s="64">
        <v>0.39</v>
      </c>
      <c r="K95" s="64">
        <v>197.56</v>
      </c>
      <c r="L95" s="64">
        <v>23.93</v>
      </c>
      <c r="M95" s="64">
        <v>91.25</v>
      </c>
      <c r="N95" s="64">
        <v>46.7</v>
      </c>
      <c r="O95" s="64">
        <v>0</v>
      </c>
      <c r="P95" s="64">
        <v>0.45</v>
      </c>
      <c r="Q95" s="64">
        <v>13.97</v>
      </c>
      <c r="R95" s="198"/>
      <c r="S95" s="198"/>
      <c r="T95" s="198"/>
      <c r="U95" s="198"/>
    </row>
    <row r="96" spans="1:26" s="12" customFormat="1" x14ac:dyDescent="0.25">
      <c r="A96" s="215" t="s">
        <v>1007</v>
      </c>
      <c r="B96" s="64">
        <v>16.3</v>
      </c>
      <c r="C96" s="64">
        <v>13.18</v>
      </c>
      <c r="D96" s="64">
        <v>20.99</v>
      </c>
      <c r="E96" s="64">
        <v>2.23</v>
      </c>
      <c r="F96" s="64">
        <v>4.5599999999999996</v>
      </c>
      <c r="G96" s="216" t="s">
        <v>43</v>
      </c>
      <c r="H96" s="216" t="s">
        <v>43</v>
      </c>
      <c r="I96" s="64">
        <v>8.7799999999999994</v>
      </c>
      <c r="J96" s="64">
        <v>0.2</v>
      </c>
      <c r="K96" s="64">
        <v>208.92</v>
      </c>
      <c r="L96" s="64">
        <v>23.91</v>
      </c>
      <c r="M96" s="64">
        <v>91.71</v>
      </c>
      <c r="N96" s="64">
        <v>46.8</v>
      </c>
      <c r="O96" s="64">
        <v>0</v>
      </c>
      <c r="P96" s="64">
        <v>0.44</v>
      </c>
      <c r="Q96" s="64">
        <v>16.47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1008</v>
      </c>
      <c r="B97" s="64">
        <v>16.05</v>
      </c>
      <c r="C97" s="64">
        <v>19.420000000000002</v>
      </c>
      <c r="D97" s="64">
        <v>24.23</v>
      </c>
      <c r="E97" s="64">
        <v>2.13</v>
      </c>
      <c r="F97" s="64">
        <v>5.7</v>
      </c>
      <c r="G97" s="216" t="s">
        <v>43</v>
      </c>
      <c r="H97" s="216" t="s">
        <v>43</v>
      </c>
      <c r="I97" s="64">
        <v>9.99</v>
      </c>
      <c r="J97" s="64">
        <v>0.52</v>
      </c>
      <c r="K97" s="64">
        <v>196.15</v>
      </c>
      <c r="L97" s="64">
        <v>23.92</v>
      </c>
      <c r="M97" s="64">
        <v>91.07</v>
      </c>
      <c r="N97" s="64">
        <v>46.6</v>
      </c>
      <c r="O97" s="64">
        <v>0</v>
      </c>
      <c r="P97" s="64">
        <v>0.45</v>
      </c>
      <c r="Q97" s="64">
        <v>17.670000000000002</v>
      </c>
      <c r="R97" s="198"/>
      <c r="S97" s="198"/>
      <c r="T97" s="198"/>
      <c r="U97" s="198"/>
    </row>
    <row r="98" spans="1:33" s="12" customFormat="1" x14ac:dyDescent="0.25">
      <c r="A98" s="215" t="s">
        <v>1009</v>
      </c>
      <c r="B98" s="64">
        <v>19.22</v>
      </c>
      <c r="C98" s="64">
        <v>25.29</v>
      </c>
      <c r="D98" s="64">
        <v>30.02</v>
      </c>
      <c r="E98" s="64">
        <v>1.57</v>
      </c>
      <c r="F98" s="64">
        <v>5.64</v>
      </c>
      <c r="G98" s="216" t="s">
        <v>43</v>
      </c>
      <c r="H98" s="216" t="s">
        <v>43</v>
      </c>
      <c r="I98" s="64">
        <v>9.07</v>
      </c>
      <c r="J98" s="64">
        <v>0.4</v>
      </c>
      <c r="K98" s="64">
        <v>191.79</v>
      </c>
      <c r="L98" s="64">
        <v>23.94</v>
      </c>
      <c r="M98" s="64">
        <v>91.17</v>
      </c>
      <c r="N98" s="64">
        <v>46.7</v>
      </c>
      <c r="O98" s="64">
        <v>0</v>
      </c>
      <c r="P98" s="64">
        <v>0.44</v>
      </c>
      <c r="Q98" s="64">
        <v>18.11</v>
      </c>
      <c r="R98" s="198"/>
      <c r="S98" s="198"/>
      <c r="T98" s="198"/>
      <c r="U98" s="198"/>
    </row>
    <row r="99" spans="1:33" s="12" customFormat="1" x14ac:dyDescent="0.25">
      <c r="A99" s="215" t="s">
        <v>1010</v>
      </c>
      <c r="B99" s="64">
        <v>14.03</v>
      </c>
      <c r="C99" s="64">
        <v>20.61</v>
      </c>
      <c r="D99" s="64">
        <v>23.27</v>
      </c>
      <c r="E99" s="64">
        <v>1.64</v>
      </c>
      <c r="F99" s="64">
        <v>7.65</v>
      </c>
      <c r="G99" s="216" t="s">
        <v>43</v>
      </c>
      <c r="H99" s="216" t="s">
        <v>43</v>
      </c>
      <c r="I99" s="64">
        <v>7.2</v>
      </c>
      <c r="J99" s="64">
        <v>0.56999999999999995</v>
      </c>
      <c r="K99" s="64">
        <v>188.21</v>
      </c>
      <c r="L99" s="64">
        <v>23.88</v>
      </c>
      <c r="M99" s="64">
        <v>91.72</v>
      </c>
      <c r="N99" s="64">
        <v>46.7</v>
      </c>
      <c r="O99" s="64">
        <v>0</v>
      </c>
      <c r="P99" s="64">
        <v>0.45</v>
      </c>
      <c r="Q99" s="64">
        <v>18.96</v>
      </c>
      <c r="R99" s="198"/>
      <c r="S99" s="198"/>
      <c r="T99" s="198"/>
      <c r="U99" s="198"/>
    </row>
    <row r="100" spans="1:33" s="12" customFormat="1" x14ac:dyDescent="0.25">
      <c r="A100" s="215" t="s">
        <v>1011</v>
      </c>
      <c r="B100" s="64">
        <v>12.37</v>
      </c>
      <c r="C100" s="64">
        <v>16.920000000000002</v>
      </c>
      <c r="D100" s="64">
        <v>19.91</v>
      </c>
      <c r="E100" s="64">
        <v>1.57</v>
      </c>
      <c r="F100" s="64">
        <v>9.43</v>
      </c>
      <c r="G100" s="216" t="s">
        <v>43</v>
      </c>
      <c r="H100" s="216" t="s">
        <v>43</v>
      </c>
      <c r="I100" s="64">
        <v>6.57</v>
      </c>
      <c r="J100" s="64">
        <v>0.48</v>
      </c>
      <c r="K100" s="64">
        <v>198.26</v>
      </c>
      <c r="L100" s="64">
        <v>23.91</v>
      </c>
      <c r="M100" s="64">
        <v>91.27</v>
      </c>
      <c r="N100" s="64">
        <v>46.6</v>
      </c>
      <c r="O100" s="64">
        <v>0</v>
      </c>
      <c r="P100" s="64">
        <v>0.45</v>
      </c>
      <c r="Q100" s="64">
        <v>19.97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1012</v>
      </c>
      <c r="B101" s="64">
        <v>11.94</v>
      </c>
      <c r="C101" s="64">
        <v>17.760000000000002</v>
      </c>
      <c r="D101" s="64">
        <v>20.02</v>
      </c>
      <c r="E101" s="64">
        <v>1.66</v>
      </c>
      <c r="F101" s="64">
        <v>7.34</v>
      </c>
      <c r="G101" s="216" t="s">
        <v>43</v>
      </c>
      <c r="H101" s="216" t="s">
        <v>43</v>
      </c>
      <c r="I101" s="64">
        <v>6.48</v>
      </c>
      <c r="J101" s="64">
        <v>0.34</v>
      </c>
      <c r="K101" s="64">
        <v>192.83</v>
      </c>
      <c r="L101" s="64">
        <v>23.89</v>
      </c>
      <c r="M101" s="64">
        <v>91.63</v>
      </c>
      <c r="N101" s="64">
        <v>46.6</v>
      </c>
      <c r="O101" s="64">
        <v>0</v>
      </c>
      <c r="P101" s="64">
        <v>0.43</v>
      </c>
      <c r="Q101" s="64">
        <v>20.63</v>
      </c>
      <c r="R101" s="198"/>
      <c r="S101" s="198"/>
      <c r="T101" s="198"/>
      <c r="U101" s="198"/>
    </row>
    <row r="102" spans="1:33" s="12" customFormat="1" x14ac:dyDescent="0.25">
      <c r="A102" s="215" t="s">
        <v>1013</v>
      </c>
      <c r="B102" s="64">
        <v>14.91</v>
      </c>
      <c r="C102" s="64">
        <v>12.85</v>
      </c>
      <c r="D102" s="64">
        <v>19.7</v>
      </c>
      <c r="E102" s="64">
        <v>1.86</v>
      </c>
      <c r="F102" s="64">
        <v>4.99</v>
      </c>
      <c r="G102" s="216" t="s">
        <v>43</v>
      </c>
      <c r="H102" s="216" t="s">
        <v>43</v>
      </c>
      <c r="I102" s="64">
        <v>7.07</v>
      </c>
      <c r="J102" s="64">
        <v>0.44</v>
      </c>
      <c r="K102" s="64">
        <v>188.01</v>
      </c>
      <c r="L102" s="64">
        <v>23.8</v>
      </c>
      <c r="M102" s="64">
        <v>92.66</v>
      </c>
      <c r="N102" s="64">
        <v>46.6</v>
      </c>
      <c r="O102" s="64">
        <v>0</v>
      </c>
      <c r="P102" s="64">
        <v>0.43</v>
      </c>
      <c r="Q102" s="64">
        <v>19.89</v>
      </c>
      <c r="R102" s="198"/>
      <c r="S102" s="198"/>
      <c r="T102" s="198"/>
      <c r="U102" s="198"/>
    </row>
    <row r="103" spans="1:33" s="12" customFormat="1" x14ac:dyDescent="0.25">
      <c r="A103" s="215" t="s">
        <v>1014</v>
      </c>
      <c r="B103" s="64">
        <v>13.9</v>
      </c>
      <c r="C103" s="64">
        <v>12.13</v>
      </c>
      <c r="D103" s="64">
        <v>18.489999999999998</v>
      </c>
      <c r="E103" s="64">
        <v>2.11</v>
      </c>
      <c r="F103" s="64">
        <v>5.94</v>
      </c>
      <c r="G103" s="216" t="s">
        <v>43</v>
      </c>
      <c r="H103" s="216" t="s">
        <v>43</v>
      </c>
      <c r="I103" s="64">
        <v>8.5399999999999991</v>
      </c>
      <c r="J103" s="64">
        <v>0.55000000000000004</v>
      </c>
      <c r="K103" s="64">
        <v>187.33</v>
      </c>
      <c r="L103" s="64">
        <v>23.74</v>
      </c>
      <c r="M103" s="64">
        <v>93.13</v>
      </c>
      <c r="N103" s="64">
        <v>46.6</v>
      </c>
      <c r="O103" s="64">
        <v>0</v>
      </c>
      <c r="P103" s="64">
        <v>0.42</v>
      </c>
      <c r="Q103" s="64">
        <v>20.29</v>
      </c>
      <c r="R103" s="198"/>
      <c r="S103" s="198"/>
      <c r="T103" s="198"/>
      <c r="U103" s="198"/>
    </row>
    <row r="104" spans="1:33" s="12" customFormat="1" x14ac:dyDescent="0.25">
      <c r="A104" s="215" t="s">
        <v>1015</v>
      </c>
      <c r="B104" s="64">
        <v>13.31</v>
      </c>
      <c r="C104" s="64">
        <v>11.21</v>
      </c>
      <c r="D104" s="64">
        <v>17.510000000000002</v>
      </c>
      <c r="E104" s="64">
        <v>2.67</v>
      </c>
      <c r="F104" s="64">
        <v>5.95</v>
      </c>
      <c r="G104" s="216" t="s">
        <v>43</v>
      </c>
      <c r="H104" s="216" t="s">
        <v>43</v>
      </c>
      <c r="I104" s="64">
        <v>10.16</v>
      </c>
      <c r="J104" s="64">
        <v>0.25</v>
      </c>
      <c r="K104" s="64">
        <v>192.84</v>
      </c>
      <c r="L104" s="64">
        <v>23.67</v>
      </c>
      <c r="M104" s="64">
        <v>94.63</v>
      </c>
      <c r="N104" s="64">
        <v>46.7</v>
      </c>
      <c r="O104" s="64">
        <v>0</v>
      </c>
      <c r="P104" s="64">
        <v>0.42</v>
      </c>
      <c r="Q104" s="64">
        <v>19.21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4.4000000000000004</v>
      </c>
      <c r="C106" s="67">
        <f>MIN(C9:C104)</f>
        <v>9.7200000000000006</v>
      </c>
      <c r="D106" s="67">
        <f t="shared" ref="D106:Q106" si="0">MIN(D9:D104)</f>
        <v>10.47</v>
      </c>
      <c r="E106" s="67">
        <f t="shared" si="0"/>
        <v>1.1399999999999999</v>
      </c>
      <c r="F106" s="67">
        <f t="shared" si="0"/>
        <v>1.45</v>
      </c>
      <c r="G106" s="67">
        <f t="shared" si="0"/>
        <v>0</v>
      </c>
      <c r="H106" s="67">
        <f t="shared" si="0"/>
        <v>0</v>
      </c>
      <c r="I106" s="67">
        <f t="shared" si="0"/>
        <v>1.54</v>
      </c>
      <c r="J106" s="67">
        <f t="shared" si="0"/>
        <v>0.02</v>
      </c>
      <c r="K106" s="67">
        <f t="shared" si="0"/>
        <v>0.64</v>
      </c>
      <c r="L106" s="67">
        <f t="shared" si="0"/>
        <v>20.99</v>
      </c>
      <c r="M106" s="67">
        <f t="shared" si="0"/>
        <v>82</v>
      </c>
      <c r="N106" s="67">
        <f t="shared" si="0"/>
        <v>45.4</v>
      </c>
      <c r="O106" s="67">
        <f t="shared" si="0"/>
        <v>0</v>
      </c>
      <c r="P106" s="67">
        <f t="shared" si="0"/>
        <v>0.2</v>
      </c>
      <c r="Q106" s="67">
        <f t="shared" si="0"/>
        <v>1.53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19.22</v>
      </c>
      <c r="C107" s="66">
        <f t="shared" ref="C107:Q107" si="1">MAX(C9:C104)</f>
        <v>32.44</v>
      </c>
      <c r="D107" s="66">
        <f t="shared" si="1"/>
        <v>30.88</v>
      </c>
      <c r="E107" s="66">
        <f t="shared" si="1"/>
        <v>3.43</v>
      </c>
      <c r="F107" s="66">
        <f t="shared" si="1"/>
        <v>20.05</v>
      </c>
      <c r="G107" s="66">
        <f t="shared" si="1"/>
        <v>0</v>
      </c>
      <c r="H107" s="66">
        <f t="shared" si="1"/>
        <v>0</v>
      </c>
      <c r="I107" s="66">
        <f t="shared" si="1"/>
        <v>66.040000000000006</v>
      </c>
      <c r="J107" s="66">
        <f t="shared" si="1"/>
        <v>0.73</v>
      </c>
      <c r="K107" s="66">
        <f t="shared" si="1"/>
        <v>357.37</v>
      </c>
      <c r="L107" s="66">
        <f t="shared" si="1"/>
        <v>25.37</v>
      </c>
      <c r="M107" s="66">
        <f t="shared" si="1"/>
        <v>97.2</v>
      </c>
      <c r="N107" s="66">
        <f t="shared" si="1"/>
        <v>369.9</v>
      </c>
      <c r="O107" s="66">
        <f t="shared" si="1"/>
        <v>2.6</v>
      </c>
      <c r="P107" s="66">
        <f t="shared" si="1"/>
        <v>0.47</v>
      </c>
      <c r="Q107" s="66">
        <f t="shared" si="1"/>
        <v>20.63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8.2229166666666682</v>
      </c>
      <c r="C108" s="67">
        <f t="shared" ref="C108:Q108" si="2">AVERAGE(C9:C104)</f>
        <v>14.569583333333339</v>
      </c>
      <c r="D108" s="67">
        <f t="shared" si="2"/>
        <v>15.281562500000005</v>
      </c>
      <c r="E108" s="67">
        <f t="shared" si="2"/>
        <v>2.409583333333333</v>
      </c>
      <c r="F108" s="67">
        <f t="shared" si="2"/>
        <v>6.4394791666666693</v>
      </c>
      <c r="G108" s="67" t="e">
        <f t="shared" si="2"/>
        <v>#DIV/0!</v>
      </c>
      <c r="H108" s="67" t="e">
        <f t="shared" si="2"/>
        <v>#DIV/0!</v>
      </c>
      <c r="I108" s="67">
        <f t="shared" si="2"/>
        <v>8.1955208333333349</v>
      </c>
      <c r="J108" s="67">
        <f t="shared" si="2"/>
        <v>0.23135416666666672</v>
      </c>
      <c r="K108" s="67">
        <f t="shared" si="2"/>
        <v>205.52250000000004</v>
      </c>
      <c r="L108" s="67">
        <f t="shared" si="2"/>
        <v>23.307395833333327</v>
      </c>
      <c r="M108" s="67">
        <f t="shared" si="2"/>
        <v>92.530937499999979</v>
      </c>
      <c r="N108" s="67">
        <f t="shared" si="2"/>
        <v>108.77916666666671</v>
      </c>
      <c r="O108" s="67">
        <f t="shared" si="2"/>
        <v>8.7499999999999981E-2</v>
      </c>
      <c r="P108" s="67">
        <f t="shared" si="2"/>
        <v>0.30802083333333324</v>
      </c>
      <c r="Q108" s="67">
        <f t="shared" si="2"/>
        <v>10.834166666666667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3.6148197645006523</v>
      </c>
      <c r="C109" s="67">
        <f t="shared" ref="C109:Q109" si="3">STDEV(C9:C104)</f>
        <v>4.8465414508789317</v>
      </c>
      <c r="D109" s="67">
        <f t="shared" si="3"/>
        <v>4.882486926303657</v>
      </c>
      <c r="E109" s="67">
        <f t="shared" si="3"/>
        <v>0.50917459866908488</v>
      </c>
      <c r="F109" s="67">
        <f t="shared" si="3"/>
        <v>3.4712446940365851</v>
      </c>
      <c r="G109" s="67" t="e">
        <f t="shared" si="3"/>
        <v>#DIV/0!</v>
      </c>
      <c r="H109" s="67" t="e">
        <f t="shared" si="3"/>
        <v>#DIV/0!</v>
      </c>
      <c r="I109" s="67">
        <f t="shared" si="3"/>
        <v>8.3597082383980599</v>
      </c>
      <c r="J109" s="67">
        <f t="shared" si="3"/>
        <v>0.1620761341025076</v>
      </c>
      <c r="K109" s="67">
        <f t="shared" si="3"/>
        <v>71.146087720230184</v>
      </c>
      <c r="L109" s="67">
        <f t="shared" si="3"/>
        <v>1.0448744520821796</v>
      </c>
      <c r="M109" s="67">
        <f t="shared" si="3"/>
        <v>4.0175971027796153</v>
      </c>
      <c r="N109" s="67">
        <f t="shared" si="3"/>
        <v>80.339026259663271</v>
      </c>
      <c r="O109" s="67">
        <f t="shared" si="3"/>
        <v>0.3492096339178698</v>
      </c>
      <c r="P109" s="67">
        <f t="shared" si="3"/>
        <v>8.1558758820563917E-2</v>
      </c>
      <c r="Q109" s="67">
        <f t="shared" si="3"/>
        <v>4.9747397004988452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0</v>
      </c>
      <c r="H110" s="66">
        <f>COUNT(H9:H104)</f>
        <v>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43" sqref="G14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1016</v>
      </c>
      <c r="B9" s="64">
        <v>13.74</v>
      </c>
      <c r="C9" s="64">
        <v>9.67</v>
      </c>
      <c r="D9" s="64">
        <v>17</v>
      </c>
      <c r="E9" s="64">
        <v>3.38</v>
      </c>
      <c r="F9" s="64">
        <v>5.29</v>
      </c>
      <c r="G9" s="216" t="s">
        <v>43</v>
      </c>
      <c r="H9" s="216" t="s">
        <v>43</v>
      </c>
      <c r="I9" s="64">
        <v>9.51</v>
      </c>
      <c r="J9" s="64">
        <v>0.22</v>
      </c>
      <c r="K9" s="64">
        <v>194.51</v>
      </c>
      <c r="L9" s="64">
        <v>23.57</v>
      </c>
      <c r="M9" s="64">
        <v>95.76</v>
      </c>
      <c r="N9" s="64">
        <v>46.6</v>
      </c>
      <c r="O9" s="64">
        <v>0</v>
      </c>
      <c r="P9" s="64">
        <v>0.41</v>
      </c>
      <c r="Q9" s="64">
        <v>19.05</v>
      </c>
      <c r="R9" s="198"/>
      <c r="S9" s="198"/>
      <c r="T9" s="198"/>
      <c r="U9" s="198"/>
    </row>
    <row r="10" spans="1:21" s="12" customFormat="1" x14ac:dyDescent="0.25">
      <c r="A10" s="215" t="s">
        <v>1017</v>
      </c>
      <c r="B10" s="64">
        <v>12.28</v>
      </c>
      <c r="C10" s="64">
        <v>10.73</v>
      </c>
      <c r="D10" s="64">
        <v>16.420000000000002</v>
      </c>
      <c r="E10" s="64">
        <v>2.82</v>
      </c>
      <c r="F10" s="64">
        <v>5.74</v>
      </c>
      <c r="G10" s="216" t="s">
        <v>43</v>
      </c>
      <c r="H10" s="216" t="s">
        <v>43</v>
      </c>
      <c r="I10" s="64">
        <v>9.94</v>
      </c>
      <c r="J10" s="64">
        <v>0.78</v>
      </c>
      <c r="K10" s="64">
        <v>192.75</v>
      </c>
      <c r="L10" s="64">
        <v>23.53</v>
      </c>
      <c r="M10" s="64">
        <v>95.39</v>
      </c>
      <c r="N10" s="64">
        <v>46.5</v>
      </c>
      <c r="O10" s="64">
        <v>0</v>
      </c>
      <c r="P10" s="64">
        <v>0.38</v>
      </c>
      <c r="Q10" s="64">
        <v>19.27</v>
      </c>
      <c r="R10" s="198"/>
      <c r="S10" s="198"/>
      <c r="T10" s="198"/>
      <c r="U10" s="198"/>
    </row>
    <row r="11" spans="1:21" s="12" customFormat="1" x14ac:dyDescent="0.25">
      <c r="A11" s="215" t="s">
        <v>1018</v>
      </c>
      <c r="B11" s="64">
        <v>12.84</v>
      </c>
      <c r="C11" s="64">
        <v>8.6999999999999993</v>
      </c>
      <c r="D11" s="64">
        <v>15.74</v>
      </c>
      <c r="E11" s="64">
        <v>3.18</v>
      </c>
      <c r="F11" s="64">
        <v>5.3</v>
      </c>
      <c r="G11" s="216" t="s">
        <v>43</v>
      </c>
      <c r="H11" s="216" t="s">
        <v>43</v>
      </c>
      <c r="I11" s="64">
        <v>9.68</v>
      </c>
      <c r="J11" s="64">
        <v>0.77</v>
      </c>
      <c r="K11" s="64">
        <v>189.84</v>
      </c>
      <c r="L11" s="64">
        <v>23.56</v>
      </c>
      <c r="M11" s="64">
        <v>94.91</v>
      </c>
      <c r="N11" s="64">
        <v>46.6</v>
      </c>
      <c r="O11" s="64">
        <v>0</v>
      </c>
      <c r="P11" s="64">
        <v>0.38</v>
      </c>
      <c r="Q11" s="64">
        <v>17.05</v>
      </c>
      <c r="R11" s="198"/>
      <c r="S11" s="198"/>
      <c r="T11" s="198"/>
      <c r="U11" s="198"/>
    </row>
    <row r="12" spans="1:21" s="12" customFormat="1" x14ac:dyDescent="0.25">
      <c r="A12" s="215" t="s">
        <v>1019</v>
      </c>
      <c r="B12" s="64">
        <v>12.71</v>
      </c>
      <c r="C12" s="64">
        <v>8.4</v>
      </c>
      <c r="D12" s="64">
        <v>15.48</v>
      </c>
      <c r="E12" s="64">
        <v>3.31</v>
      </c>
      <c r="F12" s="64">
        <v>4.97</v>
      </c>
      <c r="G12" s="216" t="s">
        <v>43</v>
      </c>
      <c r="H12" s="216" t="s">
        <v>43</v>
      </c>
      <c r="I12" s="64">
        <v>9.4499999999999993</v>
      </c>
      <c r="J12" s="64">
        <v>0.79</v>
      </c>
      <c r="K12" s="64">
        <v>190.5</v>
      </c>
      <c r="L12" s="64">
        <v>23.63</v>
      </c>
      <c r="M12" s="64">
        <v>93.89</v>
      </c>
      <c r="N12" s="64">
        <v>46.6</v>
      </c>
      <c r="O12" s="64">
        <v>0</v>
      </c>
      <c r="P12" s="64">
        <v>0.38</v>
      </c>
      <c r="Q12" s="64">
        <v>18.440000000000001</v>
      </c>
      <c r="R12" s="198"/>
      <c r="S12" s="198"/>
      <c r="T12" s="198"/>
      <c r="U12" s="198"/>
    </row>
    <row r="13" spans="1:21" s="12" customFormat="1" x14ac:dyDescent="0.25">
      <c r="A13" s="215" t="s">
        <v>1020</v>
      </c>
      <c r="B13" s="64">
        <v>10.02</v>
      </c>
      <c r="C13" s="64">
        <v>10.61</v>
      </c>
      <c r="D13" s="64">
        <v>14.53</v>
      </c>
      <c r="E13" s="64">
        <v>3</v>
      </c>
      <c r="F13" s="64">
        <v>8.44</v>
      </c>
      <c r="G13" s="216" t="s">
        <v>43</v>
      </c>
      <c r="H13" s="216" t="s">
        <v>43</v>
      </c>
      <c r="I13" s="64">
        <v>10.220000000000001</v>
      </c>
      <c r="J13" s="64">
        <v>0.78</v>
      </c>
      <c r="K13" s="64">
        <v>193.3</v>
      </c>
      <c r="L13" s="64">
        <v>23.63</v>
      </c>
      <c r="M13" s="64">
        <v>93.94</v>
      </c>
      <c r="N13" s="64">
        <v>46.6</v>
      </c>
      <c r="O13" s="64">
        <v>0</v>
      </c>
      <c r="P13" s="64">
        <v>0.33</v>
      </c>
      <c r="Q13" s="64">
        <v>20.059999999999999</v>
      </c>
      <c r="R13" s="198"/>
      <c r="S13" s="198"/>
      <c r="T13" s="198"/>
      <c r="U13" s="198"/>
    </row>
    <row r="14" spans="1:21" s="12" customFormat="1" x14ac:dyDescent="0.25">
      <c r="A14" s="215" t="s">
        <v>1021</v>
      </c>
      <c r="B14" s="64">
        <v>8.14</v>
      </c>
      <c r="C14" s="64">
        <v>10.25</v>
      </c>
      <c r="D14" s="64">
        <v>12.83</v>
      </c>
      <c r="E14" s="64">
        <v>3.36</v>
      </c>
      <c r="F14" s="64">
        <v>11.62</v>
      </c>
      <c r="G14" s="216" t="s">
        <v>43</v>
      </c>
      <c r="H14" s="216" t="s">
        <v>43</v>
      </c>
      <c r="I14" s="64">
        <v>9.56</v>
      </c>
      <c r="J14" s="64">
        <v>0.09</v>
      </c>
      <c r="K14" s="64">
        <v>216.4</v>
      </c>
      <c r="L14" s="64">
        <v>23.58</v>
      </c>
      <c r="M14" s="64">
        <v>94.97</v>
      </c>
      <c r="N14" s="64">
        <v>46.6</v>
      </c>
      <c r="O14" s="64">
        <v>0</v>
      </c>
      <c r="P14" s="64">
        <v>0.36</v>
      </c>
      <c r="Q14" s="64">
        <v>18.72</v>
      </c>
      <c r="R14" s="198"/>
      <c r="S14" s="198"/>
      <c r="T14" s="198"/>
      <c r="U14" s="198"/>
    </row>
    <row r="15" spans="1:21" s="12" customFormat="1" x14ac:dyDescent="0.25">
      <c r="A15" s="215" t="s">
        <v>1022</v>
      </c>
      <c r="B15" s="64">
        <v>8.58</v>
      </c>
      <c r="C15" s="64">
        <v>10.16</v>
      </c>
      <c r="D15" s="64">
        <v>13.13</v>
      </c>
      <c r="E15" s="64">
        <v>3.17</v>
      </c>
      <c r="F15" s="64">
        <v>8.84</v>
      </c>
      <c r="G15" s="216" t="s">
        <v>43</v>
      </c>
      <c r="H15" s="216" t="s">
        <v>43</v>
      </c>
      <c r="I15" s="64">
        <v>7.05</v>
      </c>
      <c r="J15" s="64">
        <v>0.09</v>
      </c>
      <c r="K15" s="64">
        <v>51.41</v>
      </c>
      <c r="L15" s="64">
        <v>23.56</v>
      </c>
      <c r="M15" s="64">
        <v>96.22</v>
      </c>
      <c r="N15" s="64">
        <v>46.6</v>
      </c>
      <c r="O15" s="64">
        <v>0</v>
      </c>
      <c r="P15" s="64">
        <v>0.35</v>
      </c>
      <c r="Q15" s="64">
        <v>20.64</v>
      </c>
      <c r="R15" s="198"/>
      <c r="S15" s="198"/>
      <c r="T15" s="198"/>
      <c r="U15" s="198"/>
    </row>
    <row r="16" spans="1:21" s="12" customFormat="1" x14ac:dyDescent="0.25">
      <c r="A16" s="215" t="s">
        <v>1023</v>
      </c>
      <c r="B16" s="64">
        <v>8.1999999999999993</v>
      </c>
      <c r="C16" s="64">
        <v>10.37</v>
      </c>
      <c r="D16" s="64">
        <v>12.94</v>
      </c>
      <c r="E16" s="64">
        <v>2.72</v>
      </c>
      <c r="F16" s="64">
        <v>9.4700000000000006</v>
      </c>
      <c r="G16" s="216" t="s">
        <v>43</v>
      </c>
      <c r="H16" s="216" t="s">
        <v>43</v>
      </c>
      <c r="I16" s="64">
        <v>6.51</v>
      </c>
      <c r="J16" s="64">
        <v>0.03</v>
      </c>
      <c r="K16" s="64">
        <v>9.76</v>
      </c>
      <c r="L16" s="64">
        <v>23.37</v>
      </c>
      <c r="M16" s="64">
        <v>96.87</v>
      </c>
      <c r="N16" s="64">
        <v>46.1</v>
      </c>
      <c r="O16" s="64">
        <v>0</v>
      </c>
      <c r="P16" s="64">
        <v>0.34</v>
      </c>
      <c r="Q16" s="64">
        <v>20.27</v>
      </c>
      <c r="R16" s="198"/>
      <c r="S16" s="198"/>
      <c r="T16" s="198"/>
      <c r="U16" s="198"/>
    </row>
    <row r="17" spans="1:21" s="12" customFormat="1" x14ac:dyDescent="0.25">
      <c r="A17" s="215" t="s">
        <v>1024</v>
      </c>
      <c r="B17" s="64">
        <v>10.02</v>
      </c>
      <c r="C17" s="64">
        <v>8.67</v>
      </c>
      <c r="D17" s="64">
        <v>13.47</v>
      </c>
      <c r="E17" s="64">
        <v>3.19</v>
      </c>
      <c r="F17" s="64">
        <v>5.37</v>
      </c>
      <c r="G17" s="216" t="s">
        <v>43</v>
      </c>
      <c r="H17" s="216" t="s">
        <v>43</v>
      </c>
      <c r="I17" s="64">
        <v>5.86</v>
      </c>
      <c r="J17" s="64">
        <v>0.17</v>
      </c>
      <c r="K17" s="64">
        <v>232.72</v>
      </c>
      <c r="L17" s="64">
        <v>23.4</v>
      </c>
      <c r="M17" s="64">
        <v>96.12</v>
      </c>
      <c r="N17" s="64">
        <v>46.1</v>
      </c>
      <c r="O17" s="64">
        <v>0</v>
      </c>
      <c r="P17" s="64">
        <v>0.34</v>
      </c>
      <c r="Q17" s="64">
        <v>21.02</v>
      </c>
      <c r="R17" s="198"/>
      <c r="S17" s="198"/>
      <c r="T17" s="198"/>
      <c r="U17" s="198"/>
    </row>
    <row r="18" spans="1:21" s="12" customFormat="1" x14ac:dyDescent="0.25">
      <c r="A18" s="215" t="s">
        <v>1025</v>
      </c>
      <c r="B18" s="64">
        <v>11.12</v>
      </c>
      <c r="C18" s="64">
        <v>9.3800000000000008</v>
      </c>
      <c r="D18" s="64">
        <v>14.74</v>
      </c>
      <c r="E18" s="64">
        <v>3.16</v>
      </c>
      <c r="F18" s="64">
        <v>3.72</v>
      </c>
      <c r="G18" s="216" t="s">
        <v>43</v>
      </c>
      <c r="H18" s="216" t="s">
        <v>43</v>
      </c>
      <c r="I18" s="64">
        <v>6.85</v>
      </c>
      <c r="J18" s="64">
        <v>0.1</v>
      </c>
      <c r="K18" s="64">
        <v>350.73</v>
      </c>
      <c r="L18" s="64">
        <v>23.36</v>
      </c>
      <c r="M18" s="64">
        <v>92.08</v>
      </c>
      <c r="N18" s="64">
        <v>46.1</v>
      </c>
      <c r="O18" s="64">
        <v>0</v>
      </c>
      <c r="P18" s="64">
        <v>0.3</v>
      </c>
      <c r="Q18" s="64">
        <v>20.14</v>
      </c>
      <c r="R18" s="198"/>
      <c r="S18" s="198"/>
      <c r="T18" s="198"/>
      <c r="U18" s="198"/>
    </row>
    <row r="19" spans="1:21" s="12" customFormat="1" x14ac:dyDescent="0.25">
      <c r="A19" s="215" t="s">
        <v>1026</v>
      </c>
      <c r="B19" s="64">
        <v>8.68</v>
      </c>
      <c r="C19" s="64">
        <v>9.85</v>
      </c>
      <c r="D19" s="64">
        <v>13.05</v>
      </c>
      <c r="E19" s="64">
        <v>3.03</v>
      </c>
      <c r="F19" s="64">
        <v>5.51</v>
      </c>
      <c r="G19" s="216" t="s">
        <v>43</v>
      </c>
      <c r="H19" s="216" t="s">
        <v>43</v>
      </c>
      <c r="I19" s="64">
        <v>9.5500000000000007</v>
      </c>
      <c r="J19" s="64">
        <v>0.43</v>
      </c>
      <c r="K19" s="64">
        <v>56.1</v>
      </c>
      <c r="L19" s="64">
        <v>22.75</v>
      </c>
      <c r="M19" s="64">
        <v>92.81</v>
      </c>
      <c r="N19" s="64">
        <v>47.4</v>
      </c>
      <c r="O19" s="64">
        <v>0</v>
      </c>
      <c r="P19" s="64">
        <v>0.27</v>
      </c>
      <c r="Q19" s="64">
        <v>15.34</v>
      </c>
      <c r="R19" s="198"/>
      <c r="S19" s="198"/>
      <c r="T19" s="198"/>
      <c r="U19" s="198"/>
    </row>
    <row r="20" spans="1:21" s="12" customFormat="1" x14ac:dyDescent="0.25">
      <c r="A20" s="215" t="s">
        <v>1027</v>
      </c>
      <c r="B20" s="64">
        <v>6.28</v>
      </c>
      <c r="C20" s="64">
        <v>10.39</v>
      </c>
      <c r="D20" s="64">
        <v>11.41</v>
      </c>
      <c r="E20" s="64">
        <v>3.28</v>
      </c>
      <c r="F20" s="64">
        <v>5.68</v>
      </c>
      <c r="G20" s="216" t="s">
        <v>43</v>
      </c>
      <c r="H20" s="216" t="s">
        <v>43</v>
      </c>
      <c r="I20" s="64">
        <v>10.1</v>
      </c>
      <c r="J20" s="64">
        <v>0.41</v>
      </c>
      <c r="K20" s="64">
        <v>55.49</v>
      </c>
      <c r="L20" s="64">
        <v>22.26</v>
      </c>
      <c r="M20" s="64">
        <v>93.15</v>
      </c>
      <c r="N20" s="64">
        <v>47.2</v>
      </c>
      <c r="O20" s="64">
        <v>0</v>
      </c>
      <c r="P20" s="64">
        <v>0.23</v>
      </c>
      <c r="Q20" s="64">
        <v>14.48</v>
      </c>
      <c r="R20" s="198"/>
      <c r="S20" s="198"/>
      <c r="T20" s="198"/>
      <c r="U20" s="198"/>
    </row>
    <row r="21" spans="1:21" s="12" customFormat="1" x14ac:dyDescent="0.25">
      <c r="A21" s="215" t="s">
        <v>1028</v>
      </c>
      <c r="B21" s="64">
        <v>4.75</v>
      </c>
      <c r="C21" s="64">
        <v>11.5</v>
      </c>
      <c r="D21" s="64">
        <v>10.8</v>
      </c>
      <c r="E21" s="64">
        <v>2.88</v>
      </c>
      <c r="F21" s="64">
        <v>3.51</v>
      </c>
      <c r="G21" s="216" t="s">
        <v>43</v>
      </c>
      <c r="H21" s="216" t="s">
        <v>43</v>
      </c>
      <c r="I21" s="64">
        <v>9.07</v>
      </c>
      <c r="J21" s="64">
        <v>0.45</v>
      </c>
      <c r="K21" s="64">
        <v>47.63</v>
      </c>
      <c r="L21" s="64">
        <v>22.02</v>
      </c>
      <c r="M21" s="64">
        <v>92.43</v>
      </c>
      <c r="N21" s="64">
        <v>47</v>
      </c>
      <c r="O21" s="64">
        <v>0</v>
      </c>
      <c r="P21" s="64">
        <v>0.18</v>
      </c>
      <c r="Q21" s="64">
        <v>12.31</v>
      </c>
      <c r="R21" s="198"/>
      <c r="S21" s="198"/>
      <c r="T21" s="198"/>
      <c r="U21" s="198"/>
    </row>
    <row r="22" spans="1:21" s="12" customFormat="1" x14ac:dyDescent="0.25">
      <c r="A22" s="215" t="s">
        <v>1029</v>
      </c>
      <c r="B22" s="64">
        <v>4.03</v>
      </c>
      <c r="C22" s="64">
        <v>9.6999999999999993</v>
      </c>
      <c r="D22" s="64">
        <v>9.24</v>
      </c>
      <c r="E22" s="64">
        <v>2.7</v>
      </c>
      <c r="F22" s="64">
        <v>6.39</v>
      </c>
      <c r="G22" s="216" t="s">
        <v>43</v>
      </c>
      <c r="H22" s="216" t="s">
        <v>43</v>
      </c>
      <c r="I22" s="64">
        <v>8.02</v>
      </c>
      <c r="J22" s="64">
        <v>0.42</v>
      </c>
      <c r="K22" s="64">
        <v>55.35</v>
      </c>
      <c r="L22" s="64">
        <v>21.91</v>
      </c>
      <c r="M22" s="64">
        <v>92.71</v>
      </c>
      <c r="N22" s="64">
        <v>46.7</v>
      </c>
      <c r="O22" s="64">
        <v>0</v>
      </c>
      <c r="P22" s="64">
        <v>0.17</v>
      </c>
      <c r="Q22" s="64">
        <v>8.5299999999999994</v>
      </c>
      <c r="R22" s="198"/>
      <c r="S22" s="198"/>
      <c r="T22" s="198"/>
      <c r="U22" s="198"/>
    </row>
    <row r="23" spans="1:21" s="12" customFormat="1" x14ac:dyDescent="0.25">
      <c r="A23" s="215" t="s">
        <v>1030</v>
      </c>
      <c r="B23" s="64">
        <v>3.99</v>
      </c>
      <c r="C23" s="64">
        <v>9.52</v>
      </c>
      <c r="D23" s="64">
        <v>9.1</v>
      </c>
      <c r="E23" s="64">
        <v>3.04</v>
      </c>
      <c r="F23" s="64">
        <v>3.57</v>
      </c>
      <c r="G23" s="216" t="s">
        <v>43</v>
      </c>
      <c r="H23" s="216" t="s">
        <v>43</v>
      </c>
      <c r="I23" s="64">
        <v>6.93</v>
      </c>
      <c r="J23" s="64">
        <v>0.19</v>
      </c>
      <c r="K23" s="64">
        <v>51.98</v>
      </c>
      <c r="L23" s="64">
        <v>21.82</v>
      </c>
      <c r="M23" s="64">
        <v>94.64</v>
      </c>
      <c r="N23" s="64">
        <v>46.6</v>
      </c>
      <c r="O23" s="64">
        <v>0</v>
      </c>
      <c r="P23" s="64">
        <v>0.15</v>
      </c>
      <c r="Q23" s="64">
        <v>9.36</v>
      </c>
      <c r="R23" s="198"/>
      <c r="S23" s="198"/>
      <c r="T23" s="198"/>
      <c r="U23" s="198"/>
    </row>
    <row r="24" spans="1:21" s="12" customFormat="1" x14ac:dyDescent="0.25">
      <c r="A24" s="215" t="s">
        <v>1031</v>
      </c>
      <c r="B24" s="64">
        <v>3.95</v>
      </c>
      <c r="C24" s="64">
        <v>9.41</v>
      </c>
      <c r="D24" s="64">
        <v>9.01</v>
      </c>
      <c r="E24" s="64">
        <v>1.83</v>
      </c>
      <c r="F24" s="64">
        <v>3.87</v>
      </c>
      <c r="G24" s="216" t="s">
        <v>43</v>
      </c>
      <c r="H24" s="216" t="s">
        <v>43</v>
      </c>
      <c r="I24" s="64">
        <v>6.25</v>
      </c>
      <c r="J24" s="64">
        <v>0.22</v>
      </c>
      <c r="K24" s="64">
        <v>43.71</v>
      </c>
      <c r="L24" s="64">
        <v>21.73</v>
      </c>
      <c r="M24" s="64">
        <v>96.04</v>
      </c>
      <c r="N24" s="64">
        <v>46.6</v>
      </c>
      <c r="O24" s="64">
        <v>0</v>
      </c>
      <c r="P24" s="64">
        <v>0.14000000000000001</v>
      </c>
      <c r="Q24" s="64">
        <v>7.02</v>
      </c>
      <c r="R24" s="198"/>
      <c r="S24" s="198"/>
      <c r="T24" s="198"/>
      <c r="U24" s="198"/>
    </row>
    <row r="25" spans="1:21" s="12" customFormat="1" x14ac:dyDescent="0.25">
      <c r="A25" s="215" t="s">
        <v>1032</v>
      </c>
      <c r="B25" s="64">
        <v>4.2300000000000004</v>
      </c>
      <c r="C25" s="64">
        <v>8.67</v>
      </c>
      <c r="D25" s="64">
        <v>8.83</v>
      </c>
      <c r="E25" s="64">
        <v>1.67</v>
      </c>
      <c r="F25" s="64">
        <v>5.16</v>
      </c>
      <c r="G25" s="216" t="s">
        <v>43</v>
      </c>
      <c r="H25" s="216" t="s">
        <v>43</v>
      </c>
      <c r="I25" s="64">
        <v>5.9</v>
      </c>
      <c r="J25" s="64">
        <v>0.14000000000000001</v>
      </c>
      <c r="K25" s="64">
        <v>44.87</v>
      </c>
      <c r="L25" s="64">
        <v>21.59</v>
      </c>
      <c r="M25" s="64">
        <v>96.6</v>
      </c>
      <c r="N25" s="64">
        <v>46.6</v>
      </c>
      <c r="O25" s="64">
        <v>0</v>
      </c>
      <c r="P25" s="64">
        <v>0.15</v>
      </c>
      <c r="Q25" s="64">
        <v>8.34</v>
      </c>
      <c r="R25" s="198"/>
      <c r="S25" s="198"/>
      <c r="T25" s="198"/>
      <c r="U25" s="198"/>
    </row>
    <row r="26" spans="1:21" s="12" customFormat="1" x14ac:dyDescent="0.25">
      <c r="A26" s="215" t="s">
        <v>1033</v>
      </c>
      <c r="B26" s="64">
        <v>4.45</v>
      </c>
      <c r="C26" s="64">
        <v>9.73</v>
      </c>
      <c r="D26" s="64">
        <v>9.59</v>
      </c>
      <c r="E26" s="64">
        <v>2.13</v>
      </c>
      <c r="F26" s="64">
        <v>5</v>
      </c>
      <c r="G26" s="216" t="s">
        <v>43</v>
      </c>
      <c r="H26" s="216" t="s">
        <v>43</v>
      </c>
      <c r="I26" s="64">
        <v>5.74</v>
      </c>
      <c r="J26" s="64">
        <v>0.16</v>
      </c>
      <c r="K26" s="64">
        <v>29.39</v>
      </c>
      <c r="L26" s="64">
        <v>21.39</v>
      </c>
      <c r="M26" s="64">
        <v>97.16</v>
      </c>
      <c r="N26" s="64">
        <v>46.1</v>
      </c>
      <c r="O26" s="64">
        <v>0</v>
      </c>
      <c r="P26" s="64">
        <v>0.13</v>
      </c>
      <c r="Q26" s="64">
        <v>9.98</v>
      </c>
      <c r="R26" s="198"/>
      <c r="S26" s="198"/>
      <c r="T26" s="198"/>
      <c r="U26" s="198"/>
    </row>
    <row r="27" spans="1:21" s="12" customFormat="1" x14ac:dyDescent="0.25">
      <c r="A27" s="215" t="s">
        <v>1034</v>
      </c>
      <c r="B27" s="64">
        <v>4.57</v>
      </c>
      <c r="C27" s="64">
        <v>8.7799999999999994</v>
      </c>
      <c r="D27" s="64">
        <v>9.16</v>
      </c>
      <c r="E27" s="64">
        <v>1.96</v>
      </c>
      <c r="F27" s="64">
        <v>5.24</v>
      </c>
      <c r="G27" s="216" t="s">
        <v>43</v>
      </c>
      <c r="H27" s="216" t="s">
        <v>43</v>
      </c>
      <c r="I27" s="64">
        <v>5.72</v>
      </c>
      <c r="J27" s="64">
        <v>0.11</v>
      </c>
      <c r="K27" s="64">
        <v>3.89</v>
      </c>
      <c r="L27" s="64">
        <v>21.18</v>
      </c>
      <c r="M27" s="64">
        <v>97.18</v>
      </c>
      <c r="N27" s="64">
        <v>46.1</v>
      </c>
      <c r="O27" s="64">
        <v>0</v>
      </c>
      <c r="P27" s="64">
        <v>0.14000000000000001</v>
      </c>
      <c r="Q27" s="64">
        <v>8.6999999999999993</v>
      </c>
      <c r="R27" s="198"/>
      <c r="S27" s="198"/>
      <c r="T27" s="198"/>
      <c r="U27" s="198"/>
    </row>
    <row r="28" spans="1:21" s="12" customFormat="1" x14ac:dyDescent="0.25">
      <c r="A28" s="215" t="s">
        <v>1035</v>
      </c>
      <c r="B28" s="64">
        <v>4.6500000000000004</v>
      </c>
      <c r="C28" s="64">
        <v>9.32</v>
      </c>
      <c r="D28" s="64">
        <v>9.52</v>
      </c>
      <c r="E28" s="64">
        <v>2.21</v>
      </c>
      <c r="F28" s="64">
        <v>4.2699999999999996</v>
      </c>
      <c r="G28" s="216" t="s">
        <v>43</v>
      </c>
      <c r="H28" s="216" t="s">
        <v>43</v>
      </c>
      <c r="I28" s="64">
        <v>5.6</v>
      </c>
      <c r="J28" s="64">
        <v>0.06</v>
      </c>
      <c r="K28" s="64">
        <v>325.72000000000003</v>
      </c>
      <c r="L28" s="64">
        <v>21.03</v>
      </c>
      <c r="M28" s="64">
        <v>97.18</v>
      </c>
      <c r="N28" s="64">
        <v>46.3</v>
      </c>
      <c r="O28" s="64">
        <v>0.2</v>
      </c>
      <c r="P28" s="64">
        <v>0.13</v>
      </c>
      <c r="Q28" s="64">
        <v>9.31</v>
      </c>
      <c r="R28" s="198"/>
      <c r="S28" s="198"/>
      <c r="T28" s="198"/>
      <c r="U28" s="198"/>
    </row>
    <row r="29" spans="1:21" s="12" customFormat="1" x14ac:dyDescent="0.25">
      <c r="A29" s="215" t="s">
        <v>1036</v>
      </c>
      <c r="B29" s="64">
        <v>4.67</v>
      </c>
      <c r="C29" s="64">
        <v>8.67</v>
      </c>
      <c r="D29" s="64">
        <v>9.18</v>
      </c>
      <c r="E29" s="64">
        <v>1.95</v>
      </c>
      <c r="F29" s="64">
        <v>5.0199999999999996</v>
      </c>
      <c r="G29" s="216" t="s">
        <v>43</v>
      </c>
      <c r="H29" s="216" t="s">
        <v>43</v>
      </c>
      <c r="I29" s="64">
        <v>5.64</v>
      </c>
      <c r="J29" s="64">
        <v>0.19</v>
      </c>
      <c r="K29" s="64">
        <v>34</v>
      </c>
      <c r="L29" s="64">
        <v>20.97</v>
      </c>
      <c r="M29" s="64">
        <v>97.18</v>
      </c>
      <c r="N29" s="64">
        <v>46.5</v>
      </c>
      <c r="O29" s="64">
        <v>0</v>
      </c>
      <c r="P29" s="64">
        <v>0.13</v>
      </c>
      <c r="Q29" s="64">
        <v>7.33</v>
      </c>
      <c r="R29" s="198"/>
      <c r="S29" s="198"/>
      <c r="T29" s="198"/>
      <c r="U29" s="198"/>
    </row>
    <row r="30" spans="1:21" s="12" customFormat="1" x14ac:dyDescent="0.25">
      <c r="A30" s="215" t="s">
        <v>1037</v>
      </c>
      <c r="B30" s="64">
        <v>4.6100000000000003</v>
      </c>
      <c r="C30" s="64">
        <v>8.57</v>
      </c>
      <c r="D30" s="64">
        <v>9.08</v>
      </c>
      <c r="E30" s="64">
        <v>2.0699999999999998</v>
      </c>
      <c r="F30" s="64">
        <v>4.67</v>
      </c>
      <c r="G30" s="216" t="s">
        <v>43</v>
      </c>
      <c r="H30" s="216" t="s">
        <v>43</v>
      </c>
      <c r="I30" s="64">
        <v>5.63</v>
      </c>
      <c r="J30" s="64">
        <v>7.0000000000000007E-2</v>
      </c>
      <c r="K30" s="64">
        <v>30.78</v>
      </c>
      <c r="L30" s="64">
        <v>21.1</v>
      </c>
      <c r="M30" s="64">
        <v>97.18</v>
      </c>
      <c r="N30" s="64">
        <v>49.1</v>
      </c>
      <c r="O30" s="64">
        <v>0</v>
      </c>
      <c r="P30" s="64">
        <v>0.13</v>
      </c>
      <c r="Q30" s="64">
        <v>7.81</v>
      </c>
      <c r="R30" s="198"/>
      <c r="S30" s="198"/>
      <c r="T30" s="198"/>
      <c r="U30" s="198"/>
    </row>
    <row r="31" spans="1:21" s="12" customFormat="1" x14ac:dyDescent="0.25">
      <c r="A31" s="215" t="s">
        <v>1038</v>
      </c>
      <c r="B31" s="64">
        <v>4.4400000000000004</v>
      </c>
      <c r="C31" s="64">
        <v>10.18</v>
      </c>
      <c r="D31" s="64">
        <v>9.83</v>
      </c>
      <c r="E31" s="64">
        <v>1.64</v>
      </c>
      <c r="F31" s="64">
        <v>4.25</v>
      </c>
      <c r="G31" s="216" t="s">
        <v>43</v>
      </c>
      <c r="H31" s="216" t="s">
        <v>43</v>
      </c>
      <c r="I31" s="64">
        <v>5.64</v>
      </c>
      <c r="J31" s="64">
        <v>0.11</v>
      </c>
      <c r="K31" s="64">
        <v>29.11</v>
      </c>
      <c r="L31" s="64">
        <v>21.14</v>
      </c>
      <c r="M31" s="64">
        <v>97.18</v>
      </c>
      <c r="N31" s="64">
        <v>52.2</v>
      </c>
      <c r="O31" s="64">
        <v>0</v>
      </c>
      <c r="P31" s="64">
        <v>0.1</v>
      </c>
      <c r="Q31" s="64">
        <v>5.43</v>
      </c>
      <c r="R31" s="198"/>
      <c r="S31" s="198"/>
      <c r="T31" s="198"/>
      <c r="U31" s="198"/>
    </row>
    <row r="32" spans="1:21" s="12" customFormat="1" x14ac:dyDescent="0.25">
      <c r="A32" s="215" t="s">
        <v>1039</v>
      </c>
      <c r="B32" s="64">
        <v>4.45</v>
      </c>
      <c r="C32" s="64">
        <v>8.59</v>
      </c>
      <c r="D32" s="64">
        <v>8.9600000000000009</v>
      </c>
      <c r="E32" s="64">
        <v>1.77</v>
      </c>
      <c r="F32" s="64">
        <v>5.18</v>
      </c>
      <c r="G32" s="216" t="s">
        <v>43</v>
      </c>
      <c r="H32" s="216" t="s">
        <v>43</v>
      </c>
      <c r="I32" s="64">
        <v>5.55</v>
      </c>
      <c r="J32" s="64">
        <v>0.17</v>
      </c>
      <c r="K32" s="64">
        <v>33.840000000000003</v>
      </c>
      <c r="L32" s="64">
        <v>21.1</v>
      </c>
      <c r="M32" s="64">
        <v>97.18</v>
      </c>
      <c r="N32" s="64">
        <v>61.7</v>
      </c>
      <c r="O32" s="64">
        <v>0</v>
      </c>
      <c r="P32" s="64">
        <v>0.13</v>
      </c>
      <c r="Q32" s="64">
        <v>4.84</v>
      </c>
      <c r="R32" s="198"/>
      <c r="S32" s="198"/>
      <c r="T32" s="198"/>
      <c r="U32" s="198"/>
    </row>
    <row r="33" spans="1:21" s="12" customFormat="1" x14ac:dyDescent="0.25">
      <c r="A33" s="215" t="s">
        <v>1040</v>
      </c>
      <c r="B33" s="64">
        <v>4.51</v>
      </c>
      <c r="C33" s="64">
        <v>9.3699999999999992</v>
      </c>
      <c r="D33" s="64">
        <v>9.43</v>
      </c>
      <c r="E33" s="64">
        <v>1.86</v>
      </c>
      <c r="F33" s="64">
        <v>3.17</v>
      </c>
      <c r="G33" s="216" t="s">
        <v>43</v>
      </c>
      <c r="H33" s="216" t="s">
        <v>43</v>
      </c>
      <c r="I33" s="64">
        <v>5.36</v>
      </c>
      <c r="J33" s="64">
        <v>0.18</v>
      </c>
      <c r="K33" s="64">
        <v>33.75</v>
      </c>
      <c r="L33" s="64">
        <v>21.12</v>
      </c>
      <c r="M33" s="64">
        <v>97.18</v>
      </c>
      <c r="N33" s="64">
        <v>77.900000000000006</v>
      </c>
      <c r="O33" s="64">
        <v>0</v>
      </c>
      <c r="P33" s="64">
        <v>0.12</v>
      </c>
      <c r="Q33" s="64">
        <v>6.63</v>
      </c>
      <c r="R33" s="198"/>
      <c r="S33" s="198"/>
      <c r="T33" s="198"/>
      <c r="U33" s="198"/>
    </row>
    <row r="34" spans="1:21" s="12" customFormat="1" x14ac:dyDescent="0.25">
      <c r="A34" s="215" t="s">
        <v>1041</v>
      </c>
      <c r="B34" s="64">
        <v>4.49</v>
      </c>
      <c r="C34" s="64">
        <v>9.8800000000000008</v>
      </c>
      <c r="D34" s="64">
        <v>9.6999999999999993</v>
      </c>
      <c r="E34" s="64">
        <v>1.6</v>
      </c>
      <c r="F34" s="64">
        <v>4</v>
      </c>
      <c r="G34" s="216" t="s">
        <v>43</v>
      </c>
      <c r="H34" s="216" t="s">
        <v>43</v>
      </c>
      <c r="I34" s="64">
        <v>5.22</v>
      </c>
      <c r="J34" s="64">
        <v>0.12</v>
      </c>
      <c r="K34" s="64">
        <v>28.18</v>
      </c>
      <c r="L34" s="64">
        <v>21.13</v>
      </c>
      <c r="M34" s="64">
        <v>97.18</v>
      </c>
      <c r="N34" s="64">
        <v>77.400000000000006</v>
      </c>
      <c r="O34" s="64">
        <v>0</v>
      </c>
      <c r="P34" s="64">
        <v>0.11</v>
      </c>
      <c r="Q34" s="64">
        <v>4.25</v>
      </c>
      <c r="R34" s="198"/>
      <c r="S34" s="198"/>
      <c r="T34" s="198"/>
      <c r="U34" s="198"/>
    </row>
    <row r="35" spans="1:21" s="12" customFormat="1" x14ac:dyDescent="0.25">
      <c r="A35" s="215" t="s">
        <v>1042</v>
      </c>
      <c r="B35" s="64">
        <v>4.71</v>
      </c>
      <c r="C35" s="64">
        <v>8.59</v>
      </c>
      <c r="D35" s="64">
        <v>9.16</v>
      </c>
      <c r="E35" s="64">
        <v>2.1800000000000002</v>
      </c>
      <c r="F35" s="64">
        <v>4.95</v>
      </c>
      <c r="G35" s="216" t="s">
        <v>43</v>
      </c>
      <c r="H35" s="216" t="s">
        <v>43</v>
      </c>
      <c r="I35" s="64">
        <v>5.04</v>
      </c>
      <c r="J35" s="64">
        <v>0.18</v>
      </c>
      <c r="K35" s="64">
        <v>247.16</v>
      </c>
      <c r="L35" s="64">
        <v>21.21</v>
      </c>
      <c r="M35" s="64">
        <v>97.18</v>
      </c>
      <c r="N35" s="64">
        <v>83.3</v>
      </c>
      <c r="O35" s="64">
        <v>0</v>
      </c>
      <c r="P35" s="64">
        <v>0.14000000000000001</v>
      </c>
      <c r="Q35" s="64">
        <v>4.33</v>
      </c>
      <c r="R35" s="198"/>
      <c r="S35" s="198"/>
      <c r="T35" s="198"/>
      <c r="U35" s="198"/>
    </row>
    <row r="36" spans="1:21" s="12" customFormat="1" x14ac:dyDescent="0.25">
      <c r="A36" s="215" t="s">
        <v>1043</v>
      </c>
      <c r="B36" s="64">
        <v>4.91</v>
      </c>
      <c r="C36" s="64">
        <v>9.06</v>
      </c>
      <c r="D36" s="64">
        <v>9.59</v>
      </c>
      <c r="E36" s="64">
        <v>2.0499999999999998</v>
      </c>
      <c r="F36" s="64">
        <v>4.75</v>
      </c>
      <c r="G36" s="216" t="s">
        <v>43</v>
      </c>
      <c r="H36" s="216" t="s">
        <v>43</v>
      </c>
      <c r="I36" s="64">
        <v>5</v>
      </c>
      <c r="J36" s="64">
        <v>7.0000000000000007E-2</v>
      </c>
      <c r="K36" s="64">
        <v>308.54000000000002</v>
      </c>
      <c r="L36" s="64">
        <v>21.36</v>
      </c>
      <c r="M36" s="64">
        <v>97.18</v>
      </c>
      <c r="N36" s="64">
        <v>95.4</v>
      </c>
      <c r="O36" s="64">
        <v>0</v>
      </c>
      <c r="P36" s="64">
        <v>0.13</v>
      </c>
      <c r="Q36" s="64">
        <v>7.29</v>
      </c>
      <c r="R36" s="198"/>
      <c r="S36" s="198"/>
      <c r="T36" s="198"/>
      <c r="U36" s="198"/>
    </row>
    <row r="37" spans="1:21" s="12" customFormat="1" x14ac:dyDescent="0.25">
      <c r="A37" s="215" t="s">
        <v>1044</v>
      </c>
      <c r="B37" s="64">
        <v>5.03</v>
      </c>
      <c r="C37" s="64">
        <v>9.3000000000000007</v>
      </c>
      <c r="D37" s="64">
        <v>9.81</v>
      </c>
      <c r="E37" s="64">
        <v>1.8</v>
      </c>
      <c r="F37" s="64">
        <v>6.31</v>
      </c>
      <c r="G37" s="216" t="s">
        <v>43</v>
      </c>
      <c r="H37" s="216" t="s">
        <v>43</v>
      </c>
      <c r="I37" s="64">
        <v>5.13</v>
      </c>
      <c r="J37" s="64">
        <v>7.0000000000000007E-2</v>
      </c>
      <c r="K37" s="64">
        <v>291.88</v>
      </c>
      <c r="L37" s="64">
        <v>21.61</v>
      </c>
      <c r="M37" s="64">
        <v>97.13</v>
      </c>
      <c r="N37" s="64">
        <v>137</v>
      </c>
      <c r="O37" s="64">
        <v>0</v>
      </c>
      <c r="P37" s="64">
        <v>0.19</v>
      </c>
      <c r="Q37" s="64">
        <v>6.53</v>
      </c>
      <c r="R37" s="198"/>
      <c r="S37" s="198"/>
      <c r="T37" s="198"/>
      <c r="U37" s="198"/>
    </row>
    <row r="38" spans="1:21" s="12" customFormat="1" x14ac:dyDescent="0.25">
      <c r="A38" s="215" t="s">
        <v>1045</v>
      </c>
      <c r="B38" s="64">
        <v>5.46</v>
      </c>
      <c r="C38" s="64">
        <v>8.6300000000000008</v>
      </c>
      <c r="D38" s="64">
        <v>9.7899999999999991</v>
      </c>
      <c r="E38" s="64">
        <v>1.86</v>
      </c>
      <c r="F38" s="64">
        <v>4.7</v>
      </c>
      <c r="G38" s="216" t="s">
        <v>43</v>
      </c>
      <c r="H38" s="216" t="s">
        <v>43</v>
      </c>
      <c r="I38" s="64">
        <v>4.9400000000000004</v>
      </c>
      <c r="J38" s="64">
        <v>0.09</v>
      </c>
      <c r="K38" s="64">
        <v>33.32</v>
      </c>
      <c r="L38" s="64">
        <v>21.89</v>
      </c>
      <c r="M38" s="64">
        <v>95.58</v>
      </c>
      <c r="N38" s="64">
        <v>156.1</v>
      </c>
      <c r="O38" s="64">
        <v>0</v>
      </c>
      <c r="P38" s="64">
        <v>0.22</v>
      </c>
      <c r="Q38" s="64">
        <v>7.55</v>
      </c>
      <c r="R38" s="198"/>
      <c r="S38" s="198"/>
      <c r="T38" s="198"/>
      <c r="U38" s="198"/>
    </row>
    <row r="39" spans="1:21" s="12" customFormat="1" x14ac:dyDescent="0.25">
      <c r="A39" s="215" t="s">
        <v>1046</v>
      </c>
      <c r="B39" s="64">
        <v>5.82</v>
      </c>
      <c r="C39" s="64">
        <v>10.039999999999999</v>
      </c>
      <c r="D39" s="64">
        <v>10.86</v>
      </c>
      <c r="E39" s="64">
        <v>1.71</v>
      </c>
      <c r="F39" s="64">
        <v>5.0199999999999996</v>
      </c>
      <c r="G39" s="216" t="s">
        <v>43</v>
      </c>
      <c r="H39" s="216" t="s">
        <v>43</v>
      </c>
      <c r="I39" s="64">
        <v>5.07</v>
      </c>
      <c r="J39" s="64">
        <v>0.13</v>
      </c>
      <c r="K39" s="64">
        <v>38.68</v>
      </c>
      <c r="L39" s="64">
        <v>22.18</v>
      </c>
      <c r="M39" s="64">
        <v>94.15</v>
      </c>
      <c r="N39" s="64">
        <v>165.9</v>
      </c>
      <c r="O39" s="64">
        <v>0</v>
      </c>
      <c r="P39" s="64">
        <v>0.21</v>
      </c>
      <c r="Q39" s="64">
        <v>6.83</v>
      </c>
      <c r="R39" s="198"/>
      <c r="S39" s="198"/>
      <c r="T39" s="198"/>
      <c r="U39" s="198"/>
    </row>
    <row r="40" spans="1:21" s="12" customFormat="1" x14ac:dyDescent="0.25">
      <c r="A40" s="215" t="s">
        <v>1047</v>
      </c>
      <c r="B40" s="64">
        <v>6.14</v>
      </c>
      <c r="C40" s="64">
        <v>9.76</v>
      </c>
      <c r="D40" s="64">
        <v>10.95</v>
      </c>
      <c r="E40" s="64">
        <v>1.69</v>
      </c>
      <c r="F40" s="64">
        <v>4.1100000000000003</v>
      </c>
      <c r="G40" s="216" t="s">
        <v>43</v>
      </c>
      <c r="H40" s="216" t="s">
        <v>43</v>
      </c>
      <c r="I40" s="64">
        <v>5.19</v>
      </c>
      <c r="J40" s="64">
        <v>0.24</v>
      </c>
      <c r="K40" s="64">
        <v>32.049999999999997</v>
      </c>
      <c r="L40" s="64">
        <v>22.18</v>
      </c>
      <c r="M40" s="64">
        <v>92.9</v>
      </c>
      <c r="N40" s="64">
        <v>182.2</v>
      </c>
      <c r="O40" s="64">
        <v>0</v>
      </c>
      <c r="P40" s="64">
        <v>0.24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1048</v>
      </c>
      <c r="B41" s="64">
        <v>6</v>
      </c>
      <c r="C41" s="64">
        <v>11.01</v>
      </c>
      <c r="D41" s="64">
        <v>11.53</v>
      </c>
      <c r="E41" s="64">
        <v>2.06</v>
      </c>
      <c r="F41" s="64">
        <v>3.68</v>
      </c>
      <c r="G41" s="216" t="s">
        <v>43</v>
      </c>
      <c r="H41" s="216" t="s">
        <v>43</v>
      </c>
      <c r="I41" s="64">
        <v>5.41</v>
      </c>
      <c r="J41" s="64">
        <v>0.31</v>
      </c>
      <c r="K41" s="64">
        <v>36.840000000000003</v>
      </c>
      <c r="L41" s="64">
        <v>22.55</v>
      </c>
      <c r="M41" s="64">
        <v>90.79</v>
      </c>
      <c r="N41" s="64">
        <v>281.89999999999998</v>
      </c>
      <c r="O41" s="64">
        <v>0</v>
      </c>
      <c r="P41" s="64">
        <v>0.25</v>
      </c>
      <c r="Q41" s="64">
        <v>9</v>
      </c>
      <c r="R41" s="198"/>
      <c r="S41" s="198"/>
      <c r="T41" s="198"/>
      <c r="U41" s="198"/>
    </row>
    <row r="42" spans="1:21" s="12" customFormat="1" x14ac:dyDescent="0.25">
      <c r="A42" s="215" t="s">
        <v>1049</v>
      </c>
      <c r="B42" s="64">
        <v>5.96</v>
      </c>
      <c r="C42" s="64">
        <v>12.27</v>
      </c>
      <c r="D42" s="64">
        <v>12.2</v>
      </c>
      <c r="E42" s="64">
        <v>2.08</v>
      </c>
      <c r="F42" s="64">
        <v>2.21</v>
      </c>
      <c r="G42" s="216" t="s">
        <v>43</v>
      </c>
      <c r="H42" s="216" t="s">
        <v>43</v>
      </c>
      <c r="I42" s="64">
        <v>5.6</v>
      </c>
      <c r="J42" s="64">
        <v>0.28999999999999998</v>
      </c>
      <c r="K42" s="64">
        <v>49.28</v>
      </c>
      <c r="L42" s="64">
        <v>23.19</v>
      </c>
      <c r="M42" s="64">
        <v>87.67</v>
      </c>
      <c r="N42" s="64">
        <v>344.8</v>
      </c>
      <c r="O42" s="64">
        <v>0</v>
      </c>
      <c r="P42" s="64">
        <v>0.25</v>
      </c>
      <c r="Q42" s="64">
        <v>8.26</v>
      </c>
      <c r="R42" s="198"/>
      <c r="S42" s="198"/>
      <c r="T42" s="198"/>
      <c r="U42" s="198"/>
    </row>
    <row r="43" spans="1:21" s="12" customFormat="1" x14ac:dyDescent="0.25">
      <c r="A43" s="215" t="s">
        <v>1050</v>
      </c>
      <c r="B43" s="64">
        <v>5.97</v>
      </c>
      <c r="C43" s="64">
        <v>11.32</v>
      </c>
      <c r="D43" s="64">
        <v>11.68</v>
      </c>
      <c r="E43" s="64">
        <v>1.89</v>
      </c>
      <c r="F43" s="64">
        <v>4.33</v>
      </c>
      <c r="G43" s="216" t="s">
        <v>43</v>
      </c>
      <c r="H43" s="216" t="s">
        <v>43</v>
      </c>
      <c r="I43" s="64">
        <v>5.58</v>
      </c>
      <c r="J43" s="64">
        <v>0.25</v>
      </c>
      <c r="K43" s="64">
        <v>41.37</v>
      </c>
      <c r="L43" s="64">
        <v>23.48</v>
      </c>
      <c r="M43" s="64">
        <v>86.08</v>
      </c>
      <c r="N43" s="64">
        <v>364</v>
      </c>
      <c r="O43" s="64">
        <v>0</v>
      </c>
      <c r="P43" s="64">
        <v>0.28000000000000003</v>
      </c>
      <c r="Q43" s="64">
        <v>6.08</v>
      </c>
      <c r="R43" s="198"/>
      <c r="S43" s="198"/>
      <c r="T43" s="198"/>
      <c r="U43" s="198"/>
    </row>
    <row r="44" spans="1:21" s="12" customFormat="1" x14ac:dyDescent="0.25">
      <c r="A44" s="215" t="s">
        <v>1051</v>
      </c>
      <c r="B44" s="64">
        <v>5.98</v>
      </c>
      <c r="C44" s="64">
        <v>12.22</v>
      </c>
      <c r="D44" s="64">
        <v>12.18</v>
      </c>
      <c r="E44" s="64">
        <v>2.1800000000000002</v>
      </c>
      <c r="F44" s="64">
        <v>3.59</v>
      </c>
      <c r="G44" s="216" t="s">
        <v>43</v>
      </c>
      <c r="H44" s="216" t="s">
        <v>43</v>
      </c>
      <c r="I44" s="64">
        <v>5.32</v>
      </c>
      <c r="J44" s="64">
        <v>0.35</v>
      </c>
      <c r="K44" s="64">
        <v>40.32</v>
      </c>
      <c r="L44" s="64">
        <v>23.99</v>
      </c>
      <c r="M44" s="64">
        <v>82.95</v>
      </c>
      <c r="N44" s="64">
        <v>534.79999999999995</v>
      </c>
      <c r="O44" s="64">
        <v>0</v>
      </c>
      <c r="P44" s="64">
        <v>0.28000000000000003</v>
      </c>
      <c r="Q44" s="64">
        <v>7.31</v>
      </c>
      <c r="R44" s="198"/>
      <c r="S44" s="198"/>
      <c r="T44" s="198"/>
      <c r="U44" s="198"/>
    </row>
    <row r="45" spans="1:21" s="12" customFormat="1" x14ac:dyDescent="0.25">
      <c r="A45" s="215" t="s">
        <v>1052</v>
      </c>
      <c r="B45" s="64">
        <v>6.05</v>
      </c>
      <c r="C45" s="64">
        <v>12.05</v>
      </c>
      <c r="D45" s="64">
        <v>12.15</v>
      </c>
      <c r="E45" s="64">
        <v>1.89</v>
      </c>
      <c r="F45" s="64">
        <v>4.67</v>
      </c>
      <c r="G45" s="216" t="s">
        <v>43</v>
      </c>
      <c r="H45" s="216" t="s">
        <v>43</v>
      </c>
      <c r="I45" s="64">
        <v>5.18</v>
      </c>
      <c r="J45" s="64">
        <v>0.44</v>
      </c>
      <c r="K45" s="64">
        <v>37.049999999999997</v>
      </c>
      <c r="L45" s="64">
        <v>24.65</v>
      </c>
      <c r="M45" s="64">
        <v>79.53</v>
      </c>
      <c r="N45" s="64">
        <v>622.79999999999995</v>
      </c>
      <c r="O45" s="64">
        <v>0</v>
      </c>
      <c r="P45" s="64">
        <v>0.31</v>
      </c>
      <c r="Q45" s="64">
        <v>4.59</v>
      </c>
      <c r="R45" s="198"/>
      <c r="S45" s="198"/>
      <c r="T45" s="198"/>
      <c r="U45" s="198"/>
    </row>
    <row r="46" spans="1:21" s="12" customFormat="1" x14ac:dyDescent="0.25">
      <c r="A46" s="215" t="s">
        <v>1053</v>
      </c>
      <c r="B46" s="64">
        <v>6.21</v>
      </c>
      <c r="C46" s="64">
        <v>12.6</v>
      </c>
      <c r="D46" s="64">
        <v>12.58</v>
      </c>
      <c r="E46" s="64">
        <v>2.0099999999999998</v>
      </c>
      <c r="F46" s="64">
        <v>4.6100000000000003</v>
      </c>
      <c r="G46" s="216" t="s">
        <v>43</v>
      </c>
      <c r="H46" s="216" t="s">
        <v>43</v>
      </c>
      <c r="I46" s="64">
        <v>4.91</v>
      </c>
      <c r="J46" s="64">
        <v>0.47</v>
      </c>
      <c r="K46" s="64">
        <v>23.03</v>
      </c>
      <c r="L46" s="64">
        <v>25.59</v>
      </c>
      <c r="M46" s="64">
        <v>75.680000000000007</v>
      </c>
      <c r="N46" s="64">
        <v>677.7</v>
      </c>
      <c r="O46" s="64">
        <v>0</v>
      </c>
      <c r="P46" s="64">
        <v>0.34</v>
      </c>
      <c r="Q46" s="64">
        <v>6.01</v>
      </c>
      <c r="R46" s="198"/>
      <c r="S46" s="198"/>
      <c r="T46" s="198"/>
      <c r="U46" s="198"/>
    </row>
    <row r="47" spans="1:21" s="12" customFormat="1" x14ac:dyDescent="0.25">
      <c r="A47" s="215" t="s">
        <v>1054</v>
      </c>
      <c r="B47" s="64">
        <v>6.52</v>
      </c>
      <c r="C47" s="64">
        <v>14.3</v>
      </c>
      <c r="D47" s="64">
        <v>13.76</v>
      </c>
      <c r="E47" s="64">
        <v>1.62</v>
      </c>
      <c r="F47" s="64">
        <v>2.7</v>
      </c>
      <c r="G47" s="216" t="s">
        <v>43</v>
      </c>
      <c r="H47" s="216" t="s">
        <v>43</v>
      </c>
      <c r="I47" s="64">
        <v>4.71</v>
      </c>
      <c r="J47" s="64">
        <v>0.44</v>
      </c>
      <c r="K47" s="64">
        <v>32.090000000000003</v>
      </c>
      <c r="L47" s="64">
        <v>27.37</v>
      </c>
      <c r="M47" s="64">
        <v>68.989999999999995</v>
      </c>
      <c r="N47" s="64">
        <v>1073.9000000000001</v>
      </c>
      <c r="O47" s="64">
        <v>0</v>
      </c>
      <c r="P47" s="64">
        <v>0.36</v>
      </c>
      <c r="Q47" s="64">
        <v>6.35</v>
      </c>
      <c r="R47" s="198"/>
      <c r="S47" s="198"/>
      <c r="T47" s="198"/>
      <c r="U47" s="198"/>
    </row>
    <row r="48" spans="1:21" s="12" customFormat="1" x14ac:dyDescent="0.25">
      <c r="A48" s="215" t="s">
        <v>1055</v>
      </c>
      <c r="B48" s="64">
        <v>7.24</v>
      </c>
      <c r="C48" s="64">
        <v>13.94</v>
      </c>
      <c r="D48" s="64">
        <v>14.15</v>
      </c>
      <c r="E48" s="64">
        <v>1.78</v>
      </c>
      <c r="F48" s="64">
        <v>4.79</v>
      </c>
      <c r="G48" s="216" t="s">
        <v>43</v>
      </c>
      <c r="H48" s="216" t="s">
        <v>43</v>
      </c>
      <c r="I48" s="64">
        <v>4.74</v>
      </c>
      <c r="J48" s="64">
        <v>0.41</v>
      </c>
      <c r="K48" s="64">
        <v>38.78</v>
      </c>
      <c r="L48" s="64">
        <v>26.96</v>
      </c>
      <c r="M48" s="64">
        <v>67.66</v>
      </c>
      <c r="N48" s="64">
        <v>923.3</v>
      </c>
      <c r="O48" s="64">
        <v>0</v>
      </c>
      <c r="P48" s="64">
        <v>0.44</v>
      </c>
      <c r="Q48" s="64">
        <v>6.03</v>
      </c>
      <c r="R48" s="198"/>
      <c r="S48" s="198"/>
      <c r="T48" s="198"/>
      <c r="U48" s="198"/>
    </row>
    <row r="49" spans="1:21" s="12" customFormat="1" x14ac:dyDescent="0.25">
      <c r="A49" s="215" t="s">
        <v>1056</v>
      </c>
      <c r="B49" s="64">
        <v>7.3</v>
      </c>
      <c r="C49" s="64">
        <v>15.15</v>
      </c>
      <c r="D49" s="64">
        <v>14.86</v>
      </c>
      <c r="E49" s="64">
        <v>2.17</v>
      </c>
      <c r="F49" s="64">
        <v>3.52</v>
      </c>
      <c r="G49" s="216" t="s">
        <v>43</v>
      </c>
      <c r="H49" s="216" t="s">
        <v>43</v>
      </c>
      <c r="I49" s="64">
        <v>4.82</v>
      </c>
      <c r="J49" s="64">
        <v>0.28000000000000003</v>
      </c>
      <c r="K49" s="64">
        <v>32.119999999999997</v>
      </c>
      <c r="L49" s="64">
        <v>26.47</v>
      </c>
      <c r="M49" s="64">
        <v>68.150000000000006</v>
      </c>
      <c r="N49" s="64">
        <v>956.7</v>
      </c>
      <c r="O49" s="64">
        <v>0</v>
      </c>
      <c r="P49" s="64">
        <v>0.52</v>
      </c>
      <c r="Q49" s="64">
        <v>8.18</v>
      </c>
      <c r="R49" s="198"/>
      <c r="S49" s="198"/>
      <c r="T49" s="198"/>
      <c r="U49" s="198"/>
    </row>
    <row r="50" spans="1:21" s="12" customFormat="1" x14ac:dyDescent="0.25">
      <c r="A50" s="215" t="s">
        <v>1057</v>
      </c>
      <c r="B50" s="64">
        <v>6.89</v>
      </c>
      <c r="C50" s="64">
        <v>14.85</v>
      </c>
      <c r="D50" s="64">
        <v>14.37</v>
      </c>
      <c r="E50" s="64">
        <v>1.61</v>
      </c>
      <c r="F50" s="64">
        <v>5.34</v>
      </c>
      <c r="G50" s="216" t="s">
        <v>43</v>
      </c>
      <c r="H50" s="216" t="s">
        <v>43</v>
      </c>
      <c r="I50" s="64">
        <v>5.04</v>
      </c>
      <c r="J50" s="64">
        <v>0.34</v>
      </c>
      <c r="K50" s="64">
        <v>42.11</v>
      </c>
      <c r="L50" s="64">
        <v>26.05</v>
      </c>
      <c r="M50" s="64">
        <v>68.05</v>
      </c>
      <c r="N50" s="64">
        <v>724.6</v>
      </c>
      <c r="O50" s="64">
        <v>0</v>
      </c>
      <c r="P50" s="64">
        <v>0.55000000000000004</v>
      </c>
      <c r="Q50" s="64">
        <v>7.03</v>
      </c>
      <c r="R50" s="198"/>
      <c r="S50" s="198"/>
      <c r="T50" s="198"/>
      <c r="U50" s="198"/>
    </row>
    <row r="51" spans="1:21" s="12" customFormat="1" x14ac:dyDescent="0.25">
      <c r="A51" s="215" t="s">
        <v>1058</v>
      </c>
      <c r="B51" s="64">
        <v>6.19</v>
      </c>
      <c r="C51" s="64">
        <v>15.78</v>
      </c>
      <c r="D51" s="64">
        <v>14.32</v>
      </c>
      <c r="E51" s="64">
        <v>1.84</v>
      </c>
      <c r="F51" s="64">
        <v>4.3499999999999996</v>
      </c>
      <c r="G51" s="216" t="s">
        <v>43</v>
      </c>
      <c r="H51" s="216" t="s">
        <v>43</v>
      </c>
      <c r="I51" s="64">
        <v>5.14</v>
      </c>
      <c r="J51" s="64">
        <v>0.4</v>
      </c>
      <c r="K51" s="64">
        <v>34.270000000000003</v>
      </c>
      <c r="L51" s="64">
        <v>26.39</v>
      </c>
      <c r="M51" s="64">
        <v>66.37</v>
      </c>
      <c r="N51" s="64">
        <v>855.5</v>
      </c>
      <c r="O51" s="64">
        <v>0</v>
      </c>
      <c r="P51" s="64">
        <v>0.53</v>
      </c>
      <c r="Q51" s="64">
        <v>7.33</v>
      </c>
      <c r="R51" s="198"/>
      <c r="S51" s="198"/>
      <c r="T51" s="198"/>
      <c r="U51" s="198"/>
    </row>
    <row r="52" spans="1:21" s="12" customFormat="1" x14ac:dyDescent="0.25">
      <c r="A52" s="215" t="s">
        <v>1059</v>
      </c>
      <c r="B52" s="64">
        <v>6.18</v>
      </c>
      <c r="C52" s="64">
        <v>15.18</v>
      </c>
      <c r="D52" s="64">
        <v>13.98</v>
      </c>
      <c r="E52" s="64">
        <v>2.04</v>
      </c>
      <c r="F52" s="64">
        <v>5.19</v>
      </c>
      <c r="G52" s="216" t="s">
        <v>43</v>
      </c>
      <c r="H52" s="216" t="s">
        <v>43</v>
      </c>
      <c r="I52" s="64">
        <v>5.2</v>
      </c>
      <c r="J52" s="64">
        <v>0.45</v>
      </c>
      <c r="K52" s="64">
        <v>34.26</v>
      </c>
      <c r="L52" s="64">
        <v>27.37</v>
      </c>
      <c r="M52" s="64">
        <v>62.28</v>
      </c>
      <c r="N52" s="64">
        <v>770.4</v>
      </c>
      <c r="O52" s="64">
        <v>0</v>
      </c>
      <c r="P52" s="64">
        <v>0.56000000000000005</v>
      </c>
      <c r="Q52" s="64">
        <v>7.13</v>
      </c>
      <c r="R52" s="198"/>
      <c r="S52" s="198"/>
      <c r="T52" s="198"/>
      <c r="U52" s="198"/>
    </row>
    <row r="53" spans="1:21" s="12" customFormat="1" x14ac:dyDescent="0.25">
      <c r="A53" s="215" t="s">
        <v>1060</v>
      </c>
      <c r="B53" s="64">
        <v>6.52</v>
      </c>
      <c r="C53" s="64">
        <v>16.670000000000002</v>
      </c>
      <c r="D53" s="64">
        <v>15.07</v>
      </c>
      <c r="E53" s="64">
        <v>1.83</v>
      </c>
      <c r="F53" s="64">
        <v>3.22</v>
      </c>
      <c r="G53" s="216" t="s">
        <v>43</v>
      </c>
      <c r="H53" s="216" t="s">
        <v>43</v>
      </c>
      <c r="I53" s="64">
        <v>5.23</v>
      </c>
      <c r="J53" s="64">
        <v>0.36</v>
      </c>
      <c r="K53" s="64">
        <v>28.61</v>
      </c>
      <c r="L53" s="64">
        <v>27.22</v>
      </c>
      <c r="M53" s="64">
        <v>62.58</v>
      </c>
      <c r="N53" s="64">
        <v>935.1</v>
      </c>
      <c r="O53" s="64">
        <v>0</v>
      </c>
      <c r="P53" s="64">
        <v>0.67</v>
      </c>
      <c r="Q53" s="64">
        <v>7.92</v>
      </c>
      <c r="R53" s="198"/>
      <c r="S53" s="198"/>
      <c r="T53" s="198"/>
      <c r="U53" s="198"/>
    </row>
    <row r="54" spans="1:21" s="12" customFormat="1" x14ac:dyDescent="0.25">
      <c r="A54" s="215" t="s">
        <v>1061</v>
      </c>
      <c r="B54" s="64">
        <v>6.15</v>
      </c>
      <c r="C54" s="64">
        <v>16.55</v>
      </c>
      <c r="D54" s="64">
        <v>14.71</v>
      </c>
      <c r="E54" s="64">
        <v>2.14</v>
      </c>
      <c r="F54" s="64">
        <v>4.72</v>
      </c>
      <c r="G54" s="216" t="s">
        <v>43</v>
      </c>
      <c r="H54" s="216" t="s">
        <v>43</v>
      </c>
      <c r="I54" s="64">
        <v>5.4</v>
      </c>
      <c r="J54" s="64">
        <v>0.46</v>
      </c>
      <c r="K54" s="64">
        <v>28.75</v>
      </c>
      <c r="L54" s="64">
        <v>27.68</v>
      </c>
      <c r="M54" s="64">
        <v>62.01</v>
      </c>
      <c r="N54" s="64">
        <v>760.7</v>
      </c>
      <c r="O54" s="64">
        <v>0</v>
      </c>
      <c r="P54" s="64">
        <v>0.68</v>
      </c>
      <c r="Q54" s="64">
        <v>4.76</v>
      </c>
      <c r="R54" s="198"/>
      <c r="S54" s="198"/>
      <c r="T54" s="198"/>
      <c r="U54" s="198"/>
    </row>
    <row r="55" spans="1:21" s="12" customFormat="1" x14ac:dyDescent="0.25">
      <c r="A55" s="215" t="s">
        <v>1062</v>
      </c>
      <c r="B55" s="64">
        <v>6.37</v>
      </c>
      <c r="C55" s="64">
        <v>15.54</v>
      </c>
      <c r="D55" s="64">
        <v>14.33</v>
      </c>
      <c r="E55" s="64">
        <v>1.61</v>
      </c>
      <c r="F55" s="64">
        <v>5.74</v>
      </c>
      <c r="G55" s="216" t="s">
        <v>43</v>
      </c>
      <c r="H55" s="216" t="s">
        <v>43</v>
      </c>
      <c r="I55" s="64">
        <v>5.45</v>
      </c>
      <c r="J55" s="64">
        <v>0.53</v>
      </c>
      <c r="K55" s="64">
        <v>19.059999999999999</v>
      </c>
      <c r="L55" s="64">
        <v>28.02</v>
      </c>
      <c r="M55" s="64">
        <v>61.96</v>
      </c>
      <c r="N55" s="64">
        <v>922.6</v>
      </c>
      <c r="O55" s="64">
        <v>0</v>
      </c>
      <c r="P55" s="64">
        <v>0.69</v>
      </c>
      <c r="Q55" s="64">
        <v>4.47</v>
      </c>
      <c r="R55" s="198"/>
      <c r="S55" s="198"/>
      <c r="T55" s="198"/>
      <c r="U55" s="198"/>
    </row>
    <row r="56" spans="1:21" s="12" customFormat="1" x14ac:dyDescent="0.25">
      <c r="A56" s="215" t="s">
        <v>1063</v>
      </c>
      <c r="B56" s="64">
        <v>6.81</v>
      </c>
      <c r="C56" s="64">
        <v>16.239999999999998</v>
      </c>
      <c r="D56" s="64">
        <v>15.07</v>
      </c>
      <c r="E56" s="64">
        <v>1.57</v>
      </c>
      <c r="F56" s="64">
        <v>2.5299999999999998</v>
      </c>
      <c r="G56" s="216" t="s">
        <v>43</v>
      </c>
      <c r="H56" s="216" t="s">
        <v>43</v>
      </c>
      <c r="I56" s="64">
        <v>5.49</v>
      </c>
      <c r="J56" s="64">
        <v>0.45</v>
      </c>
      <c r="K56" s="64">
        <v>21.07</v>
      </c>
      <c r="L56" s="64">
        <v>29.03</v>
      </c>
      <c r="M56" s="64">
        <v>59.29</v>
      </c>
      <c r="N56" s="64">
        <v>817</v>
      </c>
      <c r="O56" s="64">
        <v>0</v>
      </c>
      <c r="P56" s="64">
        <v>0.7</v>
      </c>
      <c r="Q56" s="64">
        <v>6.84</v>
      </c>
      <c r="R56" s="198"/>
      <c r="S56" s="198"/>
      <c r="T56" s="198"/>
      <c r="U56" s="198"/>
    </row>
    <row r="57" spans="1:21" s="12" customFormat="1" x14ac:dyDescent="0.25">
      <c r="A57" s="215" t="s">
        <v>1064</v>
      </c>
      <c r="B57" s="64">
        <v>6.63</v>
      </c>
      <c r="C57" s="64">
        <v>15.84</v>
      </c>
      <c r="D57" s="64">
        <v>14.7</v>
      </c>
      <c r="E57" s="64">
        <v>1.8</v>
      </c>
      <c r="F57" s="64">
        <v>3.9</v>
      </c>
      <c r="G57" s="216" t="s">
        <v>43</v>
      </c>
      <c r="H57" s="216" t="s">
        <v>43</v>
      </c>
      <c r="I57" s="64">
        <v>5.69</v>
      </c>
      <c r="J57" s="64">
        <v>0.43</v>
      </c>
      <c r="K57" s="64">
        <v>37.06</v>
      </c>
      <c r="L57" s="64">
        <v>27.67</v>
      </c>
      <c r="M57" s="64">
        <v>61.83</v>
      </c>
      <c r="N57" s="64">
        <v>585.1</v>
      </c>
      <c r="O57" s="64">
        <v>0</v>
      </c>
      <c r="P57" s="64">
        <v>0.7</v>
      </c>
      <c r="Q57" s="64">
        <v>4.16</v>
      </c>
      <c r="R57" s="198"/>
      <c r="S57" s="198"/>
      <c r="T57" s="198"/>
      <c r="U57" s="198"/>
    </row>
    <row r="58" spans="1:21" s="12" customFormat="1" x14ac:dyDescent="0.25">
      <c r="A58" s="215" t="s">
        <v>1065</v>
      </c>
      <c r="B58" s="64">
        <v>6.7</v>
      </c>
      <c r="C58" s="64">
        <v>15.54</v>
      </c>
      <c r="D58" s="64">
        <v>14.59</v>
      </c>
      <c r="E58" s="64">
        <v>1.51</v>
      </c>
      <c r="F58" s="64">
        <v>5.51</v>
      </c>
      <c r="G58" s="216" t="s">
        <v>43</v>
      </c>
      <c r="H58" s="216" t="s">
        <v>43</v>
      </c>
      <c r="I58" s="64">
        <v>5.72</v>
      </c>
      <c r="J58" s="64">
        <v>0.53</v>
      </c>
      <c r="K58" s="64">
        <v>26.68</v>
      </c>
      <c r="L58" s="64">
        <v>27.89</v>
      </c>
      <c r="M58" s="64">
        <v>60.62</v>
      </c>
      <c r="N58" s="64">
        <v>752</v>
      </c>
      <c r="O58" s="64">
        <v>0</v>
      </c>
      <c r="P58" s="64">
        <v>0.69</v>
      </c>
      <c r="Q58" s="64">
        <v>3.12</v>
      </c>
      <c r="R58" s="198"/>
      <c r="S58" s="198"/>
      <c r="T58" s="198"/>
      <c r="U58" s="198"/>
    </row>
    <row r="59" spans="1:21" s="12" customFormat="1" x14ac:dyDescent="0.25">
      <c r="A59" s="215" t="s">
        <v>1066</v>
      </c>
      <c r="B59" s="64">
        <v>6.81</v>
      </c>
      <c r="C59" s="64">
        <v>16.02</v>
      </c>
      <c r="D59" s="64">
        <v>14.94</v>
      </c>
      <c r="E59" s="64">
        <v>1.71</v>
      </c>
      <c r="F59" s="64">
        <v>4.5199999999999996</v>
      </c>
      <c r="G59" s="216" t="s">
        <v>43</v>
      </c>
      <c r="H59" s="216" t="s">
        <v>43</v>
      </c>
      <c r="I59" s="64">
        <v>5.57</v>
      </c>
      <c r="J59" s="64">
        <v>0.53</v>
      </c>
      <c r="K59" s="64">
        <v>28.02</v>
      </c>
      <c r="L59" s="64">
        <v>27.98</v>
      </c>
      <c r="M59" s="64">
        <v>59.97</v>
      </c>
      <c r="N59" s="64">
        <v>852</v>
      </c>
      <c r="O59" s="64">
        <v>0</v>
      </c>
      <c r="P59" s="64">
        <v>0.7</v>
      </c>
      <c r="Q59" s="64">
        <v>6.3</v>
      </c>
      <c r="R59" s="198"/>
      <c r="S59" s="198"/>
      <c r="T59" s="198"/>
      <c r="U59" s="198"/>
    </row>
    <row r="60" spans="1:21" s="12" customFormat="1" x14ac:dyDescent="0.25">
      <c r="A60" s="215" t="s">
        <v>1067</v>
      </c>
      <c r="B60" s="64">
        <v>6.58</v>
      </c>
      <c r="C60" s="64">
        <v>16.43</v>
      </c>
      <c r="D60" s="64">
        <v>14.99</v>
      </c>
      <c r="E60" s="64">
        <v>1.53</v>
      </c>
      <c r="F60" s="64">
        <v>4.1399999999999997</v>
      </c>
      <c r="G60" s="216" t="s">
        <v>43</v>
      </c>
      <c r="H60" s="216" t="s">
        <v>43</v>
      </c>
      <c r="I60" s="64">
        <v>5.53</v>
      </c>
      <c r="J60" s="64">
        <v>0.48</v>
      </c>
      <c r="K60" s="64">
        <v>47.6</v>
      </c>
      <c r="L60" s="64">
        <v>28.07</v>
      </c>
      <c r="M60" s="64">
        <v>59.82</v>
      </c>
      <c r="N60" s="64">
        <v>790.4</v>
      </c>
      <c r="O60" s="64">
        <v>0</v>
      </c>
      <c r="P60" s="64">
        <v>0.69</v>
      </c>
      <c r="Q60" s="64">
        <v>7.13</v>
      </c>
      <c r="R60" s="198"/>
      <c r="S60" s="198"/>
      <c r="T60" s="198"/>
      <c r="U60" s="198"/>
    </row>
    <row r="61" spans="1:21" s="12" customFormat="1" x14ac:dyDescent="0.25">
      <c r="A61" s="215" t="s">
        <v>1068</v>
      </c>
      <c r="B61" s="64">
        <v>6.19</v>
      </c>
      <c r="C61" s="64">
        <v>15.75</v>
      </c>
      <c r="D61" s="64">
        <v>14.3</v>
      </c>
      <c r="E61" s="64">
        <v>1.88</v>
      </c>
      <c r="F61" s="64">
        <v>5.9</v>
      </c>
      <c r="G61" s="216" t="s">
        <v>43</v>
      </c>
      <c r="H61" s="216" t="s">
        <v>43</v>
      </c>
      <c r="I61" s="64">
        <v>5.43</v>
      </c>
      <c r="J61" s="64">
        <v>0.36</v>
      </c>
      <c r="K61" s="64">
        <v>37.85</v>
      </c>
      <c r="L61" s="64">
        <v>28.01</v>
      </c>
      <c r="M61" s="64">
        <v>59.76</v>
      </c>
      <c r="N61" s="64">
        <v>986.4</v>
      </c>
      <c r="O61" s="64">
        <v>0</v>
      </c>
      <c r="P61" s="64">
        <v>0.63</v>
      </c>
      <c r="Q61" s="64">
        <v>6.02</v>
      </c>
      <c r="R61" s="198"/>
      <c r="S61" s="198"/>
      <c r="T61" s="198"/>
      <c r="U61" s="198"/>
    </row>
    <row r="62" spans="1:21" s="12" customFormat="1" x14ac:dyDescent="0.25">
      <c r="A62" s="215" t="s">
        <v>1069</v>
      </c>
      <c r="B62" s="64">
        <v>6.05</v>
      </c>
      <c r="C62" s="64">
        <v>16.14</v>
      </c>
      <c r="D62" s="64">
        <v>14.41</v>
      </c>
      <c r="E62" s="64">
        <v>1</v>
      </c>
      <c r="F62" s="64">
        <v>4.7699999999999996</v>
      </c>
      <c r="G62" s="216" t="s">
        <v>43</v>
      </c>
      <c r="H62" s="216" t="s">
        <v>43</v>
      </c>
      <c r="I62" s="64">
        <v>5.14</v>
      </c>
      <c r="J62" s="64">
        <v>0.45</v>
      </c>
      <c r="K62" s="64">
        <v>29.9</v>
      </c>
      <c r="L62" s="64">
        <v>28.97</v>
      </c>
      <c r="M62" s="64">
        <v>57.2</v>
      </c>
      <c r="N62" s="64">
        <v>907.3</v>
      </c>
      <c r="O62" s="64">
        <v>0</v>
      </c>
      <c r="P62" s="64">
        <v>0.64</v>
      </c>
      <c r="Q62" s="64">
        <v>5.46</v>
      </c>
      <c r="R62" s="198"/>
      <c r="S62" s="198"/>
      <c r="T62" s="198"/>
      <c r="U62" s="198"/>
    </row>
    <row r="63" spans="1:21" s="12" customFormat="1" x14ac:dyDescent="0.25">
      <c r="A63" s="215" t="s">
        <v>1070</v>
      </c>
      <c r="B63" s="64">
        <v>6.11</v>
      </c>
      <c r="C63" s="64">
        <v>15.04</v>
      </c>
      <c r="D63" s="64">
        <v>13.84</v>
      </c>
      <c r="E63" s="64">
        <v>1.53</v>
      </c>
      <c r="F63" s="64">
        <v>5.69</v>
      </c>
      <c r="G63" s="216" t="s">
        <v>43</v>
      </c>
      <c r="H63" s="216" t="s">
        <v>43</v>
      </c>
      <c r="I63" s="64">
        <v>4.91</v>
      </c>
      <c r="J63" s="64">
        <v>0.36</v>
      </c>
      <c r="K63" s="64">
        <v>26.44</v>
      </c>
      <c r="L63" s="64">
        <v>27.9</v>
      </c>
      <c r="M63" s="64">
        <v>59.14</v>
      </c>
      <c r="N63" s="64">
        <v>664.6</v>
      </c>
      <c r="O63" s="64">
        <v>0</v>
      </c>
      <c r="P63" s="64">
        <v>0.62</v>
      </c>
      <c r="Q63" s="64">
        <v>4.92</v>
      </c>
      <c r="R63" s="198"/>
      <c r="S63" s="198"/>
      <c r="T63" s="198"/>
      <c r="U63" s="198"/>
    </row>
    <row r="64" spans="1:21" s="12" customFormat="1" x14ac:dyDescent="0.25">
      <c r="A64" s="215" t="s">
        <v>1071</v>
      </c>
      <c r="B64" s="64">
        <v>5.69</v>
      </c>
      <c r="C64" s="64">
        <v>15.46</v>
      </c>
      <c r="D64" s="64">
        <v>13.74</v>
      </c>
      <c r="E64" s="64">
        <v>1.56</v>
      </c>
      <c r="F64" s="64">
        <v>5.0999999999999996</v>
      </c>
      <c r="G64" s="216" t="s">
        <v>43</v>
      </c>
      <c r="H64" s="216" t="s">
        <v>43</v>
      </c>
      <c r="I64" s="64">
        <v>4.79</v>
      </c>
      <c r="J64" s="64">
        <v>0.41</v>
      </c>
      <c r="K64" s="64">
        <v>38.78</v>
      </c>
      <c r="L64" s="64">
        <v>28.11</v>
      </c>
      <c r="M64" s="64">
        <v>56.91</v>
      </c>
      <c r="N64" s="64">
        <v>855.3</v>
      </c>
      <c r="O64" s="64">
        <v>0</v>
      </c>
      <c r="P64" s="64">
        <v>0.59</v>
      </c>
      <c r="Q64" s="64">
        <v>5.16</v>
      </c>
      <c r="R64" s="198"/>
      <c r="S64" s="198"/>
      <c r="T64" s="198"/>
      <c r="U64" s="198"/>
    </row>
    <row r="65" spans="1:21" s="12" customFormat="1" x14ac:dyDescent="0.25">
      <c r="A65" s="215" t="s">
        <v>1072</v>
      </c>
      <c r="B65" s="64">
        <v>5.71</v>
      </c>
      <c r="C65" s="64">
        <v>16.45</v>
      </c>
      <c r="D65" s="64">
        <v>14.31</v>
      </c>
      <c r="E65" s="64">
        <v>1.77</v>
      </c>
      <c r="F65" s="64">
        <v>5.34</v>
      </c>
      <c r="G65" s="216" t="s">
        <v>43</v>
      </c>
      <c r="H65" s="216" t="s">
        <v>43</v>
      </c>
      <c r="I65" s="64">
        <v>4.7300000000000004</v>
      </c>
      <c r="J65" s="64">
        <v>0.36</v>
      </c>
      <c r="K65" s="64">
        <v>31.11</v>
      </c>
      <c r="L65" s="64">
        <v>28.38</v>
      </c>
      <c r="M65" s="64">
        <v>56.52</v>
      </c>
      <c r="N65" s="64">
        <v>533.9</v>
      </c>
      <c r="O65" s="64">
        <v>0</v>
      </c>
      <c r="P65" s="64">
        <v>0.56999999999999995</v>
      </c>
      <c r="Q65" s="64">
        <v>5.95</v>
      </c>
      <c r="R65" s="198"/>
      <c r="S65" s="198"/>
      <c r="T65" s="198"/>
      <c r="U65" s="198"/>
    </row>
    <row r="66" spans="1:21" s="12" customFormat="1" x14ac:dyDescent="0.25">
      <c r="A66" s="215" t="s">
        <v>1073</v>
      </c>
      <c r="B66" s="64">
        <v>5.65</v>
      </c>
      <c r="C66" s="64">
        <v>15.66</v>
      </c>
      <c r="D66" s="64">
        <v>13.82</v>
      </c>
      <c r="E66" s="64">
        <v>1.23</v>
      </c>
      <c r="F66" s="64">
        <v>5.5</v>
      </c>
      <c r="G66" s="216" t="s">
        <v>43</v>
      </c>
      <c r="H66" s="216" t="s">
        <v>43</v>
      </c>
      <c r="I66" s="64">
        <v>4.7</v>
      </c>
      <c r="J66" s="64">
        <v>0.39</v>
      </c>
      <c r="K66" s="64">
        <v>36.520000000000003</v>
      </c>
      <c r="L66" s="64">
        <v>28.82</v>
      </c>
      <c r="M66" s="64">
        <v>56.66</v>
      </c>
      <c r="N66" s="64">
        <v>408.3</v>
      </c>
      <c r="O66" s="64">
        <v>0</v>
      </c>
      <c r="P66" s="64">
        <v>0.54</v>
      </c>
      <c r="Q66" s="64">
        <v>3.71</v>
      </c>
      <c r="R66" s="198"/>
      <c r="S66" s="198"/>
      <c r="T66" s="198"/>
      <c r="U66" s="198"/>
    </row>
    <row r="67" spans="1:21" s="12" customFormat="1" x14ac:dyDescent="0.25">
      <c r="A67" s="215" t="s">
        <v>1074</v>
      </c>
      <c r="B67" s="64">
        <v>5.58</v>
      </c>
      <c r="C67" s="64">
        <v>15.46</v>
      </c>
      <c r="D67" s="64">
        <v>13.66</v>
      </c>
      <c r="E67" s="64">
        <v>1.46</v>
      </c>
      <c r="F67" s="64">
        <v>5.58</v>
      </c>
      <c r="G67" s="216" t="s">
        <v>43</v>
      </c>
      <c r="H67" s="216" t="s">
        <v>43</v>
      </c>
      <c r="I67" s="64">
        <v>4.5999999999999996</v>
      </c>
      <c r="J67" s="64">
        <v>0.39</v>
      </c>
      <c r="K67" s="64">
        <v>37.31</v>
      </c>
      <c r="L67" s="64">
        <v>27.74</v>
      </c>
      <c r="M67" s="64">
        <v>58.66</v>
      </c>
      <c r="N67" s="64">
        <v>435.7</v>
      </c>
      <c r="O67" s="64">
        <v>0</v>
      </c>
      <c r="P67" s="64">
        <v>0.53</v>
      </c>
      <c r="Q67" s="64">
        <v>4.5199999999999996</v>
      </c>
      <c r="R67" s="198"/>
      <c r="S67" s="198"/>
      <c r="T67" s="198"/>
      <c r="U67" s="198"/>
    </row>
    <row r="68" spans="1:21" s="12" customFormat="1" x14ac:dyDescent="0.25">
      <c r="A68" s="215" t="s">
        <v>1075</v>
      </c>
      <c r="B68" s="64">
        <v>5.38</v>
      </c>
      <c r="C68" s="64">
        <v>15.45</v>
      </c>
      <c r="D68" s="64">
        <v>13.48</v>
      </c>
      <c r="E68" s="64">
        <v>1.55</v>
      </c>
      <c r="F68" s="64">
        <v>5.55</v>
      </c>
      <c r="G68" s="216" t="s">
        <v>43</v>
      </c>
      <c r="H68" s="216" t="s">
        <v>43</v>
      </c>
      <c r="I68" s="64">
        <v>4.49</v>
      </c>
      <c r="J68" s="64">
        <v>0.43</v>
      </c>
      <c r="K68" s="64">
        <v>32.28</v>
      </c>
      <c r="L68" s="64">
        <v>27.74</v>
      </c>
      <c r="M68" s="64">
        <v>59.04</v>
      </c>
      <c r="N68" s="64">
        <v>334.5</v>
      </c>
      <c r="O68" s="64">
        <v>0</v>
      </c>
      <c r="P68" s="64">
        <v>0.49</v>
      </c>
      <c r="Q68" s="64">
        <v>3.98</v>
      </c>
      <c r="R68" s="198"/>
      <c r="S68" s="198"/>
      <c r="T68" s="198"/>
      <c r="U68" s="198"/>
    </row>
    <row r="69" spans="1:21" s="12" customFormat="1" x14ac:dyDescent="0.25">
      <c r="A69" s="215" t="s">
        <v>1076</v>
      </c>
      <c r="B69" s="64">
        <v>5.3</v>
      </c>
      <c r="C69" s="64">
        <v>14.33</v>
      </c>
      <c r="D69" s="64">
        <v>12.81</v>
      </c>
      <c r="E69" s="64">
        <v>1.92</v>
      </c>
      <c r="F69" s="64">
        <v>6.69</v>
      </c>
      <c r="G69" s="216" t="s">
        <v>43</v>
      </c>
      <c r="H69" s="216" t="s">
        <v>43</v>
      </c>
      <c r="I69" s="64">
        <v>4.33</v>
      </c>
      <c r="J69" s="64">
        <v>0.34</v>
      </c>
      <c r="K69" s="64">
        <v>36.83</v>
      </c>
      <c r="L69" s="64">
        <v>27.3</v>
      </c>
      <c r="M69" s="64">
        <v>61.21</v>
      </c>
      <c r="N69" s="64">
        <v>265.39999999999998</v>
      </c>
      <c r="O69" s="64">
        <v>0</v>
      </c>
      <c r="P69" s="64">
        <v>0.48</v>
      </c>
      <c r="Q69" s="64">
        <v>3.04</v>
      </c>
      <c r="R69" s="198"/>
      <c r="S69" s="198"/>
      <c r="T69" s="198"/>
      <c r="U69" s="198"/>
    </row>
    <row r="70" spans="1:21" s="12" customFormat="1" x14ac:dyDescent="0.25">
      <c r="A70" s="215" t="s">
        <v>1077</v>
      </c>
      <c r="B70" s="64">
        <v>5.28</v>
      </c>
      <c r="C70" s="64">
        <v>15.18</v>
      </c>
      <c r="D70" s="64">
        <v>13.26</v>
      </c>
      <c r="E70" s="64">
        <v>1.79</v>
      </c>
      <c r="F70" s="64">
        <v>4.08</v>
      </c>
      <c r="G70" s="216" t="s">
        <v>43</v>
      </c>
      <c r="H70" s="216" t="s">
        <v>43</v>
      </c>
      <c r="I70" s="64">
        <v>4.17</v>
      </c>
      <c r="J70" s="64">
        <v>0.22</v>
      </c>
      <c r="K70" s="64">
        <v>47.27</v>
      </c>
      <c r="L70" s="64">
        <v>27.26</v>
      </c>
      <c r="M70" s="64">
        <v>62.77</v>
      </c>
      <c r="N70" s="64">
        <v>225.5</v>
      </c>
      <c r="O70" s="64">
        <v>0</v>
      </c>
      <c r="P70" s="64">
        <v>0.46</v>
      </c>
      <c r="Q70" s="64">
        <v>4.96</v>
      </c>
      <c r="R70" s="198"/>
      <c r="S70" s="198"/>
      <c r="T70" s="198"/>
      <c r="U70" s="198"/>
    </row>
    <row r="71" spans="1:21" s="12" customFormat="1" x14ac:dyDescent="0.25">
      <c r="A71" s="215" t="s">
        <v>1078</v>
      </c>
      <c r="B71" s="64">
        <v>5.46</v>
      </c>
      <c r="C71" s="64">
        <v>13.95</v>
      </c>
      <c r="D71" s="64">
        <v>12.72</v>
      </c>
      <c r="E71" s="64">
        <v>1.04</v>
      </c>
      <c r="F71" s="64">
        <v>6.67</v>
      </c>
      <c r="G71" s="216" t="s">
        <v>43</v>
      </c>
      <c r="H71" s="216" t="s">
        <v>43</v>
      </c>
      <c r="I71" s="64">
        <v>4.18</v>
      </c>
      <c r="J71" s="64">
        <v>0.32</v>
      </c>
      <c r="K71" s="64">
        <v>37.799999999999997</v>
      </c>
      <c r="L71" s="64">
        <v>27.06</v>
      </c>
      <c r="M71" s="64">
        <v>63.96</v>
      </c>
      <c r="N71" s="64">
        <v>169.5</v>
      </c>
      <c r="O71" s="64">
        <v>0</v>
      </c>
      <c r="P71" s="64">
        <v>0.45</v>
      </c>
      <c r="Q71" s="64">
        <v>3.33</v>
      </c>
      <c r="R71" s="198"/>
      <c r="S71" s="198"/>
      <c r="T71" s="198"/>
      <c r="U71" s="198"/>
    </row>
    <row r="72" spans="1:21" s="12" customFormat="1" x14ac:dyDescent="0.25">
      <c r="A72" s="215" t="s">
        <v>1079</v>
      </c>
      <c r="B72" s="64">
        <v>6.03</v>
      </c>
      <c r="C72" s="64">
        <v>14.17</v>
      </c>
      <c r="D72" s="64">
        <v>13.3</v>
      </c>
      <c r="E72" s="64">
        <v>1.0900000000000001</v>
      </c>
      <c r="F72" s="64">
        <v>6.19</v>
      </c>
      <c r="G72" s="216" t="s">
        <v>43</v>
      </c>
      <c r="H72" s="216" t="s">
        <v>43</v>
      </c>
      <c r="I72" s="64">
        <v>4.0999999999999996</v>
      </c>
      <c r="J72" s="64">
        <v>0.3</v>
      </c>
      <c r="K72" s="64">
        <v>35.909999999999997</v>
      </c>
      <c r="L72" s="64">
        <v>27.22</v>
      </c>
      <c r="M72" s="64">
        <v>64.150000000000006</v>
      </c>
      <c r="N72" s="64">
        <v>195.2</v>
      </c>
      <c r="O72" s="64">
        <v>0</v>
      </c>
      <c r="P72" s="64">
        <v>0.44</v>
      </c>
      <c r="Q72" s="64">
        <v>5.19</v>
      </c>
      <c r="R72" s="198"/>
      <c r="S72" s="198"/>
      <c r="T72" s="198"/>
      <c r="U72" s="198"/>
    </row>
    <row r="73" spans="1:21" s="12" customFormat="1" x14ac:dyDescent="0.25">
      <c r="A73" s="215" t="s">
        <v>1080</v>
      </c>
      <c r="B73" s="64">
        <v>6.43</v>
      </c>
      <c r="C73" s="64">
        <v>12.74</v>
      </c>
      <c r="D73" s="64">
        <v>12.83</v>
      </c>
      <c r="E73" s="64">
        <v>1.35</v>
      </c>
      <c r="F73" s="64">
        <v>6.54</v>
      </c>
      <c r="G73" s="216" t="s">
        <v>43</v>
      </c>
      <c r="H73" s="216" t="s">
        <v>43</v>
      </c>
      <c r="I73" s="64">
        <v>4.05</v>
      </c>
      <c r="J73" s="64">
        <v>0.32</v>
      </c>
      <c r="K73" s="64">
        <v>39.950000000000003</v>
      </c>
      <c r="L73" s="64">
        <v>26.96</v>
      </c>
      <c r="M73" s="64">
        <v>64.290000000000006</v>
      </c>
      <c r="N73" s="64">
        <v>205.9</v>
      </c>
      <c r="O73" s="64">
        <v>0</v>
      </c>
      <c r="P73" s="64">
        <v>0.44</v>
      </c>
      <c r="Q73" s="64">
        <v>4.3899999999999997</v>
      </c>
      <c r="R73" s="198"/>
      <c r="S73" s="198"/>
      <c r="T73" s="198"/>
      <c r="U73" s="198"/>
    </row>
    <row r="74" spans="1:21" s="12" customFormat="1" x14ac:dyDescent="0.25">
      <c r="A74" s="215" t="s">
        <v>1081</v>
      </c>
      <c r="B74" s="64">
        <v>6.43</v>
      </c>
      <c r="C74" s="64">
        <v>13.84</v>
      </c>
      <c r="D74" s="64">
        <v>13.44</v>
      </c>
      <c r="E74" s="64">
        <v>1.35</v>
      </c>
      <c r="F74" s="64">
        <v>5.18</v>
      </c>
      <c r="G74" s="216" t="s">
        <v>43</v>
      </c>
      <c r="H74" s="216" t="s">
        <v>43</v>
      </c>
      <c r="I74" s="64">
        <v>3.98</v>
      </c>
      <c r="J74" s="64">
        <v>0.33</v>
      </c>
      <c r="K74" s="64">
        <v>44.12</v>
      </c>
      <c r="L74" s="64">
        <v>27.2</v>
      </c>
      <c r="M74" s="64">
        <v>62.65</v>
      </c>
      <c r="N74" s="64">
        <v>177.4</v>
      </c>
      <c r="O74" s="64">
        <v>0</v>
      </c>
      <c r="P74" s="64">
        <v>0.43</v>
      </c>
      <c r="Q74" s="64">
        <v>5.34</v>
      </c>
      <c r="R74" s="198"/>
      <c r="S74" s="198"/>
      <c r="T74" s="198"/>
      <c r="U74" s="198"/>
    </row>
    <row r="75" spans="1:21" s="12" customFormat="1" x14ac:dyDescent="0.25">
      <c r="A75" s="215" t="s">
        <v>1082</v>
      </c>
      <c r="B75" s="64">
        <v>6.49</v>
      </c>
      <c r="C75" s="64">
        <v>12.85</v>
      </c>
      <c r="D75" s="64">
        <v>12.95</v>
      </c>
      <c r="E75" s="64">
        <v>1.42</v>
      </c>
      <c r="F75" s="64">
        <v>7</v>
      </c>
      <c r="G75" s="216" t="s">
        <v>43</v>
      </c>
      <c r="H75" s="216" t="s">
        <v>43</v>
      </c>
      <c r="I75" s="64">
        <v>4.1100000000000003</v>
      </c>
      <c r="J75" s="64">
        <v>0.28000000000000003</v>
      </c>
      <c r="K75" s="64">
        <v>50.61</v>
      </c>
      <c r="L75" s="64">
        <v>27.08</v>
      </c>
      <c r="M75" s="64">
        <v>63.39</v>
      </c>
      <c r="N75" s="64">
        <v>143.9</v>
      </c>
      <c r="O75" s="64">
        <v>0</v>
      </c>
      <c r="P75" s="64">
        <v>0.43</v>
      </c>
      <c r="Q75" s="64">
        <v>4.5199999999999996</v>
      </c>
      <c r="R75" s="198"/>
      <c r="S75" s="198"/>
      <c r="T75" s="198"/>
      <c r="U75" s="198"/>
    </row>
    <row r="76" spans="1:21" s="12" customFormat="1" x14ac:dyDescent="0.25">
      <c r="A76" s="215" t="s">
        <v>1083</v>
      </c>
      <c r="B76" s="64">
        <v>6.66</v>
      </c>
      <c r="C76" s="64">
        <v>14.02</v>
      </c>
      <c r="D76" s="64">
        <v>13.72</v>
      </c>
      <c r="E76" s="64">
        <v>1.91</v>
      </c>
      <c r="F76" s="64">
        <v>3.52</v>
      </c>
      <c r="G76" s="216" t="s">
        <v>43</v>
      </c>
      <c r="H76" s="216" t="s">
        <v>43</v>
      </c>
      <c r="I76" s="64">
        <v>4.16</v>
      </c>
      <c r="J76" s="64">
        <v>0.28000000000000003</v>
      </c>
      <c r="K76" s="64">
        <v>27.31</v>
      </c>
      <c r="L76" s="64">
        <v>27.03</v>
      </c>
      <c r="M76" s="64">
        <v>64</v>
      </c>
      <c r="N76" s="64">
        <v>136.6</v>
      </c>
      <c r="O76" s="64">
        <v>0</v>
      </c>
      <c r="P76" s="64">
        <v>0.43</v>
      </c>
      <c r="Q76" s="64">
        <v>6.59</v>
      </c>
      <c r="R76" s="198"/>
      <c r="S76" s="198"/>
      <c r="T76" s="198"/>
      <c r="U76" s="198"/>
    </row>
    <row r="77" spans="1:21" s="12" customFormat="1" x14ac:dyDescent="0.25">
      <c r="A77" s="215" t="s">
        <v>1084</v>
      </c>
      <c r="B77" s="64">
        <v>6.89</v>
      </c>
      <c r="C77" s="64">
        <v>15.06</v>
      </c>
      <c r="D77" s="64">
        <v>14.48</v>
      </c>
      <c r="E77" s="64">
        <v>2.3199999999999998</v>
      </c>
      <c r="F77" s="64">
        <v>4.08</v>
      </c>
      <c r="G77" s="216" t="s">
        <v>43</v>
      </c>
      <c r="H77" s="216" t="s">
        <v>43</v>
      </c>
      <c r="I77" s="64">
        <v>4.3</v>
      </c>
      <c r="J77" s="64">
        <v>0.35</v>
      </c>
      <c r="K77" s="64">
        <v>27.54</v>
      </c>
      <c r="L77" s="64">
        <v>26.91</v>
      </c>
      <c r="M77" s="64">
        <v>63.22</v>
      </c>
      <c r="N77" s="64">
        <v>115.3</v>
      </c>
      <c r="O77" s="64">
        <v>0</v>
      </c>
      <c r="P77" s="64">
        <v>0.44</v>
      </c>
      <c r="Q77" s="64">
        <v>5.22</v>
      </c>
      <c r="R77" s="198"/>
      <c r="S77" s="198"/>
      <c r="T77" s="198"/>
      <c r="U77" s="198"/>
    </row>
    <row r="78" spans="1:21" s="12" customFormat="1" x14ac:dyDescent="0.25">
      <c r="A78" s="215" t="s">
        <v>1085</v>
      </c>
      <c r="B78" s="64">
        <v>7.29</v>
      </c>
      <c r="C78" s="64">
        <v>13.19</v>
      </c>
      <c r="D78" s="64">
        <v>13.77</v>
      </c>
      <c r="E78" s="64">
        <v>2.06</v>
      </c>
      <c r="F78" s="64">
        <v>5.21</v>
      </c>
      <c r="G78" s="216" t="s">
        <v>43</v>
      </c>
      <c r="H78" s="216" t="s">
        <v>43</v>
      </c>
      <c r="I78" s="64">
        <v>4.55</v>
      </c>
      <c r="J78" s="64">
        <v>0.25</v>
      </c>
      <c r="K78" s="64">
        <v>34.49</v>
      </c>
      <c r="L78" s="64">
        <v>26.69</v>
      </c>
      <c r="M78" s="64">
        <v>64.08</v>
      </c>
      <c r="N78" s="64">
        <v>107.7</v>
      </c>
      <c r="O78" s="64">
        <v>0</v>
      </c>
      <c r="P78" s="64">
        <v>0.45</v>
      </c>
      <c r="Q78" s="64">
        <v>3.96</v>
      </c>
      <c r="R78" s="198"/>
      <c r="S78" s="198"/>
      <c r="T78" s="198"/>
      <c r="U78" s="198"/>
    </row>
    <row r="79" spans="1:21" s="12" customFormat="1" x14ac:dyDescent="0.25">
      <c r="A79" s="215" t="s">
        <v>1086</v>
      </c>
      <c r="B79" s="64">
        <v>8.23</v>
      </c>
      <c r="C79" s="64">
        <v>15.82</v>
      </c>
      <c r="D79" s="64">
        <v>15.97</v>
      </c>
      <c r="E79" s="64">
        <v>1.88</v>
      </c>
      <c r="F79" s="64">
        <v>3.81</v>
      </c>
      <c r="G79" s="216" t="s">
        <v>43</v>
      </c>
      <c r="H79" s="216" t="s">
        <v>43</v>
      </c>
      <c r="I79" s="64">
        <v>4.68</v>
      </c>
      <c r="J79" s="64">
        <v>0.28999999999999998</v>
      </c>
      <c r="K79" s="64">
        <v>30.09</v>
      </c>
      <c r="L79" s="64">
        <v>26.82</v>
      </c>
      <c r="M79" s="64">
        <v>64.2</v>
      </c>
      <c r="N79" s="64">
        <v>90.7</v>
      </c>
      <c r="O79" s="64">
        <v>0</v>
      </c>
      <c r="P79" s="64">
        <v>0.46</v>
      </c>
      <c r="Q79" s="64">
        <v>6</v>
      </c>
      <c r="R79" s="198"/>
      <c r="S79" s="198"/>
      <c r="T79" s="198"/>
      <c r="U79" s="198"/>
    </row>
    <row r="80" spans="1:21" s="12" customFormat="1" x14ac:dyDescent="0.25">
      <c r="A80" s="215" t="s">
        <v>1087</v>
      </c>
      <c r="B80" s="64">
        <v>7.36</v>
      </c>
      <c r="C80" s="64">
        <v>14.98</v>
      </c>
      <c r="D80" s="64">
        <v>14.81</v>
      </c>
      <c r="E80" s="64">
        <v>1.91</v>
      </c>
      <c r="F80" s="64">
        <v>4.5199999999999996</v>
      </c>
      <c r="G80" s="216" t="s">
        <v>43</v>
      </c>
      <c r="H80" s="216" t="s">
        <v>43</v>
      </c>
      <c r="I80" s="64">
        <v>4.8</v>
      </c>
      <c r="J80" s="64">
        <v>0.26</v>
      </c>
      <c r="K80" s="64">
        <v>41.54</v>
      </c>
      <c r="L80" s="64">
        <v>26.89</v>
      </c>
      <c r="M80" s="64">
        <v>63.9</v>
      </c>
      <c r="N80" s="64">
        <v>70.3</v>
      </c>
      <c r="O80" s="64">
        <v>0</v>
      </c>
      <c r="P80" s="64">
        <v>0.47</v>
      </c>
      <c r="Q80" s="64">
        <v>3.82</v>
      </c>
      <c r="R80" s="198"/>
      <c r="S80" s="198"/>
      <c r="T80" s="198"/>
      <c r="U80" s="198"/>
    </row>
    <row r="81" spans="1:26" s="12" customFormat="1" x14ac:dyDescent="0.25">
      <c r="A81" s="215" t="s">
        <v>1088</v>
      </c>
      <c r="B81" s="64">
        <v>9.2200000000000006</v>
      </c>
      <c r="C81" s="64">
        <v>15.07</v>
      </c>
      <c r="D81" s="64">
        <v>16.36</v>
      </c>
      <c r="E81" s="64">
        <v>2.13</v>
      </c>
      <c r="F81" s="64">
        <v>5.35</v>
      </c>
      <c r="G81" s="216" t="s">
        <v>43</v>
      </c>
      <c r="H81" s="216" t="s">
        <v>43</v>
      </c>
      <c r="I81" s="64">
        <v>4.8499999999999996</v>
      </c>
      <c r="J81" s="64">
        <v>0.41</v>
      </c>
      <c r="K81" s="64">
        <v>0.56000000000000005</v>
      </c>
      <c r="L81" s="64">
        <v>26.65</v>
      </c>
      <c r="M81" s="64">
        <v>65.489999999999995</v>
      </c>
      <c r="N81" s="64">
        <v>59.4</v>
      </c>
      <c r="O81" s="64">
        <v>0</v>
      </c>
      <c r="P81" s="64">
        <v>0.52</v>
      </c>
      <c r="Q81" s="64">
        <v>3.88</v>
      </c>
      <c r="R81" s="198"/>
      <c r="S81" s="198"/>
      <c r="T81" s="198"/>
      <c r="U81" s="198"/>
    </row>
    <row r="82" spans="1:26" s="12" customFormat="1" x14ac:dyDescent="0.25">
      <c r="A82" s="215" t="s">
        <v>1089</v>
      </c>
      <c r="B82" s="64">
        <v>13.38</v>
      </c>
      <c r="C82" s="64">
        <v>16.93</v>
      </c>
      <c r="D82" s="64">
        <v>20.72</v>
      </c>
      <c r="E82" s="64">
        <v>1.9</v>
      </c>
      <c r="F82" s="64">
        <v>4.0599999999999996</v>
      </c>
      <c r="G82" s="216" t="s">
        <v>43</v>
      </c>
      <c r="H82" s="216" t="s">
        <v>43</v>
      </c>
      <c r="I82" s="64">
        <v>4.95</v>
      </c>
      <c r="J82" s="64">
        <v>0.3</v>
      </c>
      <c r="K82" s="64">
        <v>11.74</v>
      </c>
      <c r="L82" s="64">
        <v>26.32</v>
      </c>
      <c r="M82" s="64">
        <v>67.040000000000006</v>
      </c>
      <c r="N82" s="64">
        <v>45.4</v>
      </c>
      <c r="O82" s="64">
        <v>0</v>
      </c>
      <c r="P82" s="64">
        <v>0.54</v>
      </c>
      <c r="Q82" s="64">
        <v>7.59</v>
      </c>
      <c r="R82" s="198"/>
      <c r="S82" s="198"/>
      <c r="T82" s="198"/>
      <c r="U82" s="198"/>
    </row>
    <row r="83" spans="1:26" s="12" customFormat="1" x14ac:dyDescent="0.25">
      <c r="A83" s="215" t="s">
        <v>1090</v>
      </c>
      <c r="B83" s="64">
        <v>14.23</v>
      </c>
      <c r="C83" s="64">
        <v>18.62</v>
      </c>
      <c r="D83" s="64">
        <v>22.33</v>
      </c>
      <c r="E83" s="64">
        <v>2.11</v>
      </c>
      <c r="F83" s="64">
        <v>10.99</v>
      </c>
      <c r="G83" s="216" t="s">
        <v>43</v>
      </c>
      <c r="H83" s="216" t="s">
        <v>43</v>
      </c>
      <c r="I83" s="64">
        <v>5.13</v>
      </c>
      <c r="J83" s="64">
        <v>0.27</v>
      </c>
      <c r="K83" s="64">
        <v>6.47</v>
      </c>
      <c r="L83" s="64">
        <v>26</v>
      </c>
      <c r="M83" s="64">
        <v>69.09</v>
      </c>
      <c r="N83" s="64">
        <v>35.1</v>
      </c>
      <c r="O83" s="64">
        <v>0</v>
      </c>
      <c r="P83" s="64">
        <v>0.55000000000000004</v>
      </c>
      <c r="Q83" s="64">
        <v>8.36</v>
      </c>
      <c r="R83" s="198"/>
      <c r="S83" s="198"/>
      <c r="T83" s="198"/>
      <c r="U83" s="198"/>
    </row>
    <row r="84" spans="1:26" s="12" customFormat="1" x14ac:dyDescent="0.25">
      <c r="A84" s="215" t="s">
        <v>1091</v>
      </c>
      <c r="B84" s="64">
        <v>14.75</v>
      </c>
      <c r="C84" s="64">
        <v>17.98</v>
      </c>
      <c r="D84" s="64">
        <v>22.4</v>
      </c>
      <c r="E84" s="64">
        <v>2.0299999999999998</v>
      </c>
      <c r="F84" s="64">
        <v>8.14</v>
      </c>
      <c r="G84" s="216" t="s">
        <v>43</v>
      </c>
      <c r="H84" s="216" t="s">
        <v>43</v>
      </c>
      <c r="I84" s="64">
        <v>5.13</v>
      </c>
      <c r="J84" s="64">
        <v>0.44</v>
      </c>
      <c r="K84" s="64">
        <v>349.58</v>
      </c>
      <c r="L84" s="64">
        <v>25.69</v>
      </c>
      <c r="M84" s="64">
        <v>71.77</v>
      </c>
      <c r="N84" s="64">
        <v>31.3</v>
      </c>
      <c r="O84" s="64">
        <v>0</v>
      </c>
      <c r="P84" s="64">
        <v>0.56999999999999995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5" t="s">
        <v>1092</v>
      </c>
      <c r="B85" s="64">
        <v>23.32</v>
      </c>
      <c r="C85" s="64">
        <v>22.13</v>
      </c>
      <c r="D85" s="64">
        <v>31.55</v>
      </c>
      <c r="E85" s="64">
        <v>2.0499999999999998</v>
      </c>
      <c r="F85" s="64">
        <v>11.43</v>
      </c>
      <c r="G85" s="216" t="s">
        <v>43</v>
      </c>
      <c r="H85" s="216" t="s">
        <v>43</v>
      </c>
      <c r="I85" s="64">
        <v>4.75</v>
      </c>
      <c r="J85" s="64">
        <v>0.22</v>
      </c>
      <c r="K85" s="64">
        <v>12.25</v>
      </c>
      <c r="L85" s="64">
        <v>25.51</v>
      </c>
      <c r="M85" s="64">
        <v>71.95</v>
      </c>
      <c r="N85" s="64">
        <v>30.7</v>
      </c>
      <c r="O85" s="64">
        <v>0</v>
      </c>
      <c r="P85" s="64">
        <v>0.48</v>
      </c>
      <c r="Q85" s="64">
        <v>10.76</v>
      </c>
      <c r="R85" s="198"/>
      <c r="S85" s="198"/>
      <c r="T85" s="198"/>
      <c r="U85" s="198"/>
    </row>
    <row r="86" spans="1:26" s="12" customFormat="1" x14ac:dyDescent="0.25">
      <c r="A86" s="215" t="s">
        <v>1093</v>
      </c>
      <c r="B86" s="64">
        <v>21.43</v>
      </c>
      <c r="C86" s="64">
        <v>26.04</v>
      </c>
      <c r="D86" s="64">
        <v>32.200000000000003</v>
      </c>
      <c r="E86" s="64">
        <v>2.2400000000000002</v>
      </c>
      <c r="F86" s="64">
        <v>10</v>
      </c>
      <c r="G86" s="216" t="s">
        <v>43</v>
      </c>
      <c r="H86" s="216" t="s">
        <v>43</v>
      </c>
      <c r="I86" s="64">
        <v>4.79</v>
      </c>
      <c r="J86" s="64">
        <v>0.25</v>
      </c>
      <c r="K86" s="64">
        <v>359.53</v>
      </c>
      <c r="L86" s="64">
        <v>25.24</v>
      </c>
      <c r="M86" s="64">
        <v>73.010000000000005</v>
      </c>
      <c r="N86" s="64">
        <v>30.6</v>
      </c>
      <c r="O86" s="64">
        <v>0</v>
      </c>
      <c r="P86" s="64">
        <v>0.55000000000000004</v>
      </c>
      <c r="Q86" s="64">
        <v>12.34</v>
      </c>
      <c r="R86" s="198"/>
      <c r="S86" s="198"/>
      <c r="T86" s="198"/>
      <c r="U86" s="198"/>
    </row>
    <row r="87" spans="1:26" s="12" customFormat="1" x14ac:dyDescent="0.25">
      <c r="A87" s="215" t="s">
        <v>1094</v>
      </c>
      <c r="B87" s="64">
        <v>17.64</v>
      </c>
      <c r="C87" s="64">
        <v>21.36</v>
      </c>
      <c r="D87" s="64">
        <v>26.58</v>
      </c>
      <c r="E87" s="64">
        <v>2.2799999999999998</v>
      </c>
      <c r="F87" s="64">
        <v>9.91</v>
      </c>
      <c r="G87" s="216" t="s">
        <v>43</v>
      </c>
      <c r="H87" s="216" t="s">
        <v>43</v>
      </c>
      <c r="I87" s="64">
        <v>5.18</v>
      </c>
      <c r="J87" s="64">
        <v>0.15</v>
      </c>
      <c r="K87" s="64">
        <v>4.78</v>
      </c>
      <c r="L87" s="64">
        <v>25.06</v>
      </c>
      <c r="M87" s="64">
        <v>74.040000000000006</v>
      </c>
      <c r="N87" s="64">
        <v>30.6</v>
      </c>
      <c r="O87" s="64">
        <v>0</v>
      </c>
      <c r="P87" s="64">
        <v>0.56999999999999995</v>
      </c>
      <c r="Q87" s="64">
        <v>12.74</v>
      </c>
      <c r="R87" s="198"/>
      <c r="S87" s="198"/>
      <c r="T87" s="198"/>
      <c r="U87" s="198"/>
    </row>
    <row r="88" spans="1:26" s="12" customFormat="1" x14ac:dyDescent="0.25">
      <c r="A88" s="215" t="s">
        <v>1095</v>
      </c>
      <c r="B88" s="64">
        <v>20.61</v>
      </c>
      <c r="C88" s="64">
        <v>16.72</v>
      </c>
      <c r="D88" s="64">
        <v>26.4</v>
      </c>
      <c r="E88" s="64">
        <v>1.96</v>
      </c>
      <c r="F88" s="64">
        <v>4.8600000000000003</v>
      </c>
      <c r="G88" s="216" t="s">
        <v>43</v>
      </c>
      <c r="H88" s="216" t="s">
        <v>43</v>
      </c>
      <c r="I88" s="64">
        <v>5.32</v>
      </c>
      <c r="J88" s="64">
        <v>0.16</v>
      </c>
      <c r="K88" s="64">
        <v>359.85</v>
      </c>
      <c r="L88" s="64">
        <v>25.02</v>
      </c>
      <c r="M88" s="64">
        <v>74.31</v>
      </c>
      <c r="N88" s="64">
        <v>30.8</v>
      </c>
      <c r="O88" s="64">
        <v>0</v>
      </c>
      <c r="P88" s="64">
        <v>0.63</v>
      </c>
      <c r="Q88" s="64">
        <v>14.33</v>
      </c>
      <c r="R88" s="198"/>
      <c r="S88" s="198"/>
      <c r="T88" s="198"/>
      <c r="U88" s="198"/>
    </row>
    <row r="89" spans="1:26" s="12" customFormat="1" x14ac:dyDescent="0.25">
      <c r="A89" s="215" t="s">
        <v>1096</v>
      </c>
      <c r="B89" s="64">
        <v>22.75</v>
      </c>
      <c r="C89" s="64">
        <v>25.04</v>
      </c>
      <c r="D89" s="64">
        <v>32.71</v>
      </c>
      <c r="E89" s="64">
        <v>2.59</v>
      </c>
      <c r="F89" s="64">
        <v>5.42</v>
      </c>
      <c r="G89" s="216" t="s">
        <v>43</v>
      </c>
      <c r="H89" s="216" t="s">
        <v>43</v>
      </c>
      <c r="I89" s="64">
        <v>6.15</v>
      </c>
      <c r="J89" s="64">
        <v>0.15</v>
      </c>
      <c r="K89" s="64">
        <v>9.64</v>
      </c>
      <c r="L89" s="64">
        <v>25.02</v>
      </c>
      <c r="M89" s="64">
        <v>75.22</v>
      </c>
      <c r="N89" s="64">
        <v>31.3</v>
      </c>
      <c r="O89" s="64">
        <v>0</v>
      </c>
      <c r="P89" s="64">
        <v>0.68</v>
      </c>
      <c r="Q89" s="64">
        <v>14.21</v>
      </c>
      <c r="R89" s="198"/>
      <c r="S89" s="198"/>
      <c r="T89" s="198"/>
      <c r="U89" s="198"/>
    </row>
    <row r="90" spans="1:26" s="12" customFormat="1" x14ac:dyDescent="0.25">
      <c r="A90" s="215" t="s">
        <v>1097</v>
      </c>
      <c r="B90" s="64">
        <v>19.22</v>
      </c>
      <c r="C90" s="64">
        <v>19.010000000000002</v>
      </c>
      <c r="D90" s="64">
        <v>26.55</v>
      </c>
      <c r="E90" s="64">
        <v>2.75</v>
      </c>
      <c r="F90" s="64">
        <v>5.98</v>
      </c>
      <c r="G90" s="216" t="s">
        <v>43</v>
      </c>
      <c r="H90" s="216" t="s">
        <v>43</v>
      </c>
      <c r="I90" s="64">
        <v>6.7</v>
      </c>
      <c r="J90" s="64">
        <v>0.19</v>
      </c>
      <c r="K90" s="64">
        <v>348.39</v>
      </c>
      <c r="L90" s="64">
        <v>24.93</v>
      </c>
      <c r="M90" s="64">
        <v>75.459999999999994</v>
      </c>
      <c r="N90" s="64">
        <v>30.9</v>
      </c>
      <c r="O90" s="64">
        <v>0</v>
      </c>
      <c r="P90" s="64">
        <v>0.73</v>
      </c>
      <c r="Q90" s="64">
        <v>12.43</v>
      </c>
      <c r="R90" s="198"/>
      <c r="S90" s="198"/>
      <c r="T90" s="198"/>
      <c r="U90" s="198"/>
    </row>
    <row r="91" spans="1:26" s="12" customFormat="1" x14ac:dyDescent="0.25">
      <c r="A91" s="215" t="s">
        <v>1098</v>
      </c>
      <c r="B91" s="64">
        <v>22.34</v>
      </c>
      <c r="C91" s="64">
        <v>19.79</v>
      </c>
      <c r="D91" s="64">
        <v>29.48</v>
      </c>
      <c r="E91" s="64">
        <v>2.73</v>
      </c>
      <c r="F91" s="64">
        <v>5.3</v>
      </c>
      <c r="G91" s="216" t="s">
        <v>43</v>
      </c>
      <c r="H91" s="216" t="s">
        <v>43</v>
      </c>
      <c r="I91" s="64">
        <v>6.65</v>
      </c>
      <c r="J91" s="64">
        <v>0.05</v>
      </c>
      <c r="K91" s="64">
        <v>334.61</v>
      </c>
      <c r="L91" s="64">
        <v>24.86</v>
      </c>
      <c r="M91" s="64">
        <v>76.319999999999993</v>
      </c>
      <c r="N91" s="64">
        <v>31.1</v>
      </c>
      <c r="O91" s="64">
        <v>0</v>
      </c>
      <c r="P91" s="64">
        <v>0.78</v>
      </c>
      <c r="Q91" s="64">
        <v>14.43</v>
      </c>
      <c r="R91" s="198"/>
      <c r="S91" s="198"/>
      <c r="T91" s="198"/>
      <c r="U91" s="198"/>
    </row>
    <row r="92" spans="1:26" s="12" customFormat="1" x14ac:dyDescent="0.25">
      <c r="A92" s="215" t="s">
        <v>1099</v>
      </c>
      <c r="B92" s="64">
        <v>22.31</v>
      </c>
      <c r="C92" s="64">
        <v>22.85</v>
      </c>
      <c r="D92" s="64">
        <v>31.15</v>
      </c>
      <c r="E92" s="64">
        <v>2.48</v>
      </c>
      <c r="F92" s="64">
        <v>5.54</v>
      </c>
      <c r="G92" s="216" t="s">
        <v>43</v>
      </c>
      <c r="H92" s="216" t="s">
        <v>43</v>
      </c>
      <c r="I92" s="64">
        <v>6.93</v>
      </c>
      <c r="J92" s="64">
        <v>0.11</v>
      </c>
      <c r="K92" s="64">
        <v>2.84</v>
      </c>
      <c r="L92" s="64">
        <v>24.79</v>
      </c>
      <c r="M92" s="64">
        <v>77.02</v>
      </c>
      <c r="N92" s="64">
        <v>31</v>
      </c>
      <c r="O92" s="64">
        <v>0</v>
      </c>
      <c r="P92" s="64">
        <v>0.82</v>
      </c>
      <c r="Q92" s="64">
        <v>14.09</v>
      </c>
      <c r="R92" s="198"/>
      <c r="S92" s="198"/>
      <c r="T92" s="198"/>
      <c r="U92" s="198"/>
    </row>
    <row r="93" spans="1:26" s="12" customFormat="1" x14ac:dyDescent="0.25">
      <c r="A93" s="215" t="s">
        <v>1100</v>
      </c>
      <c r="B93" s="64">
        <v>23.01</v>
      </c>
      <c r="C93" s="64">
        <v>17.93</v>
      </c>
      <c r="D93" s="64">
        <v>28.99</v>
      </c>
      <c r="E93" s="64">
        <v>2.44</v>
      </c>
      <c r="F93" s="64">
        <v>5.56</v>
      </c>
      <c r="G93" s="216" t="s">
        <v>43</v>
      </c>
      <c r="H93" s="216" t="s">
        <v>43</v>
      </c>
      <c r="I93" s="64">
        <v>6.93</v>
      </c>
      <c r="J93" s="64">
        <v>0.11</v>
      </c>
      <c r="K93" s="64">
        <v>5.45</v>
      </c>
      <c r="L93" s="64">
        <v>24.59</v>
      </c>
      <c r="M93" s="64">
        <v>78.31</v>
      </c>
      <c r="N93" s="64">
        <v>31</v>
      </c>
      <c r="O93" s="64">
        <v>0</v>
      </c>
      <c r="P93" s="64">
        <v>0.86</v>
      </c>
      <c r="Q93" s="64">
        <v>13.28</v>
      </c>
      <c r="R93" s="198"/>
      <c r="S93" s="198"/>
      <c r="T93" s="198"/>
      <c r="U93" s="198"/>
    </row>
    <row r="94" spans="1:26" s="12" customFormat="1" x14ac:dyDescent="0.25">
      <c r="A94" s="215" t="s">
        <v>1101</v>
      </c>
      <c r="B94" s="64">
        <v>42</v>
      </c>
      <c r="C94" s="64">
        <v>26.73</v>
      </c>
      <c r="D94" s="64">
        <v>49.08</v>
      </c>
      <c r="E94" s="64">
        <v>2.98</v>
      </c>
      <c r="F94" s="64">
        <v>4.37</v>
      </c>
      <c r="G94" s="216" t="s">
        <v>43</v>
      </c>
      <c r="H94" s="216" t="s">
        <v>43</v>
      </c>
      <c r="I94" s="64">
        <v>6.81</v>
      </c>
      <c r="J94" s="64">
        <v>0.03</v>
      </c>
      <c r="K94" s="64">
        <v>328.28</v>
      </c>
      <c r="L94" s="64">
        <v>24.37</v>
      </c>
      <c r="M94" s="64">
        <v>79.63</v>
      </c>
      <c r="N94" s="64">
        <v>31.2</v>
      </c>
      <c r="O94" s="64">
        <v>0</v>
      </c>
      <c r="P94" s="64">
        <v>0.89</v>
      </c>
      <c r="Q94" s="64">
        <v>14.76</v>
      </c>
      <c r="R94" s="198"/>
      <c r="S94" s="198"/>
      <c r="T94" s="198"/>
      <c r="U94" s="198"/>
    </row>
    <row r="95" spans="1:26" s="12" customFormat="1" x14ac:dyDescent="0.25">
      <c r="A95" s="215" t="s">
        <v>1102</v>
      </c>
      <c r="B95" s="64">
        <v>45.08</v>
      </c>
      <c r="C95" s="64">
        <v>41.15</v>
      </c>
      <c r="D95" s="64">
        <v>59.51</v>
      </c>
      <c r="E95" s="64">
        <v>2.66</v>
      </c>
      <c r="F95" s="64">
        <v>4.1500000000000004</v>
      </c>
      <c r="G95" s="216" t="s">
        <v>43</v>
      </c>
      <c r="H95" s="216" t="s">
        <v>43</v>
      </c>
      <c r="I95" s="64">
        <v>7.1</v>
      </c>
      <c r="J95" s="64">
        <v>7.0000000000000007E-2</v>
      </c>
      <c r="K95" s="64">
        <v>288.75</v>
      </c>
      <c r="L95" s="64">
        <v>24.13</v>
      </c>
      <c r="M95" s="64">
        <v>81.34</v>
      </c>
      <c r="N95" s="64">
        <v>31</v>
      </c>
      <c r="O95" s="64">
        <v>0</v>
      </c>
      <c r="P95" s="64">
        <v>0.93</v>
      </c>
      <c r="Q95" s="64">
        <v>14.4</v>
      </c>
      <c r="R95" s="198"/>
      <c r="S95" s="198"/>
      <c r="T95" s="198"/>
      <c r="U95" s="198"/>
    </row>
    <row r="96" spans="1:26" s="12" customFormat="1" x14ac:dyDescent="0.25">
      <c r="A96" s="215" t="s">
        <v>1103</v>
      </c>
      <c r="B96" s="64">
        <v>30.43</v>
      </c>
      <c r="C96" s="64">
        <v>42.19</v>
      </c>
      <c r="D96" s="64">
        <v>48.34</v>
      </c>
      <c r="E96" s="64">
        <v>2.83</v>
      </c>
      <c r="F96" s="64">
        <v>3.96</v>
      </c>
      <c r="G96" s="216" t="s">
        <v>43</v>
      </c>
      <c r="H96" s="216" t="s">
        <v>43</v>
      </c>
      <c r="I96" s="64">
        <v>6.5</v>
      </c>
      <c r="J96" s="64">
        <v>0.06</v>
      </c>
      <c r="K96" s="64">
        <v>280.20999999999998</v>
      </c>
      <c r="L96" s="64">
        <v>24.04</v>
      </c>
      <c r="M96" s="64">
        <v>81.819999999999993</v>
      </c>
      <c r="N96" s="64">
        <v>31</v>
      </c>
      <c r="O96" s="64">
        <v>0</v>
      </c>
      <c r="P96" s="64">
        <v>0.96</v>
      </c>
      <c r="Q96" s="64">
        <v>16.190000000000001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1104</v>
      </c>
      <c r="B97" s="64">
        <v>45.34</v>
      </c>
      <c r="C97" s="64">
        <v>32.36</v>
      </c>
      <c r="D97" s="64">
        <v>54.87</v>
      </c>
      <c r="E97" s="64">
        <v>2.75</v>
      </c>
      <c r="F97" s="64">
        <v>4.3</v>
      </c>
      <c r="G97" s="216" t="s">
        <v>43</v>
      </c>
      <c r="H97" s="216" t="s">
        <v>43</v>
      </c>
      <c r="I97" s="64">
        <v>6.3</v>
      </c>
      <c r="J97" s="64">
        <v>0.09</v>
      </c>
      <c r="K97" s="64">
        <v>6.69</v>
      </c>
      <c r="L97" s="64">
        <v>23.97</v>
      </c>
      <c r="M97" s="64">
        <v>84.47</v>
      </c>
      <c r="N97" s="64">
        <v>31.1</v>
      </c>
      <c r="O97" s="64">
        <v>0</v>
      </c>
      <c r="P97" s="64">
        <v>0.99</v>
      </c>
      <c r="Q97" s="64">
        <v>16.489999999999998</v>
      </c>
      <c r="R97" s="198"/>
      <c r="S97" s="198"/>
      <c r="T97" s="198"/>
      <c r="U97" s="198"/>
    </row>
    <row r="98" spans="1:33" s="12" customFormat="1" x14ac:dyDescent="0.25">
      <c r="A98" s="215" t="s">
        <v>1105</v>
      </c>
      <c r="B98" s="64">
        <v>32.01</v>
      </c>
      <c r="C98" s="64">
        <v>35.549999999999997</v>
      </c>
      <c r="D98" s="64">
        <v>45.93</v>
      </c>
      <c r="E98" s="64">
        <v>2.6</v>
      </c>
      <c r="F98" s="64">
        <v>4.28</v>
      </c>
      <c r="G98" s="216" t="s">
        <v>43</v>
      </c>
      <c r="H98" s="216" t="s">
        <v>43</v>
      </c>
      <c r="I98" s="64">
        <v>6.11</v>
      </c>
      <c r="J98" s="64">
        <v>0.06</v>
      </c>
      <c r="K98" s="64">
        <v>316.08</v>
      </c>
      <c r="L98" s="64">
        <v>23.95</v>
      </c>
      <c r="M98" s="64">
        <v>83.16</v>
      </c>
      <c r="N98" s="64">
        <v>30.9</v>
      </c>
      <c r="O98" s="64">
        <v>0</v>
      </c>
      <c r="P98" s="64">
        <v>1.02</v>
      </c>
      <c r="Q98" s="64">
        <v>18.02</v>
      </c>
      <c r="R98" s="198"/>
      <c r="S98" s="198"/>
      <c r="T98" s="198"/>
      <c r="U98" s="198"/>
    </row>
    <row r="99" spans="1:33" s="12" customFormat="1" x14ac:dyDescent="0.25">
      <c r="A99" s="215" t="s">
        <v>1106</v>
      </c>
      <c r="B99" s="64">
        <v>26.04</v>
      </c>
      <c r="C99" s="64">
        <v>27.89</v>
      </c>
      <c r="D99" s="64">
        <v>36.92</v>
      </c>
      <c r="E99" s="64">
        <v>2.2799999999999998</v>
      </c>
      <c r="F99" s="64">
        <v>4.75</v>
      </c>
      <c r="G99" s="216" t="s">
        <v>43</v>
      </c>
      <c r="H99" s="216" t="s">
        <v>43</v>
      </c>
      <c r="I99" s="64">
        <v>6.24</v>
      </c>
      <c r="J99" s="64">
        <v>0.01</v>
      </c>
      <c r="K99" s="64">
        <v>284.39</v>
      </c>
      <c r="L99" s="64">
        <v>23.94</v>
      </c>
      <c r="M99" s="64">
        <v>82.07</v>
      </c>
      <c r="N99" s="64">
        <v>31</v>
      </c>
      <c r="O99" s="64">
        <v>0</v>
      </c>
      <c r="P99" s="64">
        <v>1.02</v>
      </c>
      <c r="Q99" s="64">
        <v>20.07</v>
      </c>
      <c r="R99" s="198"/>
      <c r="S99" s="198"/>
      <c r="T99" s="198"/>
      <c r="U99" s="198"/>
    </row>
    <row r="100" spans="1:33" s="12" customFormat="1" x14ac:dyDescent="0.25">
      <c r="A100" s="215" t="s">
        <v>1107</v>
      </c>
      <c r="B100" s="64">
        <v>27.34</v>
      </c>
      <c r="C100" s="64">
        <v>21.53</v>
      </c>
      <c r="D100" s="64">
        <v>34.450000000000003</v>
      </c>
      <c r="E100" s="64">
        <v>2.54</v>
      </c>
      <c r="F100" s="64">
        <v>4.34</v>
      </c>
      <c r="G100" s="216" t="s">
        <v>43</v>
      </c>
      <c r="H100" s="216" t="s">
        <v>43</v>
      </c>
      <c r="I100" s="64">
        <v>6.01</v>
      </c>
      <c r="J100" s="64">
        <v>7.0000000000000007E-2</v>
      </c>
      <c r="K100" s="64">
        <v>257.89999999999998</v>
      </c>
      <c r="L100" s="64">
        <v>24.06</v>
      </c>
      <c r="M100" s="64">
        <v>81.680000000000007</v>
      </c>
      <c r="N100" s="64">
        <v>30.9</v>
      </c>
      <c r="O100" s="64">
        <v>0</v>
      </c>
      <c r="P100" s="64">
        <v>1.02</v>
      </c>
      <c r="Q100" s="64">
        <v>20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1108</v>
      </c>
      <c r="B101" s="64">
        <v>29.04</v>
      </c>
      <c r="C101" s="64">
        <v>24.84</v>
      </c>
      <c r="D101" s="64">
        <v>37.64</v>
      </c>
      <c r="E101" s="64">
        <v>2.42</v>
      </c>
      <c r="F101" s="64">
        <v>4.2699999999999996</v>
      </c>
      <c r="G101" s="216" t="s">
        <v>43</v>
      </c>
      <c r="H101" s="216" t="s">
        <v>43</v>
      </c>
      <c r="I101" s="64">
        <v>7.5</v>
      </c>
      <c r="J101" s="64">
        <v>0.03</v>
      </c>
      <c r="K101" s="64">
        <v>355.44</v>
      </c>
      <c r="L101" s="64">
        <v>24.05</v>
      </c>
      <c r="M101" s="64">
        <v>82.24</v>
      </c>
      <c r="N101" s="64">
        <v>31.2</v>
      </c>
      <c r="O101" s="64">
        <v>0</v>
      </c>
      <c r="P101" s="64">
        <v>0.99</v>
      </c>
      <c r="Q101" s="64">
        <v>20.11</v>
      </c>
      <c r="R101" s="198"/>
      <c r="S101" s="198"/>
      <c r="T101" s="198"/>
      <c r="U101" s="198"/>
    </row>
    <row r="102" spans="1:33" s="12" customFormat="1" x14ac:dyDescent="0.25">
      <c r="A102" s="215" t="s">
        <v>1109</v>
      </c>
      <c r="B102" s="64">
        <v>27.82</v>
      </c>
      <c r="C102" s="64">
        <v>20</v>
      </c>
      <c r="D102" s="64">
        <v>33.99</v>
      </c>
      <c r="E102" s="64">
        <v>2.57</v>
      </c>
      <c r="F102" s="64">
        <v>4.0599999999999996</v>
      </c>
      <c r="G102" s="216" t="s">
        <v>43</v>
      </c>
      <c r="H102" s="216" t="s">
        <v>43</v>
      </c>
      <c r="I102" s="64">
        <v>7.56</v>
      </c>
      <c r="J102" s="64">
        <v>0.08</v>
      </c>
      <c r="K102" s="64">
        <v>270.83</v>
      </c>
      <c r="L102" s="64">
        <v>23.86</v>
      </c>
      <c r="M102" s="64">
        <v>83.82</v>
      </c>
      <c r="N102" s="64">
        <v>30.8</v>
      </c>
      <c r="O102" s="64">
        <v>0</v>
      </c>
      <c r="P102" s="64">
        <v>0.99</v>
      </c>
      <c r="Q102" s="64">
        <v>19.170000000000002</v>
      </c>
      <c r="R102" s="198"/>
      <c r="S102" s="198"/>
      <c r="T102" s="198"/>
      <c r="U102" s="198"/>
    </row>
    <row r="103" spans="1:33" s="12" customFormat="1" x14ac:dyDescent="0.25">
      <c r="A103" s="215" t="s">
        <v>1110</v>
      </c>
      <c r="B103" s="64">
        <v>24.44</v>
      </c>
      <c r="C103" s="64">
        <v>19.14</v>
      </c>
      <c r="D103" s="64">
        <v>30.81</v>
      </c>
      <c r="E103" s="64">
        <v>2.64</v>
      </c>
      <c r="F103" s="64">
        <v>3.91</v>
      </c>
      <c r="G103" s="216" t="s">
        <v>43</v>
      </c>
      <c r="H103" s="216" t="s">
        <v>43</v>
      </c>
      <c r="I103" s="64">
        <v>7.56</v>
      </c>
      <c r="J103" s="64">
        <v>0.24</v>
      </c>
      <c r="K103" s="64">
        <v>192.85</v>
      </c>
      <c r="L103" s="64">
        <v>23.85</v>
      </c>
      <c r="M103" s="64">
        <v>86.51</v>
      </c>
      <c r="N103" s="64">
        <v>30.8</v>
      </c>
      <c r="O103" s="64">
        <v>0</v>
      </c>
      <c r="P103" s="64">
        <v>0.98</v>
      </c>
      <c r="Q103" s="64">
        <v>20.09</v>
      </c>
      <c r="R103" s="198"/>
      <c r="S103" s="198"/>
      <c r="T103" s="198"/>
      <c r="U103" s="198"/>
    </row>
    <row r="104" spans="1:33" s="12" customFormat="1" x14ac:dyDescent="0.25">
      <c r="A104" s="215" t="s">
        <v>1111</v>
      </c>
      <c r="B104" s="64">
        <v>21.26</v>
      </c>
      <c r="C104" s="64">
        <v>18.510000000000002</v>
      </c>
      <c r="D104" s="64">
        <v>27.91</v>
      </c>
      <c r="E104" s="64">
        <v>1.37</v>
      </c>
      <c r="F104" s="64">
        <v>4.6500000000000004</v>
      </c>
      <c r="G104" s="216" t="s">
        <v>43</v>
      </c>
      <c r="H104" s="216" t="s">
        <v>43</v>
      </c>
      <c r="I104" s="64">
        <v>8.2899999999999991</v>
      </c>
      <c r="J104" s="64">
        <v>0.19</v>
      </c>
      <c r="K104" s="64">
        <v>213.81</v>
      </c>
      <c r="L104" s="64">
        <v>23.74</v>
      </c>
      <c r="M104" s="64">
        <v>87.84</v>
      </c>
      <c r="N104" s="64">
        <v>30.8</v>
      </c>
      <c r="O104" s="64">
        <v>0</v>
      </c>
      <c r="P104" s="64">
        <v>0.96</v>
      </c>
      <c r="Q104" s="64">
        <v>19.79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3.95</v>
      </c>
      <c r="C106" s="67">
        <f>MIN(C9:C104)</f>
        <v>8.4</v>
      </c>
      <c r="D106" s="67">
        <f t="shared" ref="D106:Q106" si="0">MIN(D9:D104)</f>
        <v>8.83</v>
      </c>
      <c r="E106" s="67">
        <f t="shared" si="0"/>
        <v>1</v>
      </c>
      <c r="F106" s="67">
        <f t="shared" si="0"/>
        <v>2.21</v>
      </c>
      <c r="G106" s="67">
        <f t="shared" si="0"/>
        <v>0</v>
      </c>
      <c r="H106" s="67">
        <f t="shared" si="0"/>
        <v>0</v>
      </c>
      <c r="I106" s="67">
        <f t="shared" si="0"/>
        <v>3.98</v>
      </c>
      <c r="J106" s="67">
        <f t="shared" si="0"/>
        <v>0.01</v>
      </c>
      <c r="K106" s="67">
        <f t="shared" si="0"/>
        <v>0.56000000000000005</v>
      </c>
      <c r="L106" s="67">
        <f t="shared" si="0"/>
        <v>20.97</v>
      </c>
      <c r="M106" s="67">
        <f t="shared" si="0"/>
        <v>56.52</v>
      </c>
      <c r="N106" s="67">
        <f t="shared" si="0"/>
        <v>30.6</v>
      </c>
      <c r="O106" s="67">
        <f t="shared" si="0"/>
        <v>0</v>
      </c>
      <c r="P106" s="67">
        <f t="shared" si="0"/>
        <v>0.1</v>
      </c>
      <c r="Q106" s="67">
        <f t="shared" si="0"/>
        <v>3.04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45.34</v>
      </c>
      <c r="C107" s="66">
        <f t="shared" ref="C107:Q107" si="1">MAX(C9:C104)</f>
        <v>42.19</v>
      </c>
      <c r="D107" s="66">
        <f t="shared" si="1"/>
        <v>59.51</v>
      </c>
      <c r="E107" s="66">
        <f t="shared" si="1"/>
        <v>3.38</v>
      </c>
      <c r="F107" s="66">
        <f t="shared" si="1"/>
        <v>11.62</v>
      </c>
      <c r="G107" s="66">
        <f t="shared" si="1"/>
        <v>0</v>
      </c>
      <c r="H107" s="66">
        <f t="shared" si="1"/>
        <v>0</v>
      </c>
      <c r="I107" s="66">
        <f t="shared" si="1"/>
        <v>10.220000000000001</v>
      </c>
      <c r="J107" s="66">
        <f t="shared" si="1"/>
        <v>0.79</v>
      </c>
      <c r="K107" s="66">
        <f t="shared" si="1"/>
        <v>359.85</v>
      </c>
      <c r="L107" s="66">
        <f t="shared" si="1"/>
        <v>29.03</v>
      </c>
      <c r="M107" s="66">
        <f t="shared" si="1"/>
        <v>97.18</v>
      </c>
      <c r="N107" s="66">
        <f t="shared" si="1"/>
        <v>1073.9000000000001</v>
      </c>
      <c r="O107" s="66">
        <f t="shared" si="1"/>
        <v>0.2</v>
      </c>
      <c r="P107" s="66">
        <f t="shared" si="1"/>
        <v>1.02</v>
      </c>
      <c r="Q107" s="66">
        <f t="shared" si="1"/>
        <v>21.02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11.091145833333334</v>
      </c>
      <c r="C108" s="67">
        <f t="shared" ref="C108:Q108" si="2">AVERAGE(C9:C104)</f>
        <v>15.196354166666667</v>
      </c>
      <c r="D108" s="67">
        <f t="shared" si="2"/>
        <v>17.926875000000006</v>
      </c>
      <c r="E108" s="67">
        <f t="shared" si="2"/>
        <v>2.1293749999999991</v>
      </c>
      <c r="F108" s="67">
        <f t="shared" si="2"/>
        <v>5.2380208333333327</v>
      </c>
      <c r="G108" s="67" t="e">
        <f t="shared" si="2"/>
        <v>#DIV/0!</v>
      </c>
      <c r="H108" s="67" t="e">
        <f t="shared" si="2"/>
        <v>#DIV/0!</v>
      </c>
      <c r="I108" s="67">
        <f t="shared" si="2"/>
        <v>5.8988541666666663</v>
      </c>
      <c r="J108" s="67">
        <f t="shared" si="2"/>
        <v>0.27770833333333328</v>
      </c>
      <c r="K108" s="67">
        <f t="shared" si="2"/>
        <v>100.83625000000002</v>
      </c>
      <c r="L108" s="67">
        <f t="shared" si="2"/>
        <v>24.804270833333334</v>
      </c>
      <c r="M108" s="67">
        <f t="shared" si="2"/>
        <v>78.529687500000009</v>
      </c>
      <c r="N108" s="67">
        <f t="shared" si="2"/>
        <v>255.00312500000007</v>
      </c>
      <c r="O108" s="67">
        <f t="shared" si="2"/>
        <v>2.0833333333333333E-3</v>
      </c>
      <c r="P108" s="67">
        <f t="shared" si="2"/>
        <v>0.48250000000000015</v>
      </c>
      <c r="Q108" s="67">
        <f t="shared" si="2"/>
        <v>9.8566666666666691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9.3469978146424015</v>
      </c>
      <c r="C109" s="67">
        <f t="shared" ref="C109:Q109" si="3">STDEV(C9:C104)</f>
        <v>6.6253133581965953</v>
      </c>
      <c r="D109" s="67">
        <f t="shared" si="3"/>
        <v>10.735947320493926</v>
      </c>
      <c r="E109" s="67">
        <f t="shared" si="3"/>
        <v>0.57422682571299621</v>
      </c>
      <c r="F109" s="67">
        <f t="shared" si="3"/>
        <v>1.7874089567048637</v>
      </c>
      <c r="G109" s="67" t="e">
        <f t="shared" si="3"/>
        <v>#DIV/0!</v>
      </c>
      <c r="H109" s="67" t="e">
        <f t="shared" si="3"/>
        <v>#DIV/0!</v>
      </c>
      <c r="I109" s="67">
        <f t="shared" si="3"/>
        <v>1.5244677205963877</v>
      </c>
      <c r="J109" s="67">
        <f t="shared" si="3"/>
        <v>0.17683461894137256</v>
      </c>
      <c r="K109" s="67">
        <f t="shared" si="3"/>
        <v>115.95266309326857</v>
      </c>
      <c r="L109" s="67">
        <f t="shared" si="3"/>
        <v>2.3795911832836754</v>
      </c>
      <c r="M109" s="67">
        <f t="shared" si="3"/>
        <v>14.494172872908008</v>
      </c>
      <c r="N109" s="67">
        <f t="shared" si="3"/>
        <v>316.20802528286578</v>
      </c>
      <c r="O109" s="67">
        <f t="shared" si="3"/>
        <v>2.0412414523193152E-2</v>
      </c>
      <c r="P109" s="67">
        <f t="shared" si="3"/>
        <v>0.25988256457180986</v>
      </c>
      <c r="Q109" s="67">
        <f t="shared" si="3"/>
        <v>5.5584160308427553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0</v>
      </c>
      <c r="H110" s="66">
        <f>COUNT(H9:H104)</f>
        <v>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1112</v>
      </c>
      <c r="B9" s="64">
        <v>24.1</v>
      </c>
      <c r="C9" s="64">
        <v>12.19</v>
      </c>
      <c r="D9" s="64">
        <v>26.7</v>
      </c>
      <c r="E9" s="64">
        <v>1.74</v>
      </c>
      <c r="F9" s="64">
        <v>5.14</v>
      </c>
      <c r="G9" s="216" t="s">
        <v>43</v>
      </c>
      <c r="H9" s="216" t="s">
        <v>43</v>
      </c>
      <c r="I9" s="64">
        <v>7.71</v>
      </c>
      <c r="J9" s="64">
        <v>0.09</v>
      </c>
      <c r="K9" s="64">
        <v>237.64</v>
      </c>
      <c r="L9" s="64">
        <v>23.64</v>
      </c>
      <c r="M9" s="64">
        <v>87.97</v>
      </c>
      <c r="N9" s="64">
        <v>30.9</v>
      </c>
      <c r="O9" s="64">
        <v>0</v>
      </c>
      <c r="P9" s="64">
        <v>0.94</v>
      </c>
      <c r="Q9" s="64">
        <v>19.059999999999999</v>
      </c>
      <c r="R9" s="198"/>
      <c r="S9" s="198"/>
      <c r="T9" s="198"/>
      <c r="U9" s="198"/>
    </row>
    <row r="10" spans="1:21" s="12" customFormat="1" x14ac:dyDescent="0.25">
      <c r="A10" s="215" t="s">
        <v>1113</v>
      </c>
      <c r="B10" s="64">
        <v>19.36</v>
      </c>
      <c r="C10" s="64">
        <v>13.72</v>
      </c>
      <c r="D10" s="64">
        <v>23.74</v>
      </c>
      <c r="E10" s="64">
        <v>1.82</v>
      </c>
      <c r="F10" s="64">
        <v>8.08</v>
      </c>
      <c r="G10" s="216" t="s">
        <v>43</v>
      </c>
      <c r="H10" s="216" t="s">
        <v>43</v>
      </c>
      <c r="I10" s="64">
        <v>7.95</v>
      </c>
      <c r="J10" s="64">
        <v>0.02</v>
      </c>
      <c r="K10" s="64">
        <v>64.3</v>
      </c>
      <c r="L10" s="64">
        <v>23.51</v>
      </c>
      <c r="M10" s="64">
        <v>88.49</v>
      </c>
      <c r="N10" s="64">
        <v>31.1</v>
      </c>
      <c r="O10" s="64">
        <v>0</v>
      </c>
      <c r="P10" s="64">
        <v>0.91</v>
      </c>
      <c r="Q10" s="64">
        <v>20.23</v>
      </c>
      <c r="R10" s="198"/>
      <c r="S10" s="198"/>
      <c r="T10" s="198"/>
      <c r="U10" s="198"/>
    </row>
    <row r="11" spans="1:21" s="12" customFormat="1" x14ac:dyDescent="0.25">
      <c r="A11" s="215" t="s">
        <v>1114</v>
      </c>
      <c r="B11" s="64">
        <v>14.14</v>
      </c>
      <c r="C11" s="64">
        <v>15.02</v>
      </c>
      <c r="D11" s="64">
        <v>20.28</v>
      </c>
      <c r="E11" s="64">
        <v>1.91</v>
      </c>
      <c r="F11" s="64">
        <v>11.96</v>
      </c>
      <c r="G11" s="216" t="s">
        <v>43</v>
      </c>
      <c r="H11" s="216" t="s">
        <v>43</v>
      </c>
      <c r="I11" s="64">
        <v>8.1300000000000008</v>
      </c>
      <c r="J11" s="64">
        <v>0.09</v>
      </c>
      <c r="K11" s="64">
        <v>191.1</v>
      </c>
      <c r="L11" s="64">
        <v>23.41</v>
      </c>
      <c r="M11" s="64">
        <v>88.65</v>
      </c>
      <c r="N11" s="64">
        <v>30.9</v>
      </c>
      <c r="O11" s="64">
        <v>0</v>
      </c>
      <c r="P11" s="64">
        <v>0.88</v>
      </c>
      <c r="Q11" s="64">
        <v>21.69</v>
      </c>
      <c r="R11" s="198"/>
      <c r="S11" s="198"/>
      <c r="T11" s="198"/>
      <c r="U11" s="198"/>
    </row>
    <row r="12" spans="1:21" s="12" customFormat="1" x14ac:dyDescent="0.25">
      <c r="A12" s="215" t="s">
        <v>1115</v>
      </c>
      <c r="B12" s="64">
        <v>13.49</v>
      </c>
      <c r="C12" s="64">
        <v>16.3</v>
      </c>
      <c r="D12" s="64">
        <v>20.46</v>
      </c>
      <c r="E12" s="64">
        <v>1.74</v>
      </c>
      <c r="F12" s="64">
        <v>10.46</v>
      </c>
      <c r="G12" s="216" t="s">
        <v>43</v>
      </c>
      <c r="H12" s="216" t="s">
        <v>43</v>
      </c>
      <c r="I12" s="64">
        <v>6.2</v>
      </c>
      <c r="J12" s="64">
        <v>0.1</v>
      </c>
      <c r="K12" s="64">
        <v>211.35</v>
      </c>
      <c r="L12" s="64">
        <v>23.45</v>
      </c>
      <c r="M12" s="64">
        <v>89.23</v>
      </c>
      <c r="N12" s="64">
        <v>30.9</v>
      </c>
      <c r="O12" s="64">
        <v>0</v>
      </c>
      <c r="P12" s="64">
        <v>0.86</v>
      </c>
      <c r="Q12" s="64">
        <v>22.17</v>
      </c>
      <c r="R12" s="198"/>
      <c r="S12" s="198"/>
      <c r="T12" s="198"/>
      <c r="U12" s="198"/>
    </row>
    <row r="13" spans="1:21" s="12" customFormat="1" x14ac:dyDescent="0.25">
      <c r="A13" s="215" t="s">
        <v>1116</v>
      </c>
      <c r="B13" s="64">
        <v>13.49</v>
      </c>
      <c r="C13" s="64">
        <v>17.559999999999999</v>
      </c>
      <c r="D13" s="64">
        <v>21.16</v>
      </c>
      <c r="E13" s="64">
        <v>1.23</v>
      </c>
      <c r="F13" s="64">
        <v>9.14</v>
      </c>
      <c r="G13" s="216" t="s">
        <v>43</v>
      </c>
      <c r="H13" s="216" t="s">
        <v>43</v>
      </c>
      <c r="I13" s="64">
        <v>5.2</v>
      </c>
      <c r="J13" s="64">
        <v>0.18</v>
      </c>
      <c r="K13" s="64">
        <v>213.64</v>
      </c>
      <c r="L13" s="64">
        <v>23.5</v>
      </c>
      <c r="M13" s="64">
        <v>89.36</v>
      </c>
      <c r="N13" s="64">
        <v>30.8</v>
      </c>
      <c r="O13" s="64">
        <v>0</v>
      </c>
      <c r="P13" s="64">
        <v>0.82</v>
      </c>
      <c r="Q13" s="64">
        <v>22.59</v>
      </c>
      <c r="R13" s="198"/>
      <c r="S13" s="198"/>
      <c r="T13" s="198"/>
      <c r="U13" s="198"/>
    </row>
    <row r="14" spans="1:21" s="12" customFormat="1" x14ac:dyDescent="0.25">
      <c r="A14" s="215" t="s">
        <v>1117</v>
      </c>
      <c r="B14" s="64">
        <v>12.23</v>
      </c>
      <c r="C14" s="64">
        <v>14.6</v>
      </c>
      <c r="D14" s="64">
        <v>18.52</v>
      </c>
      <c r="E14" s="64">
        <v>1.59</v>
      </c>
      <c r="F14" s="64">
        <v>12.43</v>
      </c>
      <c r="G14" s="216" t="s">
        <v>43</v>
      </c>
      <c r="H14" s="216" t="s">
        <v>43</v>
      </c>
      <c r="I14" s="64">
        <v>4.6399999999999997</v>
      </c>
      <c r="J14" s="64">
        <v>0.2</v>
      </c>
      <c r="K14" s="64">
        <v>223.66</v>
      </c>
      <c r="L14" s="64">
        <v>23.52</v>
      </c>
      <c r="M14" s="64">
        <v>89.81</v>
      </c>
      <c r="N14" s="64">
        <v>30.9</v>
      </c>
      <c r="O14" s="64">
        <v>0</v>
      </c>
      <c r="P14" s="64">
        <v>0.8</v>
      </c>
      <c r="Q14" s="64">
        <v>23.45</v>
      </c>
      <c r="R14" s="198"/>
      <c r="S14" s="198"/>
      <c r="T14" s="198"/>
      <c r="U14" s="198"/>
    </row>
    <row r="15" spans="1:21" s="12" customFormat="1" x14ac:dyDescent="0.25">
      <c r="A15" s="215" t="s">
        <v>1118</v>
      </c>
      <c r="B15" s="64">
        <v>17.84</v>
      </c>
      <c r="C15" s="64">
        <v>9.74</v>
      </c>
      <c r="D15" s="64">
        <v>20.329999999999998</v>
      </c>
      <c r="E15" s="64">
        <v>1.67</v>
      </c>
      <c r="F15" s="64">
        <v>8.0299999999999994</v>
      </c>
      <c r="G15" s="216" t="s">
        <v>43</v>
      </c>
      <c r="H15" s="216" t="s">
        <v>43</v>
      </c>
      <c r="I15" s="64">
        <v>4.75</v>
      </c>
      <c r="J15" s="64">
        <v>0.06</v>
      </c>
      <c r="K15" s="64">
        <v>249.67</v>
      </c>
      <c r="L15" s="64">
        <v>23.51</v>
      </c>
      <c r="M15" s="64">
        <v>90.91</v>
      </c>
      <c r="N15" s="64">
        <v>31.2</v>
      </c>
      <c r="O15" s="64">
        <v>0</v>
      </c>
      <c r="P15" s="64">
        <v>0.78</v>
      </c>
      <c r="Q15" s="64">
        <v>22.56</v>
      </c>
      <c r="R15" s="198"/>
      <c r="S15" s="198"/>
      <c r="T15" s="198"/>
      <c r="U15" s="198"/>
    </row>
    <row r="16" spans="1:21" s="12" customFormat="1" x14ac:dyDescent="0.25">
      <c r="A16" s="215" t="s">
        <v>1119</v>
      </c>
      <c r="B16" s="64">
        <v>19.63</v>
      </c>
      <c r="C16" s="64">
        <v>9.83</v>
      </c>
      <c r="D16" s="64">
        <v>21.81</v>
      </c>
      <c r="E16" s="64">
        <v>2.3199999999999998</v>
      </c>
      <c r="F16" s="64">
        <v>6.76</v>
      </c>
      <c r="G16" s="216" t="s">
        <v>43</v>
      </c>
      <c r="H16" s="216" t="s">
        <v>43</v>
      </c>
      <c r="I16" s="64">
        <v>6.02</v>
      </c>
      <c r="J16" s="64">
        <v>0.21</v>
      </c>
      <c r="K16" s="64">
        <v>201.23</v>
      </c>
      <c r="L16" s="64">
        <v>23.53</v>
      </c>
      <c r="M16" s="64">
        <v>91.45</v>
      </c>
      <c r="N16" s="64">
        <v>31.2</v>
      </c>
      <c r="O16" s="64">
        <v>0</v>
      </c>
      <c r="P16" s="64">
        <v>0.74</v>
      </c>
      <c r="Q16" s="64">
        <v>22.19</v>
      </c>
      <c r="R16" s="198"/>
      <c r="S16" s="198"/>
      <c r="T16" s="198"/>
      <c r="U16" s="198"/>
    </row>
    <row r="17" spans="1:21" s="12" customFormat="1" x14ac:dyDescent="0.25">
      <c r="A17" s="215" t="s">
        <v>1120</v>
      </c>
      <c r="B17" s="64">
        <v>16.510000000000002</v>
      </c>
      <c r="C17" s="64">
        <v>10.96</v>
      </c>
      <c r="D17" s="64">
        <v>19.940000000000001</v>
      </c>
      <c r="E17" s="64">
        <v>2.17</v>
      </c>
      <c r="F17" s="64">
        <v>7.8</v>
      </c>
      <c r="G17" s="216" t="s">
        <v>43</v>
      </c>
      <c r="H17" s="216" t="s">
        <v>43</v>
      </c>
      <c r="I17" s="64">
        <v>9.0500000000000007</v>
      </c>
      <c r="J17" s="64">
        <v>0.19</v>
      </c>
      <c r="K17" s="64">
        <v>211.78</v>
      </c>
      <c r="L17" s="64">
        <v>23.59</v>
      </c>
      <c r="M17" s="64">
        <v>91.88</v>
      </c>
      <c r="N17" s="64">
        <v>31.1</v>
      </c>
      <c r="O17" s="64">
        <v>0</v>
      </c>
      <c r="P17" s="64">
        <v>0.68</v>
      </c>
      <c r="Q17" s="64">
        <v>21.87</v>
      </c>
      <c r="R17" s="198"/>
      <c r="S17" s="198"/>
      <c r="T17" s="198"/>
      <c r="U17" s="198"/>
    </row>
    <row r="18" spans="1:21" s="12" customFormat="1" x14ac:dyDescent="0.25">
      <c r="A18" s="215" t="s">
        <v>1121</v>
      </c>
      <c r="B18" s="64">
        <v>18.46</v>
      </c>
      <c r="C18" s="64">
        <v>9.0399999999999991</v>
      </c>
      <c r="D18" s="64">
        <v>20.440000000000001</v>
      </c>
      <c r="E18" s="64">
        <v>1.94</v>
      </c>
      <c r="F18" s="64">
        <v>5.85</v>
      </c>
      <c r="G18" s="216" t="s">
        <v>43</v>
      </c>
      <c r="H18" s="216" t="s">
        <v>43</v>
      </c>
      <c r="I18" s="64">
        <v>8.57</v>
      </c>
      <c r="J18" s="64">
        <v>0.11</v>
      </c>
      <c r="K18" s="64">
        <v>231.64</v>
      </c>
      <c r="L18" s="64">
        <v>23.51</v>
      </c>
      <c r="M18" s="64">
        <v>92.83</v>
      </c>
      <c r="N18" s="64">
        <v>30.9</v>
      </c>
      <c r="O18" s="64">
        <v>0</v>
      </c>
      <c r="P18" s="64">
        <v>0.67</v>
      </c>
      <c r="Q18" s="64">
        <v>20.21</v>
      </c>
      <c r="R18" s="198"/>
      <c r="S18" s="198"/>
      <c r="T18" s="198"/>
      <c r="U18" s="198"/>
    </row>
    <row r="19" spans="1:21" s="12" customFormat="1" x14ac:dyDescent="0.25">
      <c r="A19" s="215" t="s">
        <v>1122</v>
      </c>
      <c r="B19" s="64">
        <v>17.87</v>
      </c>
      <c r="C19" s="64">
        <v>9.4700000000000006</v>
      </c>
      <c r="D19" s="64">
        <v>20.2</v>
      </c>
      <c r="E19" s="64">
        <v>2.04</v>
      </c>
      <c r="F19" s="64">
        <v>5.23</v>
      </c>
      <c r="G19" s="216" t="s">
        <v>43</v>
      </c>
      <c r="H19" s="216" t="s">
        <v>43</v>
      </c>
      <c r="I19" s="64">
        <v>8.36</v>
      </c>
      <c r="J19" s="64">
        <v>0.26</v>
      </c>
      <c r="K19" s="64">
        <v>201.5</v>
      </c>
      <c r="L19" s="64">
        <v>23.48</v>
      </c>
      <c r="M19" s="64">
        <v>93.64</v>
      </c>
      <c r="N19" s="64">
        <v>31.1</v>
      </c>
      <c r="O19" s="64">
        <v>0</v>
      </c>
      <c r="P19" s="64">
        <v>0.64</v>
      </c>
      <c r="Q19" s="64">
        <v>20.62</v>
      </c>
      <c r="R19" s="198"/>
      <c r="S19" s="198"/>
      <c r="T19" s="198"/>
      <c r="U19" s="198"/>
    </row>
    <row r="20" spans="1:21" s="12" customFormat="1" x14ac:dyDescent="0.25">
      <c r="A20" s="215" t="s">
        <v>1123</v>
      </c>
      <c r="B20" s="64">
        <v>15.17</v>
      </c>
      <c r="C20" s="64">
        <v>10.68</v>
      </c>
      <c r="D20" s="64">
        <v>18.7</v>
      </c>
      <c r="E20" s="64">
        <v>2.25</v>
      </c>
      <c r="F20" s="64">
        <v>6.63</v>
      </c>
      <c r="G20" s="216" t="s">
        <v>43</v>
      </c>
      <c r="H20" s="216" t="s">
        <v>43</v>
      </c>
      <c r="I20" s="64">
        <v>9.34</v>
      </c>
      <c r="J20" s="64">
        <v>0.59</v>
      </c>
      <c r="K20" s="64">
        <v>169.12</v>
      </c>
      <c r="L20" s="64">
        <v>23.48</v>
      </c>
      <c r="M20" s="64">
        <v>94.51</v>
      </c>
      <c r="N20" s="64">
        <v>31.1</v>
      </c>
      <c r="O20" s="64">
        <v>0</v>
      </c>
      <c r="P20" s="64">
        <v>0.59</v>
      </c>
      <c r="Q20" s="64">
        <v>20.75</v>
      </c>
      <c r="R20" s="198"/>
      <c r="S20" s="198"/>
      <c r="T20" s="198"/>
      <c r="U20" s="198"/>
    </row>
    <row r="21" spans="1:21" s="12" customFormat="1" x14ac:dyDescent="0.25">
      <c r="A21" s="215" t="s">
        <v>1124</v>
      </c>
      <c r="B21" s="64">
        <v>16.21</v>
      </c>
      <c r="C21" s="64">
        <v>8.8699999999999992</v>
      </c>
      <c r="D21" s="64">
        <v>18.54</v>
      </c>
      <c r="E21" s="64">
        <v>1.86</v>
      </c>
      <c r="F21" s="64">
        <v>5.52</v>
      </c>
      <c r="G21" s="216" t="s">
        <v>43</v>
      </c>
      <c r="H21" s="216" t="s">
        <v>43</v>
      </c>
      <c r="I21" s="64">
        <v>8.42</v>
      </c>
      <c r="J21" s="64">
        <v>0.68</v>
      </c>
      <c r="K21" s="64">
        <v>178.44</v>
      </c>
      <c r="L21" s="64">
        <v>23.5</v>
      </c>
      <c r="M21" s="64">
        <v>94.93</v>
      </c>
      <c r="N21" s="64">
        <v>30.9</v>
      </c>
      <c r="O21" s="64">
        <v>0</v>
      </c>
      <c r="P21" s="64">
        <v>0.57999999999999996</v>
      </c>
      <c r="Q21" s="64">
        <v>19.41</v>
      </c>
      <c r="R21" s="198"/>
      <c r="S21" s="198"/>
      <c r="T21" s="198"/>
      <c r="U21" s="198"/>
    </row>
    <row r="22" spans="1:21" s="12" customFormat="1" x14ac:dyDescent="0.25">
      <c r="A22" s="215" t="s">
        <v>1125</v>
      </c>
      <c r="B22" s="64">
        <v>14.18</v>
      </c>
      <c r="C22" s="64">
        <v>10</v>
      </c>
      <c r="D22" s="64">
        <v>17.54</v>
      </c>
      <c r="E22" s="64">
        <v>2.08</v>
      </c>
      <c r="F22" s="64">
        <v>9.1300000000000008</v>
      </c>
      <c r="G22" s="216" t="s">
        <v>43</v>
      </c>
      <c r="H22" s="216" t="s">
        <v>43</v>
      </c>
      <c r="I22" s="64">
        <v>8.1</v>
      </c>
      <c r="J22" s="64">
        <v>0.63</v>
      </c>
      <c r="K22" s="64">
        <v>174.84</v>
      </c>
      <c r="L22" s="64">
        <v>23.5</v>
      </c>
      <c r="M22" s="64">
        <v>95.65</v>
      </c>
      <c r="N22" s="64">
        <v>31.1</v>
      </c>
      <c r="O22" s="64">
        <v>0</v>
      </c>
      <c r="P22" s="64">
        <v>0.55000000000000004</v>
      </c>
      <c r="Q22" s="64">
        <v>20.74</v>
      </c>
      <c r="R22" s="198"/>
      <c r="S22" s="198"/>
      <c r="T22" s="198"/>
      <c r="U22" s="198"/>
    </row>
    <row r="23" spans="1:21" s="12" customFormat="1" x14ac:dyDescent="0.25">
      <c r="A23" s="215" t="s">
        <v>1126</v>
      </c>
      <c r="B23" s="64">
        <v>11.43</v>
      </c>
      <c r="C23" s="64">
        <v>9.75</v>
      </c>
      <c r="D23" s="64">
        <v>15.19</v>
      </c>
      <c r="E23" s="64">
        <v>2.16</v>
      </c>
      <c r="F23" s="64">
        <v>11.16</v>
      </c>
      <c r="G23" s="216" t="s">
        <v>43</v>
      </c>
      <c r="H23" s="216" t="s">
        <v>43</v>
      </c>
      <c r="I23" s="64">
        <v>8.7799999999999994</v>
      </c>
      <c r="J23" s="64">
        <v>0.6</v>
      </c>
      <c r="K23" s="64">
        <v>173.24</v>
      </c>
      <c r="L23" s="64">
        <v>23.51</v>
      </c>
      <c r="M23" s="64">
        <v>96.09</v>
      </c>
      <c r="N23" s="64">
        <v>31.1</v>
      </c>
      <c r="O23" s="64">
        <v>0</v>
      </c>
      <c r="P23" s="64">
        <v>0.53</v>
      </c>
      <c r="Q23" s="64">
        <v>22</v>
      </c>
      <c r="R23" s="198"/>
      <c r="S23" s="198"/>
      <c r="T23" s="198"/>
      <c r="U23" s="198"/>
    </row>
    <row r="24" spans="1:21" s="12" customFormat="1" x14ac:dyDescent="0.25">
      <c r="A24" s="215" t="s">
        <v>1127</v>
      </c>
      <c r="B24" s="64">
        <v>10.56</v>
      </c>
      <c r="C24" s="64">
        <v>11.39</v>
      </c>
      <c r="D24" s="64">
        <v>15.4</v>
      </c>
      <c r="E24" s="64">
        <v>2.06</v>
      </c>
      <c r="F24" s="64">
        <v>10.4</v>
      </c>
      <c r="G24" s="216" t="s">
        <v>43</v>
      </c>
      <c r="H24" s="216" t="s">
        <v>43</v>
      </c>
      <c r="I24" s="64">
        <v>6.4</v>
      </c>
      <c r="J24" s="64">
        <v>0.37</v>
      </c>
      <c r="K24" s="64">
        <v>178.93</v>
      </c>
      <c r="L24" s="64">
        <v>23.49</v>
      </c>
      <c r="M24" s="64">
        <v>96.58</v>
      </c>
      <c r="N24" s="64">
        <v>31.3</v>
      </c>
      <c r="O24" s="64">
        <v>0</v>
      </c>
      <c r="P24" s="64">
        <v>0.51</v>
      </c>
      <c r="Q24" s="64">
        <v>22.58</v>
      </c>
      <c r="R24" s="198"/>
      <c r="S24" s="198"/>
      <c r="T24" s="198"/>
      <c r="U24" s="198"/>
    </row>
    <row r="25" spans="1:21" s="12" customFormat="1" x14ac:dyDescent="0.25">
      <c r="A25" s="215" t="s">
        <v>1128</v>
      </c>
      <c r="B25" s="64">
        <v>10.57</v>
      </c>
      <c r="C25" s="64">
        <v>11.06</v>
      </c>
      <c r="D25" s="64">
        <v>15.22</v>
      </c>
      <c r="E25" s="64">
        <v>2.69</v>
      </c>
      <c r="F25" s="64">
        <v>11.74</v>
      </c>
      <c r="G25" s="216" t="s">
        <v>43</v>
      </c>
      <c r="H25" s="216" t="s">
        <v>43</v>
      </c>
      <c r="I25" s="64">
        <v>5.58</v>
      </c>
      <c r="J25" s="64">
        <v>0.41</v>
      </c>
      <c r="K25" s="64">
        <v>183.76</v>
      </c>
      <c r="L25" s="64">
        <v>23.44</v>
      </c>
      <c r="M25" s="64">
        <v>97.12</v>
      </c>
      <c r="N25" s="64">
        <v>31.1</v>
      </c>
      <c r="O25" s="64">
        <v>0</v>
      </c>
      <c r="P25" s="64">
        <v>0.51</v>
      </c>
      <c r="Q25" s="64">
        <v>22.55</v>
      </c>
      <c r="R25" s="198"/>
      <c r="S25" s="198"/>
      <c r="T25" s="198"/>
      <c r="U25" s="198"/>
    </row>
    <row r="26" spans="1:21" s="12" customFormat="1" x14ac:dyDescent="0.25">
      <c r="A26" s="215" t="s">
        <v>1129</v>
      </c>
      <c r="B26" s="64">
        <v>10.29</v>
      </c>
      <c r="C26" s="64">
        <v>11.88</v>
      </c>
      <c r="D26" s="64">
        <v>15.45</v>
      </c>
      <c r="E26" s="64">
        <v>2.5</v>
      </c>
      <c r="F26" s="64">
        <v>10.220000000000001</v>
      </c>
      <c r="G26" s="216" t="s">
        <v>43</v>
      </c>
      <c r="H26" s="216" t="s">
        <v>43</v>
      </c>
      <c r="I26" s="64">
        <v>5.3</v>
      </c>
      <c r="J26" s="64">
        <v>0.62</v>
      </c>
      <c r="K26" s="64">
        <v>169.48</v>
      </c>
      <c r="L26" s="64">
        <v>23.37</v>
      </c>
      <c r="M26" s="64">
        <v>97.17</v>
      </c>
      <c r="N26" s="64">
        <v>31.2</v>
      </c>
      <c r="O26" s="64">
        <v>0</v>
      </c>
      <c r="P26" s="64">
        <v>0.48</v>
      </c>
      <c r="Q26" s="64">
        <v>23.15</v>
      </c>
      <c r="R26" s="198"/>
      <c r="S26" s="198"/>
      <c r="T26" s="198"/>
      <c r="U26" s="198"/>
    </row>
    <row r="27" spans="1:21" s="12" customFormat="1" x14ac:dyDescent="0.25">
      <c r="A27" s="215" t="s">
        <v>1130</v>
      </c>
      <c r="B27" s="64">
        <v>13.58</v>
      </c>
      <c r="C27" s="64">
        <v>10.42</v>
      </c>
      <c r="D27" s="64">
        <v>17.28</v>
      </c>
      <c r="E27" s="64">
        <v>2.87</v>
      </c>
      <c r="F27" s="64">
        <v>4.43</v>
      </c>
      <c r="G27" s="216" t="s">
        <v>43</v>
      </c>
      <c r="H27" s="216" t="s">
        <v>43</v>
      </c>
      <c r="I27" s="64">
        <v>5.6</v>
      </c>
      <c r="J27" s="64">
        <v>0.32</v>
      </c>
      <c r="K27" s="64">
        <v>170.07</v>
      </c>
      <c r="L27" s="64">
        <v>23.33</v>
      </c>
      <c r="M27" s="64">
        <v>97.18</v>
      </c>
      <c r="N27" s="64">
        <v>31</v>
      </c>
      <c r="O27" s="64">
        <v>0</v>
      </c>
      <c r="P27" s="64">
        <v>0.47</v>
      </c>
      <c r="Q27" s="64">
        <v>21.77</v>
      </c>
      <c r="R27" s="198"/>
      <c r="S27" s="198"/>
      <c r="T27" s="198"/>
      <c r="U27" s="198"/>
    </row>
    <row r="28" spans="1:21" s="12" customFormat="1" x14ac:dyDescent="0.25">
      <c r="A28" s="215" t="s">
        <v>1131</v>
      </c>
      <c r="B28" s="64">
        <v>13.69</v>
      </c>
      <c r="C28" s="64">
        <v>13.33</v>
      </c>
      <c r="D28" s="64">
        <v>18.98</v>
      </c>
      <c r="E28" s="64">
        <v>2.6</v>
      </c>
      <c r="F28" s="64">
        <v>5.34</v>
      </c>
      <c r="G28" s="216" t="s">
        <v>43</v>
      </c>
      <c r="H28" s="216" t="s">
        <v>43</v>
      </c>
      <c r="I28" s="64">
        <v>6.62</v>
      </c>
      <c r="J28" s="64">
        <v>0.17</v>
      </c>
      <c r="K28" s="64">
        <v>130.13999999999999</v>
      </c>
      <c r="L28" s="64">
        <v>23.36</v>
      </c>
      <c r="M28" s="64">
        <v>97.16</v>
      </c>
      <c r="N28" s="64">
        <v>31.3</v>
      </c>
      <c r="O28" s="64">
        <v>0</v>
      </c>
      <c r="P28" s="64">
        <v>0.44</v>
      </c>
      <c r="Q28" s="64">
        <v>21.75</v>
      </c>
      <c r="R28" s="198"/>
      <c r="S28" s="198"/>
      <c r="T28" s="198"/>
      <c r="U28" s="198"/>
    </row>
    <row r="29" spans="1:21" s="12" customFormat="1" x14ac:dyDescent="0.25">
      <c r="A29" s="215" t="s">
        <v>1132</v>
      </c>
      <c r="B29" s="64">
        <v>12.63</v>
      </c>
      <c r="C29" s="64">
        <v>14.59</v>
      </c>
      <c r="D29" s="64">
        <v>18.829999999999998</v>
      </c>
      <c r="E29" s="64">
        <v>2.4</v>
      </c>
      <c r="F29" s="64">
        <v>5.67</v>
      </c>
      <c r="G29" s="216" t="s">
        <v>43</v>
      </c>
      <c r="H29" s="216" t="s">
        <v>43</v>
      </c>
      <c r="I29" s="64">
        <v>8.19</v>
      </c>
      <c r="J29" s="64">
        <v>0.2</v>
      </c>
      <c r="K29" s="64">
        <v>153.38999999999999</v>
      </c>
      <c r="L29" s="64">
        <v>23.41</v>
      </c>
      <c r="M29" s="64">
        <v>97.13</v>
      </c>
      <c r="N29" s="64">
        <v>31.5</v>
      </c>
      <c r="O29" s="64">
        <v>0</v>
      </c>
      <c r="P29" s="64">
        <v>0.42</v>
      </c>
      <c r="Q29" s="64">
        <v>21</v>
      </c>
      <c r="R29" s="198"/>
      <c r="S29" s="198"/>
      <c r="T29" s="198"/>
      <c r="U29" s="198"/>
    </row>
    <row r="30" spans="1:21" s="12" customFormat="1" x14ac:dyDescent="0.25">
      <c r="A30" s="215" t="s">
        <v>1133</v>
      </c>
      <c r="B30" s="64">
        <v>14.2</v>
      </c>
      <c r="C30" s="64">
        <v>12.75</v>
      </c>
      <c r="D30" s="64">
        <v>19.059999999999999</v>
      </c>
      <c r="E30" s="64">
        <v>2.4300000000000002</v>
      </c>
      <c r="F30" s="64">
        <v>4.42</v>
      </c>
      <c r="G30" s="216" t="s">
        <v>43</v>
      </c>
      <c r="H30" s="216" t="s">
        <v>43</v>
      </c>
      <c r="I30" s="64">
        <v>6.99</v>
      </c>
      <c r="J30" s="64">
        <v>0.08</v>
      </c>
      <c r="K30" s="64">
        <v>53.04</v>
      </c>
      <c r="L30" s="64">
        <v>23.42</v>
      </c>
      <c r="M30" s="64">
        <v>97.17</v>
      </c>
      <c r="N30" s="64">
        <v>33.1</v>
      </c>
      <c r="O30" s="64">
        <v>0</v>
      </c>
      <c r="P30" s="64">
        <v>0.42</v>
      </c>
      <c r="Q30" s="64">
        <v>20.170000000000002</v>
      </c>
      <c r="R30" s="198"/>
      <c r="S30" s="198"/>
      <c r="T30" s="198"/>
      <c r="U30" s="198"/>
    </row>
    <row r="31" spans="1:21" s="12" customFormat="1" x14ac:dyDescent="0.25">
      <c r="A31" s="215" t="s">
        <v>1134</v>
      </c>
      <c r="B31" s="64">
        <v>16.850000000000001</v>
      </c>
      <c r="C31" s="64">
        <v>16.8</v>
      </c>
      <c r="D31" s="64">
        <v>23.42</v>
      </c>
      <c r="E31" s="64">
        <v>2.85</v>
      </c>
      <c r="F31" s="64">
        <v>4.51</v>
      </c>
      <c r="G31" s="216" t="s">
        <v>43</v>
      </c>
      <c r="H31" s="216" t="s">
        <v>43</v>
      </c>
      <c r="I31" s="64">
        <v>7.05</v>
      </c>
      <c r="J31" s="64">
        <v>0.14000000000000001</v>
      </c>
      <c r="K31" s="64">
        <v>44.26</v>
      </c>
      <c r="L31" s="64">
        <v>23.56</v>
      </c>
      <c r="M31" s="64">
        <v>97.01</v>
      </c>
      <c r="N31" s="64">
        <v>36.9</v>
      </c>
      <c r="O31" s="64">
        <v>0</v>
      </c>
      <c r="P31" s="64">
        <v>0.4</v>
      </c>
      <c r="Q31" s="64">
        <v>20.89</v>
      </c>
      <c r="R31" s="198"/>
      <c r="S31" s="198"/>
      <c r="T31" s="198"/>
      <c r="U31" s="198"/>
    </row>
    <row r="32" spans="1:21" s="12" customFormat="1" x14ac:dyDescent="0.25">
      <c r="A32" s="215" t="s">
        <v>1135</v>
      </c>
      <c r="B32" s="64">
        <v>25.57</v>
      </c>
      <c r="C32" s="64">
        <v>15.4</v>
      </c>
      <c r="D32" s="64">
        <v>29.65</v>
      </c>
      <c r="E32" s="64">
        <v>2.4900000000000002</v>
      </c>
      <c r="F32" s="64">
        <v>4.7300000000000004</v>
      </c>
      <c r="G32" s="216" t="s">
        <v>43</v>
      </c>
      <c r="H32" s="216" t="s">
        <v>43</v>
      </c>
      <c r="I32" s="64">
        <v>7.64</v>
      </c>
      <c r="J32" s="64">
        <v>0.24</v>
      </c>
      <c r="K32" s="64">
        <v>17.829999999999998</v>
      </c>
      <c r="L32" s="64">
        <v>23.73</v>
      </c>
      <c r="M32" s="64">
        <v>96.91</v>
      </c>
      <c r="N32" s="64">
        <v>42.8</v>
      </c>
      <c r="O32" s="64">
        <v>0</v>
      </c>
      <c r="P32" s="64">
        <v>0.41</v>
      </c>
      <c r="Q32" s="64">
        <v>19.47</v>
      </c>
      <c r="R32" s="198"/>
      <c r="S32" s="198"/>
      <c r="T32" s="198"/>
      <c r="U32" s="198"/>
    </row>
    <row r="33" spans="1:21" s="12" customFormat="1" x14ac:dyDescent="0.25">
      <c r="A33" s="215" t="s">
        <v>1136</v>
      </c>
      <c r="B33" s="64">
        <v>24.95</v>
      </c>
      <c r="C33" s="64">
        <v>12.7</v>
      </c>
      <c r="D33" s="64">
        <v>27.66</v>
      </c>
      <c r="E33" s="64">
        <v>2.39</v>
      </c>
      <c r="F33" s="64">
        <v>5.94</v>
      </c>
      <c r="G33" s="216" t="s">
        <v>43</v>
      </c>
      <c r="H33" s="216" t="s">
        <v>43</v>
      </c>
      <c r="I33" s="64">
        <v>6.19</v>
      </c>
      <c r="J33" s="64">
        <v>0.19</v>
      </c>
      <c r="K33" s="64">
        <v>58.55</v>
      </c>
      <c r="L33" s="64">
        <v>23.88</v>
      </c>
      <c r="M33" s="64">
        <v>96.5</v>
      </c>
      <c r="N33" s="64">
        <v>64.2</v>
      </c>
      <c r="O33" s="64">
        <v>0</v>
      </c>
      <c r="P33" s="64">
        <v>0.45</v>
      </c>
      <c r="Q33" s="64">
        <v>18.7</v>
      </c>
      <c r="R33" s="198"/>
      <c r="S33" s="198"/>
      <c r="T33" s="198"/>
      <c r="U33" s="198"/>
    </row>
    <row r="34" spans="1:21" s="12" customFormat="1" x14ac:dyDescent="0.25">
      <c r="A34" s="215" t="s">
        <v>1137</v>
      </c>
      <c r="B34" s="64">
        <v>14.79</v>
      </c>
      <c r="C34" s="64">
        <v>15.02</v>
      </c>
      <c r="D34" s="64">
        <v>20.8</v>
      </c>
      <c r="E34" s="64">
        <v>2.15</v>
      </c>
      <c r="F34" s="64">
        <v>9.8800000000000008</v>
      </c>
      <c r="G34" s="216" t="s">
        <v>43</v>
      </c>
      <c r="H34" s="216" t="s">
        <v>43</v>
      </c>
      <c r="I34" s="64">
        <v>6.49</v>
      </c>
      <c r="J34" s="64">
        <v>0.18</v>
      </c>
      <c r="K34" s="64">
        <v>162.5</v>
      </c>
      <c r="L34" s="64">
        <v>24.02</v>
      </c>
      <c r="M34" s="64">
        <v>93.4</v>
      </c>
      <c r="N34" s="64">
        <v>68.3</v>
      </c>
      <c r="O34" s="64">
        <v>0</v>
      </c>
      <c r="P34" s="64">
        <v>0.44</v>
      </c>
      <c r="Q34" s="64">
        <v>21.67</v>
      </c>
      <c r="R34" s="198"/>
      <c r="S34" s="198"/>
      <c r="T34" s="198"/>
      <c r="U34" s="198"/>
    </row>
    <row r="35" spans="1:21" s="12" customFormat="1" x14ac:dyDescent="0.25">
      <c r="A35" s="215" t="s">
        <v>1138</v>
      </c>
      <c r="B35" s="64">
        <v>15.4</v>
      </c>
      <c r="C35" s="64">
        <v>20.71</v>
      </c>
      <c r="D35" s="64">
        <v>24.42</v>
      </c>
      <c r="E35" s="64">
        <v>2.57</v>
      </c>
      <c r="F35" s="64">
        <v>7.06</v>
      </c>
      <c r="G35" s="216" t="s">
        <v>43</v>
      </c>
      <c r="H35" s="216" t="s">
        <v>43</v>
      </c>
      <c r="I35" s="64">
        <v>6.6</v>
      </c>
      <c r="J35" s="64">
        <v>0.14000000000000001</v>
      </c>
      <c r="K35" s="64">
        <v>187.12</v>
      </c>
      <c r="L35" s="64">
        <v>24.15</v>
      </c>
      <c r="M35" s="64">
        <v>92.91</v>
      </c>
      <c r="N35" s="64">
        <v>73.3</v>
      </c>
      <c r="O35" s="64">
        <v>0</v>
      </c>
      <c r="P35" s="64">
        <v>0.44</v>
      </c>
      <c r="Q35" s="64">
        <v>22.17</v>
      </c>
      <c r="R35" s="198"/>
      <c r="S35" s="198"/>
      <c r="T35" s="198"/>
      <c r="U35" s="198"/>
    </row>
    <row r="36" spans="1:21" s="12" customFormat="1" x14ac:dyDescent="0.25">
      <c r="A36" s="215" t="s">
        <v>1139</v>
      </c>
      <c r="B36" s="64">
        <v>16.59</v>
      </c>
      <c r="C36" s="64">
        <v>19.55</v>
      </c>
      <c r="D36" s="64">
        <v>24.74</v>
      </c>
      <c r="E36" s="64">
        <v>3.18</v>
      </c>
      <c r="F36" s="64">
        <v>7.63</v>
      </c>
      <c r="G36" s="216" t="s">
        <v>43</v>
      </c>
      <c r="H36" s="216" t="s">
        <v>43</v>
      </c>
      <c r="I36" s="64">
        <v>4.5199999999999996</v>
      </c>
      <c r="J36" s="64">
        <v>0.53</v>
      </c>
      <c r="K36" s="64">
        <v>173.48</v>
      </c>
      <c r="L36" s="64">
        <v>24.16</v>
      </c>
      <c r="M36" s="64">
        <v>91.77</v>
      </c>
      <c r="N36" s="64">
        <v>93.9</v>
      </c>
      <c r="O36" s="64">
        <v>0</v>
      </c>
      <c r="P36" s="64">
        <v>0.42</v>
      </c>
      <c r="Q36" s="64">
        <v>22.82</v>
      </c>
      <c r="R36" s="198"/>
      <c r="S36" s="198"/>
      <c r="T36" s="198"/>
      <c r="U36" s="198"/>
    </row>
    <row r="37" spans="1:21" s="12" customFormat="1" x14ac:dyDescent="0.25">
      <c r="A37" s="215" t="s">
        <v>1140</v>
      </c>
      <c r="B37" s="64">
        <v>15.76</v>
      </c>
      <c r="C37" s="64">
        <v>18.78</v>
      </c>
      <c r="D37" s="64">
        <v>23.65</v>
      </c>
      <c r="E37" s="64">
        <v>2.71</v>
      </c>
      <c r="F37" s="64">
        <v>8.49</v>
      </c>
      <c r="G37" s="216" t="s">
        <v>43</v>
      </c>
      <c r="H37" s="216" t="s">
        <v>43</v>
      </c>
      <c r="I37" s="64">
        <v>5.0599999999999996</v>
      </c>
      <c r="J37" s="64">
        <v>0.2</v>
      </c>
      <c r="K37" s="64">
        <v>199.73</v>
      </c>
      <c r="L37" s="64">
        <v>24.29</v>
      </c>
      <c r="M37" s="64">
        <v>90.44</v>
      </c>
      <c r="N37" s="64">
        <v>117.5</v>
      </c>
      <c r="O37" s="64">
        <v>0</v>
      </c>
      <c r="P37" s="64">
        <v>0.4</v>
      </c>
      <c r="Q37" s="64">
        <v>23.2</v>
      </c>
      <c r="R37" s="198"/>
      <c r="S37" s="198"/>
      <c r="T37" s="198"/>
      <c r="U37" s="198"/>
    </row>
    <row r="38" spans="1:21" s="12" customFormat="1" x14ac:dyDescent="0.25">
      <c r="A38" s="215" t="s">
        <v>1141</v>
      </c>
      <c r="B38" s="64">
        <v>13.9</v>
      </c>
      <c r="C38" s="64">
        <v>14.6</v>
      </c>
      <c r="D38" s="64">
        <v>19.850000000000001</v>
      </c>
      <c r="E38" s="64">
        <v>2.85</v>
      </c>
      <c r="F38" s="64">
        <v>7.8</v>
      </c>
      <c r="G38" s="216" t="s">
        <v>43</v>
      </c>
      <c r="H38" s="216" t="s">
        <v>43</v>
      </c>
      <c r="I38" s="64">
        <v>5.0599999999999996</v>
      </c>
      <c r="J38" s="64">
        <v>0.23</v>
      </c>
      <c r="K38" s="64">
        <v>185.52</v>
      </c>
      <c r="L38" s="64">
        <v>24.37</v>
      </c>
      <c r="M38" s="64">
        <v>89.02</v>
      </c>
      <c r="N38" s="64">
        <v>90.2</v>
      </c>
      <c r="O38" s="64">
        <v>0</v>
      </c>
      <c r="P38" s="64">
        <v>0.41</v>
      </c>
      <c r="Q38" s="64">
        <v>24.03</v>
      </c>
      <c r="R38" s="198"/>
      <c r="S38" s="198"/>
      <c r="T38" s="198"/>
      <c r="U38" s="198"/>
    </row>
    <row r="39" spans="1:21" s="12" customFormat="1" x14ac:dyDescent="0.25">
      <c r="A39" s="215" t="s">
        <v>1142</v>
      </c>
      <c r="B39" s="64">
        <v>17.27</v>
      </c>
      <c r="C39" s="64">
        <v>13.63</v>
      </c>
      <c r="D39" s="64">
        <v>22.02</v>
      </c>
      <c r="E39" s="64">
        <v>3.2</v>
      </c>
      <c r="F39" s="64">
        <v>5.81</v>
      </c>
      <c r="G39" s="216" t="s">
        <v>43</v>
      </c>
      <c r="H39" s="216" t="s">
        <v>43</v>
      </c>
      <c r="I39" s="64">
        <v>5.48</v>
      </c>
      <c r="J39" s="64">
        <v>0.24</v>
      </c>
      <c r="K39" s="64">
        <v>179.73</v>
      </c>
      <c r="L39" s="64">
        <v>24.38</v>
      </c>
      <c r="M39" s="64">
        <v>89.52</v>
      </c>
      <c r="N39" s="64">
        <v>77.7</v>
      </c>
      <c r="O39" s="64">
        <v>0</v>
      </c>
      <c r="P39" s="64">
        <v>0.4</v>
      </c>
      <c r="Q39" s="64">
        <v>22.72</v>
      </c>
      <c r="R39" s="198"/>
      <c r="S39" s="198"/>
      <c r="T39" s="198"/>
      <c r="U39" s="198"/>
    </row>
    <row r="40" spans="1:21" s="12" customFormat="1" x14ac:dyDescent="0.25">
      <c r="A40" s="215" t="s">
        <v>1143</v>
      </c>
      <c r="B40" s="64">
        <v>18.12</v>
      </c>
      <c r="C40" s="64">
        <v>11.89</v>
      </c>
      <c r="D40" s="64">
        <v>21.74</v>
      </c>
      <c r="E40" s="64">
        <v>1.49</v>
      </c>
      <c r="F40" s="64">
        <v>5.34</v>
      </c>
      <c r="G40" s="216" t="s">
        <v>43</v>
      </c>
      <c r="H40" s="216" t="s">
        <v>43</v>
      </c>
      <c r="I40" s="64">
        <v>7.56</v>
      </c>
      <c r="J40" s="64">
        <v>0.1</v>
      </c>
      <c r="K40" s="64">
        <v>212.22</v>
      </c>
      <c r="L40" s="64">
        <v>24.21</v>
      </c>
      <c r="M40" s="64">
        <v>90.25</v>
      </c>
      <c r="N40" s="64">
        <v>111.1</v>
      </c>
      <c r="O40" s="64">
        <v>0</v>
      </c>
      <c r="P40" s="64">
        <v>0.39</v>
      </c>
      <c r="Q40" s="64">
        <v>22.11</v>
      </c>
      <c r="R40" s="198"/>
      <c r="S40" s="198"/>
      <c r="T40" s="198"/>
      <c r="U40" s="198"/>
    </row>
    <row r="41" spans="1:21" s="12" customFormat="1" x14ac:dyDescent="0.25">
      <c r="A41" s="215" t="s">
        <v>1144</v>
      </c>
      <c r="B41" s="64">
        <v>17.579999999999998</v>
      </c>
      <c r="C41" s="64">
        <v>11.72</v>
      </c>
      <c r="D41" s="64">
        <v>21.22</v>
      </c>
      <c r="E41" s="64">
        <v>1.64</v>
      </c>
      <c r="F41" s="64">
        <v>4.46</v>
      </c>
      <c r="G41" s="216" t="s">
        <v>43</v>
      </c>
      <c r="H41" s="216" t="s">
        <v>43</v>
      </c>
      <c r="I41" s="64">
        <v>8.1999999999999993</v>
      </c>
      <c r="J41" s="64">
        <v>7.0000000000000007E-2</v>
      </c>
      <c r="K41" s="64">
        <v>234.48</v>
      </c>
      <c r="L41" s="64">
        <v>24.2</v>
      </c>
      <c r="M41" s="64">
        <v>91.12</v>
      </c>
      <c r="N41" s="64">
        <v>159.30000000000001</v>
      </c>
      <c r="O41" s="64">
        <v>0</v>
      </c>
      <c r="P41" s="64">
        <v>0.37</v>
      </c>
      <c r="Q41" s="64">
        <v>21.51</v>
      </c>
      <c r="R41" s="198"/>
      <c r="S41" s="198"/>
      <c r="T41" s="198"/>
      <c r="U41" s="198"/>
    </row>
    <row r="42" spans="1:21" s="12" customFormat="1" x14ac:dyDescent="0.25">
      <c r="A42" s="215" t="s">
        <v>1145</v>
      </c>
      <c r="B42" s="64">
        <v>16.899999999999999</v>
      </c>
      <c r="C42" s="64">
        <v>10.74</v>
      </c>
      <c r="D42" s="64">
        <v>20.12</v>
      </c>
      <c r="E42" s="64">
        <v>1.26</v>
      </c>
      <c r="F42" s="64">
        <v>4.37</v>
      </c>
      <c r="G42" s="216" t="s">
        <v>43</v>
      </c>
      <c r="H42" s="216" t="s">
        <v>43</v>
      </c>
      <c r="I42" s="64">
        <v>8.99</v>
      </c>
      <c r="J42" s="64">
        <v>0.15</v>
      </c>
      <c r="K42" s="64">
        <v>25.12</v>
      </c>
      <c r="L42" s="64">
        <v>24.76</v>
      </c>
      <c r="M42" s="64">
        <v>88.91</v>
      </c>
      <c r="N42" s="64">
        <v>237.3</v>
      </c>
      <c r="O42" s="64">
        <v>0</v>
      </c>
      <c r="P42" s="64">
        <v>0.36</v>
      </c>
      <c r="Q42" s="64">
        <v>20.88</v>
      </c>
      <c r="R42" s="198"/>
      <c r="S42" s="198"/>
      <c r="T42" s="198"/>
      <c r="U42" s="198"/>
    </row>
    <row r="43" spans="1:21" s="12" customFormat="1" x14ac:dyDescent="0.25">
      <c r="A43" s="215" t="s">
        <v>1146</v>
      </c>
      <c r="B43" s="64">
        <v>17.64</v>
      </c>
      <c r="C43" s="64">
        <v>12.82</v>
      </c>
      <c r="D43" s="64">
        <v>21.86</v>
      </c>
      <c r="E43" s="64">
        <v>1.62</v>
      </c>
      <c r="F43" s="64">
        <v>3.39</v>
      </c>
      <c r="G43" s="216" t="s">
        <v>43</v>
      </c>
      <c r="H43" s="216" t="s">
        <v>43</v>
      </c>
      <c r="I43" s="64">
        <v>8.61</v>
      </c>
      <c r="J43" s="64">
        <v>0.02</v>
      </c>
      <c r="K43" s="64">
        <v>257.87</v>
      </c>
      <c r="L43" s="64">
        <v>25.59</v>
      </c>
      <c r="M43" s="64">
        <v>84.53</v>
      </c>
      <c r="N43" s="64">
        <v>418.6</v>
      </c>
      <c r="O43" s="64">
        <v>0</v>
      </c>
      <c r="P43" s="64">
        <v>0.37</v>
      </c>
      <c r="Q43" s="64">
        <v>20.39</v>
      </c>
      <c r="R43" s="198"/>
      <c r="S43" s="198"/>
      <c r="T43" s="198"/>
      <c r="U43" s="198"/>
    </row>
    <row r="44" spans="1:21" s="12" customFormat="1" x14ac:dyDescent="0.25">
      <c r="A44" s="215" t="s">
        <v>1147</v>
      </c>
      <c r="B44" s="64">
        <v>17.11</v>
      </c>
      <c r="C44" s="64">
        <v>11.98</v>
      </c>
      <c r="D44" s="64">
        <v>20.98</v>
      </c>
      <c r="E44" s="64">
        <v>1.1299999999999999</v>
      </c>
      <c r="F44" s="64">
        <v>3.37</v>
      </c>
      <c r="G44" s="216" t="s">
        <v>43</v>
      </c>
      <c r="H44" s="216" t="s">
        <v>43</v>
      </c>
      <c r="I44" s="64">
        <v>8.58</v>
      </c>
      <c r="J44" s="64">
        <v>0.1</v>
      </c>
      <c r="K44" s="64">
        <v>36.950000000000003</v>
      </c>
      <c r="L44" s="64">
        <v>25.41</v>
      </c>
      <c r="M44" s="64">
        <v>83.38</v>
      </c>
      <c r="N44" s="64">
        <v>256.5</v>
      </c>
      <c r="O44" s="64">
        <v>0</v>
      </c>
      <c r="P44" s="64">
        <v>0.34</v>
      </c>
      <c r="Q44" s="64">
        <v>20.37</v>
      </c>
      <c r="R44" s="198"/>
      <c r="S44" s="198"/>
      <c r="T44" s="198"/>
      <c r="U44" s="198"/>
    </row>
    <row r="45" spans="1:21" s="12" customFormat="1" x14ac:dyDescent="0.25">
      <c r="A45" s="215" t="s">
        <v>1148</v>
      </c>
      <c r="B45" s="64">
        <v>16.03</v>
      </c>
      <c r="C45" s="64">
        <v>10.69</v>
      </c>
      <c r="D45" s="64">
        <v>19.39</v>
      </c>
      <c r="E45" s="64">
        <v>1.1399999999999999</v>
      </c>
      <c r="F45" s="64">
        <v>4.55</v>
      </c>
      <c r="G45" s="216" t="s">
        <v>43</v>
      </c>
      <c r="H45" s="216" t="s">
        <v>43</v>
      </c>
      <c r="I45" s="64">
        <v>8.43</v>
      </c>
      <c r="J45" s="64">
        <v>1.24</v>
      </c>
      <c r="K45" s="64">
        <v>354.95</v>
      </c>
      <c r="L45" s="64">
        <v>24.76</v>
      </c>
      <c r="M45" s="64">
        <v>85.36</v>
      </c>
      <c r="N45" s="64">
        <v>91.6</v>
      </c>
      <c r="O45" s="64">
        <v>0</v>
      </c>
      <c r="P45" s="64">
        <v>0.36</v>
      </c>
      <c r="Q45" s="64">
        <v>18.829999999999998</v>
      </c>
      <c r="R45" s="198"/>
      <c r="S45" s="198"/>
      <c r="T45" s="198"/>
      <c r="U45" s="198"/>
    </row>
    <row r="46" spans="1:21" s="12" customFormat="1" x14ac:dyDescent="0.25">
      <c r="A46" s="215" t="s">
        <v>1149</v>
      </c>
      <c r="B46" s="64">
        <v>18.64</v>
      </c>
      <c r="C46" s="64">
        <v>13.96</v>
      </c>
      <c r="D46" s="64">
        <v>23.09</v>
      </c>
      <c r="E46" s="64">
        <v>1.83</v>
      </c>
      <c r="F46" s="64">
        <v>5.86</v>
      </c>
      <c r="G46" s="216" t="s">
        <v>43</v>
      </c>
      <c r="H46" s="216" t="s">
        <v>43</v>
      </c>
      <c r="I46" s="64">
        <v>8.14</v>
      </c>
      <c r="J46" s="64">
        <v>0.71</v>
      </c>
      <c r="K46" s="64">
        <v>359.77</v>
      </c>
      <c r="L46" s="64">
        <v>24.4</v>
      </c>
      <c r="M46" s="64">
        <v>89.32</v>
      </c>
      <c r="N46" s="64">
        <v>143.19999999999999</v>
      </c>
      <c r="O46" s="64">
        <v>0</v>
      </c>
      <c r="P46" s="64">
        <v>0.36</v>
      </c>
      <c r="Q46" s="64">
        <v>20.05</v>
      </c>
      <c r="R46" s="198"/>
      <c r="S46" s="198"/>
      <c r="T46" s="198"/>
      <c r="U46" s="198"/>
    </row>
    <row r="47" spans="1:21" s="12" customFormat="1" x14ac:dyDescent="0.25">
      <c r="A47" s="215" t="s">
        <v>1150</v>
      </c>
      <c r="B47" s="64">
        <v>18.82</v>
      </c>
      <c r="C47" s="64">
        <v>12.09</v>
      </c>
      <c r="D47" s="64">
        <v>22.41</v>
      </c>
      <c r="E47" s="64">
        <v>1.54</v>
      </c>
      <c r="F47" s="64">
        <v>7.49</v>
      </c>
      <c r="G47" s="216" t="s">
        <v>43</v>
      </c>
      <c r="H47" s="216" t="s">
        <v>43</v>
      </c>
      <c r="I47" s="64">
        <v>7.8</v>
      </c>
      <c r="J47" s="64">
        <v>0.79</v>
      </c>
      <c r="K47" s="64">
        <v>359.4</v>
      </c>
      <c r="L47" s="64">
        <v>24.49</v>
      </c>
      <c r="M47" s="64">
        <v>91.78</v>
      </c>
      <c r="N47" s="64">
        <v>257.3</v>
      </c>
      <c r="O47" s="64">
        <v>0</v>
      </c>
      <c r="P47" s="64">
        <v>0.39</v>
      </c>
      <c r="Q47" s="64">
        <v>19.09</v>
      </c>
      <c r="R47" s="198"/>
      <c r="S47" s="198"/>
      <c r="T47" s="198"/>
      <c r="U47" s="198"/>
    </row>
    <row r="48" spans="1:21" s="12" customFormat="1" x14ac:dyDescent="0.25">
      <c r="A48" s="215" t="s">
        <v>1151</v>
      </c>
      <c r="B48" s="64">
        <v>22.06</v>
      </c>
      <c r="C48" s="64">
        <v>17.399999999999999</v>
      </c>
      <c r="D48" s="64">
        <v>27.94</v>
      </c>
      <c r="E48" s="64">
        <v>1.89</v>
      </c>
      <c r="F48" s="64">
        <v>10.41</v>
      </c>
      <c r="G48" s="216" t="s">
        <v>43</v>
      </c>
      <c r="H48" s="216" t="s">
        <v>43</v>
      </c>
      <c r="I48" s="64">
        <v>6.6</v>
      </c>
      <c r="J48" s="64">
        <v>0.55000000000000004</v>
      </c>
      <c r="K48" s="64">
        <v>5.49</v>
      </c>
      <c r="L48" s="64">
        <v>25.29</v>
      </c>
      <c r="M48" s="64">
        <v>87.66</v>
      </c>
      <c r="N48" s="64">
        <v>299</v>
      </c>
      <c r="O48" s="64">
        <v>0</v>
      </c>
      <c r="P48" s="64">
        <v>0.41</v>
      </c>
      <c r="Q48" s="64">
        <v>20.239999999999998</v>
      </c>
      <c r="R48" s="198"/>
      <c r="S48" s="198"/>
      <c r="T48" s="198"/>
      <c r="U48" s="198"/>
    </row>
    <row r="49" spans="1:21" s="12" customFormat="1" x14ac:dyDescent="0.25">
      <c r="A49" s="215" t="s">
        <v>1152</v>
      </c>
      <c r="B49" s="64">
        <v>21.17</v>
      </c>
      <c r="C49" s="64">
        <v>15.46</v>
      </c>
      <c r="D49" s="64">
        <v>26.16</v>
      </c>
      <c r="E49" s="64">
        <v>2</v>
      </c>
      <c r="F49" s="64">
        <v>9.6999999999999993</v>
      </c>
      <c r="G49" s="216" t="s">
        <v>43</v>
      </c>
      <c r="H49" s="216" t="s">
        <v>43</v>
      </c>
      <c r="I49" s="64">
        <v>6.35</v>
      </c>
      <c r="J49" s="64">
        <v>0.68</v>
      </c>
      <c r="K49" s="64">
        <v>5.51</v>
      </c>
      <c r="L49" s="64">
        <v>26.31</v>
      </c>
      <c r="M49" s="64">
        <v>81.89</v>
      </c>
      <c r="N49" s="64">
        <v>367.3</v>
      </c>
      <c r="O49" s="64">
        <v>0</v>
      </c>
      <c r="P49" s="64">
        <v>0.44</v>
      </c>
      <c r="Q49" s="64">
        <v>19.91</v>
      </c>
      <c r="R49" s="198"/>
      <c r="S49" s="198"/>
      <c r="T49" s="198"/>
      <c r="U49" s="198"/>
    </row>
    <row r="50" spans="1:21" s="12" customFormat="1" x14ac:dyDescent="0.25">
      <c r="A50" s="215" t="s">
        <v>1153</v>
      </c>
      <c r="B50" s="64">
        <v>21.15</v>
      </c>
      <c r="C50" s="64">
        <v>15.1</v>
      </c>
      <c r="D50" s="64">
        <v>25.94</v>
      </c>
      <c r="E50" s="64">
        <v>1.67</v>
      </c>
      <c r="F50" s="64">
        <v>7.67</v>
      </c>
      <c r="G50" s="216" t="s">
        <v>43</v>
      </c>
      <c r="H50" s="216" t="s">
        <v>43</v>
      </c>
      <c r="I50" s="64">
        <v>5.7</v>
      </c>
      <c r="J50" s="64">
        <v>0.53</v>
      </c>
      <c r="K50" s="64">
        <v>14.24</v>
      </c>
      <c r="L50" s="64">
        <v>27.52</v>
      </c>
      <c r="M50" s="64">
        <v>76.53</v>
      </c>
      <c r="N50" s="64">
        <v>493.9</v>
      </c>
      <c r="O50" s="64">
        <v>0</v>
      </c>
      <c r="P50" s="64">
        <v>0.51</v>
      </c>
      <c r="Q50" s="64">
        <v>20.25</v>
      </c>
      <c r="R50" s="198"/>
      <c r="S50" s="198"/>
      <c r="T50" s="198"/>
      <c r="U50" s="198"/>
    </row>
    <row r="51" spans="1:21" s="12" customFormat="1" x14ac:dyDescent="0.25">
      <c r="A51" s="215" t="s">
        <v>1154</v>
      </c>
      <c r="B51" s="64">
        <v>20.87</v>
      </c>
      <c r="C51" s="64">
        <v>13.71</v>
      </c>
      <c r="D51" s="64">
        <v>24.95</v>
      </c>
      <c r="E51" s="64">
        <v>1.81</v>
      </c>
      <c r="F51" s="64">
        <v>5.95</v>
      </c>
      <c r="G51" s="216" t="s">
        <v>43</v>
      </c>
      <c r="H51" s="216" t="s">
        <v>43</v>
      </c>
      <c r="I51" s="64">
        <v>6.6</v>
      </c>
      <c r="J51" s="64">
        <v>0.36</v>
      </c>
      <c r="K51" s="64">
        <v>16.82</v>
      </c>
      <c r="L51" s="64">
        <v>29.66</v>
      </c>
      <c r="M51" s="64">
        <v>69.430000000000007</v>
      </c>
      <c r="N51" s="64">
        <v>792</v>
      </c>
      <c r="O51" s="64">
        <v>0</v>
      </c>
      <c r="P51" s="64">
        <v>0.54</v>
      </c>
      <c r="Q51" s="64">
        <v>20.21</v>
      </c>
      <c r="R51" s="198"/>
      <c r="S51" s="198"/>
      <c r="T51" s="198"/>
      <c r="U51" s="198"/>
    </row>
    <row r="52" spans="1:21" s="12" customFormat="1" x14ac:dyDescent="0.25">
      <c r="A52" s="215" t="s">
        <v>1155</v>
      </c>
      <c r="B52" s="64">
        <v>19.02</v>
      </c>
      <c r="C52" s="64">
        <v>11.76</v>
      </c>
      <c r="D52" s="64">
        <v>22.39</v>
      </c>
      <c r="E52" s="64">
        <v>1.91</v>
      </c>
      <c r="F52" s="64">
        <v>5.7</v>
      </c>
      <c r="G52" s="216" t="s">
        <v>43</v>
      </c>
      <c r="H52" s="216" t="s">
        <v>43</v>
      </c>
      <c r="I52" s="64">
        <v>7.82</v>
      </c>
      <c r="J52" s="64">
        <v>0.45</v>
      </c>
      <c r="K52" s="64">
        <v>188.54</v>
      </c>
      <c r="L52" s="64">
        <v>28.4</v>
      </c>
      <c r="M52" s="64">
        <v>71.88</v>
      </c>
      <c r="N52" s="64">
        <v>688.2</v>
      </c>
      <c r="O52" s="64">
        <v>0</v>
      </c>
      <c r="P52" s="64">
        <v>0.55000000000000004</v>
      </c>
      <c r="Q52" s="64">
        <v>19.010000000000002</v>
      </c>
      <c r="R52" s="198"/>
      <c r="S52" s="198"/>
      <c r="T52" s="198"/>
      <c r="U52" s="198"/>
    </row>
    <row r="53" spans="1:21" s="12" customFormat="1" x14ac:dyDescent="0.25">
      <c r="A53" s="215" t="s">
        <v>1156</v>
      </c>
      <c r="B53" s="64">
        <v>17.559999999999999</v>
      </c>
      <c r="C53" s="64">
        <v>12.15</v>
      </c>
      <c r="D53" s="64">
        <v>21.43</v>
      </c>
      <c r="E53" s="64">
        <v>1.68</v>
      </c>
      <c r="F53" s="64">
        <v>3.83</v>
      </c>
      <c r="G53" s="216" t="s">
        <v>43</v>
      </c>
      <c r="H53" s="216" t="s">
        <v>43</v>
      </c>
      <c r="I53" s="64">
        <v>8.11</v>
      </c>
      <c r="J53" s="64">
        <v>0.23</v>
      </c>
      <c r="K53" s="64">
        <v>203.02</v>
      </c>
      <c r="L53" s="64">
        <v>27.37</v>
      </c>
      <c r="M53" s="64">
        <v>76.650000000000006</v>
      </c>
      <c r="N53" s="64">
        <v>516</v>
      </c>
      <c r="O53" s="64">
        <v>0</v>
      </c>
      <c r="P53" s="64">
        <v>0.53</v>
      </c>
      <c r="Q53" s="64">
        <v>19.18</v>
      </c>
      <c r="R53" s="198"/>
      <c r="S53" s="198"/>
      <c r="T53" s="198"/>
      <c r="U53" s="198"/>
    </row>
    <row r="54" spans="1:21" s="12" customFormat="1" x14ac:dyDescent="0.25">
      <c r="A54" s="215" t="s">
        <v>1157</v>
      </c>
      <c r="B54" s="64">
        <v>17</v>
      </c>
      <c r="C54" s="64">
        <v>12.62</v>
      </c>
      <c r="D54" s="64">
        <v>21.24</v>
      </c>
      <c r="E54" s="64">
        <v>1.63</v>
      </c>
      <c r="F54" s="64">
        <v>3.83</v>
      </c>
      <c r="G54" s="216" t="s">
        <v>43</v>
      </c>
      <c r="H54" s="216" t="s">
        <v>43</v>
      </c>
      <c r="I54" s="64">
        <v>8.42</v>
      </c>
      <c r="J54" s="64">
        <v>0.15</v>
      </c>
      <c r="K54" s="64">
        <v>11.74</v>
      </c>
      <c r="L54" s="64">
        <v>28.48</v>
      </c>
      <c r="M54" s="64">
        <v>72.680000000000007</v>
      </c>
      <c r="N54" s="64">
        <v>627</v>
      </c>
      <c r="O54" s="64">
        <v>0</v>
      </c>
      <c r="P54" s="64">
        <v>0.5</v>
      </c>
      <c r="Q54" s="64">
        <v>18.920000000000002</v>
      </c>
      <c r="R54" s="198"/>
      <c r="S54" s="198"/>
      <c r="T54" s="198"/>
      <c r="U54" s="198"/>
    </row>
    <row r="55" spans="1:21" s="12" customFormat="1" x14ac:dyDescent="0.25">
      <c r="A55" s="215" t="s">
        <v>1158</v>
      </c>
      <c r="B55" s="64">
        <v>14.73</v>
      </c>
      <c r="C55" s="64">
        <v>12.81</v>
      </c>
      <c r="D55" s="64">
        <v>19.52</v>
      </c>
      <c r="E55" s="64">
        <v>1.43</v>
      </c>
      <c r="F55" s="64">
        <v>4.8</v>
      </c>
      <c r="G55" s="216" t="s">
        <v>43</v>
      </c>
      <c r="H55" s="216" t="s">
        <v>43</v>
      </c>
      <c r="I55" s="64">
        <v>7.97</v>
      </c>
      <c r="J55" s="64">
        <v>0.28999999999999998</v>
      </c>
      <c r="K55" s="64">
        <v>0.48</v>
      </c>
      <c r="L55" s="64">
        <v>29.51</v>
      </c>
      <c r="M55" s="64">
        <v>69.53</v>
      </c>
      <c r="N55" s="64">
        <v>637.4</v>
      </c>
      <c r="O55" s="64">
        <v>0</v>
      </c>
      <c r="P55" s="64">
        <v>0.5</v>
      </c>
      <c r="Q55" s="64">
        <v>16.079999999999998</v>
      </c>
      <c r="R55" s="198"/>
      <c r="S55" s="198"/>
      <c r="T55" s="198"/>
      <c r="U55" s="198"/>
    </row>
    <row r="56" spans="1:21" s="12" customFormat="1" x14ac:dyDescent="0.25">
      <c r="A56" s="215" t="s">
        <v>1159</v>
      </c>
      <c r="B56" s="64">
        <v>13.95</v>
      </c>
      <c r="C56" s="64">
        <v>14.15</v>
      </c>
      <c r="D56" s="64">
        <v>19.64</v>
      </c>
      <c r="E56" s="64">
        <v>2.2999999999999998</v>
      </c>
      <c r="F56" s="64">
        <v>3.9</v>
      </c>
      <c r="G56" s="216" t="s">
        <v>43</v>
      </c>
      <c r="H56" s="216" t="s">
        <v>43</v>
      </c>
      <c r="I56" s="64">
        <v>7.46</v>
      </c>
      <c r="J56" s="64">
        <v>0.1</v>
      </c>
      <c r="K56" s="64">
        <v>347.81</v>
      </c>
      <c r="L56" s="64">
        <v>30.01</v>
      </c>
      <c r="M56" s="64">
        <v>66.989999999999995</v>
      </c>
      <c r="N56" s="64">
        <v>772.5</v>
      </c>
      <c r="O56" s="64">
        <v>0</v>
      </c>
      <c r="P56" s="64">
        <v>0.51</v>
      </c>
      <c r="Q56" s="64">
        <v>17.2</v>
      </c>
      <c r="R56" s="198"/>
      <c r="S56" s="198"/>
      <c r="T56" s="198"/>
      <c r="U56" s="198"/>
    </row>
    <row r="57" spans="1:21" s="12" customFormat="1" x14ac:dyDescent="0.25">
      <c r="A57" s="215" t="s">
        <v>1160</v>
      </c>
      <c r="B57" s="64">
        <v>12.98</v>
      </c>
      <c r="C57" s="64">
        <v>14.99</v>
      </c>
      <c r="D57" s="64">
        <v>19.329999999999998</v>
      </c>
      <c r="E57" s="64">
        <v>2.72</v>
      </c>
      <c r="F57" s="64">
        <v>7.43</v>
      </c>
      <c r="G57" s="216" t="s">
        <v>43</v>
      </c>
      <c r="H57" s="216" t="s">
        <v>43</v>
      </c>
      <c r="I57" s="64">
        <v>7.39</v>
      </c>
      <c r="J57" s="64">
        <v>0.06</v>
      </c>
      <c r="K57" s="64">
        <v>113.77</v>
      </c>
      <c r="L57" s="64">
        <v>28.98</v>
      </c>
      <c r="M57" s="64">
        <v>70.42</v>
      </c>
      <c r="N57" s="64">
        <v>520.9</v>
      </c>
      <c r="O57" s="64">
        <v>0</v>
      </c>
      <c r="P57" s="64">
        <v>0.49</v>
      </c>
      <c r="Q57" s="64">
        <v>17</v>
      </c>
      <c r="R57" s="198"/>
      <c r="S57" s="198"/>
      <c r="T57" s="198"/>
      <c r="U57" s="198"/>
    </row>
    <row r="58" spans="1:21" s="12" customFormat="1" x14ac:dyDescent="0.25">
      <c r="A58" s="215" t="s">
        <v>1161</v>
      </c>
      <c r="B58" s="64">
        <v>10.73</v>
      </c>
      <c r="C58" s="64">
        <v>14.76</v>
      </c>
      <c r="D58" s="64">
        <v>17.399999999999999</v>
      </c>
      <c r="E58" s="64">
        <v>2.42</v>
      </c>
      <c r="F58" s="64">
        <v>11.15</v>
      </c>
      <c r="G58" s="216" t="s">
        <v>43</v>
      </c>
      <c r="H58" s="216" t="s">
        <v>43</v>
      </c>
      <c r="I58" s="64">
        <v>7.09</v>
      </c>
      <c r="J58" s="64">
        <v>0.15</v>
      </c>
      <c r="K58" s="64">
        <v>203.45</v>
      </c>
      <c r="L58" s="64">
        <v>28.53</v>
      </c>
      <c r="M58" s="64">
        <v>70.81</v>
      </c>
      <c r="N58" s="64">
        <v>789.1</v>
      </c>
      <c r="O58" s="64">
        <v>0</v>
      </c>
      <c r="P58" s="64">
        <v>0.48</v>
      </c>
      <c r="Q58" s="64">
        <v>16.850000000000001</v>
      </c>
      <c r="R58" s="198"/>
      <c r="S58" s="198"/>
      <c r="T58" s="198"/>
      <c r="U58" s="198"/>
    </row>
    <row r="59" spans="1:21" s="12" customFormat="1" x14ac:dyDescent="0.25">
      <c r="A59" s="215" t="s">
        <v>1162</v>
      </c>
      <c r="B59" s="64">
        <v>9.92</v>
      </c>
      <c r="C59" s="64">
        <v>13.99</v>
      </c>
      <c r="D59" s="64">
        <v>16.32</v>
      </c>
      <c r="E59" s="64">
        <v>3.02</v>
      </c>
      <c r="F59" s="64">
        <v>5.91</v>
      </c>
      <c r="G59" s="216" t="s">
        <v>43</v>
      </c>
      <c r="H59" s="216" t="s">
        <v>43</v>
      </c>
      <c r="I59" s="64">
        <v>6.34</v>
      </c>
      <c r="J59" s="64">
        <v>0.12</v>
      </c>
      <c r="K59" s="64">
        <v>37.69</v>
      </c>
      <c r="L59" s="64">
        <v>28.58</v>
      </c>
      <c r="M59" s="64">
        <v>70.23</v>
      </c>
      <c r="N59" s="64">
        <v>560.29999999999995</v>
      </c>
      <c r="O59" s="64">
        <v>0</v>
      </c>
      <c r="P59" s="64">
        <v>0.48</v>
      </c>
      <c r="Q59" s="64">
        <v>17.55</v>
      </c>
      <c r="R59" s="198"/>
      <c r="S59" s="198"/>
      <c r="T59" s="198"/>
      <c r="U59" s="198"/>
    </row>
    <row r="60" spans="1:21" s="12" customFormat="1" x14ac:dyDescent="0.25">
      <c r="A60" s="215" t="s">
        <v>1163</v>
      </c>
      <c r="B60" s="64">
        <v>11.96</v>
      </c>
      <c r="C60" s="64">
        <v>23.77</v>
      </c>
      <c r="D60" s="64">
        <v>23.35</v>
      </c>
      <c r="E60" s="64">
        <v>2.89</v>
      </c>
      <c r="F60" s="64">
        <v>12.19</v>
      </c>
      <c r="G60" s="216" t="s">
        <v>43</v>
      </c>
      <c r="H60" s="216" t="s">
        <v>43</v>
      </c>
      <c r="I60" s="64">
        <v>6.52</v>
      </c>
      <c r="J60" s="64">
        <v>0.7</v>
      </c>
      <c r="K60" s="64">
        <v>353.18</v>
      </c>
      <c r="L60" s="64">
        <v>27.93</v>
      </c>
      <c r="M60" s="64">
        <v>70.59</v>
      </c>
      <c r="N60" s="64">
        <v>98.6</v>
      </c>
      <c r="O60" s="64">
        <v>0</v>
      </c>
      <c r="P60" s="64">
        <v>0.76</v>
      </c>
      <c r="Q60" s="64">
        <v>14.45</v>
      </c>
      <c r="R60" s="198"/>
      <c r="S60" s="198"/>
      <c r="T60" s="198"/>
      <c r="U60" s="198"/>
    </row>
    <row r="61" spans="1:21" s="12" customFormat="1" x14ac:dyDescent="0.25">
      <c r="A61" s="215" t="s">
        <v>1164</v>
      </c>
      <c r="B61" s="64">
        <v>12.13</v>
      </c>
      <c r="C61" s="64">
        <v>35.659999999999997</v>
      </c>
      <c r="D61" s="64">
        <v>30.05</v>
      </c>
      <c r="E61" s="64">
        <v>2.72</v>
      </c>
      <c r="F61" s="64">
        <v>7.59</v>
      </c>
      <c r="G61" s="216" t="s">
        <v>43</v>
      </c>
      <c r="H61" s="216" t="s">
        <v>43</v>
      </c>
      <c r="I61" s="64">
        <v>7.23</v>
      </c>
      <c r="J61" s="64">
        <v>0.28000000000000003</v>
      </c>
      <c r="K61" s="64">
        <v>26.22</v>
      </c>
      <c r="L61" s="64">
        <v>27.62</v>
      </c>
      <c r="M61" s="64">
        <v>70.260000000000005</v>
      </c>
      <c r="N61" s="64">
        <v>201.7</v>
      </c>
      <c r="O61" s="64">
        <v>0</v>
      </c>
      <c r="P61" s="64">
        <v>0.91</v>
      </c>
      <c r="Q61" s="64">
        <v>12.31</v>
      </c>
      <c r="R61" s="198"/>
      <c r="S61" s="198"/>
      <c r="T61" s="198"/>
      <c r="U61" s="198"/>
    </row>
    <row r="62" spans="1:21" s="12" customFormat="1" x14ac:dyDescent="0.25">
      <c r="A62" s="215" t="s">
        <v>1165</v>
      </c>
      <c r="B62" s="64">
        <v>10.66</v>
      </c>
      <c r="C62" s="64">
        <v>30.36</v>
      </c>
      <c r="D62" s="64">
        <v>25.95</v>
      </c>
      <c r="E62" s="64">
        <v>2.35</v>
      </c>
      <c r="F62" s="64">
        <v>6.39</v>
      </c>
      <c r="G62" s="216" t="s">
        <v>43</v>
      </c>
      <c r="H62" s="216" t="s">
        <v>43</v>
      </c>
      <c r="I62" s="64">
        <v>5.4</v>
      </c>
      <c r="J62" s="64">
        <v>0.27</v>
      </c>
      <c r="K62" s="64">
        <v>38.46</v>
      </c>
      <c r="L62" s="64">
        <v>27.57</v>
      </c>
      <c r="M62" s="64">
        <v>68.78</v>
      </c>
      <c r="N62" s="64">
        <v>507.3</v>
      </c>
      <c r="O62" s="64">
        <v>0</v>
      </c>
      <c r="P62" s="64">
        <v>0.84</v>
      </c>
      <c r="Q62" s="64">
        <v>11.67</v>
      </c>
      <c r="R62" s="198"/>
      <c r="S62" s="198"/>
      <c r="T62" s="198"/>
      <c r="U62" s="198"/>
    </row>
    <row r="63" spans="1:21" s="12" customFormat="1" x14ac:dyDescent="0.25">
      <c r="A63" s="215" t="s">
        <v>1166</v>
      </c>
      <c r="B63" s="64">
        <v>9.42</v>
      </c>
      <c r="C63" s="64">
        <v>31.87</v>
      </c>
      <c r="D63" s="64">
        <v>25.79</v>
      </c>
      <c r="E63" s="64">
        <v>1.88</v>
      </c>
      <c r="F63" s="64">
        <v>7.73</v>
      </c>
      <c r="G63" s="216" t="s">
        <v>43</v>
      </c>
      <c r="H63" s="216" t="s">
        <v>43</v>
      </c>
      <c r="I63" s="64">
        <v>18.37</v>
      </c>
      <c r="J63" s="64">
        <v>0.57999999999999996</v>
      </c>
      <c r="K63" s="64">
        <v>337.84</v>
      </c>
      <c r="L63" s="64">
        <v>29.73</v>
      </c>
      <c r="M63" s="64">
        <v>65.13</v>
      </c>
      <c r="N63" s="64">
        <v>542.5</v>
      </c>
      <c r="O63" s="64">
        <v>0</v>
      </c>
      <c r="P63" s="64">
        <v>1.1399999999999999</v>
      </c>
      <c r="Q63" s="64">
        <v>13.83</v>
      </c>
      <c r="R63" s="198"/>
      <c r="S63" s="198"/>
      <c r="T63" s="198"/>
      <c r="U63" s="198"/>
    </row>
    <row r="64" spans="1:21" s="12" customFormat="1" x14ac:dyDescent="0.25">
      <c r="A64" s="215" t="s">
        <v>1167</v>
      </c>
      <c r="B64" s="64">
        <v>7.74</v>
      </c>
      <c r="C64" s="64">
        <v>32.58</v>
      </c>
      <c r="D64" s="64">
        <v>24.83</v>
      </c>
      <c r="E64" s="64">
        <v>2.2799999999999998</v>
      </c>
      <c r="F64" s="64">
        <v>22.43</v>
      </c>
      <c r="G64" s="216" t="s">
        <v>43</v>
      </c>
      <c r="H64" s="216" t="s">
        <v>43</v>
      </c>
      <c r="I64" s="64">
        <v>38.03</v>
      </c>
      <c r="J64" s="64">
        <v>0.56999999999999995</v>
      </c>
      <c r="K64" s="64">
        <v>341.15</v>
      </c>
      <c r="L64" s="64">
        <v>30.64</v>
      </c>
      <c r="M64" s="64">
        <v>62.61</v>
      </c>
      <c r="N64" s="64">
        <v>395.7</v>
      </c>
      <c r="O64" s="64">
        <v>0</v>
      </c>
      <c r="P64" s="64">
        <v>1.37</v>
      </c>
      <c r="Q64" s="64">
        <v>12.49</v>
      </c>
      <c r="R64" s="198"/>
      <c r="S64" s="198"/>
      <c r="T64" s="198"/>
      <c r="U64" s="198"/>
    </row>
    <row r="65" spans="1:21" s="12" customFormat="1" x14ac:dyDescent="0.25">
      <c r="A65" s="215" t="s">
        <v>1168</v>
      </c>
      <c r="B65" s="64">
        <v>5.9</v>
      </c>
      <c r="C65" s="64">
        <v>31.67</v>
      </c>
      <c r="D65" s="64">
        <v>22.86</v>
      </c>
      <c r="E65" s="64">
        <v>2.0499999999999998</v>
      </c>
      <c r="F65" s="64">
        <v>10.7</v>
      </c>
      <c r="G65" s="216" t="s">
        <v>43</v>
      </c>
      <c r="H65" s="216" t="s">
        <v>43</v>
      </c>
      <c r="I65" s="64">
        <v>36.94</v>
      </c>
      <c r="J65" s="64">
        <v>0.42</v>
      </c>
      <c r="K65" s="64">
        <v>347.25</v>
      </c>
      <c r="L65" s="64">
        <v>30.46</v>
      </c>
      <c r="M65" s="64">
        <v>64.09</v>
      </c>
      <c r="N65" s="64">
        <v>391.6</v>
      </c>
      <c r="O65" s="64">
        <v>0</v>
      </c>
      <c r="P65" s="64">
        <v>1.37</v>
      </c>
      <c r="Q65" s="64">
        <v>10.55</v>
      </c>
      <c r="R65" s="198"/>
      <c r="S65" s="198"/>
      <c r="T65" s="198"/>
      <c r="U65" s="198"/>
    </row>
    <row r="66" spans="1:21" s="12" customFormat="1" x14ac:dyDescent="0.25">
      <c r="A66" s="215" t="s">
        <v>1169</v>
      </c>
      <c r="B66" s="64">
        <v>7.37</v>
      </c>
      <c r="C66" s="64">
        <v>26</v>
      </c>
      <c r="D66" s="64">
        <v>20.9</v>
      </c>
      <c r="E66" s="64">
        <v>1.85</v>
      </c>
      <c r="F66" s="64">
        <v>8.18</v>
      </c>
      <c r="G66" s="216" t="s">
        <v>43</v>
      </c>
      <c r="H66" s="216" t="s">
        <v>43</v>
      </c>
      <c r="I66" s="64">
        <v>21.53</v>
      </c>
      <c r="J66" s="64">
        <v>0.62</v>
      </c>
      <c r="K66" s="64">
        <v>348.63</v>
      </c>
      <c r="L66" s="64">
        <v>31.37</v>
      </c>
      <c r="M66" s="64">
        <v>60.68</v>
      </c>
      <c r="N66" s="64">
        <v>392.9</v>
      </c>
      <c r="O66" s="64">
        <v>0</v>
      </c>
      <c r="P66" s="64">
        <v>1.28</v>
      </c>
      <c r="Q66" s="64">
        <v>7.61</v>
      </c>
      <c r="R66" s="198"/>
      <c r="S66" s="198"/>
      <c r="T66" s="198"/>
      <c r="U66" s="198"/>
    </row>
    <row r="67" spans="1:21" s="12" customFormat="1" x14ac:dyDescent="0.25">
      <c r="A67" s="215" t="s">
        <v>1170</v>
      </c>
      <c r="B67" s="64">
        <v>7.3</v>
      </c>
      <c r="C67" s="64">
        <v>20.52</v>
      </c>
      <c r="D67" s="64">
        <v>17.82</v>
      </c>
      <c r="E67" s="64">
        <v>1.6</v>
      </c>
      <c r="F67" s="64">
        <v>5.72</v>
      </c>
      <c r="G67" s="216" t="s">
        <v>43</v>
      </c>
      <c r="H67" s="216" t="s">
        <v>43</v>
      </c>
      <c r="I67" s="64">
        <v>16.79</v>
      </c>
      <c r="J67" s="64">
        <v>0.43</v>
      </c>
      <c r="K67" s="64">
        <v>19.75</v>
      </c>
      <c r="L67" s="64">
        <v>30.48</v>
      </c>
      <c r="M67" s="64">
        <v>60.8</v>
      </c>
      <c r="N67" s="64">
        <v>562.1</v>
      </c>
      <c r="O67" s="64">
        <v>0</v>
      </c>
      <c r="P67" s="64">
        <v>1.2</v>
      </c>
      <c r="Q67" s="64">
        <v>5.62</v>
      </c>
      <c r="R67" s="198"/>
      <c r="S67" s="198"/>
      <c r="T67" s="198"/>
      <c r="U67" s="198"/>
    </row>
    <row r="68" spans="1:21" s="12" customFormat="1" x14ac:dyDescent="0.25">
      <c r="A68" s="215" t="s">
        <v>1171</v>
      </c>
      <c r="B68" s="64">
        <v>7.39</v>
      </c>
      <c r="C68" s="64">
        <v>18.14</v>
      </c>
      <c r="D68" s="64">
        <v>16.579999999999998</v>
      </c>
      <c r="E68" s="64">
        <v>1.95</v>
      </c>
      <c r="F68" s="64">
        <v>6.16</v>
      </c>
      <c r="G68" s="216" t="s">
        <v>43</v>
      </c>
      <c r="H68" s="216" t="s">
        <v>43</v>
      </c>
      <c r="I68" s="64">
        <v>17.77</v>
      </c>
      <c r="J68" s="64">
        <v>0.7</v>
      </c>
      <c r="K68" s="64">
        <v>350.22</v>
      </c>
      <c r="L68" s="64">
        <v>30.3</v>
      </c>
      <c r="M68" s="64">
        <v>60.69</v>
      </c>
      <c r="N68" s="64">
        <v>396.3</v>
      </c>
      <c r="O68" s="64">
        <v>0</v>
      </c>
      <c r="P68" s="64">
        <v>1.1299999999999999</v>
      </c>
      <c r="Q68" s="64">
        <v>6.84</v>
      </c>
      <c r="R68" s="198"/>
      <c r="S68" s="198"/>
      <c r="T68" s="198"/>
      <c r="U68" s="198"/>
    </row>
    <row r="69" spans="1:21" s="12" customFormat="1" x14ac:dyDescent="0.25">
      <c r="A69" s="215" t="s">
        <v>1172</v>
      </c>
      <c r="B69" s="64">
        <v>9.43</v>
      </c>
      <c r="C69" s="64">
        <v>18.71</v>
      </c>
      <c r="D69" s="64">
        <v>18.53</v>
      </c>
      <c r="E69" s="64">
        <v>2.6</v>
      </c>
      <c r="F69" s="64">
        <v>8.0500000000000007</v>
      </c>
      <c r="G69" s="216" t="s">
        <v>43</v>
      </c>
      <c r="H69" s="216" t="s">
        <v>43</v>
      </c>
      <c r="I69" s="64">
        <v>18.309999999999999</v>
      </c>
      <c r="J69" s="64">
        <v>0.33</v>
      </c>
      <c r="K69" s="64">
        <v>357.28</v>
      </c>
      <c r="L69" s="64">
        <v>29.75</v>
      </c>
      <c r="M69" s="64">
        <v>61.95</v>
      </c>
      <c r="N69" s="64">
        <v>266.5</v>
      </c>
      <c r="O69" s="64">
        <v>0</v>
      </c>
      <c r="P69" s="64">
        <v>1.07</v>
      </c>
      <c r="Q69" s="64">
        <v>10.15</v>
      </c>
      <c r="R69" s="198"/>
      <c r="S69" s="198"/>
      <c r="T69" s="198"/>
      <c r="U69" s="198"/>
    </row>
    <row r="70" spans="1:21" s="12" customFormat="1" x14ac:dyDescent="0.25">
      <c r="A70" s="215" t="s">
        <v>1173</v>
      </c>
      <c r="B70" s="64">
        <v>10.11</v>
      </c>
      <c r="C70" s="64">
        <v>20.86</v>
      </c>
      <c r="D70" s="64">
        <v>20.260000000000002</v>
      </c>
      <c r="E70" s="64">
        <v>3.13</v>
      </c>
      <c r="F70" s="64">
        <v>14.44</v>
      </c>
      <c r="G70" s="216" t="s">
        <v>43</v>
      </c>
      <c r="H70" s="216" t="s">
        <v>43</v>
      </c>
      <c r="I70" s="64">
        <v>17.96</v>
      </c>
      <c r="J70" s="64">
        <v>0.34</v>
      </c>
      <c r="K70" s="64">
        <v>353.32</v>
      </c>
      <c r="L70" s="64">
        <v>30.31</v>
      </c>
      <c r="M70" s="64">
        <v>61.35</v>
      </c>
      <c r="N70" s="64">
        <v>262.8</v>
      </c>
      <c r="O70" s="64">
        <v>0</v>
      </c>
      <c r="P70" s="64">
        <v>0.97</v>
      </c>
      <c r="Q70" s="64">
        <v>9.09</v>
      </c>
      <c r="R70" s="198"/>
      <c r="S70" s="198"/>
      <c r="T70" s="198"/>
      <c r="U70" s="198"/>
    </row>
    <row r="71" spans="1:21" s="12" customFormat="1" x14ac:dyDescent="0.25">
      <c r="A71" s="215" t="s">
        <v>1174</v>
      </c>
      <c r="B71" s="64">
        <v>8.56</v>
      </c>
      <c r="C71" s="64">
        <v>20.38</v>
      </c>
      <c r="D71" s="64">
        <v>18.760000000000002</v>
      </c>
      <c r="E71" s="64">
        <v>3.29</v>
      </c>
      <c r="F71" s="64">
        <v>10.210000000000001</v>
      </c>
      <c r="G71" s="216" t="s">
        <v>43</v>
      </c>
      <c r="H71" s="216" t="s">
        <v>43</v>
      </c>
      <c r="I71" s="64">
        <v>16.13</v>
      </c>
      <c r="J71" s="64">
        <v>0.34</v>
      </c>
      <c r="K71" s="64">
        <v>343.16</v>
      </c>
      <c r="L71" s="64">
        <v>30.07</v>
      </c>
      <c r="M71" s="64">
        <v>62.31</v>
      </c>
      <c r="N71" s="64">
        <v>268.7</v>
      </c>
      <c r="O71" s="64">
        <v>0</v>
      </c>
      <c r="P71" s="64">
        <v>0.91</v>
      </c>
      <c r="Q71" s="64">
        <v>9.68</v>
      </c>
      <c r="R71" s="198"/>
      <c r="S71" s="198"/>
      <c r="T71" s="198"/>
      <c r="U71" s="198"/>
    </row>
    <row r="72" spans="1:21" s="12" customFormat="1" x14ac:dyDescent="0.25">
      <c r="A72" s="215" t="s">
        <v>1175</v>
      </c>
      <c r="B72" s="64">
        <v>7.08</v>
      </c>
      <c r="C72" s="64">
        <v>18.98</v>
      </c>
      <c r="D72" s="64">
        <v>16.8</v>
      </c>
      <c r="E72" s="64">
        <v>2.38</v>
      </c>
      <c r="F72" s="64">
        <v>9.42</v>
      </c>
      <c r="G72" s="216" t="s">
        <v>43</v>
      </c>
      <c r="H72" s="216" t="s">
        <v>43</v>
      </c>
      <c r="I72" s="64">
        <v>13.07</v>
      </c>
      <c r="J72" s="64">
        <v>0.46</v>
      </c>
      <c r="K72" s="64">
        <v>1.39</v>
      </c>
      <c r="L72" s="64">
        <v>29.38</v>
      </c>
      <c r="M72" s="64">
        <v>64.19</v>
      </c>
      <c r="N72" s="64">
        <v>182.8</v>
      </c>
      <c r="O72" s="64">
        <v>0</v>
      </c>
      <c r="P72" s="64">
        <v>0.78</v>
      </c>
      <c r="Q72" s="64">
        <v>9.7100000000000009</v>
      </c>
      <c r="R72" s="198"/>
      <c r="S72" s="198"/>
      <c r="T72" s="198"/>
      <c r="U72" s="198"/>
    </row>
    <row r="73" spans="1:21" s="12" customFormat="1" x14ac:dyDescent="0.25">
      <c r="A73" s="215" t="s">
        <v>1176</v>
      </c>
      <c r="B73" s="64">
        <v>7.1</v>
      </c>
      <c r="C73" s="64">
        <v>19.97</v>
      </c>
      <c r="D73" s="64">
        <v>17.36</v>
      </c>
      <c r="E73" s="64">
        <v>2.66</v>
      </c>
      <c r="F73" s="64">
        <v>8</v>
      </c>
      <c r="G73" s="216" t="s">
        <v>43</v>
      </c>
      <c r="H73" s="216" t="s">
        <v>43</v>
      </c>
      <c r="I73" s="64">
        <v>11.98</v>
      </c>
      <c r="J73" s="64">
        <v>0.51</v>
      </c>
      <c r="K73" s="64">
        <v>8.68</v>
      </c>
      <c r="L73" s="64">
        <v>29.53</v>
      </c>
      <c r="M73" s="64">
        <v>64.760000000000005</v>
      </c>
      <c r="N73" s="64">
        <v>239.5</v>
      </c>
      <c r="O73" s="64">
        <v>0</v>
      </c>
      <c r="P73" s="64">
        <v>0.75</v>
      </c>
      <c r="Q73" s="64">
        <v>6.78</v>
      </c>
      <c r="R73" s="198"/>
      <c r="S73" s="198"/>
      <c r="T73" s="198"/>
      <c r="U73" s="198"/>
    </row>
    <row r="74" spans="1:21" s="12" customFormat="1" x14ac:dyDescent="0.25">
      <c r="A74" s="215" t="s">
        <v>1177</v>
      </c>
      <c r="B74" s="64">
        <v>6.94</v>
      </c>
      <c r="C74" s="64">
        <v>18.78</v>
      </c>
      <c r="D74" s="64">
        <v>16.579999999999998</v>
      </c>
      <c r="E74" s="64">
        <v>2.2000000000000002</v>
      </c>
      <c r="F74" s="64">
        <v>5.59</v>
      </c>
      <c r="G74" s="216" t="s">
        <v>43</v>
      </c>
      <c r="H74" s="216" t="s">
        <v>43</v>
      </c>
      <c r="I74" s="64">
        <v>10.75</v>
      </c>
      <c r="J74" s="64">
        <v>0.41</v>
      </c>
      <c r="K74" s="64">
        <v>18.059999999999999</v>
      </c>
      <c r="L74" s="64">
        <v>29.13</v>
      </c>
      <c r="M74" s="64">
        <v>64.59</v>
      </c>
      <c r="N74" s="64">
        <v>195.9</v>
      </c>
      <c r="O74" s="64">
        <v>0</v>
      </c>
      <c r="P74" s="64">
        <v>0.75</v>
      </c>
      <c r="Q74" s="64">
        <v>8.1199999999999992</v>
      </c>
      <c r="R74" s="198"/>
      <c r="S74" s="198"/>
      <c r="T74" s="198"/>
      <c r="U74" s="198"/>
    </row>
    <row r="75" spans="1:21" s="12" customFormat="1" x14ac:dyDescent="0.25">
      <c r="A75" s="215" t="s">
        <v>1178</v>
      </c>
      <c r="B75" s="64">
        <v>8.4600000000000009</v>
      </c>
      <c r="C75" s="64">
        <v>26.57</v>
      </c>
      <c r="D75" s="64">
        <v>22.09</v>
      </c>
      <c r="E75" s="64">
        <v>2.2999999999999998</v>
      </c>
      <c r="F75" s="64">
        <v>7.23</v>
      </c>
      <c r="G75" s="216" t="s">
        <v>43</v>
      </c>
      <c r="H75" s="216" t="s">
        <v>43</v>
      </c>
      <c r="I75" s="64">
        <v>10.26</v>
      </c>
      <c r="J75" s="64">
        <v>0.4</v>
      </c>
      <c r="K75" s="64">
        <v>24.65</v>
      </c>
      <c r="L75" s="64">
        <v>28.95</v>
      </c>
      <c r="M75" s="64">
        <v>65.75</v>
      </c>
      <c r="N75" s="64">
        <v>162.6</v>
      </c>
      <c r="O75" s="64">
        <v>0</v>
      </c>
      <c r="P75" s="64">
        <v>0.78</v>
      </c>
      <c r="Q75" s="64">
        <v>10.61</v>
      </c>
      <c r="R75" s="198"/>
      <c r="S75" s="198"/>
      <c r="T75" s="198"/>
      <c r="U75" s="198"/>
    </row>
    <row r="76" spans="1:21" s="12" customFormat="1" x14ac:dyDescent="0.25">
      <c r="A76" s="215" t="s">
        <v>1179</v>
      </c>
      <c r="B76" s="64">
        <v>7.77</v>
      </c>
      <c r="C76" s="64">
        <v>27.22</v>
      </c>
      <c r="D76" s="64">
        <v>21.9</v>
      </c>
      <c r="E76" s="64">
        <v>2.37</v>
      </c>
      <c r="F76" s="64">
        <v>12.84</v>
      </c>
      <c r="G76" s="216" t="s">
        <v>43</v>
      </c>
      <c r="H76" s="216" t="s">
        <v>43</v>
      </c>
      <c r="I76" s="64">
        <v>9.5299999999999994</v>
      </c>
      <c r="J76" s="64">
        <v>0.52</v>
      </c>
      <c r="K76" s="64">
        <v>16.77</v>
      </c>
      <c r="L76" s="64">
        <v>28.82</v>
      </c>
      <c r="M76" s="64">
        <v>66</v>
      </c>
      <c r="N76" s="64">
        <v>156.6</v>
      </c>
      <c r="O76" s="64">
        <v>0</v>
      </c>
      <c r="P76" s="64">
        <v>0.8</v>
      </c>
      <c r="Q76" s="64">
        <v>9.34</v>
      </c>
      <c r="R76" s="198"/>
      <c r="S76" s="198"/>
      <c r="T76" s="198"/>
      <c r="U76" s="198"/>
    </row>
    <row r="77" spans="1:21" s="12" customFormat="1" x14ac:dyDescent="0.25">
      <c r="A77" s="215" t="s">
        <v>1180</v>
      </c>
      <c r="B77" s="64">
        <v>6.5</v>
      </c>
      <c r="C77" s="64">
        <v>27.09</v>
      </c>
      <c r="D77" s="64">
        <v>20.8</v>
      </c>
      <c r="E77" s="64">
        <v>1.89</v>
      </c>
      <c r="F77" s="64">
        <v>11.29</v>
      </c>
      <c r="G77" s="216" t="s">
        <v>43</v>
      </c>
      <c r="H77" s="216" t="s">
        <v>43</v>
      </c>
      <c r="I77" s="64">
        <v>8.5299999999999994</v>
      </c>
      <c r="J77" s="64">
        <v>0.56999999999999995</v>
      </c>
      <c r="K77" s="64">
        <v>9.61</v>
      </c>
      <c r="L77" s="64">
        <v>28.65</v>
      </c>
      <c r="M77" s="64">
        <v>65.760000000000005</v>
      </c>
      <c r="N77" s="64">
        <v>174.1</v>
      </c>
      <c r="O77" s="64">
        <v>0</v>
      </c>
      <c r="P77" s="64">
        <v>0.72</v>
      </c>
      <c r="Q77" s="64">
        <v>8.4499999999999993</v>
      </c>
      <c r="R77" s="198"/>
      <c r="S77" s="198"/>
      <c r="T77" s="198"/>
      <c r="U77" s="198"/>
    </row>
    <row r="78" spans="1:21" s="12" customFormat="1" x14ac:dyDescent="0.25">
      <c r="A78" s="215" t="s">
        <v>1181</v>
      </c>
      <c r="B78" s="64">
        <v>11.91</v>
      </c>
      <c r="C78" s="64">
        <v>25.58</v>
      </c>
      <c r="D78" s="64">
        <v>24.32</v>
      </c>
      <c r="E78" s="64">
        <v>1.77</v>
      </c>
      <c r="F78" s="64">
        <v>6.73</v>
      </c>
      <c r="G78" s="216" t="s">
        <v>43</v>
      </c>
      <c r="H78" s="216" t="s">
        <v>43</v>
      </c>
      <c r="I78" s="64">
        <v>6.15</v>
      </c>
      <c r="J78" s="64">
        <v>0.56999999999999995</v>
      </c>
      <c r="K78" s="64">
        <v>11.12</v>
      </c>
      <c r="L78" s="64">
        <v>28.78</v>
      </c>
      <c r="M78" s="64">
        <v>66.87</v>
      </c>
      <c r="N78" s="64">
        <v>155.6</v>
      </c>
      <c r="O78" s="64">
        <v>0</v>
      </c>
      <c r="P78" s="64">
        <v>0.92</v>
      </c>
      <c r="Q78" s="64">
        <v>8.89</v>
      </c>
      <c r="R78" s="198"/>
      <c r="S78" s="198"/>
      <c r="T78" s="198"/>
      <c r="U78" s="198"/>
    </row>
    <row r="79" spans="1:21" s="12" customFormat="1" x14ac:dyDescent="0.25">
      <c r="A79" s="215" t="s">
        <v>1182</v>
      </c>
      <c r="B79" s="64">
        <v>16.899999999999999</v>
      </c>
      <c r="C79" s="64">
        <v>26.89</v>
      </c>
      <c r="D79" s="64">
        <v>29.03</v>
      </c>
      <c r="E79" s="64">
        <v>1.91</v>
      </c>
      <c r="F79" s="64">
        <v>6.6</v>
      </c>
      <c r="G79" s="216" t="s">
        <v>43</v>
      </c>
      <c r="H79" s="216" t="s">
        <v>43</v>
      </c>
      <c r="I79" s="64">
        <v>4.9000000000000004</v>
      </c>
      <c r="J79" s="64">
        <v>0.47</v>
      </c>
      <c r="K79" s="64">
        <v>15.65</v>
      </c>
      <c r="L79" s="64">
        <v>28.5</v>
      </c>
      <c r="M79" s="64">
        <v>68.98</v>
      </c>
      <c r="N79" s="64">
        <v>112.7</v>
      </c>
      <c r="O79" s="64">
        <v>0</v>
      </c>
      <c r="P79" s="64">
        <v>0.9</v>
      </c>
      <c r="Q79" s="64">
        <v>10.7</v>
      </c>
      <c r="R79" s="198"/>
      <c r="S79" s="198"/>
      <c r="T79" s="198"/>
      <c r="U79" s="198"/>
    </row>
    <row r="80" spans="1:21" s="12" customFormat="1" x14ac:dyDescent="0.25">
      <c r="A80" s="215" t="s">
        <v>1183</v>
      </c>
      <c r="B80" s="64">
        <v>14.53</v>
      </c>
      <c r="C80" s="64">
        <v>25.02</v>
      </c>
      <c r="D80" s="64">
        <v>26.11</v>
      </c>
      <c r="E80" s="64">
        <v>2.0699999999999998</v>
      </c>
      <c r="F80" s="64">
        <v>6.27</v>
      </c>
      <c r="G80" s="216" t="s">
        <v>43</v>
      </c>
      <c r="H80" s="216" t="s">
        <v>43</v>
      </c>
      <c r="I80" s="64">
        <v>4.99</v>
      </c>
      <c r="J80" s="64">
        <v>0.24</v>
      </c>
      <c r="K80" s="64">
        <v>41.4</v>
      </c>
      <c r="L80" s="64">
        <v>28</v>
      </c>
      <c r="M80" s="64">
        <v>70.09</v>
      </c>
      <c r="N80" s="64">
        <v>85.2</v>
      </c>
      <c r="O80" s="64">
        <v>0</v>
      </c>
      <c r="P80" s="64">
        <v>0.92</v>
      </c>
      <c r="Q80" s="64">
        <v>10.06</v>
      </c>
      <c r="R80" s="198"/>
      <c r="S80" s="198"/>
      <c r="T80" s="198"/>
      <c r="U80" s="198"/>
    </row>
    <row r="81" spans="1:26" s="12" customFormat="1" x14ac:dyDescent="0.25">
      <c r="A81" s="215" t="s">
        <v>1184</v>
      </c>
      <c r="B81" s="64">
        <v>13.23</v>
      </c>
      <c r="C81" s="64">
        <v>21.93</v>
      </c>
      <c r="D81" s="64">
        <v>23.35</v>
      </c>
      <c r="E81" s="64">
        <v>2.27</v>
      </c>
      <c r="F81" s="64">
        <v>6.21</v>
      </c>
      <c r="G81" s="216" t="s">
        <v>43</v>
      </c>
      <c r="H81" s="216" t="s">
        <v>43</v>
      </c>
      <c r="I81" s="64">
        <v>5.03</v>
      </c>
      <c r="J81" s="64">
        <v>0.15</v>
      </c>
      <c r="K81" s="64">
        <v>38.53</v>
      </c>
      <c r="L81" s="64">
        <v>27.65</v>
      </c>
      <c r="M81" s="64">
        <v>67.239999999999995</v>
      </c>
      <c r="N81" s="64">
        <v>71.599999999999994</v>
      </c>
      <c r="O81" s="64">
        <v>0</v>
      </c>
      <c r="P81" s="64">
        <v>0.84</v>
      </c>
      <c r="Q81" s="64">
        <v>12.51</v>
      </c>
      <c r="R81" s="198"/>
      <c r="S81" s="198"/>
      <c r="T81" s="198"/>
      <c r="U81" s="198"/>
    </row>
    <row r="82" spans="1:26" s="12" customFormat="1" x14ac:dyDescent="0.25">
      <c r="A82" s="215" t="s">
        <v>1185</v>
      </c>
      <c r="B82" s="64">
        <v>10.1</v>
      </c>
      <c r="C82" s="64">
        <v>22.33</v>
      </c>
      <c r="D82" s="64">
        <v>21.07</v>
      </c>
      <c r="E82" s="64">
        <v>1.67</v>
      </c>
      <c r="F82" s="64">
        <v>11.35</v>
      </c>
      <c r="G82" s="216" t="s">
        <v>43</v>
      </c>
      <c r="H82" s="216" t="s">
        <v>43</v>
      </c>
      <c r="I82" s="64">
        <v>5.36</v>
      </c>
      <c r="J82" s="64">
        <v>0.18</v>
      </c>
      <c r="K82" s="64">
        <v>58.02</v>
      </c>
      <c r="L82" s="64">
        <v>27.37</v>
      </c>
      <c r="M82" s="64">
        <v>68.989999999999995</v>
      </c>
      <c r="N82" s="64">
        <v>52.2</v>
      </c>
      <c r="O82" s="64">
        <v>0</v>
      </c>
      <c r="P82" s="64">
        <v>0.65</v>
      </c>
      <c r="Q82" s="64">
        <v>9.81</v>
      </c>
      <c r="R82" s="198"/>
      <c r="S82" s="198"/>
      <c r="T82" s="198"/>
      <c r="U82" s="198"/>
    </row>
    <row r="83" spans="1:26" s="12" customFormat="1" x14ac:dyDescent="0.25">
      <c r="A83" s="215" t="s">
        <v>1186</v>
      </c>
      <c r="B83" s="64">
        <v>6.63</v>
      </c>
      <c r="C83" s="64">
        <v>20.61</v>
      </c>
      <c r="D83" s="64">
        <v>17.34</v>
      </c>
      <c r="E83" s="64">
        <v>2.04</v>
      </c>
      <c r="F83" s="64">
        <v>8.06</v>
      </c>
      <c r="G83" s="64">
        <v>33.58</v>
      </c>
      <c r="H83" s="64">
        <v>21.84</v>
      </c>
      <c r="I83" s="64">
        <v>5.01</v>
      </c>
      <c r="J83" s="64">
        <v>0.23</v>
      </c>
      <c r="K83" s="64">
        <v>45.69</v>
      </c>
      <c r="L83" s="64">
        <v>27.22</v>
      </c>
      <c r="M83" s="64">
        <v>70.47</v>
      </c>
      <c r="N83" s="64">
        <v>43.7</v>
      </c>
      <c r="O83" s="64">
        <v>0</v>
      </c>
      <c r="P83" s="64">
        <v>0.6</v>
      </c>
      <c r="Q83" s="64">
        <v>6.8</v>
      </c>
      <c r="R83" s="198"/>
      <c r="S83" s="198"/>
      <c r="T83" s="198"/>
      <c r="U83" s="198"/>
    </row>
    <row r="84" spans="1:26" s="12" customFormat="1" x14ac:dyDescent="0.25">
      <c r="A84" s="215" t="s">
        <v>1187</v>
      </c>
      <c r="B84" s="64">
        <v>7.28</v>
      </c>
      <c r="C84" s="64">
        <v>18.91</v>
      </c>
      <c r="D84" s="64">
        <v>16.920000000000002</v>
      </c>
      <c r="E84" s="64">
        <v>1.97</v>
      </c>
      <c r="F84" s="64">
        <v>6.25</v>
      </c>
      <c r="G84" s="64">
        <v>37.97</v>
      </c>
      <c r="H84" s="64">
        <v>26.2</v>
      </c>
      <c r="I84" s="64">
        <v>4.22</v>
      </c>
      <c r="J84" s="64">
        <v>0.28000000000000003</v>
      </c>
      <c r="K84" s="64">
        <v>34.979999999999997</v>
      </c>
      <c r="L84" s="64">
        <v>26.91</v>
      </c>
      <c r="M84" s="64">
        <v>71.91</v>
      </c>
      <c r="N84" s="64">
        <v>39.799999999999997</v>
      </c>
      <c r="O84" s="64">
        <v>0</v>
      </c>
      <c r="P84" s="64">
        <v>0.64</v>
      </c>
      <c r="Q84" s="64">
        <v>8.8800000000000008</v>
      </c>
      <c r="R84" s="198"/>
      <c r="S84" s="198"/>
      <c r="T84" s="198"/>
      <c r="U84" s="198"/>
    </row>
    <row r="85" spans="1:26" s="12" customFormat="1" x14ac:dyDescent="0.25">
      <c r="A85" s="215" t="s">
        <v>1188</v>
      </c>
      <c r="B85" s="64">
        <v>8.9700000000000006</v>
      </c>
      <c r="C85" s="64">
        <v>18.63</v>
      </c>
      <c r="D85" s="64">
        <v>18.12</v>
      </c>
      <c r="E85" s="64">
        <v>1.88</v>
      </c>
      <c r="F85" s="64">
        <v>6.51</v>
      </c>
      <c r="G85" s="64">
        <v>37.97</v>
      </c>
      <c r="H85" s="64">
        <v>26.2</v>
      </c>
      <c r="I85" s="64">
        <v>4.41</v>
      </c>
      <c r="J85" s="64">
        <v>0.3</v>
      </c>
      <c r="K85" s="64">
        <v>42.82</v>
      </c>
      <c r="L85" s="64">
        <v>26.76</v>
      </c>
      <c r="M85" s="64">
        <v>71.44</v>
      </c>
      <c r="N85" s="64">
        <v>39.1</v>
      </c>
      <c r="O85" s="64">
        <v>0</v>
      </c>
      <c r="P85" s="64">
        <v>0.62</v>
      </c>
      <c r="Q85" s="64">
        <v>7.68</v>
      </c>
      <c r="R85" s="198"/>
      <c r="S85" s="198"/>
      <c r="T85" s="198"/>
      <c r="U85" s="198"/>
    </row>
    <row r="86" spans="1:26" s="12" customFormat="1" x14ac:dyDescent="0.25">
      <c r="A86" s="215" t="s">
        <v>1189</v>
      </c>
      <c r="B86" s="64">
        <v>7.69</v>
      </c>
      <c r="C86" s="64">
        <v>15.82</v>
      </c>
      <c r="D86" s="64">
        <v>15.54</v>
      </c>
      <c r="E86" s="64">
        <v>2.34</v>
      </c>
      <c r="F86" s="64">
        <v>4.33</v>
      </c>
      <c r="G86" s="64">
        <v>37.97</v>
      </c>
      <c r="H86" s="64">
        <v>26.2</v>
      </c>
      <c r="I86" s="64">
        <v>4.83</v>
      </c>
      <c r="J86" s="64">
        <v>0.24</v>
      </c>
      <c r="K86" s="64">
        <v>40.6</v>
      </c>
      <c r="L86" s="64">
        <v>26.53</v>
      </c>
      <c r="M86" s="64">
        <v>71.38</v>
      </c>
      <c r="N86" s="64">
        <v>39.200000000000003</v>
      </c>
      <c r="O86" s="64">
        <v>0</v>
      </c>
      <c r="P86" s="64">
        <v>0.68</v>
      </c>
      <c r="Q86" s="64">
        <v>8.39</v>
      </c>
      <c r="R86" s="198"/>
      <c r="S86" s="198"/>
      <c r="T86" s="198"/>
      <c r="U86" s="198"/>
    </row>
    <row r="87" spans="1:26" s="12" customFormat="1" x14ac:dyDescent="0.25">
      <c r="A87" s="215" t="s">
        <v>1190</v>
      </c>
      <c r="B87" s="64">
        <v>7.89</v>
      </c>
      <c r="C87" s="64">
        <v>14.63</v>
      </c>
      <c r="D87" s="64">
        <v>15.04</v>
      </c>
      <c r="E87" s="64">
        <v>2.4500000000000002</v>
      </c>
      <c r="F87" s="64">
        <v>4.03</v>
      </c>
      <c r="G87" s="64">
        <v>39.14</v>
      </c>
      <c r="H87" s="64">
        <v>30.29</v>
      </c>
      <c r="I87" s="64">
        <v>5.43</v>
      </c>
      <c r="J87" s="64">
        <v>0.21</v>
      </c>
      <c r="K87" s="64">
        <v>34.75</v>
      </c>
      <c r="L87" s="64">
        <v>26.42</v>
      </c>
      <c r="M87" s="64">
        <v>72.930000000000007</v>
      </c>
      <c r="N87" s="64">
        <v>39.1</v>
      </c>
      <c r="O87" s="64">
        <v>0</v>
      </c>
      <c r="P87" s="64">
        <v>0.7</v>
      </c>
      <c r="Q87" s="64">
        <v>6.02</v>
      </c>
      <c r="R87" s="198"/>
      <c r="S87" s="198"/>
      <c r="T87" s="198"/>
      <c r="U87" s="198"/>
    </row>
    <row r="88" spans="1:26" s="12" customFormat="1" x14ac:dyDescent="0.25">
      <c r="A88" s="215" t="s">
        <v>1191</v>
      </c>
      <c r="B88" s="64">
        <v>7.88</v>
      </c>
      <c r="C88" s="64">
        <v>13.88</v>
      </c>
      <c r="D88" s="64">
        <v>14.63</v>
      </c>
      <c r="E88" s="64">
        <v>1.76</v>
      </c>
      <c r="F88" s="64">
        <v>4.28</v>
      </c>
      <c r="G88" s="64">
        <v>40.299999999999997</v>
      </c>
      <c r="H88" s="64">
        <v>33.47</v>
      </c>
      <c r="I88" s="64">
        <v>5.69</v>
      </c>
      <c r="J88" s="64">
        <v>0.22</v>
      </c>
      <c r="K88" s="64">
        <v>38.049999999999997</v>
      </c>
      <c r="L88" s="64">
        <v>26.2</v>
      </c>
      <c r="M88" s="64">
        <v>74.489999999999995</v>
      </c>
      <c r="N88" s="64">
        <v>39.1</v>
      </c>
      <c r="O88" s="64">
        <v>0</v>
      </c>
      <c r="P88" s="64">
        <v>0.73</v>
      </c>
      <c r="Q88" s="64">
        <v>6.13</v>
      </c>
      <c r="R88" s="198"/>
      <c r="S88" s="198"/>
      <c r="T88" s="198"/>
      <c r="U88" s="198"/>
    </row>
    <row r="89" spans="1:26" s="12" customFormat="1" x14ac:dyDescent="0.25">
      <c r="A89" s="215" t="s">
        <v>1192</v>
      </c>
      <c r="B89" s="64">
        <v>10.29</v>
      </c>
      <c r="C89" s="64">
        <v>14.98</v>
      </c>
      <c r="D89" s="64">
        <v>17.170000000000002</v>
      </c>
      <c r="E89" s="64">
        <v>2.0499999999999998</v>
      </c>
      <c r="F89" s="64">
        <v>4.75</v>
      </c>
      <c r="G89" s="64">
        <v>40.299999999999997</v>
      </c>
      <c r="H89" s="64">
        <v>33.47</v>
      </c>
      <c r="I89" s="64">
        <v>5.74</v>
      </c>
      <c r="J89" s="64">
        <v>0.14000000000000001</v>
      </c>
      <c r="K89" s="64">
        <v>42.43</v>
      </c>
      <c r="L89" s="64">
        <v>26.1</v>
      </c>
      <c r="M89" s="64">
        <v>75.489999999999995</v>
      </c>
      <c r="N89" s="64">
        <v>39</v>
      </c>
      <c r="O89" s="64">
        <v>0</v>
      </c>
      <c r="P89" s="64">
        <v>0.77</v>
      </c>
      <c r="Q89" s="64">
        <v>5.67</v>
      </c>
      <c r="R89" s="198"/>
      <c r="S89" s="198"/>
      <c r="T89" s="198"/>
      <c r="U89" s="198"/>
    </row>
    <row r="90" spans="1:26" s="12" customFormat="1" x14ac:dyDescent="0.25">
      <c r="A90" s="215" t="s">
        <v>1193</v>
      </c>
      <c r="B90" s="64">
        <v>13.72</v>
      </c>
      <c r="C90" s="64">
        <v>15.93</v>
      </c>
      <c r="D90" s="64">
        <v>20.440000000000001</v>
      </c>
      <c r="E90" s="64">
        <v>2.56</v>
      </c>
      <c r="F90" s="64">
        <v>5</v>
      </c>
      <c r="G90" s="64">
        <v>40.299999999999997</v>
      </c>
      <c r="H90" s="64">
        <v>33.47</v>
      </c>
      <c r="I90" s="64">
        <v>5.79</v>
      </c>
      <c r="J90" s="64">
        <v>0.09</v>
      </c>
      <c r="K90" s="64">
        <v>21.8</v>
      </c>
      <c r="L90" s="64">
        <v>25.98</v>
      </c>
      <c r="M90" s="64">
        <v>76.06</v>
      </c>
      <c r="N90" s="64">
        <v>38.799999999999997</v>
      </c>
      <c r="O90" s="64">
        <v>0</v>
      </c>
      <c r="P90" s="64">
        <v>0.79</v>
      </c>
      <c r="Q90" s="64">
        <v>6.58</v>
      </c>
      <c r="R90" s="198"/>
      <c r="S90" s="198"/>
      <c r="T90" s="198"/>
      <c r="U90" s="198"/>
    </row>
    <row r="91" spans="1:26" s="12" customFormat="1" x14ac:dyDescent="0.25">
      <c r="A91" s="215" t="s">
        <v>1194</v>
      </c>
      <c r="B91" s="64">
        <v>12.1</v>
      </c>
      <c r="C91" s="64">
        <v>17.440000000000001</v>
      </c>
      <c r="D91" s="64">
        <v>19.98</v>
      </c>
      <c r="E91" s="64">
        <v>2.36</v>
      </c>
      <c r="F91" s="64">
        <v>4.2</v>
      </c>
      <c r="G91" s="64">
        <v>42.58</v>
      </c>
      <c r="H91" s="64">
        <v>35.659999999999997</v>
      </c>
      <c r="I91" s="64">
        <v>5.94</v>
      </c>
      <c r="J91" s="64">
        <v>0.01</v>
      </c>
      <c r="K91" s="64">
        <v>3.6</v>
      </c>
      <c r="L91" s="64">
        <v>25.98</v>
      </c>
      <c r="M91" s="64">
        <v>77.12</v>
      </c>
      <c r="N91" s="64">
        <v>38.9</v>
      </c>
      <c r="O91" s="64">
        <v>0</v>
      </c>
      <c r="P91" s="64">
        <v>0.81</v>
      </c>
      <c r="Q91" s="64">
        <v>6.28</v>
      </c>
      <c r="R91" s="198"/>
      <c r="S91" s="198"/>
      <c r="T91" s="198"/>
      <c r="U91" s="198"/>
    </row>
    <row r="92" spans="1:26" s="12" customFormat="1" x14ac:dyDescent="0.25">
      <c r="A92" s="215" t="s">
        <v>1195</v>
      </c>
      <c r="B92" s="64">
        <v>11.95</v>
      </c>
      <c r="C92" s="64">
        <v>17.41</v>
      </c>
      <c r="D92" s="64">
        <v>19.829999999999998</v>
      </c>
      <c r="E92" s="64">
        <v>2.35</v>
      </c>
      <c r="F92" s="64">
        <v>6.12</v>
      </c>
      <c r="G92" s="64">
        <v>44.86</v>
      </c>
      <c r="H92" s="64">
        <v>37.86</v>
      </c>
      <c r="I92" s="64">
        <v>6.2</v>
      </c>
      <c r="J92" s="64">
        <v>7.0000000000000007E-2</v>
      </c>
      <c r="K92" s="64">
        <v>47.36</v>
      </c>
      <c r="L92" s="64">
        <v>25.79</v>
      </c>
      <c r="M92" s="64">
        <v>78.5</v>
      </c>
      <c r="N92" s="64">
        <v>38.799999999999997</v>
      </c>
      <c r="O92" s="64">
        <v>0</v>
      </c>
      <c r="P92" s="64">
        <v>0.8</v>
      </c>
      <c r="Q92" s="64">
        <v>8.6999999999999993</v>
      </c>
      <c r="R92" s="198"/>
      <c r="S92" s="198"/>
      <c r="T92" s="198"/>
      <c r="U92" s="198"/>
    </row>
    <row r="93" spans="1:26" s="12" customFormat="1" x14ac:dyDescent="0.25">
      <c r="A93" s="215" t="s">
        <v>1196</v>
      </c>
      <c r="B93" s="64">
        <v>18.07</v>
      </c>
      <c r="C93" s="64">
        <v>26.23</v>
      </c>
      <c r="D93" s="64">
        <v>29.61</v>
      </c>
      <c r="E93" s="64">
        <v>2.72</v>
      </c>
      <c r="F93" s="64">
        <v>7.55</v>
      </c>
      <c r="G93" s="64">
        <v>44.86</v>
      </c>
      <c r="H93" s="64">
        <v>37.86</v>
      </c>
      <c r="I93" s="64">
        <v>6.55</v>
      </c>
      <c r="J93" s="64">
        <v>0.1</v>
      </c>
      <c r="K93" s="64">
        <v>33.78</v>
      </c>
      <c r="L93" s="64">
        <v>25.8</v>
      </c>
      <c r="M93" s="64">
        <v>79.58</v>
      </c>
      <c r="N93" s="64">
        <v>38.799999999999997</v>
      </c>
      <c r="O93" s="64">
        <v>0</v>
      </c>
      <c r="P93" s="64">
        <v>0.83</v>
      </c>
      <c r="Q93" s="64">
        <v>9.27</v>
      </c>
      <c r="R93" s="198"/>
      <c r="S93" s="198"/>
      <c r="T93" s="198"/>
      <c r="U93" s="198"/>
    </row>
    <row r="94" spans="1:26" s="12" customFormat="1" x14ac:dyDescent="0.25">
      <c r="A94" s="215" t="s">
        <v>1197</v>
      </c>
      <c r="B94" s="64">
        <v>20.92</v>
      </c>
      <c r="C94" s="64">
        <v>22.58</v>
      </c>
      <c r="D94" s="64">
        <v>29.74</v>
      </c>
      <c r="E94" s="64">
        <v>2.65</v>
      </c>
      <c r="F94" s="64">
        <v>7.47</v>
      </c>
      <c r="G94" s="64">
        <v>44.86</v>
      </c>
      <c r="H94" s="64">
        <v>37.86</v>
      </c>
      <c r="I94" s="64">
        <v>6.09</v>
      </c>
      <c r="J94" s="64">
        <v>0.06</v>
      </c>
      <c r="K94" s="64">
        <v>21.12</v>
      </c>
      <c r="L94" s="64">
        <v>25.72</v>
      </c>
      <c r="M94" s="64">
        <v>80.319999999999993</v>
      </c>
      <c r="N94" s="64">
        <v>38.799999999999997</v>
      </c>
      <c r="O94" s="64">
        <v>0</v>
      </c>
      <c r="P94" s="64">
        <v>0.85</v>
      </c>
      <c r="Q94" s="64">
        <v>8.81</v>
      </c>
      <c r="R94" s="198"/>
      <c r="S94" s="198"/>
      <c r="T94" s="198"/>
      <c r="U94" s="198"/>
    </row>
    <row r="95" spans="1:26" s="12" customFormat="1" x14ac:dyDescent="0.25">
      <c r="A95" s="215" t="s">
        <v>1198</v>
      </c>
      <c r="B95" s="64">
        <v>11.67</v>
      </c>
      <c r="C95" s="64">
        <v>28.49</v>
      </c>
      <c r="D95" s="64">
        <v>25.73</v>
      </c>
      <c r="E95" s="64">
        <v>2.5499999999999998</v>
      </c>
      <c r="F95" s="64">
        <v>9.1999999999999993</v>
      </c>
      <c r="G95" s="64">
        <v>47.41</v>
      </c>
      <c r="H95" s="64">
        <v>37.25</v>
      </c>
      <c r="I95" s="64">
        <v>5.17</v>
      </c>
      <c r="J95" s="64">
        <v>0.01</v>
      </c>
      <c r="K95" s="64">
        <v>43.46</v>
      </c>
      <c r="L95" s="64">
        <v>25.6</v>
      </c>
      <c r="M95" s="64">
        <v>81.25</v>
      </c>
      <c r="N95" s="64">
        <v>38.700000000000003</v>
      </c>
      <c r="O95" s="64">
        <v>0</v>
      </c>
      <c r="P95" s="64">
        <v>0.85</v>
      </c>
      <c r="Q95" s="64">
        <v>10.96</v>
      </c>
      <c r="R95" s="198"/>
      <c r="S95" s="198"/>
      <c r="T95" s="198"/>
      <c r="U95" s="198"/>
    </row>
    <row r="96" spans="1:26" s="12" customFormat="1" x14ac:dyDescent="0.25">
      <c r="A96" s="215" t="s">
        <v>1199</v>
      </c>
      <c r="B96" s="64">
        <v>8.8699999999999992</v>
      </c>
      <c r="C96" s="64">
        <v>23.72</v>
      </c>
      <c r="D96" s="64">
        <v>20.85</v>
      </c>
      <c r="E96" s="64">
        <v>2.75</v>
      </c>
      <c r="F96" s="64">
        <v>9.81</v>
      </c>
      <c r="G96" s="64">
        <v>49.96</v>
      </c>
      <c r="H96" s="64">
        <v>36.65</v>
      </c>
      <c r="I96" s="64">
        <v>5.09</v>
      </c>
      <c r="J96" s="64">
        <v>0.17</v>
      </c>
      <c r="K96" s="64">
        <v>185.33</v>
      </c>
      <c r="L96" s="64">
        <v>25.41</v>
      </c>
      <c r="M96" s="64">
        <v>83</v>
      </c>
      <c r="N96" s="64">
        <v>38.799999999999997</v>
      </c>
      <c r="O96" s="64">
        <v>0</v>
      </c>
      <c r="P96" s="64">
        <v>0.83</v>
      </c>
      <c r="Q96" s="64">
        <v>10.84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1200</v>
      </c>
      <c r="B97" s="64">
        <v>9.6199999999999992</v>
      </c>
      <c r="C97" s="64">
        <v>15.91</v>
      </c>
      <c r="D97" s="64">
        <v>17.149999999999999</v>
      </c>
      <c r="E97" s="64">
        <v>2.4700000000000002</v>
      </c>
      <c r="F97" s="64">
        <v>8.02</v>
      </c>
      <c r="G97" s="64">
        <v>49.96</v>
      </c>
      <c r="H97" s="64">
        <v>36.65</v>
      </c>
      <c r="I97" s="64">
        <v>4.8499999999999996</v>
      </c>
      <c r="J97" s="64">
        <v>0.3</v>
      </c>
      <c r="K97" s="64">
        <v>172.23</v>
      </c>
      <c r="L97" s="64">
        <v>25.26</v>
      </c>
      <c r="M97" s="64">
        <v>84.2</v>
      </c>
      <c r="N97" s="64">
        <v>38.799999999999997</v>
      </c>
      <c r="O97" s="64">
        <v>0</v>
      </c>
      <c r="P97" s="64">
        <v>0.8</v>
      </c>
      <c r="Q97" s="64">
        <v>13.45</v>
      </c>
      <c r="R97" s="198"/>
      <c r="S97" s="198"/>
      <c r="T97" s="198"/>
      <c r="U97" s="198"/>
    </row>
    <row r="98" spans="1:33" s="12" customFormat="1" x14ac:dyDescent="0.25">
      <c r="A98" s="215" t="s">
        <v>1201</v>
      </c>
      <c r="B98" s="64">
        <v>11.09</v>
      </c>
      <c r="C98" s="64">
        <v>15.63</v>
      </c>
      <c r="D98" s="64">
        <v>18.170000000000002</v>
      </c>
      <c r="E98" s="64">
        <v>2.1800000000000002</v>
      </c>
      <c r="F98" s="64">
        <v>7.67</v>
      </c>
      <c r="G98" s="64">
        <v>49.96</v>
      </c>
      <c r="H98" s="64">
        <v>36.65</v>
      </c>
      <c r="I98" s="64">
        <v>5.48</v>
      </c>
      <c r="J98" s="64">
        <v>0.32</v>
      </c>
      <c r="K98" s="64">
        <v>174.83</v>
      </c>
      <c r="L98" s="64">
        <v>25.37</v>
      </c>
      <c r="M98" s="64">
        <v>84.05</v>
      </c>
      <c r="N98" s="64">
        <v>38.700000000000003</v>
      </c>
      <c r="O98" s="64">
        <v>0</v>
      </c>
      <c r="P98" s="64">
        <v>0.77</v>
      </c>
      <c r="Q98" s="64">
        <v>11.54</v>
      </c>
      <c r="R98" s="198"/>
      <c r="S98" s="198"/>
      <c r="T98" s="198"/>
      <c r="U98" s="198"/>
    </row>
    <row r="99" spans="1:33" s="12" customFormat="1" x14ac:dyDescent="0.25">
      <c r="A99" s="215" t="s">
        <v>1202</v>
      </c>
      <c r="B99" s="64">
        <v>10.24</v>
      </c>
      <c r="C99" s="64">
        <v>13.71</v>
      </c>
      <c r="D99" s="64">
        <v>16.43</v>
      </c>
      <c r="E99" s="64">
        <v>2.5499999999999998</v>
      </c>
      <c r="F99" s="64">
        <v>7.87</v>
      </c>
      <c r="G99" s="64">
        <v>47.18</v>
      </c>
      <c r="H99" s="64">
        <v>32.22</v>
      </c>
      <c r="I99" s="64">
        <v>6.1</v>
      </c>
      <c r="J99" s="64">
        <v>0.13</v>
      </c>
      <c r="K99" s="64">
        <v>160.53</v>
      </c>
      <c r="L99" s="64">
        <v>25.37</v>
      </c>
      <c r="M99" s="64">
        <v>84.17</v>
      </c>
      <c r="N99" s="64">
        <v>38.9</v>
      </c>
      <c r="O99" s="64">
        <v>0</v>
      </c>
      <c r="P99" s="64">
        <v>0.76</v>
      </c>
      <c r="Q99" s="64">
        <v>10.42</v>
      </c>
      <c r="R99" s="198"/>
      <c r="S99" s="198"/>
      <c r="T99" s="198"/>
      <c r="U99" s="198"/>
    </row>
    <row r="100" spans="1:33" s="12" customFormat="1" x14ac:dyDescent="0.25">
      <c r="A100" s="215" t="s">
        <v>1203</v>
      </c>
      <c r="B100" s="64">
        <v>8.9700000000000006</v>
      </c>
      <c r="C100" s="64">
        <v>14.29</v>
      </c>
      <c r="D100" s="64">
        <v>15.73</v>
      </c>
      <c r="E100" s="64">
        <v>2.4900000000000002</v>
      </c>
      <c r="F100" s="64">
        <v>8.2899999999999991</v>
      </c>
      <c r="G100" s="64">
        <v>44.4</v>
      </c>
      <c r="H100" s="64">
        <v>27.78</v>
      </c>
      <c r="I100" s="64">
        <v>5.82</v>
      </c>
      <c r="J100" s="64">
        <v>0.02</v>
      </c>
      <c r="K100" s="64">
        <v>270.31</v>
      </c>
      <c r="L100" s="64">
        <v>25.28</v>
      </c>
      <c r="M100" s="64">
        <v>84.93</v>
      </c>
      <c r="N100" s="64">
        <v>38.799999999999997</v>
      </c>
      <c r="O100" s="64">
        <v>0</v>
      </c>
      <c r="P100" s="64">
        <v>0.71</v>
      </c>
      <c r="Q100" s="64">
        <v>10.47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1204</v>
      </c>
      <c r="B101" s="64">
        <v>9.34</v>
      </c>
      <c r="C101" s="64">
        <v>12.62</v>
      </c>
      <c r="D101" s="64">
        <v>15.1</v>
      </c>
      <c r="E101" s="64">
        <v>2.68</v>
      </c>
      <c r="F101" s="64">
        <v>7.45</v>
      </c>
      <c r="G101" s="64">
        <v>44.4</v>
      </c>
      <c r="H101" s="64">
        <v>27.78</v>
      </c>
      <c r="I101" s="64">
        <v>5.57</v>
      </c>
      <c r="J101" s="64">
        <v>0.24</v>
      </c>
      <c r="K101" s="64">
        <v>170.27</v>
      </c>
      <c r="L101" s="64">
        <v>25.24</v>
      </c>
      <c r="M101" s="64">
        <v>85.97</v>
      </c>
      <c r="N101" s="64">
        <v>38.799999999999997</v>
      </c>
      <c r="O101" s="64">
        <v>0</v>
      </c>
      <c r="P101" s="64">
        <v>0.71</v>
      </c>
      <c r="Q101" s="64">
        <v>10.46</v>
      </c>
      <c r="R101" s="198"/>
      <c r="S101" s="198"/>
      <c r="T101" s="198"/>
      <c r="U101" s="198"/>
    </row>
    <row r="102" spans="1:33" s="12" customFormat="1" x14ac:dyDescent="0.25">
      <c r="A102" s="215" t="s">
        <v>1205</v>
      </c>
      <c r="B102" s="64">
        <v>8.81</v>
      </c>
      <c r="C102" s="64">
        <v>12.75</v>
      </c>
      <c r="D102" s="64">
        <v>14.75</v>
      </c>
      <c r="E102" s="64">
        <v>2.2000000000000002</v>
      </c>
      <c r="F102" s="64">
        <v>8.0399999999999991</v>
      </c>
      <c r="G102" s="64">
        <v>44.4</v>
      </c>
      <c r="H102" s="64">
        <v>27.78</v>
      </c>
      <c r="I102" s="64">
        <v>5.79</v>
      </c>
      <c r="J102" s="64">
        <v>0.25</v>
      </c>
      <c r="K102" s="64">
        <v>160.93</v>
      </c>
      <c r="L102" s="64">
        <v>25.11</v>
      </c>
      <c r="M102" s="64">
        <v>86.89</v>
      </c>
      <c r="N102" s="64">
        <v>38.799999999999997</v>
      </c>
      <c r="O102" s="64">
        <v>0</v>
      </c>
      <c r="P102" s="64">
        <v>0.65</v>
      </c>
      <c r="Q102" s="64">
        <v>9.7899999999999991</v>
      </c>
      <c r="R102" s="198"/>
      <c r="S102" s="198"/>
      <c r="T102" s="198"/>
      <c r="U102" s="198"/>
    </row>
    <row r="103" spans="1:33" s="12" customFormat="1" x14ac:dyDescent="0.25">
      <c r="A103" s="215" t="s">
        <v>1206</v>
      </c>
      <c r="B103" s="64">
        <v>9.14</v>
      </c>
      <c r="C103" s="64">
        <v>11.73</v>
      </c>
      <c r="D103" s="64">
        <v>14.45</v>
      </c>
      <c r="E103" s="64">
        <v>2.48</v>
      </c>
      <c r="F103" s="64">
        <v>7</v>
      </c>
      <c r="G103" s="64">
        <v>41.59</v>
      </c>
      <c r="H103" s="64">
        <v>27.58</v>
      </c>
      <c r="I103" s="64">
        <v>5.65</v>
      </c>
      <c r="J103" s="64">
        <v>0.15</v>
      </c>
      <c r="K103" s="64">
        <v>180.31</v>
      </c>
      <c r="L103" s="64">
        <v>24.99</v>
      </c>
      <c r="M103" s="64">
        <v>87.41</v>
      </c>
      <c r="N103" s="64">
        <v>38.799999999999997</v>
      </c>
      <c r="O103" s="64">
        <v>0</v>
      </c>
      <c r="P103" s="64">
        <v>0.64</v>
      </c>
      <c r="Q103" s="64">
        <v>9.85</v>
      </c>
      <c r="R103" s="198"/>
      <c r="S103" s="198"/>
      <c r="T103" s="198"/>
      <c r="U103" s="198"/>
    </row>
    <row r="104" spans="1:33" s="12" customFormat="1" x14ac:dyDescent="0.25">
      <c r="A104" s="215" t="s">
        <v>1207</v>
      </c>
      <c r="B104" s="64">
        <v>7.28</v>
      </c>
      <c r="C104" s="64">
        <v>12.81</v>
      </c>
      <c r="D104" s="64">
        <v>13.56</v>
      </c>
      <c r="E104" s="64">
        <v>2.27</v>
      </c>
      <c r="F104" s="64">
        <v>12.45</v>
      </c>
      <c r="G104" s="64">
        <v>38.78</v>
      </c>
      <c r="H104" s="64">
        <v>27.37</v>
      </c>
      <c r="I104" s="64">
        <v>5.78</v>
      </c>
      <c r="J104" s="64">
        <v>0.02</v>
      </c>
      <c r="K104" s="64">
        <v>75.17</v>
      </c>
      <c r="L104" s="64">
        <v>25</v>
      </c>
      <c r="M104" s="64">
        <v>86.8</v>
      </c>
      <c r="N104" s="64">
        <v>38.799999999999997</v>
      </c>
      <c r="O104" s="64">
        <v>0</v>
      </c>
      <c r="P104" s="64">
        <v>0.62</v>
      </c>
      <c r="Q104" s="64">
        <v>12.56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5.9</v>
      </c>
      <c r="C106" s="67">
        <f>MIN(C9:C104)</f>
        <v>8.8699999999999992</v>
      </c>
      <c r="D106" s="67">
        <f t="shared" ref="D106:Q106" si="0">MIN(D9:D104)</f>
        <v>13.56</v>
      </c>
      <c r="E106" s="67">
        <f t="shared" si="0"/>
        <v>1.1299999999999999</v>
      </c>
      <c r="F106" s="67">
        <f t="shared" si="0"/>
        <v>3.37</v>
      </c>
      <c r="G106" s="67">
        <f t="shared" si="0"/>
        <v>33.58</v>
      </c>
      <c r="H106" s="67">
        <f t="shared" si="0"/>
        <v>21.84</v>
      </c>
      <c r="I106" s="67">
        <f t="shared" si="0"/>
        <v>4.22</v>
      </c>
      <c r="J106" s="67">
        <f t="shared" si="0"/>
        <v>0.01</v>
      </c>
      <c r="K106" s="67">
        <f t="shared" si="0"/>
        <v>0.48</v>
      </c>
      <c r="L106" s="67">
        <f t="shared" si="0"/>
        <v>23.33</v>
      </c>
      <c r="M106" s="67">
        <f t="shared" si="0"/>
        <v>60.68</v>
      </c>
      <c r="N106" s="67">
        <f t="shared" si="0"/>
        <v>30.8</v>
      </c>
      <c r="O106" s="67">
        <f t="shared" si="0"/>
        <v>0</v>
      </c>
      <c r="P106" s="67">
        <f t="shared" si="0"/>
        <v>0.34</v>
      </c>
      <c r="Q106" s="67">
        <f t="shared" si="0"/>
        <v>5.62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25.57</v>
      </c>
      <c r="C107" s="66">
        <f t="shared" ref="C107:Q107" si="1">MAX(C9:C104)</f>
        <v>35.659999999999997</v>
      </c>
      <c r="D107" s="66">
        <f t="shared" si="1"/>
        <v>30.05</v>
      </c>
      <c r="E107" s="66">
        <f t="shared" si="1"/>
        <v>3.29</v>
      </c>
      <c r="F107" s="66">
        <f t="shared" si="1"/>
        <v>22.43</v>
      </c>
      <c r="G107" s="66">
        <f t="shared" si="1"/>
        <v>49.96</v>
      </c>
      <c r="H107" s="66">
        <f t="shared" si="1"/>
        <v>37.86</v>
      </c>
      <c r="I107" s="66">
        <f t="shared" si="1"/>
        <v>38.03</v>
      </c>
      <c r="J107" s="66">
        <f t="shared" si="1"/>
        <v>1.24</v>
      </c>
      <c r="K107" s="66">
        <f t="shared" si="1"/>
        <v>359.77</v>
      </c>
      <c r="L107" s="66">
        <f t="shared" si="1"/>
        <v>31.37</v>
      </c>
      <c r="M107" s="66">
        <f t="shared" si="1"/>
        <v>97.18</v>
      </c>
      <c r="N107" s="66">
        <f t="shared" si="1"/>
        <v>792</v>
      </c>
      <c r="O107" s="66">
        <f t="shared" si="1"/>
        <v>0</v>
      </c>
      <c r="P107" s="66">
        <f t="shared" si="1"/>
        <v>1.37</v>
      </c>
      <c r="Q107" s="66">
        <f t="shared" si="1"/>
        <v>24.03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13.329166666666664</v>
      </c>
      <c r="C108" s="67">
        <f t="shared" ref="C108:Q108" si="2">AVERAGE(C9:C104)</f>
        <v>16.924166666666668</v>
      </c>
      <c r="D108" s="67">
        <f t="shared" si="2"/>
        <v>20.671041666666657</v>
      </c>
      <c r="E108" s="67">
        <f t="shared" si="2"/>
        <v>2.191875</v>
      </c>
      <c r="F108" s="67">
        <f t="shared" si="2"/>
        <v>7.5226041666666665</v>
      </c>
      <c r="G108" s="67">
        <f t="shared" si="2"/>
        <v>42.851363636363637</v>
      </c>
      <c r="H108" s="67">
        <f t="shared" si="2"/>
        <v>31.731363636363632</v>
      </c>
      <c r="I108" s="67">
        <f t="shared" si="2"/>
        <v>8.2800000000000011</v>
      </c>
      <c r="J108" s="67">
        <f t="shared" si="2"/>
        <v>0.29937499999999995</v>
      </c>
      <c r="K108" s="67">
        <f t="shared" si="2"/>
        <v>141.98635416666664</v>
      </c>
      <c r="L108" s="67">
        <f t="shared" si="2"/>
        <v>26.130104166666658</v>
      </c>
      <c r="M108" s="67">
        <f t="shared" si="2"/>
        <v>80.547500000000014</v>
      </c>
      <c r="N108" s="67">
        <f t="shared" si="2"/>
        <v>175.265625</v>
      </c>
      <c r="O108" s="67">
        <f t="shared" si="2"/>
        <v>0</v>
      </c>
      <c r="P108" s="67">
        <f t="shared" si="2"/>
        <v>0.67489583333333336</v>
      </c>
      <c r="Q108" s="67">
        <f t="shared" si="2"/>
        <v>15.444062499999996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4.7029427890622895</v>
      </c>
      <c r="C109" s="67">
        <f t="shared" ref="C109:Q109" si="3">STDEV(C9:C104)</f>
        <v>6.0766311072859303</v>
      </c>
      <c r="D109" s="67">
        <f t="shared" si="3"/>
        <v>3.948051745826024</v>
      </c>
      <c r="E109" s="67">
        <f t="shared" si="3"/>
        <v>0.47392051854159833</v>
      </c>
      <c r="F109" s="67">
        <f t="shared" si="3"/>
        <v>2.9299251812943052</v>
      </c>
      <c r="G109" s="67">
        <f t="shared" si="3"/>
        <v>4.4689386142195211</v>
      </c>
      <c r="H109" s="67">
        <f t="shared" si="3"/>
        <v>4.9533829666050782</v>
      </c>
      <c r="I109" s="67">
        <f t="shared" si="3"/>
        <v>5.4705438967543065</v>
      </c>
      <c r="J109" s="67">
        <f t="shared" si="3"/>
        <v>0.22295532948859631</v>
      </c>
      <c r="K109" s="67">
        <f t="shared" si="3"/>
        <v>114.61367382481293</v>
      </c>
      <c r="L109" s="67">
        <f t="shared" si="3"/>
        <v>2.380955356592751</v>
      </c>
      <c r="M109" s="67">
        <f t="shared" si="3"/>
        <v>11.757141704199668</v>
      </c>
      <c r="N109" s="67">
        <f t="shared" si="3"/>
        <v>206.32305931698735</v>
      </c>
      <c r="O109" s="67">
        <f t="shared" si="3"/>
        <v>0</v>
      </c>
      <c r="P109" s="67">
        <f t="shared" si="3"/>
        <v>0.235577654161745</v>
      </c>
      <c r="Q109" s="67">
        <f t="shared" si="3"/>
        <v>5.9417021445878779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22</v>
      </c>
      <c r="H110" s="66">
        <f>COUNT(H9:H104)</f>
        <v>22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38" sqref="J13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1208</v>
      </c>
      <c r="B9" s="64">
        <v>6.37</v>
      </c>
      <c r="C9" s="64">
        <v>12.99</v>
      </c>
      <c r="D9" s="64">
        <v>12.92</v>
      </c>
      <c r="E9" s="64">
        <v>2.57</v>
      </c>
      <c r="F9" s="64">
        <v>12.58</v>
      </c>
      <c r="G9" s="64">
        <v>38.78</v>
      </c>
      <c r="H9" s="64">
        <v>27.37</v>
      </c>
      <c r="I9" s="64">
        <v>5.28</v>
      </c>
      <c r="J9" s="64">
        <v>0.23</v>
      </c>
      <c r="K9" s="64">
        <v>190.33</v>
      </c>
      <c r="L9" s="64">
        <v>24.9</v>
      </c>
      <c r="M9" s="64">
        <v>88.29</v>
      </c>
      <c r="N9" s="64">
        <v>38.799999999999997</v>
      </c>
      <c r="O9" s="64">
        <v>0</v>
      </c>
      <c r="P9" s="64">
        <v>0.63</v>
      </c>
      <c r="Q9" s="64">
        <v>12.46</v>
      </c>
      <c r="R9" s="198"/>
      <c r="S9" s="198"/>
      <c r="T9" s="198"/>
      <c r="U9" s="198"/>
    </row>
    <row r="10" spans="1:21" s="12" customFormat="1" x14ac:dyDescent="0.25">
      <c r="A10" s="215" t="s">
        <v>1209</v>
      </c>
      <c r="B10" s="64">
        <v>7.46</v>
      </c>
      <c r="C10" s="64">
        <v>11.36</v>
      </c>
      <c r="D10" s="64">
        <v>12.9</v>
      </c>
      <c r="E10" s="64">
        <v>2.72</v>
      </c>
      <c r="F10" s="64">
        <v>10.19</v>
      </c>
      <c r="G10" s="64">
        <v>38.78</v>
      </c>
      <c r="H10" s="64">
        <v>27.37</v>
      </c>
      <c r="I10" s="64">
        <v>3.83</v>
      </c>
      <c r="J10" s="64">
        <v>0.57999999999999996</v>
      </c>
      <c r="K10" s="64">
        <v>175.43</v>
      </c>
      <c r="L10" s="64">
        <v>24.78</v>
      </c>
      <c r="M10" s="64">
        <v>89.84</v>
      </c>
      <c r="N10" s="64">
        <v>38.700000000000003</v>
      </c>
      <c r="O10" s="64">
        <v>0</v>
      </c>
      <c r="P10" s="64">
        <v>0.61</v>
      </c>
      <c r="Q10" s="64">
        <v>14.84</v>
      </c>
      <c r="R10" s="198"/>
      <c r="S10" s="198"/>
      <c r="T10" s="198"/>
      <c r="U10" s="198"/>
    </row>
    <row r="11" spans="1:21" s="12" customFormat="1" x14ac:dyDescent="0.25">
      <c r="A11" s="215" t="s">
        <v>1210</v>
      </c>
      <c r="B11" s="64">
        <v>6.93</v>
      </c>
      <c r="C11" s="64">
        <v>11.01</v>
      </c>
      <c r="D11" s="64">
        <v>12.28</v>
      </c>
      <c r="E11" s="64">
        <v>2.5099999999999998</v>
      </c>
      <c r="F11" s="64">
        <v>12.19</v>
      </c>
      <c r="G11" s="64">
        <v>36.15</v>
      </c>
      <c r="H11" s="64">
        <v>28.74</v>
      </c>
      <c r="I11" s="64">
        <v>4.4000000000000004</v>
      </c>
      <c r="J11" s="64">
        <v>0.66</v>
      </c>
      <c r="K11" s="64">
        <v>173.48</v>
      </c>
      <c r="L11" s="64">
        <v>24.79</v>
      </c>
      <c r="M11" s="64">
        <v>89.66</v>
      </c>
      <c r="N11" s="64">
        <v>38.799999999999997</v>
      </c>
      <c r="O11" s="64">
        <v>0</v>
      </c>
      <c r="P11" s="64">
        <v>0.6</v>
      </c>
      <c r="Q11" s="64">
        <v>14.02</v>
      </c>
      <c r="R11" s="198"/>
      <c r="S11" s="198"/>
      <c r="T11" s="198"/>
      <c r="U11" s="198"/>
    </row>
    <row r="12" spans="1:21" s="12" customFormat="1" x14ac:dyDescent="0.25">
      <c r="A12" s="215" t="s">
        <v>1211</v>
      </c>
      <c r="B12" s="64">
        <v>8.02</v>
      </c>
      <c r="C12" s="64">
        <v>10.27</v>
      </c>
      <c r="D12" s="64">
        <v>12.75</v>
      </c>
      <c r="E12" s="64">
        <v>2.48</v>
      </c>
      <c r="F12" s="64">
        <v>8.86</v>
      </c>
      <c r="G12" s="64">
        <v>33.520000000000003</v>
      </c>
      <c r="H12" s="64">
        <v>30.11</v>
      </c>
      <c r="I12" s="64">
        <v>4.6100000000000003</v>
      </c>
      <c r="J12" s="64">
        <v>0.32</v>
      </c>
      <c r="K12" s="64">
        <v>187.86</v>
      </c>
      <c r="L12" s="64">
        <v>24.81</v>
      </c>
      <c r="M12" s="64">
        <v>89.5</v>
      </c>
      <c r="N12" s="64">
        <v>38.799999999999997</v>
      </c>
      <c r="O12" s="64">
        <v>0</v>
      </c>
      <c r="P12" s="64">
        <v>0.57999999999999996</v>
      </c>
      <c r="Q12" s="64">
        <v>16.12</v>
      </c>
      <c r="R12" s="198"/>
      <c r="S12" s="198"/>
      <c r="T12" s="198"/>
      <c r="U12" s="198"/>
    </row>
    <row r="13" spans="1:21" s="12" customFormat="1" x14ac:dyDescent="0.25">
      <c r="A13" s="215" t="s">
        <v>1212</v>
      </c>
      <c r="B13" s="64">
        <v>9.14</v>
      </c>
      <c r="C13" s="64">
        <v>9.69</v>
      </c>
      <c r="D13" s="64">
        <v>13.33</v>
      </c>
      <c r="E13" s="64">
        <v>2.67</v>
      </c>
      <c r="F13" s="64">
        <v>7.4</v>
      </c>
      <c r="G13" s="64">
        <v>33.520000000000003</v>
      </c>
      <c r="H13" s="64">
        <v>30.11</v>
      </c>
      <c r="I13" s="64">
        <v>5.24</v>
      </c>
      <c r="J13" s="64">
        <v>0.19</v>
      </c>
      <c r="K13" s="64">
        <v>228.95</v>
      </c>
      <c r="L13" s="64">
        <v>24.7</v>
      </c>
      <c r="M13" s="64">
        <v>90.98</v>
      </c>
      <c r="N13" s="64">
        <v>38.9</v>
      </c>
      <c r="O13" s="64">
        <v>0</v>
      </c>
      <c r="P13" s="64">
        <v>0.66</v>
      </c>
      <c r="Q13" s="64">
        <v>16.34</v>
      </c>
      <c r="R13" s="198"/>
      <c r="S13" s="198"/>
      <c r="T13" s="198"/>
      <c r="U13" s="198"/>
    </row>
    <row r="14" spans="1:21" s="12" customFormat="1" x14ac:dyDescent="0.25">
      <c r="A14" s="215" t="s">
        <v>1213</v>
      </c>
      <c r="B14" s="64">
        <v>8.58</v>
      </c>
      <c r="C14" s="64">
        <v>8.64</v>
      </c>
      <c r="D14" s="64">
        <v>12.29</v>
      </c>
      <c r="E14" s="64">
        <v>2.2200000000000002</v>
      </c>
      <c r="F14" s="64">
        <v>8.08</v>
      </c>
      <c r="G14" s="64">
        <v>33.520000000000003</v>
      </c>
      <c r="H14" s="64">
        <v>30.11</v>
      </c>
      <c r="I14" s="64">
        <v>6.54</v>
      </c>
      <c r="J14" s="64">
        <v>0.06</v>
      </c>
      <c r="K14" s="64">
        <v>163.92</v>
      </c>
      <c r="L14" s="64">
        <v>24.34</v>
      </c>
      <c r="M14" s="64">
        <v>94.05</v>
      </c>
      <c r="N14" s="64">
        <v>37.9</v>
      </c>
      <c r="O14" s="64">
        <v>0</v>
      </c>
      <c r="P14" s="64">
        <v>0.7</v>
      </c>
      <c r="Q14" s="64">
        <v>13.23</v>
      </c>
      <c r="R14" s="198"/>
      <c r="S14" s="198"/>
      <c r="T14" s="198"/>
      <c r="U14" s="198"/>
    </row>
    <row r="15" spans="1:21" s="12" customFormat="1" x14ac:dyDescent="0.25">
      <c r="A15" s="215" t="s">
        <v>1214</v>
      </c>
      <c r="B15" s="64">
        <v>8.56</v>
      </c>
      <c r="C15" s="64">
        <v>8.82</v>
      </c>
      <c r="D15" s="64">
        <v>12.38</v>
      </c>
      <c r="E15" s="64">
        <v>2.85</v>
      </c>
      <c r="F15" s="64">
        <v>6.97</v>
      </c>
      <c r="G15" s="64">
        <v>30.55</v>
      </c>
      <c r="H15" s="64">
        <v>27.82</v>
      </c>
      <c r="I15" s="64">
        <v>6.85</v>
      </c>
      <c r="J15" s="64">
        <v>0.38</v>
      </c>
      <c r="K15" s="64">
        <v>179.2</v>
      </c>
      <c r="L15" s="64">
        <v>24.34</v>
      </c>
      <c r="M15" s="64">
        <v>94.05</v>
      </c>
      <c r="N15" s="64">
        <v>38.299999999999997</v>
      </c>
      <c r="O15" s="64">
        <v>0.2</v>
      </c>
      <c r="P15" s="64">
        <v>0.71</v>
      </c>
      <c r="Q15" s="64">
        <v>14.28</v>
      </c>
      <c r="R15" s="198"/>
      <c r="S15" s="198"/>
      <c r="T15" s="198"/>
      <c r="U15" s="198"/>
    </row>
    <row r="16" spans="1:21" s="12" customFormat="1" x14ac:dyDescent="0.25">
      <c r="A16" s="215" t="s">
        <v>1215</v>
      </c>
      <c r="B16" s="64">
        <v>8.3800000000000008</v>
      </c>
      <c r="C16" s="64">
        <v>8.82</v>
      </c>
      <c r="D16" s="64">
        <v>12.23</v>
      </c>
      <c r="E16" s="64">
        <v>1.98</v>
      </c>
      <c r="F16" s="64">
        <v>6.02</v>
      </c>
      <c r="G16" s="64">
        <v>27.83</v>
      </c>
      <c r="H16" s="64">
        <v>25.08</v>
      </c>
      <c r="I16" s="64">
        <v>7.21</v>
      </c>
      <c r="J16" s="64">
        <v>0.74</v>
      </c>
      <c r="K16" s="64">
        <v>180.29</v>
      </c>
      <c r="L16" s="64">
        <v>24.52</v>
      </c>
      <c r="M16" s="64">
        <v>92.35</v>
      </c>
      <c r="N16" s="64">
        <v>38.799999999999997</v>
      </c>
      <c r="O16" s="64">
        <v>0</v>
      </c>
      <c r="P16" s="64">
        <v>0.67</v>
      </c>
      <c r="Q16" s="64">
        <v>12.52</v>
      </c>
      <c r="R16" s="198"/>
      <c r="S16" s="198"/>
      <c r="T16" s="198"/>
      <c r="U16" s="198"/>
    </row>
    <row r="17" spans="1:21" s="12" customFormat="1" x14ac:dyDescent="0.25">
      <c r="A17" s="215" t="s">
        <v>1216</v>
      </c>
      <c r="B17" s="64">
        <v>8.2100000000000009</v>
      </c>
      <c r="C17" s="64">
        <v>8.86</v>
      </c>
      <c r="D17" s="64">
        <v>12.12</v>
      </c>
      <c r="E17" s="64">
        <v>2.41</v>
      </c>
      <c r="F17" s="64">
        <v>6.25</v>
      </c>
      <c r="G17" s="64">
        <v>27.83</v>
      </c>
      <c r="H17" s="64">
        <v>25.08</v>
      </c>
      <c r="I17" s="64">
        <v>6.99</v>
      </c>
      <c r="J17" s="64">
        <v>0.73</v>
      </c>
      <c r="K17" s="64">
        <v>176.69</v>
      </c>
      <c r="L17" s="64">
        <v>24.54</v>
      </c>
      <c r="M17" s="64">
        <v>92.04</v>
      </c>
      <c r="N17" s="64">
        <v>39</v>
      </c>
      <c r="O17" s="64">
        <v>0</v>
      </c>
      <c r="P17" s="64">
        <v>0.66</v>
      </c>
      <c r="Q17" s="64">
        <v>13.03</v>
      </c>
      <c r="R17" s="198"/>
      <c r="S17" s="198"/>
      <c r="T17" s="198"/>
      <c r="U17" s="198"/>
    </row>
    <row r="18" spans="1:21" s="12" customFormat="1" x14ac:dyDescent="0.25">
      <c r="A18" s="215" t="s">
        <v>1217</v>
      </c>
      <c r="B18" s="64">
        <v>7.49</v>
      </c>
      <c r="C18" s="64">
        <v>8.7899999999999991</v>
      </c>
      <c r="D18" s="64">
        <v>11.5</v>
      </c>
      <c r="E18" s="64">
        <v>2.61</v>
      </c>
      <c r="F18" s="64">
        <v>7.07</v>
      </c>
      <c r="G18" s="64">
        <v>27.83</v>
      </c>
      <c r="H18" s="64">
        <v>25.08</v>
      </c>
      <c r="I18" s="64">
        <v>7.31</v>
      </c>
      <c r="J18" s="64">
        <v>0.18</v>
      </c>
      <c r="K18" s="64">
        <v>201.17</v>
      </c>
      <c r="L18" s="64">
        <v>24.49</v>
      </c>
      <c r="M18" s="64">
        <v>92.9</v>
      </c>
      <c r="N18" s="64">
        <v>39.200000000000003</v>
      </c>
      <c r="O18" s="64">
        <v>0</v>
      </c>
      <c r="P18" s="64">
        <v>0.64</v>
      </c>
      <c r="Q18" s="64">
        <v>11.58</v>
      </c>
      <c r="R18" s="198"/>
      <c r="S18" s="198"/>
      <c r="T18" s="198"/>
      <c r="U18" s="198"/>
    </row>
    <row r="19" spans="1:21" s="12" customFormat="1" x14ac:dyDescent="0.25">
      <c r="A19" s="215" t="s">
        <v>1218</v>
      </c>
      <c r="B19" s="64">
        <v>7.5</v>
      </c>
      <c r="C19" s="64">
        <v>8.77</v>
      </c>
      <c r="D19" s="64">
        <v>11.5</v>
      </c>
      <c r="E19" s="64">
        <v>2.69</v>
      </c>
      <c r="F19" s="64">
        <v>4.2300000000000004</v>
      </c>
      <c r="G19" s="217" t="s">
        <v>42</v>
      </c>
      <c r="H19" s="217" t="s">
        <v>42</v>
      </c>
      <c r="I19" s="64">
        <v>6.75</v>
      </c>
      <c r="J19" s="64">
        <v>0.15</v>
      </c>
      <c r="K19" s="64">
        <v>40.68</v>
      </c>
      <c r="L19" s="64">
        <v>24.2</v>
      </c>
      <c r="M19" s="64">
        <v>95.27</v>
      </c>
      <c r="N19" s="64">
        <v>39.299999999999997</v>
      </c>
      <c r="O19" s="64">
        <v>0.4</v>
      </c>
      <c r="P19" s="64">
        <v>0.64</v>
      </c>
      <c r="Q19" s="64">
        <v>11.67</v>
      </c>
      <c r="R19" s="198"/>
      <c r="S19" s="198"/>
      <c r="T19" s="198"/>
      <c r="U19" s="198"/>
    </row>
    <row r="20" spans="1:21" s="12" customFormat="1" x14ac:dyDescent="0.25">
      <c r="A20" s="215" t="s">
        <v>1219</v>
      </c>
      <c r="B20" s="64">
        <v>6.23</v>
      </c>
      <c r="C20" s="64">
        <v>9.51</v>
      </c>
      <c r="D20" s="64">
        <v>10.89</v>
      </c>
      <c r="E20" s="64">
        <v>2.46</v>
      </c>
      <c r="F20" s="64">
        <v>10.68</v>
      </c>
      <c r="G20" s="217" t="s">
        <v>42</v>
      </c>
      <c r="H20" s="217" t="s">
        <v>42</v>
      </c>
      <c r="I20" s="64">
        <v>6.76</v>
      </c>
      <c r="J20" s="64">
        <v>0.1</v>
      </c>
      <c r="K20" s="64">
        <v>254.32</v>
      </c>
      <c r="L20" s="64">
        <v>23.63</v>
      </c>
      <c r="M20" s="64">
        <v>97.18</v>
      </c>
      <c r="N20" s="64">
        <v>39.200000000000003</v>
      </c>
      <c r="O20" s="64">
        <v>1.4</v>
      </c>
      <c r="P20" s="64">
        <v>0.62</v>
      </c>
      <c r="Q20" s="64">
        <v>13.13</v>
      </c>
      <c r="R20" s="198"/>
      <c r="S20" s="198"/>
      <c r="T20" s="198"/>
      <c r="U20" s="198"/>
    </row>
    <row r="21" spans="1:21" s="12" customFormat="1" x14ac:dyDescent="0.25">
      <c r="A21" s="215" t="s">
        <v>1220</v>
      </c>
      <c r="B21" s="64">
        <v>5.2</v>
      </c>
      <c r="C21" s="64">
        <v>10.52</v>
      </c>
      <c r="D21" s="64">
        <v>10.63</v>
      </c>
      <c r="E21" s="64">
        <v>2.35</v>
      </c>
      <c r="F21" s="64">
        <v>12.65</v>
      </c>
      <c r="G21" s="217" t="s">
        <v>42</v>
      </c>
      <c r="H21" s="217" t="s">
        <v>42</v>
      </c>
      <c r="I21" s="64">
        <v>6.7</v>
      </c>
      <c r="J21" s="64">
        <v>0.05</v>
      </c>
      <c r="K21" s="64">
        <v>117.56</v>
      </c>
      <c r="L21" s="64">
        <v>23.23</v>
      </c>
      <c r="M21" s="64">
        <v>97.2</v>
      </c>
      <c r="N21" s="64">
        <v>39.200000000000003</v>
      </c>
      <c r="O21" s="64">
        <v>0.6</v>
      </c>
      <c r="P21" s="64">
        <v>0.63</v>
      </c>
      <c r="Q21" s="64">
        <v>12.46</v>
      </c>
      <c r="R21" s="198"/>
      <c r="S21" s="198"/>
      <c r="T21" s="198"/>
      <c r="U21" s="198"/>
    </row>
    <row r="22" spans="1:21" s="12" customFormat="1" x14ac:dyDescent="0.25">
      <c r="A22" s="215" t="s">
        <v>1221</v>
      </c>
      <c r="B22" s="64">
        <v>5.34</v>
      </c>
      <c r="C22" s="64">
        <v>10.99</v>
      </c>
      <c r="D22" s="64">
        <v>10.99</v>
      </c>
      <c r="E22" s="64">
        <v>2.5299999999999998</v>
      </c>
      <c r="F22" s="64">
        <v>10.53</v>
      </c>
      <c r="G22" s="217" t="s">
        <v>42</v>
      </c>
      <c r="H22" s="217" t="s">
        <v>42</v>
      </c>
      <c r="I22" s="64">
        <v>4.6500000000000004</v>
      </c>
      <c r="J22" s="64">
        <v>0.7</v>
      </c>
      <c r="K22" s="64">
        <v>143.88999999999999</v>
      </c>
      <c r="L22" s="64">
        <v>22.95</v>
      </c>
      <c r="M22" s="64">
        <v>97.21</v>
      </c>
      <c r="N22" s="64">
        <v>39.299999999999997</v>
      </c>
      <c r="O22" s="64">
        <v>3.2</v>
      </c>
      <c r="P22" s="64">
        <v>0.62</v>
      </c>
      <c r="Q22" s="64">
        <v>13.98</v>
      </c>
      <c r="R22" s="198"/>
      <c r="S22" s="198"/>
      <c r="T22" s="198"/>
      <c r="U22" s="198"/>
    </row>
    <row r="23" spans="1:21" s="12" customFormat="1" x14ac:dyDescent="0.25">
      <c r="A23" s="215" t="s">
        <v>1222</v>
      </c>
      <c r="B23" s="64">
        <v>6.65</v>
      </c>
      <c r="C23" s="64">
        <v>9.59</v>
      </c>
      <c r="D23" s="64">
        <v>11.27</v>
      </c>
      <c r="E23" s="64">
        <v>2.57</v>
      </c>
      <c r="F23" s="64">
        <v>7.06</v>
      </c>
      <c r="G23" s="217" t="s">
        <v>42</v>
      </c>
      <c r="H23" s="217" t="s">
        <v>42</v>
      </c>
      <c r="I23" s="64">
        <v>3.81</v>
      </c>
      <c r="J23" s="64">
        <v>0.14000000000000001</v>
      </c>
      <c r="K23" s="64">
        <v>199.02</v>
      </c>
      <c r="L23" s="64">
        <v>22.43</v>
      </c>
      <c r="M23" s="64">
        <v>97.22</v>
      </c>
      <c r="N23" s="64">
        <v>39.200000000000003</v>
      </c>
      <c r="O23" s="64">
        <v>3.2</v>
      </c>
      <c r="P23" s="64">
        <v>0.63</v>
      </c>
      <c r="Q23" s="64">
        <v>15.09</v>
      </c>
      <c r="R23" s="198"/>
      <c r="S23" s="198"/>
      <c r="T23" s="198"/>
      <c r="U23" s="198"/>
    </row>
    <row r="24" spans="1:21" s="12" customFormat="1" x14ac:dyDescent="0.25">
      <c r="A24" s="215" t="s">
        <v>1223</v>
      </c>
      <c r="B24" s="64">
        <v>7.19</v>
      </c>
      <c r="C24" s="64">
        <v>8.98</v>
      </c>
      <c r="D24" s="64">
        <v>11.36</v>
      </c>
      <c r="E24" s="64">
        <v>2.4300000000000002</v>
      </c>
      <c r="F24" s="64">
        <v>6.45</v>
      </c>
      <c r="G24" s="217" t="s">
        <v>42</v>
      </c>
      <c r="H24" s="217" t="s">
        <v>42</v>
      </c>
      <c r="I24" s="64">
        <v>5.35</v>
      </c>
      <c r="J24" s="64">
        <v>0.17</v>
      </c>
      <c r="K24" s="64">
        <v>32.18</v>
      </c>
      <c r="L24" s="64">
        <v>22.01</v>
      </c>
      <c r="M24" s="64">
        <v>97.23</v>
      </c>
      <c r="N24" s="64">
        <v>39.4</v>
      </c>
      <c r="O24" s="64">
        <v>4.8</v>
      </c>
      <c r="P24" s="64">
        <v>0.61</v>
      </c>
      <c r="Q24" s="64">
        <v>14.95</v>
      </c>
      <c r="R24" s="198"/>
      <c r="S24" s="198"/>
      <c r="T24" s="198"/>
      <c r="U24" s="198"/>
    </row>
    <row r="25" spans="1:21" s="12" customFormat="1" x14ac:dyDescent="0.25">
      <c r="A25" s="215" t="s">
        <v>1224</v>
      </c>
      <c r="B25" s="64">
        <v>7.37</v>
      </c>
      <c r="C25" s="64">
        <v>8.99</v>
      </c>
      <c r="D25" s="64">
        <v>11.52</v>
      </c>
      <c r="E25" s="64">
        <v>2.48</v>
      </c>
      <c r="F25" s="64">
        <v>4.68</v>
      </c>
      <c r="G25" s="217" t="s">
        <v>42</v>
      </c>
      <c r="H25" s="217" t="s">
        <v>42</v>
      </c>
      <c r="I25" s="64">
        <v>6.34</v>
      </c>
      <c r="J25" s="64">
        <v>0.12</v>
      </c>
      <c r="K25" s="64">
        <v>37.78</v>
      </c>
      <c r="L25" s="64">
        <v>21.77</v>
      </c>
      <c r="M25" s="64">
        <v>97.23</v>
      </c>
      <c r="N25" s="64">
        <v>39.1</v>
      </c>
      <c r="O25" s="64">
        <v>9.1999999999999993</v>
      </c>
      <c r="P25" s="64">
        <v>0.6</v>
      </c>
      <c r="Q25" s="64">
        <v>13.93</v>
      </c>
      <c r="R25" s="198"/>
      <c r="S25" s="198"/>
      <c r="T25" s="198"/>
      <c r="U25" s="198"/>
    </row>
    <row r="26" spans="1:21" s="12" customFormat="1" x14ac:dyDescent="0.25">
      <c r="A26" s="215" t="s">
        <v>1225</v>
      </c>
      <c r="B26" s="64">
        <v>6.79</v>
      </c>
      <c r="C26" s="64">
        <v>8.93</v>
      </c>
      <c r="D26" s="64">
        <v>11.02</v>
      </c>
      <c r="E26" s="64">
        <v>2.41</v>
      </c>
      <c r="F26" s="64">
        <v>4.0199999999999996</v>
      </c>
      <c r="G26" s="217" t="s">
        <v>42</v>
      </c>
      <c r="H26" s="217" t="s">
        <v>42</v>
      </c>
      <c r="I26" s="64">
        <v>7.39</v>
      </c>
      <c r="J26" s="64">
        <v>0.13</v>
      </c>
      <c r="K26" s="64">
        <v>29.39</v>
      </c>
      <c r="L26" s="64">
        <v>21.62</v>
      </c>
      <c r="M26" s="64">
        <v>97.23</v>
      </c>
      <c r="N26" s="64">
        <v>39</v>
      </c>
      <c r="O26" s="64">
        <v>9.8000000000000007</v>
      </c>
      <c r="P26" s="64">
        <v>0.57999999999999996</v>
      </c>
      <c r="Q26" s="64">
        <v>12.79</v>
      </c>
      <c r="R26" s="198"/>
      <c r="S26" s="198"/>
      <c r="T26" s="198"/>
      <c r="U26" s="198"/>
    </row>
    <row r="27" spans="1:21" s="12" customFormat="1" x14ac:dyDescent="0.25">
      <c r="A27" s="215" t="s">
        <v>1226</v>
      </c>
      <c r="B27" s="64">
        <v>6.26</v>
      </c>
      <c r="C27" s="64">
        <v>8.91</v>
      </c>
      <c r="D27" s="64">
        <v>10.59</v>
      </c>
      <c r="E27" s="64">
        <v>2.5499999999999998</v>
      </c>
      <c r="F27" s="64">
        <v>3.84</v>
      </c>
      <c r="G27" s="217" t="s">
        <v>42</v>
      </c>
      <c r="H27" s="217" t="s">
        <v>42</v>
      </c>
      <c r="I27" s="64">
        <v>7.58</v>
      </c>
      <c r="J27" s="64">
        <v>0.01</v>
      </c>
      <c r="K27" s="64">
        <v>255.36</v>
      </c>
      <c r="L27" s="64">
        <v>21.49</v>
      </c>
      <c r="M27" s="64">
        <v>97.23</v>
      </c>
      <c r="N27" s="64">
        <v>39.1</v>
      </c>
      <c r="O27" s="64">
        <v>7.6</v>
      </c>
      <c r="P27" s="64">
        <v>0.57999999999999996</v>
      </c>
      <c r="Q27" s="64">
        <v>12.08</v>
      </c>
      <c r="R27" s="198"/>
      <c r="S27" s="198"/>
      <c r="T27" s="198"/>
      <c r="U27" s="198"/>
    </row>
    <row r="28" spans="1:21" s="12" customFormat="1" x14ac:dyDescent="0.25">
      <c r="A28" s="215" t="s">
        <v>1227</v>
      </c>
      <c r="B28" s="64">
        <v>5.89</v>
      </c>
      <c r="C28" s="64">
        <v>8.8699999999999992</v>
      </c>
      <c r="D28" s="64">
        <v>10.26</v>
      </c>
      <c r="E28" s="64">
        <v>2.19</v>
      </c>
      <c r="F28" s="64">
        <v>4.01</v>
      </c>
      <c r="G28" s="217" t="s">
        <v>42</v>
      </c>
      <c r="H28" s="217" t="s">
        <v>42</v>
      </c>
      <c r="I28" s="64">
        <v>7.17</v>
      </c>
      <c r="J28" s="64">
        <v>0.13</v>
      </c>
      <c r="K28" s="64">
        <v>11.55</v>
      </c>
      <c r="L28" s="64">
        <v>21.42</v>
      </c>
      <c r="M28" s="64">
        <v>97.23</v>
      </c>
      <c r="N28" s="64">
        <v>39.1</v>
      </c>
      <c r="O28" s="64">
        <v>5.4</v>
      </c>
      <c r="P28" s="64">
        <v>0.55000000000000004</v>
      </c>
      <c r="Q28" s="64">
        <v>11.04</v>
      </c>
      <c r="R28" s="198"/>
      <c r="S28" s="198"/>
      <c r="T28" s="198"/>
      <c r="U28" s="198"/>
    </row>
    <row r="29" spans="1:21" s="12" customFormat="1" x14ac:dyDescent="0.25">
      <c r="A29" s="215" t="s">
        <v>1228</v>
      </c>
      <c r="B29" s="64">
        <v>5.49</v>
      </c>
      <c r="C29" s="64">
        <v>8.81</v>
      </c>
      <c r="D29" s="64">
        <v>9.91</v>
      </c>
      <c r="E29" s="64">
        <v>2.44</v>
      </c>
      <c r="F29" s="64">
        <v>4.21</v>
      </c>
      <c r="G29" s="217" t="s">
        <v>42</v>
      </c>
      <c r="H29" s="217" t="s">
        <v>42</v>
      </c>
      <c r="I29" s="64">
        <v>6.82</v>
      </c>
      <c r="J29" s="64">
        <v>0.04</v>
      </c>
      <c r="K29" s="64">
        <v>240.46</v>
      </c>
      <c r="L29" s="64">
        <v>21.27</v>
      </c>
      <c r="M29" s="64">
        <v>97.23</v>
      </c>
      <c r="N29" s="64">
        <v>39.299999999999997</v>
      </c>
      <c r="O29" s="64">
        <v>1.8</v>
      </c>
      <c r="P29" s="64">
        <v>0.54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5" t="s">
        <v>1229</v>
      </c>
      <c r="B30" s="64">
        <v>5.09</v>
      </c>
      <c r="C30" s="64">
        <v>8.9</v>
      </c>
      <c r="D30" s="64">
        <v>9.64</v>
      </c>
      <c r="E30" s="64">
        <v>1.75</v>
      </c>
      <c r="F30" s="64">
        <v>3.91</v>
      </c>
      <c r="G30" s="217" t="s">
        <v>42</v>
      </c>
      <c r="H30" s="217" t="s">
        <v>42</v>
      </c>
      <c r="I30" s="64">
        <v>6.44</v>
      </c>
      <c r="J30" s="64">
        <v>0.1</v>
      </c>
      <c r="K30" s="64">
        <v>2.85</v>
      </c>
      <c r="L30" s="64">
        <v>21.22</v>
      </c>
      <c r="M30" s="64">
        <v>97.23</v>
      </c>
      <c r="N30" s="64">
        <v>39.200000000000003</v>
      </c>
      <c r="O30" s="64">
        <v>2.6</v>
      </c>
      <c r="P30" s="64">
        <v>0.53</v>
      </c>
      <c r="Q30" s="64">
        <v>9</v>
      </c>
      <c r="R30" s="198"/>
      <c r="S30" s="198"/>
      <c r="T30" s="198"/>
      <c r="U30" s="198"/>
    </row>
    <row r="31" spans="1:21" s="12" customFormat="1" x14ac:dyDescent="0.25">
      <c r="A31" s="215" t="s">
        <v>1230</v>
      </c>
      <c r="B31" s="64">
        <v>4.82</v>
      </c>
      <c r="C31" s="64">
        <v>8.6300000000000008</v>
      </c>
      <c r="D31" s="64">
        <v>9.27</v>
      </c>
      <c r="E31" s="64">
        <v>2.3199999999999998</v>
      </c>
      <c r="F31" s="64">
        <v>4.13</v>
      </c>
      <c r="G31" s="217" t="s">
        <v>42</v>
      </c>
      <c r="H31" s="217" t="s">
        <v>42</v>
      </c>
      <c r="I31" s="64">
        <v>6.16</v>
      </c>
      <c r="J31" s="64">
        <v>0.11</v>
      </c>
      <c r="K31" s="64">
        <v>42.58</v>
      </c>
      <c r="L31" s="64">
        <v>21.29</v>
      </c>
      <c r="M31" s="64">
        <v>97.23</v>
      </c>
      <c r="N31" s="64">
        <v>39.700000000000003</v>
      </c>
      <c r="O31" s="64">
        <v>5.8</v>
      </c>
      <c r="P31" s="64">
        <v>0.51</v>
      </c>
      <c r="Q31" s="64">
        <v>7.56</v>
      </c>
      <c r="R31" s="198"/>
      <c r="S31" s="198"/>
      <c r="T31" s="198"/>
      <c r="U31" s="198"/>
    </row>
    <row r="32" spans="1:21" s="12" customFormat="1" x14ac:dyDescent="0.25">
      <c r="A32" s="215" t="s">
        <v>1231</v>
      </c>
      <c r="B32" s="64">
        <v>4.99</v>
      </c>
      <c r="C32" s="64">
        <v>9.31</v>
      </c>
      <c r="D32" s="64">
        <v>9.7899999999999991</v>
      </c>
      <c r="E32" s="64">
        <v>2.4700000000000002</v>
      </c>
      <c r="F32" s="64">
        <v>3.8</v>
      </c>
      <c r="G32" s="217" t="s">
        <v>42</v>
      </c>
      <c r="H32" s="217" t="s">
        <v>42</v>
      </c>
      <c r="I32" s="64">
        <v>5.85</v>
      </c>
      <c r="J32" s="64">
        <v>0.22</v>
      </c>
      <c r="K32" s="64">
        <v>34.58</v>
      </c>
      <c r="L32" s="64">
        <v>21.29</v>
      </c>
      <c r="M32" s="64">
        <v>97.23</v>
      </c>
      <c r="N32" s="64">
        <v>41.8</v>
      </c>
      <c r="O32" s="64">
        <v>1.6</v>
      </c>
      <c r="P32" s="64">
        <v>0.53</v>
      </c>
      <c r="Q32" s="64">
        <v>9.89</v>
      </c>
      <c r="R32" s="198"/>
      <c r="S32" s="198"/>
      <c r="T32" s="198"/>
      <c r="U32" s="198"/>
    </row>
    <row r="33" spans="1:21" s="12" customFormat="1" x14ac:dyDescent="0.25">
      <c r="A33" s="215" t="s">
        <v>1232</v>
      </c>
      <c r="B33" s="64">
        <v>5.24</v>
      </c>
      <c r="C33" s="64">
        <v>9.51</v>
      </c>
      <c r="D33" s="64">
        <v>10.09</v>
      </c>
      <c r="E33" s="64">
        <v>2.56</v>
      </c>
      <c r="F33" s="64">
        <v>4.6500000000000004</v>
      </c>
      <c r="G33" s="217" t="s">
        <v>42</v>
      </c>
      <c r="H33" s="217" t="s">
        <v>42</v>
      </c>
      <c r="I33" s="64">
        <v>5.72</v>
      </c>
      <c r="J33" s="64">
        <v>0.15</v>
      </c>
      <c r="K33" s="64">
        <v>35.53</v>
      </c>
      <c r="L33" s="64">
        <v>21.34</v>
      </c>
      <c r="M33" s="64">
        <v>97.23</v>
      </c>
      <c r="N33" s="64">
        <v>46.8</v>
      </c>
      <c r="O33" s="64">
        <v>0.8</v>
      </c>
      <c r="P33" s="64">
        <v>0.53</v>
      </c>
      <c r="Q33" s="64">
        <v>8.61</v>
      </c>
      <c r="R33" s="198"/>
      <c r="S33" s="198"/>
      <c r="T33" s="198"/>
      <c r="U33" s="198"/>
    </row>
    <row r="34" spans="1:21" s="12" customFormat="1" x14ac:dyDescent="0.25">
      <c r="A34" s="215" t="s">
        <v>1233</v>
      </c>
      <c r="B34" s="64">
        <v>5.7</v>
      </c>
      <c r="C34" s="64">
        <v>9.82</v>
      </c>
      <c r="D34" s="64">
        <v>10.63</v>
      </c>
      <c r="E34" s="64">
        <v>2.68</v>
      </c>
      <c r="F34" s="64">
        <v>4.2300000000000004</v>
      </c>
      <c r="G34" s="217" t="s">
        <v>42</v>
      </c>
      <c r="H34" s="217" t="s">
        <v>42</v>
      </c>
      <c r="I34" s="64">
        <v>5.35</v>
      </c>
      <c r="J34" s="64">
        <v>0.19</v>
      </c>
      <c r="K34" s="64">
        <v>48.56</v>
      </c>
      <c r="L34" s="64">
        <v>21.45</v>
      </c>
      <c r="M34" s="64">
        <v>97.23</v>
      </c>
      <c r="N34" s="64">
        <v>56</v>
      </c>
      <c r="O34" s="64">
        <v>0.6</v>
      </c>
      <c r="P34" s="64">
        <v>0.52</v>
      </c>
      <c r="Q34" s="64">
        <v>10.53</v>
      </c>
      <c r="R34" s="198"/>
      <c r="S34" s="198"/>
      <c r="T34" s="198"/>
      <c r="U34" s="198"/>
    </row>
    <row r="35" spans="1:21" s="12" customFormat="1" x14ac:dyDescent="0.25">
      <c r="A35" s="215" t="s">
        <v>1234</v>
      </c>
      <c r="B35" s="64">
        <v>7.41</v>
      </c>
      <c r="C35" s="64">
        <v>7.87</v>
      </c>
      <c r="D35" s="64">
        <v>10.93</v>
      </c>
      <c r="E35" s="64">
        <v>2.69</v>
      </c>
      <c r="F35" s="64">
        <v>4.7300000000000004</v>
      </c>
      <c r="G35" s="217" t="s">
        <v>42</v>
      </c>
      <c r="H35" s="217" t="s">
        <v>42</v>
      </c>
      <c r="I35" s="64">
        <v>5.45</v>
      </c>
      <c r="J35" s="64">
        <v>0.17</v>
      </c>
      <c r="K35" s="64">
        <v>41.74</v>
      </c>
      <c r="L35" s="64">
        <v>21.44</v>
      </c>
      <c r="M35" s="64">
        <v>97.23</v>
      </c>
      <c r="N35" s="64">
        <v>58.1</v>
      </c>
      <c r="O35" s="64">
        <v>0.2</v>
      </c>
      <c r="P35" s="64">
        <v>0.51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5" t="s">
        <v>1235</v>
      </c>
      <c r="B36" s="64">
        <v>6.95</v>
      </c>
      <c r="C36" s="64">
        <v>9.84</v>
      </c>
      <c r="D36" s="64">
        <v>11.65</v>
      </c>
      <c r="E36" s="64">
        <v>2.65</v>
      </c>
      <c r="F36" s="64">
        <v>3.28</v>
      </c>
      <c r="G36" s="217" t="s">
        <v>42</v>
      </c>
      <c r="H36" s="217" t="s">
        <v>42</v>
      </c>
      <c r="I36" s="64">
        <v>5.49</v>
      </c>
      <c r="J36" s="64">
        <v>0.17</v>
      </c>
      <c r="K36" s="64">
        <v>45.83</v>
      </c>
      <c r="L36" s="64">
        <v>21.48</v>
      </c>
      <c r="M36" s="64">
        <v>97.23</v>
      </c>
      <c r="N36" s="64">
        <v>66.599999999999994</v>
      </c>
      <c r="O36" s="64">
        <v>0.4</v>
      </c>
      <c r="P36" s="64">
        <v>0.52</v>
      </c>
      <c r="Q36" s="64">
        <v>11.41</v>
      </c>
      <c r="R36" s="198"/>
      <c r="S36" s="198"/>
      <c r="T36" s="198"/>
      <c r="U36" s="198"/>
    </row>
    <row r="37" spans="1:21" s="12" customFormat="1" x14ac:dyDescent="0.25">
      <c r="A37" s="215" t="s">
        <v>1236</v>
      </c>
      <c r="B37" s="64">
        <v>6.76</v>
      </c>
      <c r="C37" s="64">
        <v>9.8699999999999992</v>
      </c>
      <c r="D37" s="64">
        <v>11.52</v>
      </c>
      <c r="E37" s="64">
        <v>2.2799999999999998</v>
      </c>
      <c r="F37" s="64">
        <v>3.29</v>
      </c>
      <c r="G37" s="217" t="s">
        <v>42</v>
      </c>
      <c r="H37" s="217" t="s">
        <v>42</v>
      </c>
      <c r="I37" s="64">
        <v>5.59</v>
      </c>
      <c r="J37" s="64">
        <v>0.14000000000000001</v>
      </c>
      <c r="K37" s="64">
        <v>40.200000000000003</v>
      </c>
      <c r="L37" s="64">
        <v>21.52</v>
      </c>
      <c r="M37" s="64">
        <v>97.23</v>
      </c>
      <c r="N37" s="64">
        <v>76.3</v>
      </c>
      <c r="O37" s="64">
        <v>0.4</v>
      </c>
      <c r="P37" s="64">
        <v>0.55000000000000004</v>
      </c>
      <c r="Q37" s="64">
        <v>9.48</v>
      </c>
      <c r="R37" s="198"/>
      <c r="S37" s="198"/>
      <c r="T37" s="198"/>
      <c r="U37" s="198"/>
    </row>
    <row r="38" spans="1:21" s="12" customFormat="1" x14ac:dyDescent="0.25">
      <c r="A38" s="215" t="s">
        <v>1237</v>
      </c>
      <c r="B38" s="64">
        <v>6.65</v>
      </c>
      <c r="C38" s="64">
        <v>9.73</v>
      </c>
      <c r="D38" s="64">
        <v>11.35</v>
      </c>
      <c r="E38" s="64">
        <v>2.06</v>
      </c>
      <c r="F38" s="64">
        <v>3.43</v>
      </c>
      <c r="G38" s="217" t="s">
        <v>42</v>
      </c>
      <c r="H38" s="217" t="s">
        <v>42</v>
      </c>
      <c r="I38" s="64">
        <v>5.74</v>
      </c>
      <c r="J38" s="64">
        <v>0.14000000000000001</v>
      </c>
      <c r="K38" s="64">
        <v>32.799999999999997</v>
      </c>
      <c r="L38" s="64">
        <v>21.52</v>
      </c>
      <c r="M38" s="64">
        <v>97.23</v>
      </c>
      <c r="N38" s="64">
        <v>90.4</v>
      </c>
      <c r="O38" s="64">
        <v>0.2</v>
      </c>
      <c r="P38" s="64">
        <v>0.61</v>
      </c>
      <c r="Q38" s="64">
        <v>8.59</v>
      </c>
      <c r="R38" s="198"/>
      <c r="S38" s="198"/>
      <c r="T38" s="198"/>
      <c r="U38" s="198"/>
    </row>
    <row r="39" spans="1:21" s="12" customFormat="1" x14ac:dyDescent="0.25">
      <c r="A39" s="215" t="s">
        <v>1238</v>
      </c>
      <c r="B39" s="64">
        <v>6.61</v>
      </c>
      <c r="C39" s="64">
        <v>9.9600000000000009</v>
      </c>
      <c r="D39" s="64">
        <v>11.44</v>
      </c>
      <c r="E39" s="64">
        <v>2.14</v>
      </c>
      <c r="F39" s="64">
        <v>3.31</v>
      </c>
      <c r="G39" s="217" t="s">
        <v>42</v>
      </c>
      <c r="H39" s="217" t="s">
        <v>42</v>
      </c>
      <c r="I39" s="64">
        <v>5.66</v>
      </c>
      <c r="J39" s="64">
        <v>0.16</v>
      </c>
      <c r="K39" s="64">
        <v>40.28</v>
      </c>
      <c r="L39" s="64">
        <v>21.58</v>
      </c>
      <c r="M39" s="64">
        <v>97.23</v>
      </c>
      <c r="N39" s="64">
        <v>120.8</v>
      </c>
      <c r="O39" s="64">
        <v>0.4</v>
      </c>
      <c r="P39" s="64">
        <v>0.61</v>
      </c>
      <c r="Q39" s="64">
        <v>7.88</v>
      </c>
      <c r="R39" s="198"/>
      <c r="S39" s="198"/>
      <c r="T39" s="198"/>
      <c r="U39" s="198"/>
    </row>
    <row r="40" spans="1:21" s="12" customFormat="1" x14ac:dyDescent="0.25">
      <c r="A40" s="215" t="s">
        <v>1239</v>
      </c>
      <c r="B40" s="64">
        <v>6.58</v>
      </c>
      <c r="C40" s="64">
        <v>9.82</v>
      </c>
      <c r="D40" s="64">
        <v>11.35</v>
      </c>
      <c r="E40" s="64">
        <v>1.95</v>
      </c>
      <c r="F40" s="64">
        <v>3.36</v>
      </c>
      <c r="G40" s="217" t="s">
        <v>42</v>
      </c>
      <c r="H40" s="217" t="s">
        <v>42</v>
      </c>
      <c r="I40" s="64">
        <v>5.5</v>
      </c>
      <c r="J40" s="64">
        <v>0.13</v>
      </c>
      <c r="K40" s="64">
        <v>39.97</v>
      </c>
      <c r="L40" s="64">
        <v>21.66</v>
      </c>
      <c r="M40" s="64">
        <v>97.23</v>
      </c>
      <c r="N40" s="64">
        <v>104.1</v>
      </c>
      <c r="O40" s="64">
        <v>0</v>
      </c>
      <c r="P40" s="64">
        <v>0.62</v>
      </c>
      <c r="Q40" s="64">
        <v>7.89</v>
      </c>
      <c r="R40" s="198"/>
      <c r="S40" s="198"/>
      <c r="T40" s="198"/>
      <c r="U40" s="198"/>
    </row>
    <row r="41" spans="1:21" s="12" customFormat="1" x14ac:dyDescent="0.25">
      <c r="A41" s="215" t="s">
        <v>1240</v>
      </c>
      <c r="B41" s="64">
        <v>6.59</v>
      </c>
      <c r="C41" s="64">
        <v>9.8000000000000007</v>
      </c>
      <c r="D41" s="64">
        <v>11.34</v>
      </c>
      <c r="E41" s="64">
        <v>2.23</v>
      </c>
      <c r="F41" s="64">
        <v>3.31</v>
      </c>
      <c r="G41" s="217" t="s">
        <v>42</v>
      </c>
      <c r="H41" s="217" t="s">
        <v>42</v>
      </c>
      <c r="I41" s="64">
        <v>5.32</v>
      </c>
      <c r="J41" s="64">
        <v>0.18</v>
      </c>
      <c r="K41" s="64">
        <v>41.67</v>
      </c>
      <c r="L41" s="64">
        <v>21.8</v>
      </c>
      <c r="M41" s="64">
        <v>97.23</v>
      </c>
      <c r="N41" s="64">
        <v>175.8</v>
      </c>
      <c r="O41" s="64">
        <v>0</v>
      </c>
      <c r="P41" s="64">
        <v>0.64</v>
      </c>
      <c r="Q41" s="64">
        <v>7.18</v>
      </c>
      <c r="R41" s="198"/>
      <c r="S41" s="198"/>
      <c r="T41" s="198"/>
      <c r="U41" s="198"/>
    </row>
    <row r="42" spans="1:21" s="12" customFormat="1" x14ac:dyDescent="0.25">
      <c r="A42" s="215" t="s">
        <v>1241</v>
      </c>
      <c r="B42" s="64">
        <v>6.98</v>
      </c>
      <c r="C42" s="64">
        <v>9.94</v>
      </c>
      <c r="D42" s="64">
        <v>11.73</v>
      </c>
      <c r="E42" s="64">
        <v>2.5299999999999998</v>
      </c>
      <c r="F42" s="64">
        <v>3.48</v>
      </c>
      <c r="G42" s="217" t="s">
        <v>42</v>
      </c>
      <c r="H42" s="217" t="s">
        <v>42</v>
      </c>
      <c r="I42" s="64">
        <v>5.15</v>
      </c>
      <c r="J42" s="64">
        <v>0.25</v>
      </c>
      <c r="K42" s="64">
        <v>45.15</v>
      </c>
      <c r="L42" s="64">
        <v>22.05</v>
      </c>
      <c r="M42" s="64">
        <v>97.23</v>
      </c>
      <c r="N42" s="64">
        <v>187.1</v>
      </c>
      <c r="O42" s="64">
        <v>0</v>
      </c>
      <c r="P42" s="64">
        <v>0.64</v>
      </c>
      <c r="Q42" s="64">
        <v>6.33</v>
      </c>
      <c r="R42" s="198"/>
      <c r="S42" s="198"/>
      <c r="T42" s="198"/>
      <c r="U42" s="198"/>
    </row>
    <row r="43" spans="1:21" s="12" customFormat="1" x14ac:dyDescent="0.25">
      <c r="A43" s="215" t="s">
        <v>1242</v>
      </c>
      <c r="B43" s="64">
        <v>7.66</v>
      </c>
      <c r="C43" s="64">
        <v>10.44</v>
      </c>
      <c r="D43" s="64">
        <v>12.55</v>
      </c>
      <c r="E43" s="64">
        <v>2.63</v>
      </c>
      <c r="F43" s="64">
        <v>3.31</v>
      </c>
      <c r="G43" s="217" t="s">
        <v>42</v>
      </c>
      <c r="H43" s="217" t="s">
        <v>42</v>
      </c>
      <c r="I43" s="64">
        <v>5.0199999999999996</v>
      </c>
      <c r="J43" s="64">
        <v>0.19</v>
      </c>
      <c r="K43" s="64">
        <v>38.83</v>
      </c>
      <c r="L43" s="64">
        <v>22.23</v>
      </c>
      <c r="M43" s="64">
        <v>97.23</v>
      </c>
      <c r="N43" s="64">
        <v>178.8</v>
      </c>
      <c r="O43" s="64">
        <v>0</v>
      </c>
      <c r="P43" s="64">
        <v>0.66</v>
      </c>
      <c r="Q43" s="64">
        <v>8.27</v>
      </c>
      <c r="R43" s="198"/>
      <c r="S43" s="198"/>
      <c r="T43" s="198"/>
      <c r="U43" s="198"/>
    </row>
    <row r="44" spans="1:21" s="12" customFormat="1" x14ac:dyDescent="0.25">
      <c r="A44" s="215" t="s">
        <v>1243</v>
      </c>
      <c r="B44" s="64">
        <v>8.34</v>
      </c>
      <c r="C44" s="64">
        <v>12.24</v>
      </c>
      <c r="D44" s="64">
        <v>14.09</v>
      </c>
      <c r="E44" s="64">
        <v>2.23</v>
      </c>
      <c r="F44" s="64">
        <v>3.69</v>
      </c>
      <c r="G44" s="217" t="s">
        <v>42</v>
      </c>
      <c r="H44" s="217" t="s">
        <v>42</v>
      </c>
      <c r="I44" s="64">
        <v>4.96</v>
      </c>
      <c r="J44" s="64">
        <v>0.19</v>
      </c>
      <c r="K44" s="64">
        <v>38.86</v>
      </c>
      <c r="L44" s="64">
        <v>22.32</v>
      </c>
      <c r="M44" s="64">
        <v>97.23</v>
      </c>
      <c r="N44" s="64">
        <v>194.5</v>
      </c>
      <c r="O44" s="64">
        <v>0</v>
      </c>
      <c r="P44" s="64">
        <v>0.69</v>
      </c>
      <c r="Q44" s="64">
        <v>8.16</v>
      </c>
      <c r="R44" s="198"/>
      <c r="S44" s="198"/>
      <c r="T44" s="198"/>
      <c r="U44" s="198"/>
    </row>
    <row r="45" spans="1:21" s="12" customFormat="1" x14ac:dyDescent="0.25">
      <c r="A45" s="215" t="s">
        <v>1244</v>
      </c>
      <c r="B45" s="64">
        <v>8.8800000000000008</v>
      </c>
      <c r="C45" s="64">
        <v>11.16</v>
      </c>
      <c r="D45" s="64">
        <v>13.92</v>
      </c>
      <c r="E45" s="64">
        <v>2.48</v>
      </c>
      <c r="F45" s="64">
        <v>3.77</v>
      </c>
      <c r="G45" s="217" t="s">
        <v>42</v>
      </c>
      <c r="H45" s="217" t="s">
        <v>42</v>
      </c>
      <c r="I45" s="64">
        <v>4.84</v>
      </c>
      <c r="J45" s="64">
        <v>0.1</v>
      </c>
      <c r="K45" s="64">
        <v>30.75</v>
      </c>
      <c r="L45" s="64">
        <v>22.52</v>
      </c>
      <c r="M45" s="64">
        <v>97.23</v>
      </c>
      <c r="N45" s="64">
        <v>132.1</v>
      </c>
      <c r="O45" s="64">
        <v>0</v>
      </c>
      <c r="P45" s="64">
        <v>0.7</v>
      </c>
      <c r="Q45" s="64">
        <v>9.02</v>
      </c>
      <c r="R45" s="198"/>
      <c r="S45" s="198"/>
      <c r="T45" s="198"/>
      <c r="U45" s="198"/>
    </row>
    <row r="46" spans="1:21" s="12" customFormat="1" x14ac:dyDescent="0.25">
      <c r="A46" s="215" t="s">
        <v>1245</v>
      </c>
      <c r="B46" s="64">
        <v>9.2899999999999991</v>
      </c>
      <c r="C46" s="64">
        <v>11.09</v>
      </c>
      <c r="D46" s="64">
        <v>14.21</v>
      </c>
      <c r="E46" s="64">
        <v>2.35</v>
      </c>
      <c r="F46" s="64">
        <v>4.22</v>
      </c>
      <c r="G46" s="217" t="s">
        <v>42</v>
      </c>
      <c r="H46" s="217" t="s">
        <v>42</v>
      </c>
      <c r="I46" s="64">
        <v>4.8499999999999996</v>
      </c>
      <c r="J46" s="64">
        <v>0.06</v>
      </c>
      <c r="K46" s="64">
        <v>354.69</v>
      </c>
      <c r="L46" s="64">
        <v>22.66</v>
      </c>
      <c r="M46" s="64">
        <v>97.23</v>
      </c>
      <c r="N46" s="64">
        <v>140.9</v>
      </c>
      <c r="O46" s="64">
        <v>0</v>
      </c>
      <c r="P46" s="64">
        <v>0.7</v>
      </c>
      <c r="Q46" s="64">
        <v>8.26</v>
      </c>
      <c r="R46" s="198"/>
      <c r="S46" s="198"/>
      <c r="T46" s="198"/>
      <c r="U46" s="198"/>
    </row>
    <row r="47" spans="1:21" s="12" customFormat="1" x14ac:dyDescent="0.25">
      <c r="A47" s="215" t="s">
        <v>1246</v>
      </c>
      <c r="B47" s="64">
        <v>9.52</v>
      </c>
      <c r="C47" s="64">
        <v>11.14</v>
      </c>
      <c r="D47" s="64">
        <v>14.43</v>
      </c>
      <c r="E47" s="64">
        <v>2.61</v>
      </c>
      <c r="F47" s="64">
        <v>3.71</v>
      </c>
      <c r="G47" s="217" t="s">
        <v>42</v>
      </c>
      <c r="H47" s="217" t="s">
        <v>42</v>
      </c>
      <c r="I47" s="64">
        <v>4.83</v>
      </c>
      <c r="J47" s="64">
        <v>0.18</v>
      </c>
      <c r="K47" s="64">
        <v>41.68</v>
      </c>
      <c r="L47" s="64">
        <v>23.08</v>
      </c>
      <c r="M47" s="64">
        <v>97.2</v>
      </c>
      <c r="N47" s="64">
        <v>281.5</v>
      </c>
      <c r="O47" s="64">
        <v>0</v>
      </c>
      <c r="P47" s="64">
        <v>0.74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5" t="s">
        <v>1247</v>
      </c>
      <c r="B48" s="64">
        <v>9.77</v>
      </c>
      <c r="C48" s="64">
        <v>11.18</v>
      </c>
      <c r="D48" s="64">
        <v>14.65</v>
      </c>
      <c r="E48" s="64">
        <v>2.19</v>
      </c>
      <c r="F48" s="64">
        <v>3.78</v>
      </c>
      <c r="G48" s="217" t="s">
        <v>42</v>
      </c>
      <c r="H48" s="217" t="s">
        <v>42</v>
      </c>
      <c r="I48" s="64">
        <v>5.04</v>
      </c>
      <c r="J48" s="64">
        <v>0.27</v>
      </c>
      <c r="K48" s="64">
        <v>45.21</v>
      </c>
      <c r="L48" s="64">
        <v>23.69</v>
      </c>
      <c r="M48" s="64">
        <v>97.01</v>
      </c>
      <c r="N48" s="64">
        <v>268.7</v>
      </c>
      <c r="O48" s="64">
        <v>0</v>
      </c>
      <c r="P48" s="64">
        <v>0.82</v>
      </c>
      <c r="Q48" s="64">
        <v>8.92</v>
      </c>
      <c r="R48" s="198"/>
      <c r="S48" s="198"/>
      <c r="T48" s="198"/>
      <c r="U48" s="198"/>
    </row>
    <row r="49" spans="1:21" s="12" customFormat="1" x14ac:dyDescent="0.25">
      <c r="A49" s="215" t="s">
        <v>1248</v>
      </c>
      <c r="B49" s="64">
        <v>9.57</v>
      </c>
      <c r="C49" s="64">
        <v>13.44</v>
      </c>
      <c r="D49" s="64">
        <v>15.74</v>
      </c>
      <c r="E49" s="64">
        <v>2.66</v>
      </c>
      <c r="F49" s="64">
        <v>5.77</v>
      </c>
      <c r="G49" s="217" t="s">
        <v>42</v>
      </c>
      <c r="H49" s="217" t="s">
        <v>42</v>
      </c>
      <c r="I49" s="64">
        <v>5.23</v>
      </c>
      <c r="J49" s="64">
        <v>0.3</v>
      </c>
      <c r="K49" s="64">
        <v>36.94</v>
      </c>
      <c r="L49" s="64">
        <v>23.65</v>
      </c>
      <c r="M49" s="64">
        <v>96.83</v>
      </c>
      <c r="N49" s="64">
        <v>312</v>
      </c>
      <c r="O49" s="64">
        <v>0</v>
      </c>
      <c r="P49" s="64">
        <v>0.88</v>
      </c>
      <c r="Q49" s="64">
        <v>9.0500000000000007</v>
      </c>
      <c r="R49" s="198"/>
      <c r="S49" s="198"/>
      <c r="T49" s="198"/>
      <c r="U49" s="198"/>
    </row>
    <row r="50" spans="1:21" s="12" customFormat="1" x14ac:dyDescent="0.25">
      <c r="A50" s="215" t="s">
        <v>1249</v>
      </c>
      <c r="B50" s="64">
        <v>8.09</v>
      </c>
      <c r="C50" s="64">
        <v>20.59</v>
      </c>
      <c r="D50" s="64">
        <v>18.489999999999998</v>
      </c>
      <c r="E50" s="64">
        <v>2.1</v>
      </c>
      <c r="F50" s="64">
        <v>7.63</v>
      </c>
      <c r="G50" s="217" t="s">
        <v>42</v>
      </c>
      <c r="H50" s="217" t="s">
        <v>42</v>
      </c>
      <c r="I50" s="64">
        <v>5.35</v>
      </c>
      <c r="J50" s="64">
        <v>0.3</v>
      </c>
      <c r="K50" s="64">
        <v>21.44</v>
      </c>
      <c r="L50" s="64">
        <v>24.09</v>
      </c>
      <c r="M50" s="64">
        <v>94.29</v>
      </c>
      <c r="N50" s="64">
        <v>231</v>
      </c>
      <c r="O50" s="64">
        <v>0</v>
      </c>
      <c r="P50" s="64">
        <v>0.92</v>
      </c>
      <c r="Q50" s="64">
        <v>7.21</v>
      </c>
      <c r="R50" s="198"/>
      <c r="S50" s="198"/>
      <c r="T50" s="198"/>
      <c r="U50" s="198"/>
    </row>
    <row r="51" spans="1:21" s="12" customFormat="1" x14ac:dyDescent="0.25">
      <c r="A51" s="215" t="s">
        <v>1250</v>
      </c>
      <c r="B51" s="64">
        <v>7.32</v>
      </c>
      <c r="C51" s="64">
        <v>20.61</v>
      </c>
      <c r="D51" s="64">
        <v>17.89</v>
      </c>
      <c r="E51" s="64">
        <v>2.44</v>
      </c>
      <c r="F51" s="64">
        <v>4.78</v>
      </c>
      <c r="G51" s="217" t="s">
        <v>42</v>
      </c>
      <c r="H51" s="217" t="s">
        <v>42</v>
      </c>
      <c r="I51" s="64">
        <v>4.33</v>
      </c>
      <c r="J51" s="64">
        <v>0.25</v>
      </c>
      <c r="K51" s="64">
        <v>27.57</v>
      </c>
      <c r="L51" s="64">
        <v>23.56</v>
      </c>
      <c r="M51" s="64">
        <v>95.23</v>
      </c>
      <c r="N51" s="64">
        <v>121.3</v>
      </c>
      <c r="O51" s="64">
        <v>0</v>
      </c>
      <c r="P51" s="64">
        <v>0.92</v>
      </c>
      <c r="Q51" s="64">
        <v>6.89</v>
      </c>
      <c r="R51" s="198"/>
      <c r="S51" s="198"/>
      <c r="T51" s="198"/>
      <c r="U51" s="198"/>
    </row>
    <row r="52" spans="1:21" s="12" customFormat="1" x14ac:dyDescent="0.25">
      <c r="A52" s="215" t="s">
        <v>1251</v>
      </c>
      <c r="B52" s="64">
        <v>6.34</v>
      </c>
      <c r="C52" s="64">
        <v>18.690000000000001</v>
      </c>
      <c r="D52" s="64">
        <v>16.05</v>
      </c>
      <c r="E52" s="64">
        <v>1.76</v>
      </c>
      <c r="F52" s="64">
        <v>5.31</v>
      </c>
      <c r="G52" s="217" t="s">
        <v>42</v>
      </c>
      <c r="H52" s="217" t="s">
        <v>42</v>
      </c>
      <c r="I52" s="64">
        <v>3.49</v>
      </c>
      <c r="J52" s="64">
        <v>0.27</v>
      </c>
      <c r="K52" s="64">
        <v>22.2</v>
      </c>
      <c r="L52" s="64">
        <v>23.45</v>
      </c>
      <c r="M52" s="64">
        <v>95.86</v>
      </c>
      <c r="N52" s="64">
        <v>131.30000000000001</v>
      </c>
      <c r="O52" s="64">
        <v>0</v>
      </c>
      <c r="P52" s="64">
        <v>0.92</v>
      </c>
      <c r="Q52" s="64">
        <v>5.12</v>
      </c>
      <c r="R52" s="198"/>
      <c r="S52" s="198"/>
      <c r="T52" s="198"/>
      <c r="U52" s="198"/>
    </row>
    <row r="53" spans="1:21" s="12" customFormat="1" x14ac:dyDescent="0.25">
      <c r="A53" s="215" t="s">
        <v>1252</v>
      </c>
      <c r="B53" s="64">
        <v>6.93</v>
      </c>
      <c r="C53" s="64">
        <v>16.36</v>
      </c>
      <c r="D53" s="64">
        <v>15.23</v>
      </c>
      <c r="E53" s="64">
        <v>1.44</v>
      </c>
      <c r="F53" s="64">
        <v>3.78</v>
      </c>
      <c r="G53" s="217" t="s">
        <v>42</v>
      </c>
      <c r="H53" s="217" t="s">
        <v>42</v>
      </c>
      <c r="I53" s="64">
        <v>3.26</v>
      </c>
      <c r="J53" s="64">
        <v>0.28999999999999998</v>
      </c>
      <c r="K53" s="64">
        <v>25.59</v>
      </c>
      <c r="L53" s="64">
        <v>23.61</v>
      </c>
      <c r="M53" s="64">
        <v>95.45</v>
      </c>
      <c r="N53" s="64">
        <v>176.8</v>
      </c>
      <c r="O53" s="64">
        <v>0</v>
      </c>
      <c r="P53" s="64">
        <v>0.91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5" t="s">
        <v>1253</v>
      </c>
      <c r="B54" s="64">
        <v>6.84</v>
      </c>
      <c r="C54" s="64">
        <v>14.45</v>
      </c>
      <c r="D54" s="64">
        <v>14.11</v>
      </c>
      <c r="E54" s="64">
        <v>2.17</v>
      </c>
      <c r="F54" s="64">
        <v>4.5</v>
      </c>
      <c r="G54" s="217" t="s">
        <v>42</v>
      </c>
      <c r="H54" s="217" t="s">
        <v>42</v>
      </c>
      <c r="I54" s="64">
        <v>3.27</v>
      </c>
      <c r="J54" s="64">
        <v>0.27</v>
      </c>
      <c r="K54" s="64">
        <v>19.03</v>
      </c>
      <c r="L54" s="64">
        <v>23.56</v>
      </c>
      <c r="M54" s="64">
        <v>94.51</v>
      </c>
      <c r="N54" s="64">
        <v>150.6</v>
      </c>
      <c r="O54" s="64">
        <v>0</v>
      </c>
      <c r="P54" s="64">
        <v>0.98</v>
      </c>
      <c r="Q54" s="64">
        <v>5.33</v>
      </c>
      <c r="R54" s="198"/>
      <c r="S54" s="198"/>
      <c r="T54" s="198"/>
      <c r="U54" s="198"/>
    </row>
    <row r="55" spans="1:21" s="12" customFormat="1" x14ac:dyDescent="0.25">
      <c r="A55" s="215" t="s">
        <v>1254</v>
      </c>
      <c r="B55" s="64">
        <v>6.37</v>
      </c>
      <c r="C55" s="64">
        <v>14.44</v>
      </c>
      <c r="D55" s="64">
        <v>13.72</v>
      </c>
      <c r="E55" s="64">
        <v>1.9</v>
      </c>
      <c r="F55" s="64">
        <v>4.97</v>
      </c>
      <c r="G55" s="217" t="s">
        <v>42</v>
      </c>
      <c r="H55" s="217" t="s">
        <v>42</v>
      </c>
      <c r="I55" s="64">
        <v>3.66</v>
      </c>
      <c r="J55" s="64">
        <v>0.26</v>
      </c>
      <c r="K55" s="64">
        <v>28.09</v>
      </c>
      <c r="L55" s="64">
        <v>23.49</v>
      </c>
      <c r="M55" s="64">
        <v>94.71</v>
      </c>
      <c r="N55" s="64">
        <v>128.5</v>
      </c>
      <c r="O55" s="64">
        <v>0</v>
      </c>
      <c r="P55" s="64">
        <v>1.1000000000000001</v>
      </c>
      <c r="Q55" s="64">
        <v>7.51</v>
      </c>
      <c r="R55" s="198"/>
      <c r="S55" s="198"/>
      <c r="T55" s="198"/>
      <c r="U55" s="198"/>
    </row>
    <row r="56" spans="1:21" s="12" customFormat="1" x14ac:dyDescent="0.25">
      <c r="A56" s="215" t="s">
        <v>1255</v>
      </c>
      <c r="B56" s="64">
        <v>5.94</v>
      </c>
      <c r="C56" s="64">
        <v>16.34</v>
      </c>
      <c r="D56" s="64">
        <v>14.43</v>
      </c>
      <c r="E56" s="64">
        <v>1.6</v>
      </c>
      <c r="F56" s="64">
        <v>6.53</v>
      </c>
      <c r="G56" s="217" t="s">
        <v>42</v>
      </c>
      <c r="H56" s="217" t="s">
        <v>42</v>
      </c>
      <c r="I56" s="64">
        <v>4.46</v>
      </c>
      <c r="J56" s="64">
        <v>0.27</v>
      </c>
      <c r="K56" s="64">
        <v>17.46</v>
      </c>
      <c r="L56" s="64">
        <v>23.63</v>
      </c>
      <c r="M56" s="64">
        <v>93.44</v>
      </c>
      <c r="N56" s="64">
        <v>196.3</v>
      </c>
      <c r="O56" s="64">
        <v>0</v>
      </c>
      <c r="P56" s="64">
        <v>1.19</v>
      </c>
      <c r="Q56" s="64">
        <v>7.5</v>
      </c>
      <c r="R56" s="198"/>
      <c r="S56" s="198"/>
      <c r="T56" s="198"/>
      <c r="U56" s="198"/>
    </row>
    <row r="57" spans="1:21" s="12" customFormat="1" x14ac:dyDescent="0.25">
      <c r="A57" s="215" t="s">
        <v>1256</v>
      </c>
      <c r="B57" s="64">
        <v>6.01</v>
      </c>
      <c r="C57" s="64">
        <v>20.16</v>
      </c>
      <c r="D57" s="64">
        <v>16.59</v>
      </c>
      <c r="E57" s="64">
        <v>1.61</v>
      </c>
      <c r="F57" s="64">
        <v>9.75</v>
      </c>
      <c r="G57" s="217" t="s">
        <v>42</v>
      </c>
      <c r="H57" s="217" t="s">
        <v>42</v>
      </c>
      <c r="I57" s="64">
        <v>5.23</v>
      </c>
      <c r="J57" s="64">
        <v>0.31</v>
      </c>
      <c r="K57" s="64">
        <v>24.52</v>
      </c>
      <c r="L57" s="64">
        <v>24.22</v>
      </c>
      <c r="M57" s="64">
        <v>91.17</v>
      </c>
      <c r="N57" s="64">
        <v>314</v>
      </c>
      <c r="O57" s="64">
        <v>0</v>
      </c>
      <c r="P57" s="64">
        <v>0.99</v>
      </c>
      <c r="Q57" s="64">
        <v>9.58</v>
      </c>
      <c r="R57" s="198"/>
      <c r="S57" s="198"/>
      <c r="T57" s="198"/>
      <c r="U57" s="198"/>
    </row>
    <row r="58" spans="1:21" s="12" customFormat="1" x14ac:dyDescent="0.25">
      <c r="A58" s="215" t="s">
        <v>1257</v>
      </c>
      <c r="B58" s="64">
        <v>6.64</v>
      </c>
      <c r="C58" s="64">
        <v>24.17</v>
      </c>
      <c r="D58" s="64">
        <v>19.309999999999999</v>
      </c>
      <c r="E58" s="64">
        <v>2.0499999999999998</v>
      </c>
      <c r="F58" s="64">
        <v>17.309999999999999</v>
      </c>
      <c r="G58" s="217" t="s">
        <v>42</v>
      </c>
      <c r="H58" s="217" t="s">
        <v>42</v>
      </c>
      <c r="I58" s="64">
        <v>5.64</v>
      </c>
      <c r="J58" s="64">
        <v>0.34</v>
      </c>
      <c r="K58" s="64">
        <v>25.51</v>
      </c>
      <c r="L58" s="64">
        <v>24.61</v>
      </c>
      <c r="M58" s="64">
        <v>88.32</v>
      </c>
      <c r="N58" s="64">
        <v>408.7</v>
      </c>
      <c r="O58" s="64">
        <v>0</v>
      </c>
      <c r="P58" s="64">
        <v>0.86</v>
      </c>
      <c r="Q58" s="64">
        <v>9.0299999999999994</v>
      </c>
      <c r="R58" s="198"/>
      <c r="S58" s="198"/>
      <c r="T58" s="198"/>
      <c r="U58" s="198"/>
    </row>
    <row r="59" spans="1:21" s="12" customFormat="1" x14ac:dyDescent="0.25">
      <c r="A59" s="215" t="s">
        <v>1258</v>
      </c>
      <c r="B59" s="64">
        <v>5.75</v>
      </c>
      <c r="C59" s="64">
        <v>21.82</v>
      </c>
      <c r="D59" s="64">
        <v>17.3</v>
      </c>
      <c r="E59" s="64">
        <v>2.48</v>
      </c>
      <c r="F59" s="64">
        <v>22.86</v>
      </c>
      <c r="G59" s="217" t="s">
        <v>42</v>
      </c>
      <c r="H59" s="217" t="s">
        <v>42</v>
      </c>
      <c r="I59" s="64">
        <v>3.71</v>
      </c>
      <c r="J59" s="64">
        <v>0.37</v>
      </c>
      <c r="K59" s="64">
        <v>26.95</v>
      </c>
      <c r="L59" s="64">
        <v>24.52</v>
      </c>
      <c r="M59" s="64">
        <v>87.95</v>
      </c>
      <c r="N59" s="64">
        <v>313.8</v>
      </c>
      <c r="O59" s="64">
        <v>0</v>
      </c>
      <c r="P59" s="64">
        <v>0.73</v>
      </c>
      <c r="Q59" s="64">
        <v>6.78</v>
      </c>
      <c r="R59" s="198"/>
      <c r="S59" s="198"/>
      <c r="T59" s="198"/>
      <c r="U59" s="198"/>
    </row>
    <row r="60" spans="1:21" s="12" customFormat="1" x14ac:dyDescent="0.25">
      <c r="A60" s="215" t="s">
        <v>1259</v>
      </c>
      <c r="B60" s="64">
        <v>5.44</v>
      </c>
      <c r="C60" s="64">
        <v>20.59</v>
      </c>
      <c r="D60" s="64">
        <v>16.37</v>
      </c>
      <c r="E60" s="64">
        <v>2.13</v>
      </c>
      <c r="F60" s="64">
        <v>23.05</v>
      </c>
      <c r="G60" s="217" t="s">
        <v>42</v>
      </c>
      <c r="H60" s="217" t="s">
        <v>42</v>
      </c>
      <c r="I60" s="64">
        <v>2.09</v>
      </c>
      <c r="J60" s="64">
        <v>0.33</v>
      </c>
      <c r="K60" s="64">
        <v>18.059999999999999</v>
      </c>
      <c r="L60" s="64">
        <v>25.67</v>
      </c>
      <c r="M60" s="64">
        <v>83.2</v>
      </c>
      <c r="N60" s="64">
        <v>662.6</v>
      </c>
      <c r="O60" s="64">
        <v>0</v>
      </c>
      <c r="P60" s="64">
        <v>0.79</v>
      </c>
      <c r="Q60" s="64">
        <v>5.86</v>
      </c>
      <c r="R60" s="198"/>
      <c r="S60" s="198"/>
      <c r="T60" s="198"/>
      <c r="U60" s="198"/>
    </row>
    <row r="61" spans="1:21" s="12" customFormat="1" x14ac:dyDescent="0.25">
      <c r="A61" s="215" t="s">
        <v>1260</v>
      </c>
      <c r="B61" s="64">
        <v>4.21</v>
      </c>
      <c r="C61" s="64">
        <v>19.61</v>
      </c>
      <c r="D61" s="64">
        <v>14.84</v>
      </c>
      <c r="E61" s="64">
        <v>1.52</v>
      </c>
      <c r="F61" s="64">
        <v>10.32</v>
      </c>
      <c r="G61" s="217" t="s">
        <v>42</v>
      </c>
      <c r="H61" s="217" t="s">
        <v>42</v>
      </c>
      <c r="I61" s="64">
        <v>2.06</v>
      </c>
      <c r="J61" s="64">
        <v>0.39</v>
      </c>
      <c r="K61" s="64">
        <v>12.59</v>
      </c>
      <c r="L61" s="64">
        <v>26.46</v>
      </c>
      <c r="M61" s="64">
        <v>80.2</v>
      </c>
      <c r="N61" s="64">
        <v>658.4</v>
      </c>
      <c r="O61" s="64">
        <v>0</v>
      </c>
      <c r="P61" s="64">
        <v>0.75</v>
      </c>
      <c r="Q61" s="64">
        <v>5.48</v>
      </c>
      <c r="R61" s="198"/>
      <c r="S61" s="198"/>
      <c r="T61" s="198"/>
      <c r="U61" s="198"/>
    </row>
    <row r="62" spans="1:21" s="12" customFormat="1" x14ac:dyDescent="0.25">
      <c r="A62" s="215" t="s">
        <v>1261</v>
      </c>
      <c r="B62" s="64">
        <v>4.5199999999999996</v>
      </c>
      <c r="C62" s="64">
        <v>17.73</v>
      </c>
      <c r="D62" s="64">
        <v>14.06</v>
      </c>
      <c r="E62" s="64">
        <v>0.88</v>
      </c>
      <c r="F62" s="64">
        <v>5.96</v>
      </c>
      <c r="G62" s="217" t="s">
        <v>42</v>
      </c>
      <c r="H62" s="217" t="s">
        <v>42</v>
      </c>
      <c r="I62" s="64">
        <v>1.84</v>
      </c>
      <c r="J62" s="64">
        <v>0.36</v>
      </c>
      <c r="K62" s="64">
        <v>32.07</v>
      </c>
      <c r="L62" s="64">
        <v>26.22</v>
      </c>
      <c r="M62" s="64">
        <v>80.58</v>
      </c>
      <c r="N62" s="64">
        <v>556.29999999999995</v>
      </c>
      <c r="O62" s="64">
        <v>0</v>
      </c>
      <c r="P62" s="64">
        <v>0.89</v>
      </c>
      <c r="Q62" s="64">
        <v>4.46</v>
      </c>
      <c r="R62" s="198"/>
      <c r="S62" s="198"/>
      <c r="T62" s="198"/>
      <c r="U62" s="198"/>
    </row>
    <row r="63" spans="1:21" s="12" customFormat="1" x14ac:dyDescent="0.25">
      <c r="A63" s="215" t="s">
        <v>1262</v>
      </c>
      <c r="B63" s="64">
        <v>5.43</v>
      </c>
      <c r="C63" s="64">
        <v>16.739999999999998</v>
      </c>
      <c r="D63" s="64">
        <v>14.24</v>
      </c>
      <c r="E63" s="64">
        <v>0.42</v>
      </c>
      <c r="F63" s="64">
        <v>6.28</v>
      </c>
      <c r="G63" s="217" t="s">
        <v>42</v>
      </c>
      <c r="H63" s="217" t="s">
        <v>42</v>
      </c>
      <c r="I63" s="64">
        <v>1.89</v>
      </c>
      <c r="J63" s="64">
        <v>0.38</v>
      </c>
      <c r="K63" s="64">
        <v>25.25</v>
      </c>
      <c r="L63" s="64">
        <v>26.2</v>
      </c>
      <c r="M63" s="64">
        <v>80.28</v>
      </c>
      <c r="N63" s="64">
        <v>753.6</v>
      </c>
      <c r="O63" s="64">
        <v>0</v>
      </c>
      <c r="P63" s="64">
        <v>0.94</v>
      </c>
      <c r="Q63" s="64">
        <v>4.1500000000000004</v>
      </c>
      <c r="R63" s="198"/>
      <c r="S63" s="198"/>
      <c r="T63" s="198"/>
      <c r="U63" s="198"/>
    </row>
    <row r="64" spans="1:21" s="12" customFormat="1" x14ac:dyDescent="0.25">
      <c r="A64" s="215" t="s">
        <v>1263</v>
      </c>
      <c r="B64" s="64">
        <v>5.23</v>
      </c>
      <c r="C64" s="64">
        <v>17.829999999999998</v>
      </c>
      <c r="D64" s="64">
        <v>14.68</v>
      </c>
      <c r="E64" s="64">
        <v>1.19</v>
      </c>
      <c r="F64" s="64">
        <v>6.52</v>
      </c>
      <c r="G64" s="217" t="s">
        <v>42</v>
      </c>
      <c r="H64" s="217" t="s">
        <v>42</v>
      </c>
      <c r="I64" s="64">
        <v>2.2599999999999998</v>
      </c>
      <c r="J64" s="64">
        <v>0.27</v>
      </c>
      <c r="K64" s="64">
        <v>17.98</v>
      </c>
      <c r="L64" s="64">
        <v>26.3</v>
      </c>
      <c r="M64" s="64">
        <v>79.459999999999994</v>
      </c>
      <c r="N64" s="64">
        <v>523.1</v>
      </c>
      <c r="O64" s="64">
        <v>0</v>
      </c>
      <c r="P64" s="64">
        <v>0.87</v>
      </c>
      <c r="Q64" s="64">
        <v>4.0599999999999996</v>
      </c>
      <c r="R64" s="198"/>
      <c r="S64" s="198"/>
      <c r="T64" s="198"/>
      <c r="U64" s="198"/>
    </row>
    <row r="65" spans="1:21" s="12" customFormat="1" x14ac:dyDescent="0.25">
      <c r="A65" s="215" t="s">
        <v>1264</v>
      </c>
      <c r="B65" s="64">
        <v>4.57</v>
      </c>
      <c r="C65" s="64">
        <v>18.43</v>
      </c>
      <c r="D65" s="64">
        <v>14.49</v>
      </c>
      <c r="E65" s="64">
        <v>1.23</v>
      </c>
      <c r="F65" s="64">
        <v>8.5399999999999991</v>
      </c>
      <c r="G65" s="217" t="s">
        <v>42</v>
      </c>
      <c r="H65" s="217" t="s">
        <v>42</v>
      </c>
      <c r="I65" s="64">
        <v>2.54</v>
      </c>
      <c r="J65" s="64">
        <v>0.2</v>
      </c>
      <c r="K65" s="64">
        <v>21.75</v>
      </c>
      <c r="L65" s="64">
        <v>25.9</v>
      </c>
      <c r="M65" s="64">
        <v>81.39</v>
      </c>
      <c r="N65" s="64">
        <v>496.3</v>
      </c>
      <c r="O65" s="64">
        <v>0</v>
      </c>
      <c r="P65" s="64">
        <v>0.92</v>
      </c>
      <c r="Q65" s="64">
        <v>5.08</v>
      </c>
      <c r="R65" s="198"/>
      <c r="S65" s="198"/>
      <c r="T65" s="198"/>
      <c r="U65" s="198"/>
    </row>
    <row r="66" spans="1:21" s="12" customFormat="1" x14ac:dyDescent="0.25">
      <c r="A66" s="215" t="s">
        <v>1265</v>
      </c>
      <c r="B66" s="64">
        <v>4.1900000000000004</v>
      </c>
      <c r="C66" s="64">
        <v>17.86</v>
      </c>
      <c r="D66" s="64">
        <v>13.67</v>
      </c>
      <c r="E66" s="64">
        <v>1.18</v>
      </c>
      <c r="F66" s="64">
        <v>6.77</v>
      </c>
      <c r="G66" s="217" t="s">
        <v>42</v>
      </c>
      <c r="H66" s="217" t="s">
        <v>42</v>
      </c>
      <c r="I66" s="64">
        <v>3.11</v>
      </c>
      <c r="J66" s="64">
        <v>0.28999999999999998</v>
      </c>
      <c r="K66" s="64">
        <v>28.85</v>
      </c>
      <c r="L66" s="64">
        <v>25.97</v>
      </c>
      <c r="M66" s="64">
        <v>79.53</v>
      </c>
      <c r="N66" s="64">
        <v>369.7</v>
      </c>
      <c r="O66" s="64">
        <v>0</v>
      </c>
      <c r="P66" s="64">
        <v>0.93</v>
      </c>
      <c r="Q66" s="64">
        <v>0</v>
      </c>
      <c r="R66" s="198"/>
      <c r="S66" s="198"/>
      <c r="T66" s="198"/>
      <c r="U66" s="198"/>
    </row>
    <row r="67" spans="1:21" s="12" customFormat="1" x14ac:dyDescent="0.25">
      <c r="A67" s="215" t="s">
        <v>1266</v>
      </c>
      <c r="B67" s="64">
        <v>5.18</v>
      </c>
      <c r="C67" s="64">
        <v>16.100000000000001</v>
      </c>
      <c r="D67" s="64">
        <v>13.68</v>
      </c>
      <c r="E67" s="64">
        <v>0.83</v>
      </c>
      <c r="F67" s="64">
        <v>6.35</v>
      </c>
      <c r="G67" s="217" t="s">
        <v>42</v>
      </c>
      <c r="H67" s="217" t="s">
        <v>42</v>
      </c>
      <c r="I67" s="64">
        <v>3.09</v>
      </c>
      <c r="J67" s="64">
        <v>0.3</v>
      </c>
      <c r="K67" s="64">
        <v>20.99</v>
      </c>
      <c r="L67" s="64">
        <v>25.95</v>
      </c>
      <c r="M67" s="64">
        <v>80.56</v>
      </c>
      <c r="N67" s="64">
        <v>400.9</v>
      </c>
      <c r="O67" s="64">
        <v>0</v>
      </c>
      <c r="P67" s="64">
        <v>0.95</v>
      </c>
      <c r="Q67" s="64">
        <v>8.43</v>
      </c>
      <c r="R67" s="198"/>
      <c r="S67" s="198"/>
      <c r="T67" s="198"/>
      <c r="U67" s="198"/>
    </row>
    <row r="68" spans="1:21" s="12" customFormat="1" x14ac:dyDescent="0.25">
      <c r="A68" s="215" t="s">
        <v>1267</v>
      </c>
      <c r="B68" s="64">
        <v>4.55</v>
      </c>
      <c r="C68" s="64">
        <v>16.79</v>
      </c>
      <c r="D68" s="64">
        <v>13.56</v>
      </c>
      <c r="E68" s="64">
        <v>1.18</v>
      </c>
      <c r="F68" s="64">
        <v>12.46</v>
      </c>
      <c r="G68" s="217" t="s">
        <v>42</v>
      </c>
      <c r="H68" s="217" t="s">
        <v>42</v>
      </c>
      <c r="I68" s="64">
        <v>3.25</v>
      </c>
      <c r="J68" s="64">
        <v>0.25</v>
      </c>
      <c r="K68" s="64">
        <v>26.04</v>
      </c>
      <c r="L68" s="64">
        <v>25.89</v>
      </c>
      <c r="M68" s="64">
        <v>80.62</v>
      </c>
      <c r="N68" s="64">
        <v>373.9</v>
      </c>
      <c r="O68" s="64">
        <v>0</v>
      </c>
      <c r="P68" s="64">
        <v>0.88</v>
      </c>
      <c r="Q68" s="64">
        <v>7.02</v>
      </c>
      <c r="R68" s="198"/>
      <c r="S68" s="198"/>
      <c r="T68" s="198"/>
      <c r="U68" s="198"/>
    </row>
    <row r="69" spans="1:21" s="12" customFormat="1" x14ac:dyDescent="0.25">
      <c r="A69" s="215" t="s">
        <v>1268</v>
      </c>
      <c r="B69" s="64">
        <v>4.88</v>
      </c>
      <c r="C69" s="64">
        <v>17.02</v>
      </c>
      <c r="D69" s="64">
        <v>13.96</v>
      </c>
      <c r="E69" s="64">
        <v>1.25</v>
      </c>
      <c r="F69" s="64">
        <v>8.4700000000000006</v>
      </c>
      <c r="G69" s="217" t="s">
        <v>42</v>
      </c>
      <c r="H69" s="217" t="s">
        <v>42</v>
      </c>
      <c r="I69" s="64">
        <v>3.15</v>
      </c>
      <c r="J69" s="64">
        <v>0.31</v>
      </c>
      <c r="K69" s="64">
        <v>24.02</v>
      </c>
      <c r="L69" s="64">
        <v>26.62</v>
      </c>
      <c r="M69" s="64">
        <v>78.3</v>
      </c>
      <c r="N69" s="64">
        <v>318.10000000000002</v>
      </c>
      <c r="O69" s="64">
        <v>0</v>
      </c>
      <c r="P69" s="64">
        <v>0.88</v>
      </c>
      <c r="Q69" s="64">
        <v>6.68</v>
      </c>
      <c r="R69" s="198"/>
      <c r="S69" s="198"/>
      <c r="T69" s="198"/>
      <c r="U69" s="198"/>
    </row>
    <row r="70" spans="1:21" s="12" customFormat="1" x14ac:dyDescent="0.25">
      <c r="A70" s="215" t="s">
        <v>1269</v>
      </c>
      <c r="B70" s="64">
        <v>6.01</v>
      </c>
      <c r="C70" s="64">
        <v>18.29</v>
      </c>
      <c r="D70" s="64">
        <v>15.56</v>
      </c>
      <c r="E70" s="64">
        <v>1.41</v>
      </c>
      <c r="F70" s="64">
        <v>3.89</v>
      </c>
      <c r="G70" s="217" t="s">
        <v>42</v>
      </c>
      <c r="H70" s="217" t="s">
        <v>42</v>
      </c>
      <c r="I70" s="64">
        <v>2.79</v>
      </c>
      <c r="J70" s="64">
        <v>0.33</v>
      </c>
      <c r="K70" s="64">
        <v>14.07</v>
      </c>
      <c r="L70" s="64">
        <v>26.47</v>
      </c>
      <c r="M70" s="64">
        <v>78.12</v>
      </c>
      <c r="N70" s="64">
        <v>280.5</v>
      </c>
      <c r="O70" s="64">
        <v>0</v>
      </c>
      <c r="P70" s="64">
        <v>0.94</v>
      </c>
      <c r="Q70" s="64">
        <v>8.2200000000000006</v>
      </c>
      <c r="R70" s="198"/>
      <c r="S70" s="198"/>
      <c r="T70" s="198"/>
      <c r="U70" s="198"/>
    </row>
    <row r="71" spans="1:21" s="12" customFormat="1" x14ac:dyDescent="0.25">
      <c r="A71" s="215" t="s">
        <v>1270</v>
      </c>
      <c r="B71" s="64">
        <v>6.1</v>
      </c>
      <c r="C71" s="64">
        <v>16.91</v>
      </c>
      <c r="D71" s="64">
        <v>14.87</v>
      </c>
      <c r="E71" s="64">
        <v>1.1100000000000001</v>
      </c>
      <c r="F71" s="64">
        <v>5.99</v>
      </c>
      <c r="G71" s="217" t="s">
        <v>42</v>
      </c>
      <c r="H71" s="217" t="s">
        <v>42</v>
      </c>
      <c r="I71" s="64">
        <v>2.72</v>
      </c>
      <c r="J71" s="64">
        <v>0.32</v>
      </c>
      <c r="K71" s="64">
        <v>22.47</v>
      </c>
      <c r="L71" s="64">
        <v>26.09</v>
      </c>
      <c r="M71" s="64">
        <v>79.5</v>
      </c>
      <c r="N71" s="64">
        <v>264.7</v>
      </c>
      <c r="O71" s="64">
        <v>0</v>
      </c>
      <c r="P71" s="64">
        <v>0.93</v>
      </c>
      <c r="Q71" s="64">
        <v>6.49</v>
      </c>
      <c r="R71" s="198"/>
      <c r="S71" s="198"/>
      <c r="T71" s="198"/>
      <c r="U71" s="198"/>
    </row>
    <row r="72" spans="1:21" s="12" customFormat="1" x14ac:dyDescent="0.25">
      <c r="A72" s="215" t="s">
        <v>1271</v>
      </c>
      <c r="B72" s="64">
        <v>6.53</v>
      </c>
      <c r="C72" s="64">
        <v>16.93</v>
      </c>
      <c r="D72" s="64">
        <v>15.23</v>
      </c>
      <c r="E72" s="64">
        <v>1.2</v>
      </c>
      <c r="F72" s="64">
        <v>5.29</v>
      </c>
      <c r="G72" s="217" t="s">
        <v>42</v>
      </c>
      <c r="H72" s="217" t="s">
        <v>42</v>
      </c>
      <c r="I72" s="64">
        <v>2.85</v>
      </c>
      <c r="J72" s="64">
        <v>0.22</v>
      </c>
      <c r="K72" s="64">
        <v>31.97</v>
      </c>
      <c r="L72" s="64">
        <v>26.19</v>
      </c>
      <c r="M72" s="64">
        <v>78.97</v>
      </c>
      <c r="N72" s="64">
        <v>293.8</v>
      </c>
      <c r="O72" s="64">
        <v>0</v>
      </c>
      <c r="P72" s="64">
        <v>0.94</v>
      </c>
      <c r="Q72" s="64">
        <v>6.48</v>
      </c>
      <c r="R72" s="198"/>
      <c r="S72" s="198"/>
      <c r="T72" s="198"/>
      <c r="U72" s="198"/>
    </row>
    <row r="73" spans="1:21" s="12" customFormat="1" x14ac:dyDescent="0.25">
      <c r="A73" s="215" t="s">
        <v>1272</v>
      </c>
      <c r="B73" s="64">
        <v>5.64</v>
      </c>
      <c r="C73" s="64">
        <v>17.54</v>
      </c>
      <c r="D73" s="64">
        <v>14.85</v>
      </c>
      <c r="E73" s="64">
        <v>2.0499999999999998</v>
      </c>
      <c r="F73" s="64">
        <v>8.2200000000000006</v>
      </c>
      <c r="G73" s="217" t="s">
        <v>42</v>
      </c>
      <c r="H73" s="217" t="s">
        <v>42</v>
      </c>
      <c r="I73" s="64">
        <v>2.86</v>
      </c>
      <c r="J73" s="64">
        <v>0.27</v>
      </c>
      <c r="K73" s="64">
        <v>23.11</v>
      </c>
      <c r="L73" s="64">
        <v>26.06</v>
      </c>
      <c r="M73" s="64">
        <v>79.209999999999994</v>
      </c>
      <c r="N73" s="64">
        <v>285.39999999999998</v>
      </c>
      <c r="O73" s="64">
        <v>0</v>
      </c>
      <c r="P73" s="64">
        <v>0.93</v>
      </c>
      <c r="Q73" s="64">
        <v>5.41</v>
      </c>
      <c r="R73" s="198"/>
      <c r="S73" s="198"/>
      <c r="T73" s="198"/>
      <c r="U73" s="198"/>
    </row>
    <row r="74" spans="1:21" s="12" customFormat="1" x14ac:dyDescent="0.25">
      <c r="A74" s="215" t="s">
        <v>1273</v>
      </c>
      <c r="B74" s="64">
        <v>4.96</v>
      </c>
      <c r="C74" s="64">
        <v>21.45</v>
      </c>
      <c r="D74" s="64">
        <v>16.46</v>
      </c>
      <c r="E74" s="64">
        <v>1.95</v>
      </c>
      <c r="F74" s="64">
        <v>17.72</v>
      </c>
      <c r="G74" s="217" t="s">
        <v>42</v>
      </c>
      <c r="H74" s="217" t="s">
        <v>42</v>
      </c>
      <c r="I74" s="64">
        <v>2.81</v>
      </c>
      <c r="J74" s="64">
        <v>0.18</v>
      </c>
      <c r="K74" s="64">
        <v>25.96</v>
      </c>
      <c r="L74" s="64">
        <v>25.89</v>
      </c>
      <c r="M74" s="64">
        <v>80.56</v>
      </c>
      <c r="N74" s="64">
        <v>236.6</v>
      </c>
      <c r="O74" s="64">
        <v>0</v>
      </c>
      <c r="P74" s="64">
        <v>0.83</v>
      </c>
      <c r="Q74" s="64">
        <v>6.32</v>
      </c>
      <c r="R74" s="198"/>
      <c r="S74" s="198"/>
      <c r="T74" s="198"/>
      <c r="U74" s="198"/>
    </row>
    <row r="75" spans="1:21" s="12" customFormat="1" x14ac:dyDescent="0.25">
      <c r="A75" s="215" t="s">
        <v>1274</v>
      </c>
      <c r="B75" s="64">
        <v>3.84</v>
      </c>
      <c r="C75" s="64">
        <v>21.21</v>
      </c>
      <c r="D75" s="64">
        <v>15.43</v>
      </c>
      <c r="E75" s="64">
        <v>2.04</v>
      </c>
      <c r="F75" s="64">
        <v>14.83</v>
      </c>
      <c r="G75" s="217" t="s">
        <v>42</v>
      </c>
      <c r="H75" s="217" t="s">
        <v>42</v>
      </c>
      <c r="I75" s="64">
        <v>2.65</v>
      </c>
      <c r="J75" s="64">
        <v>0.28000000000000003</v>
      </c>
      <c r="K75" s="64">
        <v>18.87</v>
      </c>
      <c r="L75" s="64">
        <v>25.99</v>
      </c>
      <c r="M75" s="64">
        <v>79.98</v>
      </c>
      <c r="N75" s="64">
        <v>239.4</v>
      </c>
      <c r="O75" s="64">
        <v>0</v>
      </c>
      <c r="P75" s="64">
        <v>0.79</v>
      </c>
      <c r="Q75" s="64">
        <v>5</v>
      </c>
      <c r="R75" s="198"/>
      <c r="S75" s="198"/>
      <c r="T75" s="198"/>
      <c r="U75" s="198"/>
    </row>
    <row r="76" spans="1:21" s="12" customFormat="1" x14ac:dyDescent="0.25">
      <c r="A76" s="215" t="s">
        <v>1275</v>
      </c>
      <c r="B76" s="64">
        <v>3.85</v>
      </c>
      <c r="C76" s="64">
        <v>21.26</v>
      </c>
      <c r="D76" s="64">
        <v>15.47</v>
      </c>
      <c r="E76" s="64">
        <v>1.97</v>
      </c>
      <c r="F76" s="64">
        <v>14.99</v>
      </c>
      <c r="G76" s="217" t="s">
        <v>42</v>
      </c>
      <c r="H76" s="217" t="s">
        <v>42</v>
      </c>
      <c r="I76" s="64">
        <v>2.27</v>
      </c>
      <c r="J76" s="64">
        <v>0.23</v>
      </c>
      <c r="K76" s="64">
        <v>26.38</v>
      </c>
      <c r="L76" s="64">
        <v>25.79</v>
      </c>
      <c r="M76" s="64">
        <v>80.47</v>
      </c>
      <c r="N76" s="64">
        <v>122.1</v>
      </c>
      <c r="O76" s="64">
        <v>0</v>
      </c>
      <c r="P76" s="64">
        <v>0.82</v>
      </c>
      <c r="Q76" s="64">
        <v>3.08</v>
      </c>
      <c r="R76" s="198"/>
      <c r="S76" s="198"/>
      <c r="T76" s="198"/>
      <c r="U76" s="198"/>
    </row>
    <row r="77" spans="1:21" s="12" customFormat="1" x14ac:dyDescent="0.25">
      <c r="A77" s="215" t="s">
        <v>1276</v>
      </c>
      <c r="B77" s="64">
        <v>3.89</v>
      </c>
      <c r="C77" s="64">
        <v>18.649999999999999</v>
      </c>
      <c r="D77" s="64">
        <v>14.06</v>
      </c>
      <c r="E77" s="64">
        <v>1.68</v>
      </c>
      <c r="F77" s="64">
        <v>7.28</v>
      </c>
      <c r="G77" s="217" t="s">
        <v>42</v>
      </c>
      <c r="H77" s="217" t="s">
        <v>42</v>
      </c>
      <c r="I77" s="64">
        <v>1.95</v>
      </c>
      <c r="J77" s="64">
        <v>0.15</v>
      </c>
      <c r="K77" s="64">
        <v>19.43</v>
      </c>
      <c r="L77" s="64">
        <v>25.4</v>
      </c>
      <c r="M77" s="64">
        <v>81.45</v>
      </c>
      <c r="N77" s="64">
        <v>127</v>
      </c>
      <c r="O77" s="64">
        <v>0</v>
      </c>
      <c r="P77" s="64">
        <v>0.84</v>
      </c>
      <c r="Q77" s="64">
        <v>2.89</v>
      </c>
      <c r="R77" s="198"/>
      <c r="S77" s="198"/>
      <c r="T77" s="198"/>
      <c r="U77" s="198"/>
    </row>
    <row r="78" spans="1:21" s="12" customFormat="1" x14ac:dyDescent="0.25">
      <c r="A78" s="215" t="s">
        <v>1277</v>
      </c>
      <c r="B78" s="64">
        <v>4.84</v>
      </c>
      <c r="C78" s="64">
        <v>16.02</v>
      </c>
      <c r="D78" s="64">
        <v>13.36</v>
      </c>
      <c r="E78" s="64">
        <v>1.86</v>
      </c>
      <c r="F78" s="64">
        <v>5.25</v>
      </c>
      <c r="G78" s="217" t="s">
        <v>42</v>
      </c>
      <c r="H78" s="217" t="s">
        <v>42</v>
      </c>
      <c r="I78" s="64">
        <v>1.9</v>
      </c>
      <c r="J78" s="64">
        <v>0.16</v>
      </c>
      <c r="K78" s="64">
        <v>22.51</v>
      </c>
      <c r="L78" s="64">
        <v>25.29</v>
      </c>
      <c r="M78" s="64">
        <v>83.2</v>
      </c>
      <c r="N78" s="64">
        <v>108</v>
      </c>
      <c r="O78" s="64">
        <v>0</v>
      </c>
      <c r="P78" s="64">
        <v>0.87</v>
      </c>
      <c r="Q78" s="64">
        <v>5.0199999999999996</v>
      </c>
      <c r="R78" s="198"/>
      <c r="S78" s="198"/>
      <c r="T78" s="198"/>
      <c r="U78" s="198"/>
    </row>
    <row r="79" spans="1:21" s="12" customFormat="1" x14ac:dyDescent="0.25">
      <c r="A79" s="215" t="s">
        <v>1278</v>
      </c>
      <c r="B79" s="64">
        <v>9.14</v>
      </c>
      <c r="C79" s="64">
        <v>17.87</v>
      </c>
      <c r="D79" s="64">
        <v>17.84</v>
      </c>
      <c r="E79" s="64">
        <v>2.38</v>
      </c>
      <c r="F79" s="64">
        <v>10.71</v>
      </c>
      <c r="G79" s="217" t="s">
        <v>42</v>
      </c>
      <c r="H79" s="217" t="s">
        <v>42</v>
      </c>
      <c r="I79" s="64">
        <v>2.11</v>
      </c>
      <c r="J79" s="64">
        <v>0.06</v>
      </c>
      <c r="K79" s="64">
        <v>17.38</v>
      </c>
      <c r="L79" s="64">
        <v>25.28</v>
      </c>
      <c r="M79" s="64">
        <v>82.93</v>
      </c>
      <c r="N79" s="64">
        <v>87.8</v>
      </c>
      <c r="O79" s="64">
        <v>0</v>
      </c>
      <c r="P79" s="64">
        <v>0.94</v>
      </c>
      <c r="Q79" s="64">
        <v>8.06</v>
      </c>
      <c r="R79" s="198"/>
      <c r="S79" s="198"/>
      <c r="T79" s="198"/>
      <c r="U79" s="198"/>
    </row>
    <row r="80" spans="1:21" s="12" customFormat="1" x14ac:dyDescent="0.25">
      <c r="A80" s="215" t="s">
        <v>1279</v>
      </c>
      <c r="B80" s="64">
        <v>5.12</v>
      </c>
      <c r="C80" s="64">
        <v>17.84</v>
      </c>
      <c r="D80" s="64">
        <v>14.59</v>
      </c>
      <c r="E80" s="64">
        <v>2.2400000000000002</v>
      </c>
      <c r="F80" s="64">
        <v>21.16</v>
      </c>
      <c r="G80" s="217" t="s">
        <v>42</v>
      </c>
      <c r="H80" s="217" t="s">
        <v>42</v>
      </c>
      <c r="I80" s="64">
        <v>2.42</v>
      </c>
      <c r="J80" s="64">
        <v>0.02</v>
      </c>
      <c r="K80" s="64">
        <v>202.43</v>
      </c>
      <c r="L80" s="64">
        <v>25.04</v>
      </c>
      <c r="M80" s="64">
        <v>84.21</v>
      </c>
      <c r="N80" s="64">
        <v>66.5</v>
      </c>
      <c r="O80" s="64">
        <v>0</v>
      </c>
      <c r="P80" s="64">
        <v>0.83</v>
      </c>
      <c r="Q80" s="64">
        <v>6.6</v>
      </c>
      <c r="R80" s="198"/>
      <c r="S80" s="198"/>
      <c r="T80" s="198"/>
      <c r="U80" s="198"/>
    </row>
    <row r="81" spans="1:26" s="12" customFormat="1" x14ac:dyDescent="0.25">
      <c r="A81" s="215" t="s">
        <v>1280</v>
      </c>
      <c r="B81" s="64">
        <v>3.64</v>
      </c>
      <c r="C81" s="64">
        <v>17.190000000000001</v>
      </c>
      <c r="D81" s="64">
        <v>13.05</v>
      </c>
      <c r="E81" s="64">
        <v>2.17</v>
      </c>
      <c r="F81" s="64">
        <v>19.95</v>
      </c>
      <c r="G81" s="217" t="s">
        <v>42</v>
      </c>
      <c r="H81" s="217" t="s">
        <v>42</v>
      </c>
      <c r="I81" s="64">
        <v>2.21</v>
      </c>
      <c r="J81" s="64">
        <v>0.11</v>
      </c>
      <c r="K81" s="64">
        <v>4.8</v>
      </c>
      <c r="L81" s="64">
        <v>24.93</v>
      </c>
      <c r="M81" s="64">
        <v>83.65</v>
      </c>
      <c r="N81" s="64">
        <v>61.3</v>
      </c>
      <c r="O81" s="64">
        <v>0</v>
      </c>
      <c r="P81" s="64">
        <v>0.75</v>
      </c>
      <c r="Q81" s="64">
        <v>3.95</v>
      </c>
      <c r="R81" s="198"/>
      <c r="S81" s="198"/>
      <c r="T81" s="198"/>
      <c r="U81" s="198"/>
    </row>
    <row r="82" spans="1:26" s="12" customFormat="1" x14ac:dyDescent="0.25">
      <c r="A82" s="215" t="s">
        <v>1281</v>
      </c>
      <c r="B82" s="64">
        <v>4.6900000000000004</v>
      </c>
      <c r="C82" s="64">
        <v>16.059999999999999</v>
      </c>
      <c r="D82" s="64">
        <v>13.27</v>
      </c>
      <c r="E82" s="64">
        <v>1.8</v>
      </c>
      <c r="F82" s="64">
        <v>10.29</v>
      </c>
      <c r="G82" s="217" t="s">
        <v>42</v>
      </c>
      <c r="H82" s="217" t="s">
        <v>42</v>
      </c>
      <c r="I82" s="64">
        <v>1.73</v>
      </c>
      <c r="J82" s="64">
        <v>0.05</v>
      </c>
      <c r="K82" s="64">
        <v>42.71</v>
      </c>
      <c r="L82" s="64">
        <v>24.84</v>
      </c>
      <c r="M82" s="64">
        <v>84</v>
      </c>
      <c r="N82" s="64">
        <v>50.9</v>
      </c>
      <c r="O82" s="64">
        <v>0</v>
      </c>
      <c r="P82" s="64">
        <v>0.79</v>
      </c>
      <c r="Q82" s="64">
        <v>1.62</v>
      </c>
      <c r="R82" s="198"/>
      <c r="S82" s="198"/>
      <c r="T82" s="198"/>
      <c r="U82" s="198"/>
    </row>
    <row r="83" spans="1:26" s="12" customFormat="1" x14ac:dyDescent="0.25">
      <c r="A83" s="215" t="s">
        <v>1282</v>
      </c>
      <c r="B83" s="64">
        <v>3.49</v>
      </c>
      <c r="C83" s="64">
        <v>12.8</v>
      </c>
      <c r="D83" s="64">
        <v>10.5</v>
      </c>
      <c r="E83" s="64">
        <v>1.9</v>
      </c>
      <c r="F83" s="64">
        <v>4.5599999999999996</v>
      </c>
      <c r="G83" s="217" t="s">
        <v>42</v>
      </c>
      <c r="H83" s="217" t="s">
        <v>42</v>
      </c>
      <c r="I83" s="64">
        <v>1.61</v>
      </c>
      <c r="J83" s="64">
        <v>0.15</v>
      </c>
      <c r="K83" s="64">
        <v>15.05</v>
      </c>
      <c r="L83" s="64">
        <v>24.67</v>
      </c>
      <c r="M83" s="64">
        <v>85.87</v>
      </c>
      <c r="N83" s="64">
        <v>43</v>
      </c>
      <c r="O83" s="64">
        <v>0</v>
      </c>
      <c r="P83" s="64">
        <v>0.8</v>
      </c>
      <c r="Q83" s="64">
        <v>2.84</v>
      </c>
      <c r="R83" s="198"/>
      <c r="S83" s="198"/>
      <c r="T83" s="198"/>
      <c r="U83" s="198"/>
    </row>
    <row r="84" spans="1:26" s="12" customFormat="1" x14ac:dyDescent="0.25">
      <c r="A84" s="215" t="s">
        <v>1283</v>
      </c>
      <c r="B84" s="64">
        <v>3.29</v>
      </c>
      <c r="C84" s="64">
        <v>11.45</v>
      </c>
      <c r="D84" s="64">
        <v>9.6</v>
      </c>
      <c r="E84" s="64">
        <v>2.0099999999999998</v>
      </c>
      <c r="F84" s="64">
        <v>5.62</v>
      </c>
      <c r="G84" s="217" t="s">
        <v>42</v>
      </c>
      <c r="H84" s="217" t="s">
        <v>42</v>
      </c>
      <c r="I84" s="64">
        <v>1.91</v>
      </c>
      <c r="J84" s="64">
        <v>0.18</v>
      </c>
      <c r="K84" s="64">
        <v>186.86</v>
      </c>
      <c r="L84" s="64">
        <v>24.42</v>
      </c>
      <c r="M84" s="64">
        <v>86.88</v>
      </c>
      <c r="N84" s="64">
        <v>39.6</v>
      </c>
      <c r="O84" s="64">
        <v>0</v>
      </c>
      <c r="P84" s="64">
        <v>0.78</v>
      </c>
      <c r="Q84" s="64">
        <v>1.64</v>
      </c>
      <c r="R84" s="198"/>
      <c r="S84" s="198"/>
      <c r="T84" s="198"/>
      <c r="U84" s="198"/>
    </row>
    <row r="85" spans="1:26" s="12" customFormat="1" x14ac:dyDescent="0.25">
      <c r="A85" s="215" t="s">
        <v>1284</v>
      </c>
      <c r="B85" s="64">
        <v>3.37</v>
      </c>
      <c r="C85" s="64">
        <v>10.17</v>
      </c>
      <c r="D85" s="64">
        <v>8.9600000000000009</v>
      </c>
      <c r="E85" s="64">
        <v>1.95</v>
      </c>
      <c r="F85" s="64">
        <v>5.59</v>
      </c>
      <c r="G85" s="217" t="s">
        <v>42</v>
      </c>
      <c r="H85" s="217" t="s">
        <v>42</v>
      </c>
      <c r="I85" s="64">
        <v>2.27</v>
      </c>
      <c r="J85" s="64">
        <v>0.05</v>
      </c>
      <c r="K85" s="64">
        <v>180.39</v>
      </c>
      <c r="L85" s="64">
        <v>24.18</v>
      </c>
      <c r="M85" s="64">
        <v>87.38</v>
      </c>
      <c r="N85" s="64">
        <v>39.299999999999997</v>
      </c>
      <c r="O85" s="64">
        <v>0</v>
      </c>
      <c r="P85" s="64">
        <v>0.76</v>
      </c>
      <c r="Q85" s="64">
        <v>1.1000000000000001</v>
      </c>
      <c r="R85" s="198"/>
      <c r="S85" s="198"/>
      <c r="T85" s="198"/>
      <c r="U85" s="198"/>
    </row>
    <row r="86" spans="1:26" s="12" customFormat="1" x14ac:dyDescent="0.25">
      <c r="A86" s="215" t="s">
        <v>1285</v>
      </c>
      <c r="B86" s="64">
        <v>3.44</v>
      </c>
      <c r="C86" s="64">
        <v>9.8800000000000008</v>
      </c>
      <c r="D86" s="64">
        <v>8.85</v>
      </c>
      <c r="E86" s="64">
        <v>1.8</v>
      </c>
      <c r="F86" s="64">
        <v>4.91</v>
      </c>
      <c r="G86" s="217" t="s">
        <v>42</v>
      </c>
      <c r="H86" s="217" t="s">
        <v>42</v>
      </c>
      <c r="I86" s="64">
        <v>2.5499999999999998</v>
      </c>
      <c r="J86" s="64">
        <v>0.03</v>
      </c>
      <c r="K86" s="64">
        <v>188.74</v>
      </c>
      <c r="L86" s="64">
        <v>24.04</v>
      </c>
      <c r="M86" s="64">
        <v>88.16</v>
      </c>
      <c r="N86" s="64">
        <v>39.1</v>
      </c>
      <c r="O86" s="64">
        <v>0</v>
      </c>
      <c r="P86" s="64">
        <v>0.78</v>
      </c>
      <c r="Q86" s="64">
        <v>2.35</v>
      </c>
      <c r="R86" s="198"/>
      <c r="S86" s="198"/>
      <c r="T86" s="198"/>
      <c r="U86" s="198"/>
    </row>
    <row r="87" spans="1:26" s="12" customFormat="1" x14ac:dyDescent="0.25">
      <c r="A87" s="215" t="s">
        <v>1286</v>
      </c>
      <c r="B87" s="64">
        <v>3.68</v>
      </c>
      <c r="C87" s="64">
        <v>10.220000000000001</v>
      </c>
      <c r="D87" s="64">
        <v>9.24</v>
      </c>
      <c r="E87" s="64">
        <v>1.58</v>
      </c>
      <c r="F87" s="64">
        <v>5.49</v>
      </c>
      <c r="G87" s="217" t="s">
        <v>42</v>
      </c>
      <c r="H87" s="217" t="s">
        <v>42</v>
      </c>
      <c r="I87" s="64">
        <v>2.85</v>
      </c>
      <c r="J87" s="64">
        <v>0</v>
      </c>
      <c r="K87" s="64">
        <v>93.48</v>
      </c>
      <c r="L87" s="64">
        <v>23.87</v>
      </c>
      <c r="M87" s="64">
        <v>89.19</v>
      </c>
      <c r="N87" s="64">
        <v>38.9</v>
      </c>
      <c r="O87" s="64">
        <v>0</v>
      </c>
      <c r="P87" s="64">
        <v>0.81</v>
      </c>
      <c r="Q87" s="64">
        <v>0.63</v>
      </c>
      <c r="R87" s="198"/>
      <c r="S87" s="198"/>
      <c r="T87" s="198"/>
      <c r="U87" s="198"/>
    </row>
    <row r="88" spans="1:26" s="12" customFormat="1" x14ac:dyDescent="0.25">
      <c r="A88" s="215" t="s">
        <v>1287</v>
      </c>
      <c r="B88" s="64">
        <v>3.84</v>
      </c>
      <c r="C88" s="64">
        <v>9.36</v>
      </c>
      <c r="D88" s="64">
        <v>8.89</v>
      </c>
      <c r="E88" s="64">
        <v>0.69</v>
      </c>
      <c r="F88" s="64">
        <v>4.87</v>
      </c>
      <c r="G88" s="217" t="s">
        <v>42</v>
      </c>
      <c r="H88" s="217" t="s">
        <v>42</v>
      </c>
      <c r="I88" s="64">
        <v>3.02</v>
      </c>
      <c r="J88" s="64">
        <v>7.0000000000000007E-2</v>
      </c>
      <c r="K88" s="64">
        <v>37.43</v>
      </c>
      <c r="L88" s="64">
        <v>23.76</v>
      </c>
      <c r="M88" s="64">
        <v>90.31</v>
      </c>
      <c r="N88" s="64">
        <v>38.799999999999997</v>
      </c>
      <c r="O88" s="64">
        <v>0</v>
      </c>
      <c r="P88" s="64">
        <v>0.83</v>
      </c>
      <c r="Q88" s="64">
        <v>1.8</v>
      </c>
      <c r="R88" s="198"/>
      <c r="S88" s="198"/>
      <c r="T88" s="198"/>
      <c r="U88" s="198"/>
    </row>
    <row r="89" spans="1:26" s="12" customFormat="1" x14ac:dyDescent="0.25">
      <c r="A89" s="215" t="s">
        <v>1288</v>
      </c>
      <c r="B89" s="64">
        <v>3.92</v>
      </c>
      <c r="C89" s="64">
        <v>9.5</v>
      </c>
      <c r="D89" s="64">
        <v>9.0299999999999994</v>
      </c>
      <c r="E89" s="64">
        <v>1.08</v>
      </c>
      <c r="F89" s="64">
        <v>4.29</v>
      </c>
      <c r="G89" s="217" t="s">
        <v>42</v>
      </c>
      <c r="H89" s="217" t="s">
        <v>42</v>
      </c>
      <c r="I89" s="64">
        <v>3.26</v>
      </c>
      <c r="J89" s="64">
        <v>0.08</v>
      </c>
      <c r="K89" s="64">
        <v>187.94</v>
      </c>
      <c r="L89" s="64">
        <v>23.71</v>
      </c>
      <c r="M89" s="64">
        <v>91</v>
      </c>
      <c r="N89" s="64">
        <v>38.799999999999997</v>
      </c>
      <c r="O89" s="64">
        <v>0</v>
      </c>
      <c r="P89" s="64">
        <v>0.83</v>
      </c>
      <c r="Q89" s="64">
        <v>1.96</v>
      </c>
      <c r="R89" s="198"/>
      <c r="S89" s="198"/>
      <c r="T89" s="198"/>
      <c r="U89" s="198"/>
    </row>
    <row r="90" spans="1:26" s="12" customFormat="1" x14ac:dyDescent="0.25">
      <c r="A90" s="215" t="s">
        <v>1289</v>
      </c>
      <c r="B90" s="64">
        <v>3.94</v>
      </c>
      <c r="C90" s="64">
        <v>9.18</v>
      </c>
      <c r="D90" s="64">
        <v>8.8699999999999992</v>
      </c>
      <c r="E90" s="64">
        <v>1.41</v>
      </c>
      <c r="F90" s="64">
        <v>7.19</v>
      </c>
      <c r="G90" s="217" t="s">
        <v>42</v>
      </c>
      <c r="H90" s="217" t="s">
        <v>42</v>
      </c>
      <c r="I90" s="64">
        <v>3.53</v>
      </c>
      <c r="J90" s="64">
        <v>0.02</v>
      </c>
      <c r="K90" s="64">
        <v>63.83</v>
      </c>
      <c r="L90" s="64">
        <v>23.68</v>
      </c>
      <c r="M90" s="64">
        <v>91.41</v>
      </c>
      <c r="N90" s="64">
        <v>38.799999999999997</v>
      </c>
      <c r="O90" s="64">
        <v>0</v>
      </c>
      <c r="P90" s="64">
        <v>0.84</v>
      </c>
      <c r="Q90" s="64">
        <v>2.83</v>
      </c>
      <c r="R90" s="198"/>
      <c r="S90" s="198"/>
      <c r="T90" s="198"/>
      <c r="U90" s="198"/>
    </row>
    <row r="91" spans="1:26" s="12" customFormat="1" x14ac:dyDescent="0.25">
      <c r="A91" s="215" t="s">
        <v>1290</v>
      </c>
      <c r="B91" s="64">
        <v>6.81</v>
      </c>
      <c r="C91" s="64">
        <v>12.08</v>
      </c>
      <c r="D91" s="64">
        <v>12.78</v>
      </c>
      <c r="E91" s="64">
        <v>1.91</v>
      </c>
      <c r="F91" s="64">
        <v>9.16</v>
      </c>
      <c r="G91" s="217" t="s">
        <v>42</v>
      </c>
      <c r="H91" s="217" t="s">
        <v>42</v>
      </c>
      <c r="I91" s="64">
        <v>3.61</v>
      </c>
      <c r="J91" s="64">
        <v>0.1</v>
      </c>
      <c r="K91" s="64">
        <v>23.54</v>
      </c>
      <c r="L91" s="64">
        <v>23.63</v>
      </c>
      <c r="M91" s="64">
        <v>92.11</v>
      </c>
      <c r="N91" s="64">
        <v>38.799999999999997</v>
      </c>
      <c r="O91" s="64">
        <v>0</v>
      </c>
      <c r="P91" s="64">
        <v>0.85</v>
      </c>
      <c r="Q91" s="64">
        <v>2.69</v>
      </c>
      <c r="R91" s="198"/>
      <c r="S91" s="198"/>
      <c r="T91" s="198"/>
      <c r="U91" s="198"/>
    </row>
    <row r="92" spans="1:26" s="12" customFormat="1" x14ac:dyDescent="0.25">
      <c r="A92" s="215" t="s">
        <v>1291</v>
      </c>
      <c r="B92" s="64">
        <v>6.18</v>
      </c>
      <c r="C92" s="64">
        <v>9.99</v>
      </c>
      <c r="D92" s="64">
        <v>11.12</v>
      </c>
      <c r="E92" s="64">
        <v>2.02</v>
      </c>
      <c r="F92" s="64">
        <v>7.92</v>
      </c>
      <c r="G92" s="217" t="s">
        <v>42</v>
      </c>
      <c r="H92" s="217" t="s">
        <v>42</v>
      </c>
      <c r="I92" s="64">
        <v>3.34</v>
      </c>
      <c r="J92" s="64">
        <v>0.05</v>
      </c>
      <c r="K92" s="64">
        <v>7.15</v>
      </c>
      <c r="L92" s="64">
        <v>23.54</v>
      </c>
      <c r="M92" s="64">
        <v>92.26</v>
      </c>
      <c r="N92" s="64">
        <v>38.700000000000003</v>
      </c>
      <c r="O92" s="64">
        <v>0</v>
      </c>
      <c r="P92" s="64">
        <v>0.88</v>
      </c>
      <c r="Q92" s="64">
        <v>3.39</v>
      </c>
      <c r="R92" s="198"/>
      <c r="S92" s="198"/>
      <c r="T92" s="198"/>
      <c r="U92" s="198"/>
    </row>
    <row r="93" spans="1:26" s="12" customFormat="1" x14ac:dyDescent="0.25">
      <c r="A93" s="215" t="s">
        <v>1292</v>
      </c>
      <c r="B93" s="64">
        <v>5.31</v>
      </c>
      <c r="C93" s="64">
        <v>10.77</v>
      </c>
      <c r="D93" s="64">
        <v>10.85</v>
      </c>
      <c r="E93" s="64">
        <v>1.99</v>
      </c>
      <c r="F93" s="64">
        <v>9.52</v>
      </c>
      <c r="G93" s="217" t="s">
        <v>42</v>
      </c>
      <c r="H93" s="217" t="s">
        <v>42</v>
      </c>
      <c r="I93" s="64">
        <v>3.39</v>
      </c>
      <c r="J93" s="64">
        <v>0.04</v>
      </c>
      <c r="K93" s="64">
        <v>16.059999999999999</v>
      </c>
      <c r="L93" s="64">
        <v>23.53</v>
      </c>
      <c r="M93" s="64">
        <v>91.31</v>
      </c>
      <c r="N93" s="64">
        <v>38.6</v>
      </c>
      <c r="O93" s="64">
        <v>0</v>
      </c>
      <c r="P93" s="64">
        <v>0.88</v>
      </c>
      <c r="Q93" s="64">
        <v>3.98</v>
      </c>
      <c r="R93" s="198"/>
      <c r="S93" s="198"/>
      <c r="T93" s="198"/>
      <c r="U93" s="198"/>
    </row>
    <row r="94" spans="1:26" s="12" customFormat="1" x14ac:dyDescent="0.25">
      <c r="A94" s="215" t="s">
        <v>1293</v>
      </c>
      <c r="B94" s="64">
        <v>5.0199999999999996</v>
      </c>
      <c r="C94" s="64">
        <v>10.87</v>
      </c>
      <c r="D94" s="64">
        <v>10.67</v>
      </c>
      <c r="E94" s="64">
        <v>1.67</v>
      </c>
      <c r="F94" s="64">
        <v>7.8</v>
      </c>
      <c r="G94" s="217" t="s">
        <v>42</v>
      </c>
      <c r="H94" s="217" t="s">
        <v>42</v>
      </c>
      <c r="I94" s="64">
        <v>3.56</v>
      </c>
      <c r="J94" s="64">
        <v>0.04</v>
      </c>
      <c r="K94" s="64">
        <v>119.24</v>
      </c>
      <c r="L94" s="64">
        <v>23.48</v>
      </c>
      <c r="M94" s="64">
        <v>92.01</v>
      </c>
      <c r="N94" s="64">
        <v>38.700000000000003</v>
      </c>
      <c r="O94" s="64">
        <v>0</v>
      </c>
      <c r="P94" s="64">
        <v>0.9</v>
      </c>
      <c r="Q94" s="64">
        <v>4.71</v>
      </c>
      <c r="R94" s="198"/>
      <c r="S94" s="198"/>
      <c r="T94" s="198"/>
      <c r="U94" s="198"/>
    </row>
    <row r="95" spans="1:26" s="12" customFormat="1" x14ac:dyDescent="0.25">
      <c r="A95" s="215" t="s">
        <v>1294</v>
      </c>
      <c r="B95" s="64">
        <v>5.2</v>
      </c>
      <c r="C95" s="64">
        <v>9.0399999999999991</v>
      </c>
      <c r="D95" s="64">
        <v>9.81</v>
      </c>
      <c r="E95" s="64">
        <v>1.93</v>
      </c>
      <c r="F95" s="64">
        <v>4.8499999999999996</v>
      </c>
      <c r="G95" s="217" t="s">
        <v>42</v>
      </c>
      <c r="H95" s="217" t="s">
        <v>42</v>
      </c>
      <c r="I95" s="64">
        <v>3.6</v>
      </c>
      <c r="J95" s="64">
        <v>0.08</v>
      </c>
      <c r="K95" s="64">
        <v>207.73</v>
      </c>
      <c r="L95" s="64">
        <v>23.39</v>
      </c>
      <c r="M95" s="64">
        <v>91.79</v>
      </c>
      <c r="N95" s="64">
        <v>38.6</v>
      </c>
      <c r="O95" s="64">
        <v>0</v>
      </c>
      <c r="P95" s="64">
        <v>0.88</v>
      </c>
      <c r="Q95" s="64">
        <v>5.91</v>
      </c>
      <c r="R95" s="198"/>
      <c r="S95" s="198"/>
      <c r="T95" s="198"/>
      <c r="U95" s="198"/>
    </row>
    <row r="96" spans="1:26" s="12" customFormat="1" x14ac:dyDescent="0.25">
      <c r="A96" s="215" t="s">
        <v>1295</v>
      </c>
      <c r="B96" s="64">
        <v>4.99</v>
      </c>
      <c r="C96" s="64">
        <v>8.4</v>
      </c>
      <c r="D96" s="64">
        <v>9.2799999999999994</v>
      </c>
      <c r="E96" s="64">
        <v>1.39</v>
      </c>
      <c r="F96" s="64">
        <v>5.88</v>
      </c>
      <c r="G96" s="217" t="s">
        <v>42</v>
      </c>
      <c r="H96" s="217" t="s">
        <v>42</v>
      </c>
      <c r="I96" s="64">
        <v>4.12</v>
      </c>
      <c r="J96" s="64">
        <v>0.12</v>
      </c>
      <c r="K96" s="64">
        <v>192.8</v>
      </c>
      <c r="L96" s="64">
        <v>23.3</v>
      </c>
      <c r="M96" s="64">
        <v>92.49</v>
      </c>
      <c r="N96" s="64">
        <v>38.700000000000003</v>
      </c>
      <c r="O96" s="64">
        <v>0</v>
      </c>
      <c r="P96" s="64">
        <v>0.88</v>
      </c>
      <c r="Q96" s="64">
        <v>4.41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1296</v>
      </c>
      <c r="B97" s="64">
        <v>4.9400000000000004</v>
      </c>
      <c r="C97" s="64">
        <v>8.19</v>
      </c>
      <c r="D97" s="64">
        <v>9.1300000000000008</v>
      </c>
      <c r="E97" s="64">
        <v>1.85</v>
      </c>
      <c r="F97" s="64">
        <v>4.49</v>
      </c>
      <c r="G97" s="217" t="s">
        <v>42</v>
      </c>
      <c r="H97" s="217" t="s">
        <v>42</v>
      </c>
      <c r="I97" s="64">
        <v>4.4400000000000004</v>
      </c>
      <c r="J97" s="64">
        <v>0.03</v>
      </c>
      <c r="K97" s="64">
        <v>32.47</v>
      </c>
      <c r="L97" s="64">
        <v>23.24</v>
      </c>
      <c r="M97" s="64">
        <v>92.32</v>
      </c>
      <c r="N97" s="64">
        <v>38.4</v>
      </c>
      <c r="O97" s="64">
        <v>0</v>
      </c>
      <c r="P97" s="64">
        <v>0.87</v>
      </c>
      <c r="Q97" s="64">
        <v>5.42</v>
      </c>
      <c r="R97" s="198"/>
      <c r="S97" s="198"/>
      <c r="T97" s="198"/>
      <c r="U97" s="198"/>
    </row>
    <row r="98" spans="1:33" s="12" customFormat="1" x14ac:dyDescent="0.25">
      <c r="A98" s="215" t="s">
        <v>1297</v>
      </c>
      <c r="B98" s="64">
        <v>4.68</v>
      </c>
      <c r="C98" s="64">
        <v>7.94</v>
      </c>
      <c r="D98" s="64">
        <v>8.7799999999999994</v>
      </c>
      <c r="E98" s="64">
        <v>1.72</v>
      </c>
      <c r="F98" s="64">
        <v>3.32</v>
      </c>
      <c r="G98" s="217" t="s">
        <v>42</v>
      </c>
      <c r="H98" s="217" t="s">
        <v>42</v>
      </c>
      <c r="I98" s="64">
        <v>4.7</v>
      </c>
      <c r="J98" s="64">
        <v>0.1</v>
      </c>
      <c r="K98" s="64">
        <v>12.94</v>
      </c>
      <c r="L98" s="64">
        <v>23.25</v>
      </c>
      <c r="M98" s="64">
        <v>92.59</v>
      </c>
      <c r="N98" s="64">
        <v>38.700000000000003</v>
      </c>
      <c r="O98" s="64">
        <v>0</v>
      </c>
      <c r="P98" s="64">
        <v>0.87</v>
      </c>
      <c r="Q98" s="64">
        <v>4.7699999999999996</v>
      </c>
      <c r="R98" s="198"/>
      <c r="S98" s="198"/>
      <c r="T98" s="198"/>
      <c r="U98" s="198"/>
    </row>
    <row r="99" spans="1:33" s="12" customFormat="1" x14ac:dyDescent="0.25">
      <c r="A99" s="215" t="s">
        <v>1298</v>
      </c>
      <c r="B99" s="64">
        <v>4.49</v>
      </c>
      <c r="C99" s="64">
        <v>8.31</v>
      </c>
      <c r="D99" s="64">
        <v>8.83</v>
      </c>
      <c r="E99" s="64">
        <v>1.65</v>
      </c>
      <c r="F99" s="64">
        <v>3.95</v>
      </c>
      <c r="G99" s="217" t="s">
        <v>42</v>
      </c>
      <c r="H99" s="217" t="s">
        <v>42</v>
      </c>
      <c r="I99" s="64">
        <v>4.8</v>
      </c>
      <c r="J99" s="64">
        <v>0.01</v>
      </c>
      <c r="K99" s="64">
        <v>275.61</v>
      </c>
      <c r="L99" s="64">
        <v>23.19</v>
      </c>
      <c r="M99" s="64">
        <v>93.09</v>
      </c>
      <c r="N99" s="64">
        <v>38.799999999999997</v>
      </c>
      <c r="O99" s="64">
        <v>0</v>
      </c>
      <c r="P99" s="64">
        <v>0.85</v>
      </c>
      <c r="Q99" s="64">
        <v>4.91</v>
      </c>
      <c r="R99" s="198"/>
      <c r="S99" s="198"/>
      <c r="T99" s="198"/>
      <c r="U99" s="198"/>
    </row>
    <row r="100" spans="1:33" s="12" customFormat="1" x14ac:dyDescent="0.25">
      <c r="A100" s="215" t="s">
        <v>1299</v>
      </c>
      <c r="B100" s="64">
        <v>4.16</v>
      </c>
      <c r="C100" s="64">
        <v>7.91</v>
      </c>
      <c r="D100" s="64">
        <v>8.35</v>
      </c>
      <c r="E100" s="64">
        <v>1.64</v>
      </c>
      <c r="F100" s="64">
        <v>4.6900000000000004</v>
      </c>
      <c r="G100" s="217" t="s">
        <v>42</v>
      </c>
      <c r="H100" s="217" t="s">
        <v>42</v>
      </c>
      <c r="I100" s="64">
        <v>4.82</v>
      </c>
      <c r="J100" s="64">
        <v>0.02</v>
      </c>
      <c r="K100" s="64">
        <v>146.04</v>
      </c>
      <c r="L100" s="64">
        <v>23.07</v>
      </c>
      <c r="M100" s="64">
        <v>93.68</v>
      </c>
      <c r="N100" s="64">
        <v>38.799999999999997</v>
      </c>
      <c r="O100" s="64">
        <v>0</v>
      </c>
      <c r="P100" s="64">
        <v>0.84</v>
      </c>
      <c r="Q100" s="64">
        <v>4.0599999999999996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1300</v>
      </c>
      <c r="B101" s="64">
        <v>3.88</v>
      </c>
      <c r="C101" s="64">
        <v>8.26</v>
      </c>
      <c r="D101" s="64">
        <v>8.31</v>
      </c>
      <c r="E101" s="64">
        <v>1.94</v>
      </c>
      <c r="F101" s="64">
        <v>4.25</v>
      </c>
      <c r="G101" s="217" t="s">
        <v>42</v>
      </c>
      <c r="H101" s="217" t="s">
        <v>42</v>
      </c>
      <c r="I101" s="64">
        <v>4.79</v>
      </c>
      <c r="J101" s="64">
        <v>0.01</v>
      </c>
      <c r="K101" s="64">
        <v>332.15</v>
      </c>
      <c r="L101" s="64">
        <v>23.05</v>
      </c>
      <c r="M101" s="64">
        <v>93.79</v>
      </c>
      <c r="N101" s="64">
        <v>38.799999999999997</v>
      </c>
      <c r="O101" s="64">
        <v>0</v>
      </c>
      <c r="P101" s="64">
        <v>0.83</v>
      </c>
      <c r="Q101" s="64">
        <v>4.49</v>
      </c>
      <c r="R101" s="198"/>
      <c r="S101" s="198"/>
      <c r="T101" s="198"/>
      <c r="U101" s="198"/>
    </row>
    <row r="102" spans="1:33" s="12" customFormat="1" x14ac:dyDescent="0.25">
      <c r="A102" s="215" t="s">
        <v>1301</v>
      </c>
      <c r="B102" s="64">
        <v>3.81</v>
      </c>
      <c r="C102" s="64">
        <v>8.82</v>
      </c>
      <c r="D102" s="64">
        <v>8.57</v>
      </c>
      <c r="E102" s="64">
        <v>1.49</v>
      </c>
      <c r="F102" s="64">
        <v>6.85</v>
      </c>
      <c r="G102" s="217" t="s">
        <v>42</v>
      </c>
      <c r="H102" s="217" t="s">
        <v>42</v>
      </c>
      <c r="I102" s="64">
        <v>4.8099999999999996</v>
      </c>
      <c r="J102" s="64">
        <v>0.05</v>
      </c>
      <c r="K102" s="64">
        <v>21.45</v>
      </c>
      <c r="L102" s="64">
        <v>23.01</v>
      </c>
      <c r="M102" s="64">
        <v>93.41</v>
      </c>
      <c r="N102" s="64">
        <v>38.799999999999997</v>
      </c>
      <c r="O102" s="64">
        <v>0</v>
      </c>
      <c r="P102" s="64">
        <v>0.83</v>
      </c>
      <c r="Q102" s="64">
        <v>4.96</v>
      </c>
      <c r="R102" s="198"/>
      <c r="S102" s="198"/>
      <c r="T102" s="198"/>
      <c r="U102" s="198"/>
    </row>
    <row r="103" spans="1:33" s="12" customFormat="1" x14ac:dyDescent="0.25">
      <c r="A103" s="215" t="s">
        <v>1302</v>
      </c>
      <c r="B103" s="64">
        <v>3.76</v>
      </c>
      <c r="C103" s="64">
        <v>8.81</v>
      </c>
      <c r="D103" s="64">
        <v>8.5299999999999994</v>
      </c>
      <c r="E103" s="64">
        <v>1.75</v>
      </c>
      <c r="F103" s="64">
        <v>9.4</v>
      </c>
      <c r="G103" s="217" t="s">
        <v>42</v>
      </c>
      <c r="H103" s="217" t="s">
        <v>42</v>
      </c>
      <c r="I103" s="64">
        <v>4.67</v>
      </c>
      <c r="J103" s="64">
        <v>0.08</v>
      </c>
      <c r="K103" s="64">
        <v>15.32</v>
      </c>
      <c r="L103" s="64">
        <v>22.97</v>
      </c>
      <c r="M103" s="64">
        <v>93.77</v>
      </c>
      <c r="N103" s="64">
        <v>38.799999999999997</v>
      </c>
      <c r="O103" s="64">
        <v>0</v>
      </c>
      <c r="P103" s="64">
        <v>0.82</v>
      </c>
      <c r="Q103" s="64">
        <v>4.0599999999999996</v>
      </c>
      <c r="R103" s="198"/>
      <c r="S103" s="198"/>
      <c r="T103" s="198"/>
      <c r="U103" s="198"/>
    </row>
    <row r="104" spans="1:33" s="12" customFormat="1" x14ac:dyDescent="0.25">
      <c r="A104" s="215" t="s">
        <v>1303</v>
      </c>
      <c r="B104" s="64">
        <v>3.97</v>
      </c>
      <c r="C104" s="64">
        <v>8.35</v>
      </c>
      <c r="D104" s="64">
        <v>8.44</v>
      </c>
      <c r="E104" s="64">
        <v>2.2599999999999998</v>
      </c>
      <c r="F104" s="64">
        <v>9.2899999999999991</v>
      </c>
      <c r="G104" s="217" t="s">
        <v>42</v>
      </c>
      <c r="H104" s="217" t="s">
        <v>42</v>
      </c>
      <c r="I104" s="64">
        <v>4.01</v>
      </c>
      <c r="J104" s="64">
        <v>0.03</v>
      </c>
      <c r="K104" s="64">
        <v>66.53</v>
      </c>
      <c r="L104" s="64">
        <v>22.87</v>
      </c>
      <c r="M104" s="64">
        <v>94.65</v>
      </c>
      <c r="N104" s="64">
        <v>38.799999999999997</v>
      </c>
      <c r="O104" s="64">
        <v>0</v>
      </c>
      <c r="P104" s="64">
        <v>0.82</v>
      </c>
      <c r="Q104" s="64">
        <v>5.16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3.29</v>
      </c>
      <c r="C106" s="67">
        <f>MIN(C9:C104)</f>
        <v>7.87</v>
      </c>
      <c r="D106" s="67">
        <f t="shared" ref="D106:Q106" si="0">MIN(D9:D104)</f>
        <v>8.31</v>
      </c>
      <c r="E106" s="67">
        <f t="shared" si="0"/>
        <v>0.42</v>
      </c>
      <c r="F106" s="67">
        <f t="shared" si="0"/>
        <v>3.28</v>
      </c>
      <c r="G106" s="67">
        <f t="shared" si="0"/>
        <v>27.83</v>
      </c>
      <c r="H106" s="67">
        <f t="shared" si="0"/>
        <v>25.08</v>
      </c>
      <c r="I106" s="67">
        <f t="shared" si="0"/>
        <v>1.61</v>
      </c>
      <c r="J106" s="67">
        <f t="shared" si="0"/>
        <v>0</v>
      </c>
      <c r="K106" s="67">
        <f t="shared" si="0"/>
        <v>2.85</v>
      </c>
      <c r="L106" s="67">
        <f t="shared" si="0"/>
        <v>21.22</v>
      </c>
      <c r="M106" s="67">
        <f t="shared" si="0"/>
        <v>78.12</v>
      </c>
      <c r="N106" s="67">
        <f t="shared" si="0"/>
        <v>37.9</v>
      </c>
      <c r="O106" s="67">
        <f t="shared" si="0"/>
        <v>0</v>
      </c>
      <c r="P106" s="67">
        <f t="shared" si="0"/>
        <v>0.51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9.77</v>
      </c>
      <c r="C107" s="66">
        <f t="shared" ref="C107:Q107" si="1">MAX(C9:C104)</f>
        <v>24.17</v>
      </c>
      <c r="D107" s="66">
        <f t="shared" si="1"/>
        <v>19.309999999999999</v>
      </c>
      <c r="E107" s="66">
        <f t="shared" si="1"/>
        <v>2.85</v>
      </c>
      <c r="F107" s="66">
        <f t="shared" si="1"/>
        <v>23.05</v>
      </c>
      <c r="G107" s="66">
        <f t="shared" si="1"/>
        <v>38.78</v>
      </c>
      <c r="H107" s="66">
        <f t="shared" si="1"/>
        <v>30.11</v>
      </c>
      <c r="I107" s="66">
        <f t="shared" si="1"/>
        <v>7.58</v>
      </c>
      <c r="J107" s="66">
        <f t="shared" si="1"/>
        <v>0.74</v>
      </c>
      <c r="K107" s="66">
        <f t="shared" si="1"/>
        <v>354.69</v>
      </c>
      <c r="L107" s="66">
        <f t="shared" si="1"/>
        <v>26.62</v>
      </c>
      <c r="M107" s="66">
        <f t="shared" si="1"/>
        <v>97.23</v>
      </c>
      <c r="N107" s="66">
        <f t="shared" si="1"/>
        <v>753.6</v>
      </c>
      <c r="O107" s="66">
        <f t="shared" si="1"/>
        <v>9.8000000000000007</v>
      </c>
      <c r="P107" s="66">
        <f t="shared" si="1"/>
        <v>1.19</v>
      </c>
      <c r="Q107" s="66">
        <f t="shared" si="1"/>
        <v>16.34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5.9510416666666641</v>
      </c>
      <c r="C108" s="67">
        <f t="shared" ref="C108:Q108" si="2">AVERAGE(C9:C104)</f>
        <v>12.704791666666665</v>
      </c>
      <c r="D108" s="67">
        <f t="shared" si="2"/>
        <v>12.427708333333326</v>
      </c>
      <c r="E108" s="67">
        <f t="shared" si="2"/>
        <v>2.0044791666666666</v>
      </c>
      <c r="F108" s="67">
        <f t="shared" si="2"/>
        <v>7.257604166666666</v>
      </c>
      <c r="G108" s="67">
        <f t="shared" si="2"/>
        <v>32.831000000000003</v>
      </c>
      <c r="H108" s="67">
        <f t="shared" si="2"/>
        <v>27.686999999999994</v>
      </c>
      <c r="I108" s="67">
        <f t="shared" si="2"/>
        <v>4.3164583333333333</v>
      </c>
      <c r="J108" s="67">
        <f t="shared" si="2"/>
        <v>0.19729166666666664</v>
      </c>
      <c r="K108" s="67">
        <f t="shared" si="2"/>
        <v>79.781354166666645</v>
      </c>
      <c r="L108" s="67">
        <f t="shared" si="2"/>
        <v>23.78177083333334</v>
      </c>
      <c r="M108" s="67">
        <f t="shared" si="2"/>
        <v>90.894166666666663</v>
      </c>
      <c r="N108" s="67">
        <f t="shared" si="2"/>
        <v>143.71979166666662</v>
      </c>
      <c r="O108" s="67">
        <f t="shared" si="2"/>
        <v>0.63124999999999998</v>
      </c>
      <c r="P108" s="67">
        <f t="shared" si="2"/>
        <v>0.76583333333333314</v>
      </c>
      <c r="Q108" s="67">
        <f t="shared" si="2"/>
        <v>7.5321874999999983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1.663114693115354</v>
      </c>
      <c r="C109" s="67">
        <f t="shared" ref="C109:Q109" si="3">STDEV(C9:C104)</f>
        <v>4.3893560201844979</v>
      </c>
      <c r="D109" s="67">
        <f t="shared" si="3"/>
        <v>2.6268995048863526</v>
      </c>
      <c r="E109" s="67">
        <f t="shared" si="3"/>
        <v>0.52327082610837417</v>
      </c>
      <c r="F109" s="67">
        <f t="shared" si="3"/>
        <v>4.3900446574378096</v>
      </c>
      <c r="G109" s="67">
        <f t="shared" si="3"/>
        <v>4.2616388344809177</v>
      </c>
      <c r="H109" s="67">
        <f t="shared" si="3"/>
        <v>2.0904441314387401</v>
      </c>
      <c r="I109" s="67">
        <f t="shared" si="3"/>
        <v>1.6079820496292325</v>
      </c>
      <c r="J109" s="67">
        <f t="shared" si="3"/>
        <v>0.15554643352535005</v>
      </c>
      <c r="K109" s="67">
        <f t="shared" si="3"/>
        <v>84.632218906834183</v>
      </c>
      <c r="L109" s="67">
        <f t="shared" si="3"/>
        <v>1.5437623179421909</v>
      </c>
      <c r="M109" s="67">
        <f t="shared" si="3"/>
        <v>6.3924048133895308</v>
      </c>
      <c r="N109" s="67">
        <f t="shared" si="3"/>
        <v>159.58314883984593</v>
      </c>
      <c r="O109" s="67">
        <f t="shared" si="3"/>
        <v>1.8443262926294286</v>
      </c>
      <c r="P109" s="67">
        <f t="shared" si="3"/>
        <v>0.1471531008430314</v>
      </c>
      <c r="Q109" s="67">
        <f t="shared" si="3"/>
        <v>3.9014645571617681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COUNT(G9:G104)+86</f>
        <v>96</v>
      </c>
      <c r="H110" s="66">
        <f>COUNT(H9:H104)+86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67" sqref="G6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1304</v>
      </c>
      <c r="B9" s="64">
        <v>3.93</v>
      </c>
      <c r="C9" s="64">
        <v>7.71</v>
      </c>
      <c r="D9" s="64">
        <v>8.0500000000000007</v>
      </c>
      <c r="E9" s="64">
        <v>2.36</v>
      </c>
      <c r="F9" s="64">
        <v>9.4499999999999993</v>
      </c>
      <c r="G9" s="217" t="s">
        <v>42</v>
      </c>
      <c r="H9" s="217" t="s">
        <v>42</v>
      </c>
      <c r="I9" s="64">
        <v>4.0999999999999996</v>
      </c>
      <c r="J9" s="64">
        <v>0.01</v>
      </c>
      <c r="K9" s="64">
        <v>57.39</v>
      </c>
      <c r="L9" s="64">
        <v>22.81</v>
      </c>
      <c r="M9" s="64">
        <v>95.15</v>
      </c>
      <c r="N9" s="64">
        <v>38.799999999999997</v>
      </c>
      <c r="O9" s="64">
        <v>0</v>
      </c>
      <c r="P9" s="64">
        <v>0.81</v>
      </c>
      <c r="Q9" s="64">
        <v>5.54</v>
      </c>
      <c r="R9" s="198"/>
      <c r="S9" s="198"/>
      <c r="T9" s="198"/>
      <c r="U9" s="198"/>
    </row>
    <row r="10" spans="1:21" s="12" customFormat="1" x14ac:dyDescent="0.25">
      <c r="A10" s="215" t="s">
        <v>1305</v>
      </c>
      <c r="B10" s="64">
        <v>4.04</v>
      </c>
      <c r="C10" s="64">
        <v>7.67</v>
      </c>
      <c r="D10" s="64">
        <v>8.1199999999999992</v>
      </c>
      <c r="E10" s="64">
        <v>2.81</v>
      </c>
      <c r="F10" s="64">
        <v>7.35</v>
      </c>
      <c r="G10" s="217" t="s">
        <v>42</v>
      </c>
      <c r="H10" s="217" t="s">
        <v>42</v>
      </c>
      <c r="I10" s="64">
        <v>3.83</v>
      </c>
      <c r="J10" s="64">
        <v>0.23</v>
      </c>
      <c r="K10" s="64">
        <v>206.22</v>
      </c>
      <c r="L10" s="64">
        <v>22.7</v>
      </c>
      <c r="M10" s="64">
        <v>95.3</v>
      </c>
      <c r="N10" s="64">
        <v>38.700000000000003</v>
      </c>
      <c r="O10" s="64">
        <v>0</v>
      </c>
      <c r="P10" s="64">
        <v>0.81</v>
      </c>
      <c r="Q10" s="64">
        <v>7.22</v>
      </c>
      <c r="R10" s="198"/>
      <c r="S10" s="198"/>
      <c r="T10" s="198"/>
      <c r="U10" s="198"/>
    </row>
    <row r="11" spans="1:21" s="12" customFormat="1" x14ac:dyDescent="0.25">
      <c r="A11" s="215" t="s">
        <v>1306</v>
      </c>
      <c r="B11" s="64">
        <v>4.1900000000000004</v>
      </c>
      <c r="C11" s="64">
        <v>7.65</v>
      </c>
      <c r="D11" s="64">
        <v>8.2200000000000006</v>
      </c>
      <c r="E11" s="64">
        <v>2.66</v>
      </c>
      <c r="F11" s="64">
        <v>4.0599999999999996</v>
      </c>
      <c r="G11" s="217" t="s">
        <v>42</v>
      </c>
      <c r="H11" s="217" t="s">
        <v>42</v>
      </c>
      <c r="I11" s="64">
        <v>3.99</v>
      </c>
      <c r="J11" s="64">
        <v>0.18</v>
      </c>
      <c r="K11" s="64">
        <v>213.12</v>
      </c>
      <c r="L11" s="64">
        <v>22.61</v>
      </c>
      <c r="M11" s="64">
        <v>95.54</v>
      </c>
      <c r="N11" s="64">
        <v>38.6</v>
      </c>
      <c r="O11" s="64">
        <v>0</v>
      </c>
      <c r="P11" s="64">
        <v>0.78</v>
      </c>
      <c r="Q11" s="64">
        <v>7.45</v>
      </c>
      <c r="R11" s="198"/>
      <c r="S11" s="198"/>
      <c r="T11" s="198"/>
      <c r="U11" s="198"/>
    </row>
    <row r="12" spans="1:21" s="12" customFormat="1" x14ac:dyDescent="0.25">
      <c r="A12" s="215" t="s">
        <v>1307</v>
      </c>
      <c r="B12" s="64">
        <v>3.92</v>
      </c>
      <c r="C12" s="64">
        <v>7.13</v>
      </c>
      <c r="D12" s="64">
        <v>7.72</v>
      </c>
      <c r="E12" s="64">
        <v>2.3199999999999998</v>
      </c>
      <c r="F12" s="64">
        <v>6.15</v>
      </c>
      <c r="G12" s="217" t="s">
        <v>42</v>
      </c>
      <c r="H12" s="217" t="s">
        <v>42</v>
      </c>
      <c r="I12" s="64">
        <v>4.84</v>
      </c>
      <c r="J12" s="64">
        <v>0.25</v>
      </c>
      <c r="K12" s="64">
        <v>194.94</v>
      </c>
      <c r="L12" s="64">
        <v>22.51</v>
      </c>
      <c r="M12" s="64">
        <v>96.12</v>
      </c>
      <c r="N12" s="64">
        <v>38.4</v>
      </c>
      <c r="O12" s="64">
        <v>0</v>
      </c>
      <c r="P12" s="64">
        <v>0.78</v>
      </c>
      <c r="Q12" s="64">
        <v>5.9</v>
      </c>
      <c r="R12" s="198"/>
      <c r="S12" s="198"/>
      <c r="T12" s="198"/>
      <c r="U12" s="198"/>
    </row>
    <row r="13" spans="1:21" s="12" customFormat="1" x14ac:dyDescent="0.25">
      <c r="A13" s="215" t="s">
        <v>1308</v>
      </c>
      <c r="B13" s="64">
        <v>3.87</v>
      </c>
      <c r="C13" s="64">
        <v>7.19</v>
      </c>
      <c r="D13" s="64">
        <v>7.71</v>
      </c>
      <c r="E13" s="64">
        <v>2.4300000000000002</v>
      </c>
      <c r="F13" s="64">
        <v>5.01</v>
      </c>
      <c r="G13" s="217" t="s">
        <v>42</v>
      </c>
      <c r="H13" s="217" t="s">
        <v>42</v>
      </c>
      <c r="I13" s="64">
        <v>4.93</v>
      </c>
      <c r="J13" s="64">
        <v>0.15</v>
      </c>
      <c r="K13" s="64">
        <v>226.43</v>
      </c>
      <c r="L13" s="64">
        <v>22.44</v>
      </c>
      <c r="M13" s="64">
        <v>96.54</v>
      </c>
      <c r="N13" s="64">
        <v>38.4</v>
      </c>
      <c r="O13" s="64">
        <v>0</v>
      </c>
      <c r="P13" s="64">
        <v>0.75</v>
      </c>
      <c r="Q13" s="64">
        <v>6.76</v>
      </c>
      <c r="R13" s="198"/>
      <c r="S13" s="198"/>
      <c r="T13" s="198"/>
      <c r="U13" s="198"/>
    </row>
    <row r="14" spans="1:21" s="12" customFormat="1" x14ac:dyDescent="0.25">
      <c r="A14" s="215" t="s">
        <v>1309</v>
      </c>
      <c r="B14" s="64">
        <v>3.83</v>
      </c>
      <c r="C14" s="64">
        <v>7.09</v>
      </c>
      <c r="D14" s="64">
        <v>7.63</v>
      </c>
      <c r="E14" s="64">
        <v>2.61</v>
      </c>
      <c r="F14" s="64">
        <v>4.9800000000000004</v>
      </c>
      <c r="G14" s="217" t="s">
        <v>42</v>
      </c>
      <c r="H14" s="217" t="s">
        <v>42</v>
      </c>
      <c r="I14" s="64">
        <v>5.0599999999999996</v>
      </c>
      <c r="J14" s="64">
        <v>0.15</v>
      </c>
      <c r="K14" s="64">
        <v>218.6</v>
      </c>
      <c r="L14" s="64">
        <v>22.35</v>
      </c>
      <c r="M14" s="64">
        <v>96.93</v>
      </c>
      <c r="N14" s="64">
        <v>38.4</v>
      </c>
      <c r="O14" s="64">
        <v>0</v>
      </c>
      <c r="P14" s="64">
        <v>0.78</v>
      </c>
      <c r="Q14" s="64">
        <v>7.02</v>
      </c>
      <c r="R14" s="198"/>
      <c r="S14" s="198"/>
      <c r="T14" s="198"/>
      <c r="U14" s="198"/>
    </row>
    <row r="15" spans="1:21" s="12" customFormat="1" x14ac:dyDescent="0.25">
      <c r="A15" s="215" t="s">
        <v>1310</v>
      </c>
      <c r="B15" s="64">
        <v>3.72</v>
      </c>
      <c r="C15" s="64">
        <v>7.08</v>
      </c>
      <c r="D15" s="64">
        <v>7.54</v>
      </c>
      <c r="E15" s="64">
        <v>2.1800000000000002</v>
      </c>
      <c r="F15" s="64">
        <v>5.65</v>
      </c>
      <c r="G15" s="217" t="s">
        <v>42</v>
      </c>
      <c r="H15" s="217" t="s">
        <v>42</v>
      </c>
      <c r="I15" s="64">
        <v>5.1100000000000003</v>
      </c>
      <c r="J15" s="64">
        <v>0.08</v>
      </c>
      <c r="K15" s="64">
        <v>238.25</v>
      </c>
      <c r="L15" s="64">
        <v>22.4</v>
      </c>
      <c r="M15" s="64">
        <v>96.98</v>
      </c>
      <c r="N15" s="64">
        <v>38.4</v>
      </c>
      <c r="O15" s="64">
        <v>0</v>
      </c>
      <c r="P15" s="64">
        <v>0.76</v>
      </c>
      <c r="Q15" s="64">
        <v>6.55</v>
      </c>
      <c r="R15" s="198"/>
      <c r="S15" s="198"/>
      <c r="T15" s="198"/>
      <c r="U15" s="198"/>
    </row>
    <row r="16" spans="1:21" s="12" customFormat="1" x14ac:dyDescent="0.25">
      <c r="A16" s="215" t="s">
        <v>1311</v>
      </c>
      <c r="B16" s="64">
        <v>3.78</v>
      </c>
      <c r="C16" s="64">
        <v>7.1</v>
      </c>
      <c r="D16" s="64">
        <v>7.6</v>
      </c>
      <c r="E16" s="64">
        <v>2.56</v>
      </c>
      <c r="F16" s="64">
        <v>4.7300000000000004</v>
      </c>
      <c r="G16" s="217" t="s">
        <v>42</v>
      </c>
      <c r="H16" s="217" t="s">
        <v>42</v>
      </c>
      <c r="I16" s="64">
        <v>4.8899999999999997</v>
      </c>
      <c r="J16" s="64">
        <v>0.24</v>
      </c>
      <c r="K16" s="64">
        <v>225.06</v>
      </c>
      <c r="L16" s="64">
        <v>22.5</v>
      </c>
      <c r="M16" s="64">
        <v>96.6</v>
      </c>
      <c r="N16" s="64">
        <v>38.6</v>
      </c>
      <c r="O16" s="64">
        <v>0</v>
      </c>
      <c r="P16" s="64">
        <v>0.78</v>
      </c>
      <c r="Q16" s="64">
        <v>6.93</v>
      </c>
      <c r="R16" s="198"/>
      <c r="S16" s="198"/>
      <c r="T16" s="198"/>
      <c r="U16" s="198"/>
    </row>
    <row r="17" spans="1:21" s="12" customFormat="1" x14ac:dyDescent="0.25">
      <c r="A17" s="215" t="s">
        <v>1312</v>
      </c>
      <c r="B17" s="64">
        <v>3.56</v>
      </c>
      <c r="C17" s="64">
        <v>6.99</v>
      </c>
      <c r="D17" s="64">
        <v>7.35</v>
      </c>
      <c r="E17" s="64">
        <v>2.64</v>
      </c>
      <c r="F17" s="64">
        <v>8.2799999999999994</v>
      </c>
      <c r="G17" s="217" t="s">
        <v>42</v>
      </c>
      <c r="H17" s="217" t="s">
        <v>42</v>
      </c>
      <c r="I17" s="64">
        <v>5.09</v>
      </c>
      <c r="J17" s="64">
        <v>0.26</v>
      </c>
      <c r="K17" s="64">
        <v>193.39</v>
      </c>
      <c r="L17" s="64">
        <v>22.56</v>
      </c>
      <c r="M17" s="64">
        <v>96.4</v>
      </c>
      <c r="N17" s="64">
        <v>38.700000000000003</v>
      </c>
      <c r="O17" s="64">
        <v>0</v>
      </c>
      <c r="P17" s="64">
        <v>0.78</v>
      </c>
      <c r="Q17" s="64">
        <v>5.59</v>
      </c>
      <c r="R17" s="198"/>
      <c r="S17" s="198"/>
      <c r="T17" s="198"/>
      <c r="U17" s="198"/>
    </row>
    <row r="18" spans="1:21" s="12" customFormat="1" x14ac:dyDescent="0.25">
      <c r="A18" s="215" t="s">
        <v>1313</v>
      </c>
      <c r="B18" s="64">
        <v>3.38</v>
      </c>
      <c r="C18" s="64">
        <v>7.05</v>
      </c>
      <c r="D18" s="64">
        <v>7.24</v>
      </c>
      <c r="E18" s="64">
        <v>2.1800000000000002</v>
      </c>
      <c r="F18" s="64">
        <v>11.64</v>
      </c>
      <c r="G18" s="217" t="s">
        <v>42</v>
      </c>
      <c r="H18" s="217" t="s">
        <v>42</v>
      </c>
      <c r="I18" s="64">
        <v>5.07</v>
      </c>
      <c r="J18" s="64">
        <v>0.24</v>
      </c>
      <c r="K18" s="64">
        <v>213</v>
      </c>
      <c r="L18" s="64">
        <v>22.57</v>
      </c>
      <c r="M18" s="64">
        <v>96.19</v>
      </c>
      <c r="N18" s="64">
        <v>38.799999999999997</v>
      </c>
      <c r="O18" s="64">
        <v>0</v>
      </c>
      <c r="P18" s="64">
        <v>0.77</v>
      </c>
      <c r="Q18" s="64">
        <v>7.57</v>
      </c>
      <c r="R18" s="198"/>
      <c r="S18" s="198"/>
      <c r="T18" s="198"/>
      <c r="U18" s="198"/>
    </row>
    <row r="19" spans="1:21" s="12" customFormat="1" x14ac:dyDescent="0.25">
      <c r="A19" s="215" t="s">
        <v>1314</v>
      </c>
      <c r="B19" s="64">
        <v>3.47</v>
      </c>
      <c r="C19" s="64">
        <v>6.26</v>
      </c>
      <c r="D19" s="64">
        <v>6.88</v>
      </c>
      <c r="E19" s="64">
        <v>2.1800000000000002</v>
      </c>
      <c r="F19" s="64">
        <v>11.64</v>
      </c>
      <c r="G19" s="217" t="s">
        <v>42</v>
      </c>
      <c r="H19" s="217" t="s">
        <v>42</v>
      </c>
      <c r="I19" s="64">
        <v>4.5</v>
      </c>
      <c r="J19" s="64">
        <v>0.13</v>
      </c>
      <c r="K19" s="64">
        <v>221.55</v>
      </c>
      <c r="L19" s="64">
        <v>22.58</v>
      </c>
      <c r="M19" s="64">
        <v>96.33</v>
      </c>
      <c r="N19" s="64">
        <v>38.799999999999997</v>
      </c>
      <c r="O19" s="64">
        <v>0</v>
      </c>
      <c r="P19" s="64">
        <v>0.77</v>
      </c>
      <c r="Q19" s="64">
        <v>6.95</v>
      </c>
      <c r="R19" s="198"/>
      <c r="S19" s="198"/>
      <c r="T19" s="198"/>
      <c r="U19" s="198"/>
    </row>
    <row r="20" spans="1:21" s="12" customFormat="1" x14ac:dyDescent="0.25">
      <c r="A20" s="215" t="s">
        <v>1315</v>
      </c>
      <c r="B20" s="64">
        <v>3.68</v>
      </c>
      <c r="C20" s="64">
        <v>6.51</v>
      </c>
      <c r="D20" s="64">
        <v>7.19</v>
      </c>
      <c r="E20" s="64">
        <v>2.4300000000000002</v>
      </c>
      <c r="F20" s="64">
        <v>12.21</v>
      </c>
      <c r="G20" s="217" t="s">
        <v>42</v>
      </c>
      <c r="H20" s="217" t="s">
        <v>42</v>
      </c>
      <c r="I20" s="64">
        <v>3.75</v>
      </c>
      <c r="J20" s="64">
        <v>0.27</v>
      </c>
      <c r="K20" s="64">
        <v>203.07</v>
      </c>
      <c r="L20" s="64">
        <v>22.6</v>
      </c>
      <c r="M20" s="64">
        <v>96.34</v>
      </c>
      <c r="N20" s="64">
        <v>38.799999999999997</v>
      </c>
      <c r="O20" s="64">
        <v>0</v>
      </c>
      <c r="P20" s="64">
        <v>0.77</v>
      </c>
      <c r="Q20" s="64">
        <v>9.1199999999999992</v>
      </c>
      <c r="R20" s="198"/>
      <c r="S20" s="198"/>
      <c r="T20" s="198"/>
      <c r="U20" s="198"/>
    </row>
    <row r="21" spans="1:21" s="12" customFormat="1" x14ac:dyDescent="0.25">
      <c r="A21" s="215" t="s">
        <v>1316</v>
      </c>
      <c r="B21" s="64">
        <v>3.9</v>
      </c>
      <c r="C21" s="64">
        <v>6.16</v>
      </c>
      <c r="D21" s="64">
        <v>7.17</v>
      </c>
      <c r="E21" s="64">
        <v>3.12</v>
      </c>
      <c r="F21" s="64">
        <v>9.83</v>
      </c>
      <c r="G21" s="217" t="s">
        <v>42</v>
      </c>
      <c r="H21" s="217" t="s">
        <v>42</v>
      </c>
      <c r="I21" s="64">
        <v>3.95</v>
      </c>
      <c r="J21" s="64">
        <v>0.25</v>
      </c>
      <c r="K21" s="64">
        <v>233.8</v>
      </c>
      <c r="L21" s="64">
        <v>22.6</v>
      </c>
      <c r="M21" s="64">
        <v>96.3</v>
      </c>
      <c r="N21" s="64">
        <v>38.700000000000003</v>
      </c>
      <c r="O21" s="64">
        <v>0</v>
      </c>
      <c r="P21" s="64">
        <v>0.78</v>
      </c>
      <c r="Q21" s="64">
        <v>9.15</v>
      </c>
      <c r="R21" s="198"/>
      <c r="S21" s="198"/>
      <c r="T21" s="198"/>
      <c r="U21" s="198"/>
    </row>
    <row r="22" spans="1:21" s="12" customFormat="1" x14ac:dyDescent="0.25">
      <c r="A22" s="215" t="s">
        <v>1317</v>
      </c>
      <c r="B22" s="64">
        <v>4.29</v>
      </c>
      <c r="C22" s="64">
        <v>7.08</v>
      </c>
      <c r="D22" s="64">
        <v>7.99</v>
      </c>
      <c r="E22" s="64">
        <v>2.78</v>
      </c>
      <c r="F22" s="64">
        <v>5.32</v>
      </c>
      <c r="G22" s="217" t="s">
        <v>42</v>
      </c>
      <c r="H22" s="217" t="s">
        <v>42</v>
      </c>
      <c r="I22" s="64">
        <v>4.0199999999999996</v>
      </c>
      <c r="J22" s="64">
        <v>0.44</v>
      </c>
      <c r="K22" s="64">
        <v>189.36</v>
      </c>
      <c r="L22" s="64">
        <v>22.64</v>
      </c>
      <c r="M22" s="64">
        <v>96.19</v>
      </c>
      <c r="N22" s="64">
        <v>38.799999999999997</v>
      </c>
      <c r="O22" s="64">
        <v>0</v>
      </c>
      <c r="P22" s="64">
        <v>0.76</v>
      </c>
      <c r="Q22" s="64">
        <v>11.25</v>
      </c>
      <c r="R22" s="198"/>
      <c r="S22" s="198"/>
      <c r="T22" s="198"/>
      <c r="U22" s="198"/>
    </row>
    <row r="23" spans="1:21" s="12" customFormat="1" x14ac:dyDescent="0.25">
      <c r="A23" s="215" t="s">
        <v>1318</v>
      </c>
      <c r="B23" s="64">
        <v>4.18</v>
      </c>
      <c r="C23" s="64">
        <v>7.17</v>
      </c>
      <c r="D23" s="64">
        <v>7.96</v>
      </c>
      <c r="E23" s="64">
        <v>2.33</v>
      </c>
      <c r="F23" s="64">
        <v>4.6399999999999997</v>
      </c>
      <c r="G23" s="217" t="s">
        <v>42</v>
      </c>
      <c r="H23" s="217" t="s">
        <v>42</v>
      </c>
      <c r="I23" s="64">
        <v>4.82</v>
      </c>
      <c r="J23" s="64">
        <v>0.32</v>
      </c>
      <c r="K23" s="64">
        <v>201.61</v>
      </c>
      <c r="L23" s="64">
        <v>22.64</v>
      </c>
      <c r="M23" s="64">
        <v>96.45</v>
      </c>
      <c r="N23" s="64">
        <v>38.799999999999997</v>
      </c>
      <c r="O23" s="64">
        <v>0</v>
      </c>
      <c r="P23" s="64">
        <v>0.74</v>
      </c>
      <c r="Q23" s="64">
        <v>9.82</v>
      </c>
      <c r="R23" s="198"/>
      <c r="S23" s="198"/>
      <c r="T23" s="198"/>
      <c r="U23" s="198"/>
    </row>
    <row r="24" spans="1:21" s="12" customFormat="1" x14ac:dyDescent="0.25">
      <c r="A24" s="215" t="s">
        <v>1319</v>
      </c>
      <c r="B24" s="64">
        <v>4.0999999999999996</v>
      </c>
      <c r="C24" s="64">
        <v>7.15</v>
      </c>
      <c r="D24" s="64">
        <v>7.88</v>
      </c>
      <c r="E24" s="64">
        <v>1.9</v>
      </c>
      <c r="F24" s="64">
        <v>4.72</v>
      </c>
      <c r="G24" s="217" t="s">
        <v>42</v>
      </c>
      <c r="H24" s="217" t="s">
        <v>42</v>
      </c>
      <c r="I24" s="64">
        <v>5.63</v>
      </c>
      <c r="J24" s="64">
        <v>0.32</v>
      </c>
      <c r="K24" s="64">
        <v>179.47</v>
      </c>
      <c r="L24" s="64">
        <v>22.6</v>
      </c>
      <c r="M24" s="64">
        <v>97.01</v>
      </c>
      <c r="N24" s="64">
        <v>38.799999999999997</v>
      </c>
      <c r="O24" s="64">
        <v>0</v>
      </c>
      <c r="P24" s="64">
        <v>0.76</v>
      </c>
      <c r="Q24" s="64">
        <v>9.51</v>
      </c>
      <c r="R24" s="198"/>
      <c r="S24" s="198"/>
      <c r="T24" s="198"/>
      <c r="U24" s="198"/>
    </row>
    <row r="25" spans="1:21" s="12" customFormat="1" x14ac:dyDescent="0.25">
      <c r="A25" s="215" t="s">
        <v>1320</v>
      </c>
      <c r="B25" s="64">
        <v>4.08</v>
      </c>
      <c r="C25" s="64">
        <v>7.43</v>
      </c>
      <c r="D25" s="64">
        <v>8.02</v>
      </c>
      <c r="E25" s="64">
        <v>2.14</v>
      </c>
      <c r="F25" s="64">
        <v>4.78</v>
      </c>
      <c r="G25" s="217" t="s">
        <v>42</v>
      </c>
      <c r="H25" s="217" t="s">
        <v>42</v>
      </c>
      <c r="I25" s="64">
        <v>5.79</v>
      </c>
      <c r="J25" s="64">
        <v>0.49</v>
      </c>
      <c r="K25" s="64">
        <v>177.36</v>
      </c>
      <c r="L25" s="64">
        <v>22.57</v>
      </c>
      <c r="M25" s="64">
        <v>97.15</v>
      </c>
      <c r="N25" s="64">
        <v>38.700000000000003</v>
      </c>
      <c r="O25" s="64">
        <v>0</v>
      </c>
      <c r="P25" s="64">
        <v>0.75</v>
      </c>
      <c r="Q25" s="64">
        <v>8.98</v>
      </c>
      <c r="R25" s="198"/>
      <c r="S25" s="198"/>
      <c r="T25" s="198"/>
      <c r="U25" s="198"/>
    </row>
    <row r="26" spans="1:21" s="12" customFormat="1" x14ac:dyDescent="0.25">
      <c r="A26" s="215" t="s">
        <v>1321</v>
      </c>
      <c r="B26" s="64">
        <v>4.04</v>
      </c>
      <c r="C26" s="64">
        <v>7.44</v>
      </c>
      <c r="D26" s="64">
        <v>8</v>
      </c>
      <c r="E26" s="64">
        <v>2.2000000000000002</v>
      </c>
      <c r="F26" s="64">
        <v>3.43</v>
      </c>
      <c r="G26" s="217" t="s">
        <v>42</v>
      </c>
      <c r="H26" s="217" t="s">
        <v>42</v>
      </c>
      <c r="I26" s="218" t="s">
        <v>36</v>
      </c>
      <c r="J26" s="64">
        <v>0.46</v>
      </c>
      <c r="K26" s="64">
        <v>192.27</v>
      </c>
      <c r="L26" s="64">
        <v>22.58</v>
      </c>
      <c r="M26" s="64">
        <v>97.15</v>
      </c>
      <c r="N26" s="64">
        <v>38.700000000000003</v>
      </c>
      <c r="O26" s="64">
        <v>0</v>
      </c>
      <c r="P26" s="64">
        <v>0.73</v>
      </c>
      <c r="Q26" s="64">
        <v>9.23</v>
      </c>
      <c r="R26" s="198"/>
      <c r="S26" s="198"/>
      <c r="T26" s="198"/>
      <c r="U26" s="198"/>
    </row>
    <row r="27" spans="1:21" s="12" customFormat="1" x14ac:dyDescent="0.25">
      <c r="A27" s="215" t="s">
        <v>1322</v>
      </c>
      <c r="B27" s="64">
        <v>3.97</v>
      </c>
      <c r="C27" s="64">
        <v>7.25</v>
      </c>
      <c r="D27" s="64">
        <v>7.83</v>
      </c>
      <c r="E27" s="64">
        <v>1.93</v>
      </c>
      <c r="F27" s="64">
        <v>4.58</v>
      </c>
      <c r="G27" s="217" t="s">
        <v>42</v>
      </c>
      <c r="H27" s="217" t="s">
        <v>42</v>
      </c>
      <c r="I27" s="218" t="s">
        <v>36</v>
      </c>
      <c r="J27" s="64">
        <v>0.24</v>
      </c>
      <c r="K27" s="64">
        <v>220.29</v>
      </c>
      <c r="L27" s="64">
        <v>22.53</v>
      </c>
      <c r="M27" s="64">
        <v>97.15</v>
      </c>
      <c r="N27" s="64">
        <v>38.700000000000003</v>
      </c>
      <c r="O27" s="64">
        <v>0</v>
      </c>
      <c r="P27" s="64">
        <v>0.75</v>
      </c>
      <c r="Q27" s="64">
        <v>8.39</v>
      </c>
      <c r="R27" s="198"/>
      <c r="S27" s="198"/>
      <c r="T27" s="198"/>
      <c r="U27" s="198"/>
    </row>
    <row r="28" spans="1:21" s="12" customFormat="1" x14ac:dyDescent="0.25">
      <c r="A28" s="215" t="s">
        <v>1323</v>
      </c>
      <c r="B28" s="64">
        <v>3.86</v>
      </c>
      <c r="C28" s="64">
        <v>7.49</v>
      </c>
      <c r="D28" s="64">
        <v>7.87</v>
      </c>
      <c r="E28" s="64">
        <v>1.57</v>
      </c>
      <c r="F28" s="64">
        <v>4.4000000000000004</v>
      </c>
      <c r="G28" s="217" t="s">
        <v>42</v>
      </c>
      <c r="H28" s="217" t="s">
        <v>42</v>
      </c>
      <c r="I28" s="218" t="s">
        <v>36</v>
      </c>
      <c r="J28" s="64">
        <v>0.28000000000000003</v>
      </c>
      <c r="K28" s="64">
        <v>212.64</v>
      </c>
      <c r="L28" s="64">
        <v>22.47</v>
      </c>
      <c r="M28" s="64">
        <v>97.17</v>
      </c>
      <c r="N28" s="64">
        <v>38.700000000000003</v>
      </c>
      <c r="O28" s="64">
        <v>0</v>
      </c>
      <c r="P28" s="64">
        <v>0.75</v>
      </c>
      <c r="Q28" s="64">
        <v>8.44</v>
      </c>
      <c r="R28" s="198"/>
      <c r="S28" s="198"/>
      <c r="T28" s="198"/>
      <c r="U28" s="198"/>
    </row>
    <row r="29" spans="1:21" s="12" customFormat="1" x14ac:dyDescent="0.25">
      <c r="A29" s="215" t="s">
        <v>1324</v>
      </c>
      <c r="B29" s="64">
        <v>3.73</v>
      </c>
      <c r="C29" s="64">
        <v>7.78</v>
      </c>
      <c r="D29" s="64">
        <v>7.93</v>
      </c>
      <c r="E29" s="64">
        <v>2.42</v>
      </c>
      <c r="F29" s="64">
        <v>7.78</v>
      </c>
      <c r="G29" s="217" t="s">
        <v>42</v>
      </c>
      <c r="H29" s="217" t="s">
        <v>42</v>
      </c>
      <c r="I29" s="218" t="s">
        <v>36</v>
      </c>
      <c r="J29" s="64">
        <v>0.27</v>
      </c>
      <c r="K29" s="64">
        <v>195.33</v>
      </c>
      <c r="L29" s="64">
        <v>22.42</v>
      </c>
      <c r="M29" s="64">
        <v>97.18</v>
      </c>
      <c r="N29" s="64">
        <v>38.799999999999997</v>
      </c>
      <c r="O29" s="64">
        <v>0</v>
      </c>
      <c r="P29" s="64">
        <v>0.75</v>
      </c>
      <c r="Q29" s="64">
        <v>9.75</v>
      </c>
      <c r="R29" s="198"/>
      <c r="S29" s="198"/>
      <c r="T29" s="198"/>
      <c r="U29" s="198"/>
    </row>
    <row r="30" spans="1:21" s="12" customFormat="1" x14ac:dyDescent="0.25">
      <c r="A30" s="215" t="s">
        <v>1325</v>
      </c>
      <c r="B30" s="64">
        <v>3.88</v>
      </c>
      <c r="C30" s="64">
        <v>8.7100000000000009</v>
      </c>
      <c r="D30" s="64">
        <v>8.56</v>
      </c>
      <c r="E30" s="64">
        <v>2.2799999999999998</v>
      </c>
      <c r="F30" s="64">
        <v>10.88</v>
      </c>
      <c r="G30" s="217" t="s">
        <v>42</v>
      </c>
      <c r="H30" s="217" t="s">
        <v>42</v>
      </c>
      <c r="I30" s="218" t="s">
        <v>36</v>
      </c>
      <c r="J30" s="64">
        <v>0.15</v>
      </c>
      <c r="K30" s="64">
        <v>185.09</v>
      </c>
      <c r="L30" s="64">
        <v>22.4</v>
      </c>
      <c r="M30" s="64">
        <v>97.18</v>
      </c>
      <c r="N30" s="64">
        <v>40.799999999999997</v>
      </c>
      <c r="O30" s="64">
        <v>0</v>
      </c>
      <c r="P30" s="64">
        <v>0.75</v>
      </c>
      <c r="Q30" s="64">
        <v>8.85</v>
      </c>
      <c r="R30" s="198"/>
      <c r="S30" s="198"/>
      <c r="T30" s="198"/>
      <c r="U30" s="198"/>
    </row>
    <row r="31" spans="1:21" s="12" customFormat="1" x14ac:dyDescent="0.25">
      <c r="A31" s="215" t="s">
        <v>1326</v>
      </c>
      <c r="B31" s="64">
        <v>4.1399999999999997</v>
      </c>
      <c r="C31" s="64">
        <v>8.31</v>
      </c>
      <c r="D31" s="64">
        <v>8.5500000000000007</v>
      </c>
      <c r="E31" s="64">
        <v>2.0499999999999998</v>
      </c>
      <c r="F31" s="64">
        <v>8.9600000000000009</v>
      </c>
      <c r="G31" s="217" t="s">
        <v>42</v>
      </c>
      <c r="H31" s="217" t="s">
        <v>42</v>
      </c>
      <c r="I31" s="218" t="s">
        <v>36</v>
      </c>
      <c r="J31" s="64">
        <v>0.35</v>
      </c>
      <c r="K31" s="64">
        <v>181.4</v>
      </c>
      <c r="L31" s="64">
        <v>22.4</v>
      </c>
      <c r="M31" s="64">
        <v>97.18</v>
      </c>
      <c r="N31" s="64">
        <v>48.4</v>
      </c>
      <c r="O31" s="64">
        <v>0</v>
      </c>
      <c r="P31" s="64">
        <v>0.77</v>
      </c>
      <c r="Q31" s="64">
        <v>10.199999999999999</v>
      </c>
      <c r="R31" s="198"/>
      <c r="S31" s="198"/>
      <c r="T31" s="198"/>
      <c r="U31" s="198"/>
    </row>
    <row r="32" spans="1:21" s="12" customFormat="1" x14ac:dyDescent="0.25">
      <c r="A32" s="215" t="s">
        <v>1327</v>
      </c>
      <c r="B32" s="64">
        <v>4.51</v>
      </c>
      <c r="C32" s="64">
        <v>8.64</v>
      </c>
      <c r="D32" s="64">
        <v>9.0299999999999994</v>
      </c>
      <c r="E32" s="64">
        <v>2.0499999999999998</v>
      </c>
      <c r="F32" s="64">
        <v>8.83</v>
      </c>
      <c r="G32" s="217" t="s">
        <v>42</v>
      </c>
      <c r="H32" s="217" t="s">
        <v>42</v>
      </c>
      <c r="I32" s="218" t="s">
        <v>36</v>
      </c>
      <c r="J32" s="64">
        <v>0.46</v>
      </c>
      <c r="K32" s="64">
        <v>178.83</v>
      </c>
      <c r="L32" s="64">
        <v>22.44</v>
      </c>
      <c r="M32" s="64">
        <v>97.18</v>
      </c>
      <c r="N32" s="64">
        <v>59.9</v>
      </c>
      <c r="O32" s="64">
        <v>0</v>
      </c>
      <c r="P32" s="64">
        <v>0.76</v>
      </c>
      <c r="Q32" s="64">
        <v>9.92</v>
      </c>
      <c r="R32" s="198"/>
      <c r="S32" s="198"/>
      <c r="T32" s="198"/>
      <c r="U32" s="198"/>
    </row>
    <row r="33" spans="1:21" s="12" customFormat="1" x14ac:dyDescent="0.25">
      <c r="A33" s="215" t="s">
        <v>1328</v>
      </c>
      <c r="B33" s="64">
        <v>5.26</v>
      </c>
      <c r="C33" s="64">
        <v>9.1999999999999993</v>
      </c>
      <c r="D33" s="64">
        <v>9.94</v>
      </c>
      <c r="E33" s="64">
        <v>2.4</v>
      </c>
      <c r="F33" s="64">
        <v>6.25</v>
      </c>
      <c r="G33" s="217" t="s">
        <v>42</v>
      </c>
      <c r="H33" s="217" t="s">
        <v>42</v>
      </c>
      <c r="I33" s="218" t="s">
        <v>36</v>
      </c>
      <c r="J33" s="64">
        <v>0.45</v>
      </c>
      <c r="K33" s="64">
        <v>181.13</v>
      </c>
      <c r="L33" s="64">
        <v>22.55</v>
      </c>
      <c r="M33" s="64">
        <v>97.17</v>
      </c>
      <c r="N33" s="64">
        <v>69.7</v>
      </c>
      <c r="O33" s="64">
        <v>0</v>
      </c>
      <c r="P33" s="64">
        <v>0.76</v>
      </c>
      <c r="Q33" s="64">
        <v>12.42</v>
      </c>
      <c r="R33" s="198"/>
      <c r="S33" s="198"/>
      <c r="T33" s="198"/>
      <c r="U33" s="198"/>
    </row>
    <row r="34" spans="1:21" s="12" customFormat="1" x14ac:dyDescent="0.25">
      <c r="A34" s="215" t="s">
        <v>1329</v>
      </c>
      <c r="B34" s="64">
        <v>5.57</v>
      </c>
      <c r="C34" s="64">
        <v>8.85</v>
      </c>
      <c r="D34" s="64">
        <v>10</v>
      </c>
      <c r="E34" s="64">
        <v>2.61</v>
      </c>
      <c r="F34" s="64">
        <v>5.16</v>
      </c>
      <c r="G34" s="217" t="s">
        <v>42</v>
      </c>
      <c r="H34" s="217" t="s">
        <v>42</v>
      </c>
      <c r="I34" s="218" t="s">
        <v>36</v>
      </c>
      <c r="J34" s="64">
        <v>0.44</v>
      </c>
      <c r="K34" s="64">
        <v>180.85</v>
      </c>
      <c r="L34" s="64">
        <v>22.71</v>
      </c>
      <c r="M34" s="64">
        <v>96.89</v>
      </c>
      <c r="N34" s="64">
        <v>116.6</v>
      </c>
      <c r="O34" s="64">
        <v>0</v>
      </c>
      <c r="P34" s="64">
        <v>0.76</v>
      </c>
      <c r="Q34" s="64">
        <v>13.1</v>
      </c>
      <c r="R34" s="198"/>
      <c r="S34" s="198"/>
      <c r="T34" s="198"/>
      <c r="U34" s="198"/>
    </row>
    <row r="35" spans="1:21" s="12" customFormat="1" x14ac:dyDescent="0.25">
      <c r="A35" s="215" t="s">
        <v>1330</v>
      </c>
      <c r="B35" s="64">
        <v>5.68</v>
      </c>
      <c r="C35" s="64">
        <v>7.95</v>
      </c>
      <c r="D35" s="64">
        <v>9.59</v>
      </c>
      <c r="E35" s="64">
        <v>2.41</v>
      </c>
      <c r="F35" s="64">
        <v>4.57</v>
      </c>
      <c r="G35" s="217" t="s">
        <v>42</v>
      </c>
      <c r="H35" s="217" t="s">
        <v>42</v>
      </c>
      <c r="I35" s="218" t="s">
        <v>36</v>
      </c>
      <c r="J35" s="64">
        <v>0.27</v>
      </c>
      <c r="K35" s="64">
        <v>190.53</v>
      </c>
      <c r="L35" s="64">
        <v>23.03</v>
      </c>
      <c r="M35" s="64">
        <v>95.3</v>
      </c>
      <c r="N35" s="64">
        <v>143.1</v>
      </c>
      <c r="O35" s="64">
        <v>0</v>
      </c>
      <c r="P35" s="64">
        <v>0.76</v>
      </c>
      <c r="Q35" s="64">
        <v>11.68</v>
      </c>
      <c r="R35" s="198"/>
      <c r="S35" s="198"/>
      <c r="T35" s="198"/>
      <c r="U35" s="198"/>
    </row>
    <row r="36" spans="1:21" s="12" customFormat="1" x14ac:dyDescent="0.25">
      <c r="A36" s="215" t="s">
        <v>1331</v>
      </c>
      <c r="B36" s="64">
        <v>5.52</v>
      </c>
      <c r="C36" s="64">
        <v>8.17</v>
      </c>
      <c r="D36" s="64">
        <v>9.58</v>
      </c>
      <c r="E36" s="64">
        <v>2.42</v>
      </c>
      <c r="F36" s="64">
        <v>4.26</v>
      </c>
      <c r="G36" s="217" t="s">
        <v>42</v>
      </c>
      <c r="H36" s="217" t="s">
        <v>42</v>
      </c>
      <c r="I36" s="218" t="s">
        <v>36</v>
      </c>
      <c r="J36" s="64">
        <v>0.4</v>
      </c>
      <c r="K36" s="64">
        <v>180.65</v>
      </c>
      <c r="L36" s="64">
        <v>23.18</v>
      </c>
      <c r="M36" s="64">
        <v>94.54</v>
      </c>
      <c r="N36" s="64">
        <v>176</v>
      </c>
      <c r="O36" s="64">
        <v>0</v>
      </c>
      <c r="P36" s="64">
        <v>0.76</v>
      </c>
      <c r="Q36" s="64">
        <v>11.65</v>
      </c>
      <c r="R36" s="198"/>
      <c r="S36" s="198"/>
      <c r="T36" s="198"/>
      <c r="U36" s="198"/>
    </row>
    <row r="37" spans="1:21" s="12" customFormat="1" x14ac:dyDescent="0.25">
      <c r="A37" s="215" t="s">
        <v>1332</v>
      </c>
      <c r="B37" s="64">
        <v>5.43</v>
      </c>
      <c r="C37" s="64">
        <v>8.0500000000000007</v>
      </c>
      <c r="D37" s="64">
        <v>9.44</v>
      </c>
      <c r="E37" s="64">
        <v>2.52</v>
      </c>
      <c r="F37" s="64">
        <v>4.05</v>
      </c>
      <c r="G37" s="217" t="s">
        <v>42</v>
      </c>
      <c r="H37" s="217" t="s">
        <v>42</v>
      </c>
      <c r="I37" s="218" t="s">
        <v>36</v>
      </c>
      <c r="J37" s="64">
        <v>0.66</v>
      </c>
      <c r="K37" s="64">
        <v>168.59</v>
      </c>
      <c r="L37" s="64">
        <v>23.44</v>
      </c>
      <c r="M37" s="64">
        <v>93.07</v>
      </c>
      <c r="N37" s="64">
        <v>185</v>
      </c>
      <c r="O37" s="64">
        <v>0</v>
      </c>
      <c r="P37" s="64">
        <v>0.6</v>
      </c>
      <c r="Q37" s="64">
        <v>11.23</v>
      </c>
      <c r="R37" s="198"/>
      <c r="S37" s="198"/>
      <c r="T37" s="198"/>
      <c r="U37" s="198"/>
    </row>
    <row r="38" spans="1:21" s="12" customFormat="1" x14ac:dyDescent="0.25">
      <c r="A38" s="215" t="s">
        <v>1333</v>
      </c>
      <c r="B38" s="64">
        <v>5.34</v>
      </c>
      <c r="C38" s="64">
        <v>8.15</v>
      </c>
      <c r="D38" s="64">
        <v>9.42</v>
      </c>
      <c r="E38" s="64">
        <v>2.34</v>
      </c>
      <c r="F38" s="64">
        <v>4.1399999999999997</v>
      </c>
      <c r="G38" s="217" t="s">
        <v>42</v>
      </c>
      <c r="H38" s="217" t="s">
        <v>42</v>
      </c>
      <c r="I38" s="218" t="s">
        <v>36</v>
      </c>
      <c r="J38" s="64">
        <v>0.2</v>
      </c>
      <c r="K38" s="64">
        <v>167.81</v>
      </c>
      <c r="L38" s="64">
        <v>23.3</v>
      </c>
      <c r="M38" s="64">
        <v>93.82</v>
      </c>
      <c r="N38" s="64">
        <v>123.9</v>
      </c>
      <c r="O38" s="64">
        <v>0</v>
      </c>
      <c r="P38" s="64">
        <v>0.67</v>
      </c>
      <c r="Q38" s="64">
        <v>10.61</v>
      </c>
      <c r="R38" s="198"/>
      <c r="S38" s="198"/>
      <c r="T38" s="198"/>
      <c r="U38" s="198"/>
    </row>
    <row r="39" spans="1:21" s="12" customFormat="1" x14ac:dyDescent="0.25">
      <c r="A39" s="215" t="s">
        <v>1334</v>
      </c>
      <c r="B39" s="64">
        <v>5.22</v>
      </c>
      <c r="C39" s="64">
        <v>8.34</v>
      </c>
      <c r="D39" s="64">
        <v>9.43</v>
      </c>
      <c r="E39" s="64">
        <v>2.3199999999999998</v>
      </c>
      <c r="F39" s="64">
        <v>3.84</v>
      </c>
      <c r="G39" s="217" t="s">
        <v>42</v>
      </c>
      <c r="H39" s="217" t="s">
        <v>42</v>
      </c>
      <c r="I39" s="218" t="s">
        <v>36</v>
      </c>
      <c r="J39" s="64">
        <v>0.28999999999999998</v>
      </c>
      <c r="K39" s="64">
        <v>174.55</v>
      </c>
      <c r="L39" s="64">
        <v>23.18</v>
      </c>
      <c r="M39" s="64">
        <v>94</v>
      </c>
      <c r="N39" s="64">
        <v>116.3</v>
      </c>
      <c r="O39" s="64">
        <v>0</v>
      </c>
      <c r="P39" s="64">
        <v>0.65</v>
      </c>
      <c r="Q39" s="64">
        <v>10.34</v>
      </c>
      <c r="R39" s="198"/>
      <c r="S39" s="198"/>
      <c r="T39" s="198"/>
      <c r="U39" s="198"/>
    </row>
    <row r="40" spans="1:21" s="12" customFormat="1" x14ac:dyDescent="0.25">
      <c r="A40" s="215" t="s">
        <v>1335</v>
      </c>
      <c r="B40" s="64">
        <v>5</v>
      </c>
      <c r="C40" s="64">
        <v>8.27</v>
      </c>
      <c r="D40" s="64">
        <v>9.2200000000000006</v>
      </c>
      <c r="E40" s="64">
        <v>1.92</v>
      </c>
      <c r="F40" s="64">
        <v>4.3</v>
      </c>
      <c r="G40" s="217" t="s">
        <v>42</v>
      </c>
      <c r="H40" s="217" t="s">
        <v>42</v>
      </c>
      <c r="I40" s="218" t="s">
        <v>36</v>
      </c>
      <c r="J40" s="64">
        <v>0.3</v>
      </c>
      <c r="K40" s="64">
        <v>201.2</v>
      </c>
      <c r="L40" s="64">
        <v>23.21</v>
      </c>
      <c r="M40" s="64">
        <v>93.83</v>
      </c>
      <c r="N40" s="64">
        <v>133.30000000000001</v>
      </c>
      <c r="O40" s="64">
        <v>0</v>
      </c>
      <c r="P40" s="64">
        <v>0.67</v>
      </c>
      <c r="Q40" s="64">
        <v>9.92</v>
      </c>
      <c r="R40" s="198"/>
      <c r="S40" s="198"/>
      <c r="T40" s="198"/>
      <c r="U40" s="198"/>
    </row>
    <row r="41" spans="1:21" s="12" customFormat="1" x14ac:dyDescent="0.25">
      <c r="A41" s="215" t="s">
        <v>1336</v>
      </c>
      <c r="B41" s="64">
        <v>5.87</v>
      </c>
      <c r="C41" s="64">
        <v>11.4</v>
      </c>
      <c r="D41" s="64">
        <v>11.64</v>
      </c>
      <c r="E41" s="64">
        <v>2.96</v>
      </c>
      <c r="F41" s="64">
        <v>7.7</v>
      </c>
      <c r="G41" s="217" t="s">
        <v>42</v>
      </c>
      <c r="H41" s="217" t="s">
        <v>42</v>
      </c>
      <c r="I41" s="218" t="s">
        <v>36</v>
      </c>
      <c r="J41" s="64">
        <v>0.31</v>
      </c>
      <c r="K41" s="64">
        <v>202.13</v>
      </c>
      <c r="L41" s="64">
        <v>23.27</v>
      </c>
      <c r="M41" s="64">
        <v>93.45</v>
      </c>
      <c r="N41" s="64">
        <v>131.9</v>
      </c>
      <c r="O41" s="64">
        <v>0</v>
      </c>
      <c r="P41" s="64">
        <v>0.67</v>
      </c>
      <c r="Q41" s="64">
        <v>10.95</v>
      </c>
      <c r="R41" s="198"/>
      <c r="S41" s="198"/>
      <c r="T41" s="198"/>
      <c r="U41" s="198"/>
    </row>
    <row r="42" spans="1:21" s="12" customFormat="1" x14ac:dyDescent="0.25">
      <c r="A42" s="215" t="s">
        <v>1337</v>
      </c>
      <c r="B42" s="64">
        <v>5.18</v>
      </c>
      <c r="C42" s="64">
        <v>9.85</v>
      </c>
      <c r="D42" s="64">
        <v>10.23</v>
      </c>
      <c r="E42" s="64">
        <v>2.73</v>
      </c>
      <c r="F42" s="64">
        <v>9.9700000000000006</v>
      </c>
      <c r="G42" s="217" t="s">
        <v>42</v>
      </c>
      <c r="H42" s="217" t="s">
        <v>42</v>
      </c>
      <c r="I42" s="218" t="s">
        <v>36</v>
      </c>
      <c r="J42" s="64">
        <v>0.32</v>
      </c>
      <c r="K42" s="64">
        <v>204.29</v>
      </c>
      <c r="L42" s="64">
        <v>23.46</v>
      </c>
      <c r="M42" s="64">
        <v>92.92</v>
      </c>
      <c r="N42" s="64">
        <v>167.7</v>
      </c>
      <c r="O42" s="64">
        <v>0</v>
      </c>
      <c r="P42" s="64">
        <v>0.68</v>
      </c>
      <c r="Q42" s="64">
        <v>9.75</v>
      </c>
      <c r="R42" s="198"/>
      <c r="S42" s="198"/>
      <c r="T42" s="198"/>
      <c r="U42" s="198"/>
    </row>
    <row r="43" spans="1:21" s="12" customFormat="1" x14ac:dyDescent="0.25">
      <c r="A43" s="215" t="s">
        <v>1338</v>
      </c>
      <c r="B43" s="64">
        <v>6.58</v>
      </c>
      <c r="C43" s="64">
        <v>10.199999999999999</v>
      </c>
      <c r="D43" s="64">
        <v>11.55</v>
      </c>
      <c r="E43" s="64">
        <v>2.62</v>
      </c>
      <c r="F43" s="64">
        <v>7.9</v>
      </c>
      <c r="G43" s="217" t="s">
        <v>42</v>
      </c>
      <c r="H43" s="217" t="s">
        <v>42</v>
      </c>
      <c r="I43" s="218" t="s">
        <v>36</v>
      </c>
      <c r="J43" s="64">
        <v>0.03</v>
      </c>
      <c r="K43" s="64">
        <v>334.36</v>
      </c>
      <c r="L43" s="64">
        <v>23.44</v>
      </c>
      <c r="M43" s="64">
        <v>93.68</v>
      </c>
      <c r="N43" s="64">
        <v>122.4</v>
      </c>
      <c r="O43" s="64">
        <v>0</v>
      </c>
      <c r="P43" s="64">
        <v>0.68</v>
      </c>
      <c r="Q43" s="64">
        <v>11.05</v>
      </c>
      <c r="R43" s="198"/>
      <c r="S43" s="198"/>
      <c r="T43" s="198"/>
      <c r="U43" s="198"/>
    </row>
    <row r="44" spans="1:21" s="12" customFormat="1" x14ac:dyDescent="0.25">
      <c r="A44" s="215" t="s">
        <v>1339</v>
      </c>
      <c r="B44" s="64">
        <v>10.94</v>
      </c>
      <c r="C44" s="64">
        <v>16.25</v>
      </c>
      <c r="D44" s="64">
        <v>18.39</v>
      </c>
      <c r="E44" s="64">
        <v>2.56</v>
      </c>
      <c r="F44" s="64">
        <v>8.7799999999999994</v>
      </c>
      <c r="G44" s="217" t="s">
        <v>42</v>
      </c>
      <c r="H44" s="217" t="s">
        <v>42</v>
      </c>
      <c r="I44" s="218" t="s">
        <v>36</v>
      </c>
      <c r="J44" s="64">
        <v>0.04</v>
      </c>
      <c r="K44" s="64">
        <v>180.66</v>
      </c>
      <c r="L44" s="64">
        <v>23.24</v>
      </c>
      <c r="M44" s="64">
        <v>95.71</v>
      </c>
      <c r="N44" s="64">
        <v>112.3</v>
      </c>
      <c r="O44" s="64">
        <v>0</v>
      </c>
      <c r="P44" s="64">
        <v>0.69</v>
      </c>
      <c r="Q44" s="64">
        <v>10.25</v>
      </c>
      <c r="R44" s="198"/>
      <c r="S44" s="198"/>
      <c r="T44" s="198"/>
      <c r="U44" s="198"/>
    </row>
    <row r="45" spans="1:21" s="12" customFormat="1" x14ac:dyDescent="0.25">
      <c r="A45" s="215" t="s">
        <v>1340</v>
      </c>
      <c r="B45" s="64">
        <v>7.24</v>
      </c>
      <c r="C45" s="64">
        <v>11.06</v>
      </c>
      <c r="D45" s="64">
        <v>12.56</v>
      </c>
      <c r="E45" s="64">
        <v>2.89</v>
      </c>
      <c r="F45" s="64">
        <v>5.65</v>
      </c>
      <c r="G45" s="217" t="s">
        <v>42</v>
      </c>
      <c r="H45" s="217" t="s">
        <v>42</v>
      </c>
      <c r="I45" s="218" t="s">
        <v>36</v>
      </c>
      <c r="J45" s="64">
        <v>0.14000000000000001</v>
      </c>
      <c r="K45" s="64">
        <v>176.5</v>
      </c>
      <c r="L45" s="64">
        <v>23.56</v>
      </c>
      <c r="M45" s="64">
        <v>93.29</v>
      </c>
      <c r="N45" s="64">
        <v>189</v>
      </c>
      <c r="O45" s="64">
        <v>0</v>
      </c>
      <c r="P45" s="64">
        <v>0.69</v>
      </c>
      <c r="Q45" s="64">
        <v>12.77</v>
      </c>
      <c r="R45" s="198"/>
      <c r="S45" s="198"/>
      <c r="T45" s="198"/>
      <c r="U45" s="198"/>
    </row>
    <row r="46" spans="1:21" s="12" customFormat="1" x14ac:dyDescent="0.25">
      <c r="A46" s="215" t="s">
        <v>1341</v>
      </c>
      <c r="B46" s="64">
        <v>6.9</v>
      </c>
      <c r="C46" s="64">
        <v>10.24</v>
      </c>
      <c r="D46" s="64">
        <v>11.83</v>
      </c>
      <c r="E46" s="64">
        <v>3.04</v>
      </c>
      <c r="F46" s="64">
        <v>3.91</v>
      </c>
      <c r="G46" s="217" t="s">
        <v>42</v>
      </c>
      <c r="H46" s="217" t="s">
        <v>42</v>
      </c>
      <c r="I46" s="218" t="s">
        <v>36</v>
      </c>
      <c r="J46" s="64">
        <v>0.1</v>
      </c>
      <c r="K46" s="64">
        <v>200.02</v>
      </c>
      <c r="L46" s="64">
        <v>23.99</v>
      </c>
      <c r="M46" s="64">
        <v>90.42</v>
      </c>
      <c r="N46" s="64">
        <v>226.1</v>
      </c>
      <c r="O46" s="64">
        <v>0</v>
      </c>
      <c r="P46" s="64">
        <v>0.74</v>
      </c>
      <c r="Q46" s="64">
        <v>12.89</v>
      </c>
      <c r="R46" s="198"/>
      <c r="S46" s="198"/>
      <c r="T46" s="198"/>
      <c r="U46" s="198"/>
    </row>
    <row r="47" spans="1:21" s="12" customFormat="1" x14ac:dyDescent="0.25">
      <c r="A47" s="215" t="s">
        <v>1342</v>
      </c>
      <c r="B47" s="64">
        <v>6.07</v>
      </c>
      <c r="C47" s="64">
        <v>17.100000000000001</v>
      </c>
      <c r="D47" s="64">
        <v>14.95</v>
      </c>
      <c r="E47" s="64">
        <v>3.15</v>
      </c>
      <c r="F47" s="64">
        <v>8.34</v>
      </c>
      <c r="G47" s="217" t="s">
        <v>42</v>
      </c>
      <c r="H47" s="217" t="s">
        <v>42</v>
      </c>
      <c r="I47" s="218" t="s">
        <v>36</v>
      </c>
      <c r="J47" s="64">
        <v>0.12</v>
      </c>
      <c r="K47" s="64">
        <v>209.41</v>
      </c>
      <c r="L47" s="64">
        <v>24.44</v>
      </c>
      <c r="M47" s="64">
        <v>88.21</v>
      </c>
      <c r="N47" s="64">
        <v>234.3</v>
      </c>
      <c r="O47" s="64">
        <v>0</v>
      </c>
      <c r="P47" s="64">
        <v>0.9</v>
      </c>
      <c r="Q47" s="64">
        <v>10.61</v>
      </c>
      <c r="R47" s="198"/>
      <c r="S47" s="198"/>
      <c r="T47" s="198"/>
      <c r="U47" s="198"/>
    </row>
    <row r="48" spans="1:21" s="12" customFormat="1" x14ac:dyDescent="0.25">
      <c r="A48" s="215" t="s">
        <v>1343</v>
      </c>
      <c r="B48" s="64">
        <v>3.92</v>
      </c>
      <c r="C48" s="64">
        <v>17.88</v>
      </c>
      <c r="D48" s="64">
        <v>13.66</v>
      </c>
      <c r="E48" s="64">
        <v>2.69</v>
      </c>
      <c r="F48" s="64">
        <v>10.8</v>
      </c>
      <c r="G48" s="217" t="s">
        <v>42</v>
      </c>
      <c r="H48" s="217" t="s">
        <v>42</v>
      </c>
      <c r="I48" s="218" t="s">
        <v>36</v>
      </c>
      <c r="J48" s="64">
        <v>0.2</v>
      </c>
      <c r="K48" s="64">
        <v>209.82</v>
      </c>
      <c r="L48" s="64">
        <v>24.68</v>
      </c>
      <c r="M48" s="64">
        <v>85.75</v>
      </c>
      <c r="N48" s="64">
        <v>412.4</v>
      </c>
      <c r="O48" s="64">
        <v>0</v>
      </c>
      <c r="P48" s="64">
        <v>0.75</v>
      </c>
      <c r="Q48" s="64">
        <v>6.4</v>
      </c>
      <c r="R48" s="198"/>
      <c r="S48" s="198"/>
      <c r="T48" s="198"/>
      <c r="U48" s="198"/>
    </row>
    <row r="49" spans="1:21" s="12" customFormat="1" x14ac:dyDescent="0.25">
      <c r="A49" s="215" t="s">
        <v>1344</v>
      </c>
      <c r="B49" s="64">
        <v>3.26</v>
      </c>
      <c r="C49" s="64">
        <v>15.62</v>
      </c>
      <c r="D49" s="64">
        <v>11.88</v>
      </c>
      <c r="E49" s="64">
        <v>2.37</v>
      </c>
      <c r="F49" s="64">
        <v>7.23</v>
      </c>
      <c r="G49" s="217" t="s">
        <v>42</v>
      </c>
      <c r="H49" s="217" t="s">
        <v>42</v>
      </c>
      <c r="I49" s="218" t="s">
        <v>36</v>
      </c>
      <c r="J49" s="64">
        <v>0.28999999999999998</v>
      </c>
      <c r="K49" s="64">
        <v>28.9</v>
      </c>
      <c r="L49" s="64">
        <v>24.94</v>
      </c>
      <c r="M49" s="64">
        <v>84.84</v>
      </c>
      <c r="N49" s="64">
        <v>524.6</v>
      </c>
      <c r="O49" s="64">
        <v>0</v>
      </c>
      <c r="P49" s="64">
        <v>0.71</v>
      </c>
      <c r="Q49" s="64">
        <v>4.01</v>
      </c>
      <c r="R49" s="198"/>
      <c r="S49" s="198"/>
      <c r="T49" s="198"/>
      <c r="U49" s="198"/>
    </row>
    <row r="50" spans="1:21" s="12" customFormat="1" x14ac:dyDescent="0.25">
      <c r="A50" s="215" t="s">
        <v>1345</v>
      </c>
      <c r="B50" s="64">
        <v>4.41</v>
      </c>
      <c r="C50" s="64">
        <v>16.329999999999998</v>
      </c>
      <c r="D50" s="64">
        <v>13.19</v>
      </c>
      <c r="E50" s="64">
        <v>1.59</v>
      </c>
      <c r="F50" s="64">
        <v>8.65</v>
      </c>
      <c r="G50" s="217" t="s">
        <v>42</v>
      </c>
      <c r="H50" s="217" t="s">
        <v>42</v>
      </c>
      <c r="I50" s="218" t="s">
        <v>36</v>
      </c>
      <c r="J50" s="64">
        <v>0.21</v>
      </c>
      <c r="K50" s="64">
        <v>36.86</v>
      </c>
      <c r="L50" s="64">
        <v>26.01</v>
      </c>
      <c r="M50" s="64">
        <v>80.400000000000006</v>
      </c>
      <c r="N50" s="64">
        <v>509.1</v>
      </c>
      <c r="O50" s="64">
        <v>0</v>
      </c>
      <c r="P50" s="64">
        <v>0.8</v>
      </c>
      <c r="Q50" s="64">
        <v>4.1500000000000004</v>
      </c>
      <c r="R50" s="198"/>
      <c r="S50" s="198"/>
      <c r="T50" s="198"/>
      <c r="U50" s="198"/>
    </row>
    <row r="51" spans="1:21" s="12" customFormat="1" x14ac:dyDescent="0.25">
      <c r="A51" s="215" t="s">
        <v>1346</v>
      </c>
      <c r="B51" s="64">
        <v>3.88</v>
      </c>
      <c r="C51" s="64">
        <v>17.88</v>
      </c>
      <c r="D51" s="64">
        <v>13.62</v>
      </c>
      <c r="E51" s="64">
        <v>2.0099999999999998</v>
      </c>
      <c r="F51" s="64">
        <v>12.86</v>
      </c>
      <c r="G51" s="217" t="s">
        <v>42</v>
      </c>
      <c r="H51" s="217" t="s">
        <v>42</v>
      </c>
      <c r="I51" s="218" t="s">
        <v>36</v>
      </c>
      <c r="J51" s="64">
        <v>0.15</v>
      </c>
      <c r="K51" s="64">
        <v>205.81</v>
      </c>
      <c r="L51" s="64">
        <v>25.46</v>
      </c>
      <c r="M51" s="64">
        <v>81.99</v>
      </c>
      <c r="N51" s="64">
        <v>457.9</v>
      </c>
      <c r="O51" s="64">
        <v>0</v>
      </c>
      <c r="P51" s="64">
        <v>0.72</v>
      </c>
      <c r="Q51" s="64">
        <v>3.77</v>
      </c>
      <c r="R51" s="198"/>
      <c r="S51" s="198"/>
      <c r="T51" s="198"/>
      <c r="U51" s="198"/>
    </row>
    <row r="52" spans="1:21" s="12" customFormat="1" x14ac:dyDescent="0.25">
      <c r="A52" s="215" t="s">
        <v>1347</v>
      </c>
      <c r="B52" s="64">
        <v>2.85</v>
      </c>
      <c r="C52" s="64">
        <v>14.01</v>
      </c>
      <c r="D52" s="64">
        <v>10.66</v>
      </c>
      <c r="E52" s="64">
        <v>2.0099999999999998</v>
      </c>
      <c r="F52" s="64">
        <v>10.4</v>
      </c>
      <c r="G52" s="217" t="s">
        <v>42</v>
      </c>
      <c r="H52" s="217" t="s">
        <v>42</v>
      </c>
      <c r="I52" s="218" t="s">
        <v>36</v>
      </c>
      <c r="J52" s="64">
        <v>0.03</v>
      </c>
      <c r="K52" s="64">
        <v>1.0900000000000001</v>
      </c>
      <c r="L52" s="64">
        <v>25.17</v>
      </c>
      <c r="M52" s="64">
        <v>82.58</v>
      </c>
      <c r="N52" s="64">
        <v>249.2</v>
      </c>
      <c r="O52" s="64">
        <v>0</v>
      </c>
      <c r="P52" s="64">
        <v>0.67</v>
      </c>
      <c r="Q52" s="64">
        <v>3.51</v>
      </c>
      <c r="R52" s="198"/>
      <c r="S52" s="198"/>
      <c r="T52" s="198"/>
      <c r="U52" s="198"/>
    </row>
    <row r="53" spans="1:21" s="12" customFormat="1" x14ac:dyDescent="0.25">
      <c r="A53" s="215" t="s">
        <v>1348</v>
      </c>
      <c r="B53" s="64">
        <v>4.03</v>
      </c>
      <c r="C53" s="64">
        <v>15.17</v>
      </c>
      <c r="D53" s="64">
        <v>12.25</v>
      </c>
      <c r="E53" s="64">
        <v>2.17</v>
      </c>
      <c r="F53" s="64">
        <v>9.18</v>
      </c>
      <c r="G53" s="217" t="s">
        <v>42</v>
      </c>
      <c r="H53" s="217" t="s">
        <v>42</v>
      </c>
      <c r="I53" s="218" t="s">
        <v>36</v>
      </c>
      <c r="J53" s="64">
        <v>0.1</v>
      </c>
      <c r="K53" s="64">
        <v>13.38</v>
      </c>
      <c r="L53" s="64">
        <v>24.97</v>
      </c>
      <c r="M53" s="64">
        <v>83.23</v>
      </c>
      <c r="N53" s="64">
        <v>297.8</v>
      </c>
      <c r="O53" s="64">
        <v>0</v>
      </c>
      <c r="P53" s="64">
        <v>0.72</v>
      </c>
      <c r="Q53" s="64">
        <v>5.65</v>
      </c>
      <c r="R53" s="198"/>
      <c r="S53" s="198"/>
      <c r="T53" s="198"/>
      <c r="U53" s="198"/>
    </row>
    <row r="54" spans="1:21" s="12" customFormat="1" x14ac:dyDescent="0.25">
      <c r="A54" s="215" t="s">
        <v>1349</v>
      </c>
      <c r="B54" s="64">
        <v>5.64</v>
      </c>
      <c r="C54" s="64">
        <v>21.06</v>
      </c>
      <c r="D54" s="64">
        <v>16.79</v>
      </c>
      <c r="E54" s="64">
        <v>2.39</v>
      </c>
      <c r="F54" s="64">
        <v>14.78</v>
      </c>
      <c r="G54" s="217" t="s">
        <v>42</v>
      </c>
      <c r="H54" s="217" t="s">
        <v>42</v>
      </c>
      <c r="I54" s="218" t="s">
        <v>36</v>
      </c>
      <c r="J54" s="64">
        <v>0.02</v>
      </c>
      <c r="K54" s="64">
        <v>26.35</v>
      </c>
      <c r="L54" s="64">
        <v>25.29</v>
      </c>
      <c r="M54" s="64">
        <v>82.22</v>
      </c>
      <c r="N54" s="64">
        <v>302</v>
      </c>
      <c r="O54" s="64">
        <v>0</v>
      </c>
      <c r="P54" s="64">
        <v>0.83</v>
      </c>
      <c r="Q54" s="64">
        <v>7.14</v>
      </c>
      <c r="R54" s="198"/>
      <c r="S54" s="198"/>
      <c r="T54" s="198"/>
      <c r="U54" s="198"/>
    </row>
    <row r="55" spans="1:21" s="12" customFormat="1" x14ac:dyDescent="0.25">
      <c r="A55" s="215" t="s">
        <v>1350</v>
      </c>
      <c r="B55" s="64">
        <v>3.28</v>
      </c>
      <c r="C55" s="64">
        <v>18.78</v>
      </c>
      <c r="D55" s="64">
        <v>13.64</v>
      </c>
      <c r="E55" s="64">
        <v>2.29</v>
      </c>
      <c r="F55" s="64">
        <v>14.69</v>
      </c>
      <c r="G55" s="217" t="s">
        <v>42</v>
      </c>
      <c r="H55" s="217" t="s">
        <v>42</v>
      </c>
      <c r="I55" s="218" t="s">
        <v>36</v>
      </c>
      <c r="J55" s="64">
        <v>0.12</v>
      </c>
      <c r="K55" s="64">
        <v>203.86</v>
      </c>
      <c r="L55" s="64">
        <v>24.89</v>
      </c>
      <c r="M55" s="64">
        <v>83.46</v>
      </c>
      <c r="N55" s="64">
        <v>315.7</v>
      </c>
      <c r="O55" s="64">
        <v>0</v>
      </c>
      <c r="P55" s="64">
        <v>0.68</v>
      </c>
      <c r="Q55" s="64">
        <v>6.11</v>
      </c>
      <c r="R55" s="198"/>
      <c r="S55" s="198"/>
      <c r="T55" s="198"/>
      <c r="U55" s="198"/>
    </row>
    <row r="56" spans="1:21" s="12" customFormat="1" x14ac:dyDescent="0.25">
      <c r="A56" s="215" t="s">
        <v>1351</v>
      </c>
      <c r="B56" s="64">
        <v>2.44</v>
      </c>
      <c r="C56" s="64">
        <v>15.1</v>
      </c>
      <c r="D56" s="64">
        <v>10.94</v>
      </c>
      <c r="E56" s="64">
        <v>1.18</v>
      </c>
      <c r="F56" s="64">
        <v>6.8</v>
      </c>
      <c r="G56" s="217" t="s">
        <v>42</v>
      </c>
      <c r="H56" s="217" t="s">
        <v>42</v>
      </c>
      <c r="I56" s="218" t="s">
        <v>36</v>
      </c>
      <c r="J56" s="64">
        <v>0.03</v>
      </c>
      <c r="K56" s="64">
        <v>266.58999999999997</v>
      </c>
      <c r="L56" s="64">
        <v>24</v>
      </c>
      <c r="M56" s="64">
        <v>90.74</v>
      </c>
      <c r="N56" s="64">
        <v>328.3</v>
      </c>
      <c r="O56" s="64">
        <v>0</v>
      </c>
      <c r="P56" s="64">
        <v>0.64</v>
      </c>
      <c r="Q56" s="64">
        <v>5.98</v>
      </c>
      <c r="R56" s="198"/>
      <c r="S56" s="198"/>
      <c r="T56" s="198"/>
      <c r="U56" s="198"/>
    </row>
    <row r="57" spans="1:21" s="12" customFormat="1" x14ac:dyDescent="0.25">
      <c r="A57" s="215" t="s">
        <v>1352</v>
      </c>
      <c r="B57" s="64">
        <v>2.58</v>
      </c>
      <c r="C57" s="64">
        <v>12.59</v>
      </c>
      <c r="D57" s="64">
        <v>9.66</v>
      </c>
      <c r="E57" s="64">
        <v>1.64</v>
      </c>
      <c r="F57" s="64">
        <v>4.45</v>
      </c>
      <c r="G57" s="217" t="s">
        <v>42</v>
      </c>
      <c r="H57" s="217" t="s">
        <v>42</v>
      </c>
      <c r="I57" s="218" t="s">
        <v>36</v>
      </c>
      <c r="J57" s="64">
        <v>0.04</v>
      </c>
      <c r="K57" s="64">
        <v>342.42</v>
      </c>
      <c r="L57" s="64">
        <v>24.57</v>
      </c>
      <c r="M57" s="64">
        <v>88.73</v>
      </c>
      <c r="N57" s="64">
        <v>776</v>
      </c>
      <c r="O57" s="64">
        <v>0</v>
      </c>
      <c r="P57" s="64">
        <v>0.63</v>
      </c>
      <c r="Q57" s="64">
        <v>5.72</v>
      </c>
      <c r="R57" s="198"/>
      <c r="S57" s="198"/>
      <c r="T57" s="198"/>
      <c r="U57" s="198"/>
    </row>
    <row r="58" spans="1:21" s="12" customFormat="1" x14ac:dyDescent="0.25">
      <c r="A58" s="215" t="s">
        <v>1353</v>
      </c>
      <c r="B58" s="64">
        <v>2.9</v>
      </c>
      <c r="C58" s="64">
        <v>11.25</v>
      </c>
      <c r="D58" s="64">
        <v>9.18</v>
      </c>
      <c r="E58" s="64">
        <v>1.3</v>
      </c>
      <c r="F58" s="64">
        <v>3.97</v>
      </c>
      <c r="G58" s="212" t="s">
        <v>40</v>
      </c>
      <c r="H58" s="212" t="s">
        <v>40</v>
      </c>
      <c r="I58" s="218" t="s">
        <v>36</v>
      </c>
      <c r="J58" s="64">
        <v>0.6</v>
      </c>
      <c r="K58" s="64">
        <v>185.77</v>
      </c>
      <c r="L58" s="64">
        <v>25.5</v>
      </c>
      <c r="M58" s="64">
        <v>83.89</v>
      </c>
      <c r="N58" s="64">
        <v>755.7</v>
      </c>
      <c r="O58" s="64">
        <v>0</v>
      </c>
      <c r="P58" s="64">
        <v>0.64</v>
      </c>
      <c r="Q58" s="64">
        <v>2.95</v>
      </c>
      <c r="R58" s="198"/>
      <c r="S58" s="198"/>
      <c r="T58" s="198"/>
      <c r="U58" s="198"/>
    </row>
    <row r="59" spans="1:21" s="12" customFormat="1" x14ac:dyDescent="0.25">
      <c r="A59" s="215" t="s">
        <v>1354</v>
      </c>
      <c r="B59" s="64">
        <v>3.2</v>
      </c>
      <c r="C59" s="64">
        <v>9.9600000000000009</v>
      </c>
      <c r="D59" s="64">
        <v>8.7100000000000009</v>
      </c>
      <c r="E59" s="64">
        <v>1.1299999999999999</v>
      </c>
      <c r="F59" s="64">
        <v>5.64</v>
      </c>
      <c r="G59" s="212" t="s">
        <v>40</v>
      </c>
      <c r="H59" s="212" t="s">
        <v>40</v>
      </c>
      <c r="I59" s="218" t="s">
        <v>36</v>
      </c>
      <c r="J59" s="64">
        <v>0.55000000000000004</v>
      </c>
      <c r="K59" s="64">
        <v>177</v>
      </c>
      <c r="L59" s="64">
        <v>26.12</v>
      </c>
      <c r="M59" s="64">
        <v>78.349999999999994</v>
      </c>
      <c r="N59" s="64">
        <v>820.7</v>
      </c>
      <c r="O59" s="64">
        <v>0</v>
      </c>
      <c r="P59" s="64">
        <v>0.67</v>
      </c>
      <c r="Q59" s="64">
        <v>0.41</v>
      </c>
      <c r="R59" s="198"/>
      <c r="S59" s="198"/>
      <c r="T59" s="198"/>
      <c r="U59" s="198"/>
    </row>
    <row r="60" spans="1:21" s="12" customFormat="1" x14ac:dyDescent="0.25">
      <c r="A60" s="215" t="s">
        <v>1355</v>
      </c>
      <c r="B60" s="64">
        <v>3.28</v>
      </c>
      <c r="C60" s="64">
        <v>9.52</v>
      </c>
      <c r="D60" s="64">
        <v>8.5299999999999994</v>
      </c>
      <c r="E60" s="64">
        <v>1.69</v>
      </c>
      <c r="F60" s="64">
        <v>5.91</v>
      </c>
      <c r="G60" s="212" t="s">
        <v>40</v>
      </c>
      <c r="H60" s="212" t="s">
        <v>40</v>
      </c>
      <c r="I60" s="218" t="s">
        <v>36</v>
      </c>
      <c r="J60" s="64">
        <v>0.52</v>
      </c>
      <c r="K60" s="64">
        <v>180.09</v>
      </c>
      <c r="L60" s="64">
        <v>26.64</v>
      </c>
      <c r="M60" s="64">
        <v>76.72</v>
      </c>
      <c r="N60" s="64">
        <v>856.5</v>
      </c>
      <c r="O60" s="64">
        <v>0</v>
      </c>
      <c r="P60" s="64">
        <v>0.65</v>
      </c>
      <c r="Q60" s="64">
        <v>1.88</v>
      </c>
      <c r="R60" s="198"/>
      <c r="S60" s="198"/>
      <c r="T60" s="198"/>
      <c r="U60" s="198"/>
    </row>
    <row r="61" spans="1:21" s="12" customFormat="1" x14ac:dyDescent="0.25">
      <c r="A61" s="215" t="s">
        <v>1356</v>
      </c>
      <c r="B61" s="64">
        <v>3.08</v>
      </c>
      <c r="C61" s="64">
        <v>9.6300000000000008</v>
      </c>
      <c r="D61" s="64">
        <v>8.43</v>
      </c>
      <c r="E61" s="64">
        <v>1.55</v>
      </c>
      <c r="F61" s="64">
        <v>4.74</v>
      </c>
      <c r="G61" s="212" t="s">
        <v>40</v>
      </c>
      <c r="H61" s="212" t="s">
        <v>40</v>
      </c>
      <c r="I61" s="218" t="s">
        <v>36</v>
      </c>
      <c r="J61" s="64">
        <v>0.63</v>
      </c>
      <c r="K61" s="64">
        <v>161.36000000000001</v>
      </c>
      <c r="L61" s="64">
        <v>27.1</v>
      </c>
      <c r="M61" s="64">
        <v>73.989999999999995</v>
      </c>
      <c r="N61" s="64">
        <v>1050.9000000000001</v>
      </c>
      <c r="O61" s="64">
        <v>0</v>
      </c>
      <c r="P61" s="64">
        <v>0.57999999999999996</v>
      </c>
      <c r="Q61" s="64">
        <v>2.3199999999999998</v>
      </c>
      <c r="R61" s="198"/>
      <c r="S61" s="198"/>
      <c r="T61" s="198"/>
      <c r="U61" s="198"/>
    </row>
    <row r="62" spans="1:21" s="12" customFormat="1" x14ac:dyDescent="0.25">
      <c r="A62" s="215" t="s">
        <v>1357</v>
      </c>
      <c r="B62" s="64">
        <v>2.97</v>
      </c>
      <c r="C62" s="64">
        <v>9.44</v>
      </c>
      <c r="D62" s="64">
        <v>8.24</v>
      </c>
      <c r="E62" s="64">
        <v>1.53</v>
      </c>
      <c r="F62" s="64">
        <v>6.04</v>
      </c>
      <c r="G62" s="212" t="s">
        <v>40</v>
      </c>
      <c r="H62" s="212" t="s">
        <v>40</v>
      </c>
      <c r="I62" s="218" t="s">
        <v>36</v>
      </c>
      <c r="J62" s="64">
        <v>0.31</v>
      </c>
      <c r="K62" s="64">
        <v>174.46</v>
      </c>
      <c r="L62" s="64">
        <v>27.37</v>
      </c>
      <c r="M62" s="64">
        <v>72.37</v>
      </c>
      <c r="N62" s="64">
        <v>995.5</v>
      </c>
      <c r="O62" s="64">
        <v>0</v>
      </c>
      <c r="P62" s="64">
        <v>0.63</v>
      </c>
      <c r="Q62" s="64">
        <v>0.97</v>
      </c>
      <c r="R62" s="198"/>
      <c r="S62" s="198"/>
      <c r="T62" s="198"/>
      <c r="U62" s="198"/>
    </row>
    <row r="63" spans="1:21" s="12" customFormat="1" x14ac:dyDescent="0.25">
      <c r="A63" s="215" t="s">
        <v>1358</v>
      </c>
      <c r="B63" s="64">
        <v>2.69</v>
      </c>
      <c r="C63" s="64">
        <v>11.23</v>
      </c>
      <c r="D63" s="64">
        <v>9</v>
      </c>
      <c r="E63" s="64">
        <v>1.42</v>
      </c>
      <c r="F63" s="64">
        <v>7.74</v>
      </c>
      <c r="G63" s="212" t="s">
        <v>40</v>
      </c>
      <c r="H63" s="212" t="s">
        <v>40</v>
      </c>
      <c r="I63" s="218" t="s">
        <v>36</v>
      </c>
      <c r="J63" s="64">
        <v>0.22</v>
      </c>
      <c r="K63" s="64">
        <v>210.12</v>
      </c>
      <c r="L63" s="64">
        <v>27.37</v>
      </c>
      <c r="M63" s="64">
        <v>72.03</v>
      </c>
      <c r="N63" s="64">
        <v>798.6</v>
      </c>
      <c r="O63" s="64">
        <v>0</v>
      </c>
      <c r="P63" s="64">
        <v>0.63</v>
      </c>
      <c r="Q63" s="64">
        <v>0.56000000000000005</v>
      </c>
      <c r="R63" s="198"/>
      <c r="S63" s="198"/>
      <c r="T63" s="198"/>
      <c r="U63" s="198"/>
    </row>
    <row r="64" spans="1:21" s="12" customFormat="1" x14ac:dyDescent="0.25">
      <c r="A64" s="215" t="s">
        <v>1359</v>
      </c>
      <c r="B64" s="64">
        <v>2.65</v>
      </c>
      <c r="C64" s="64">
        <v>11.7</v>
      </c>
      <c r="D64" s="64">
        <v>9.23</v>
      </c>
      <c r="E64" s="64">
        <v>1.73</v>
      </c>
      <c r="F64" s="64">
        <v>7.61</v>
      </c>
      <c r="G64" s="64">
        <v>31.79</v>
      </c>
      <c r="H64" s="64">
        <v>1.52</v>
      </c>
      <c r="I64" s="218" t="s">
        <v>36</v>
      </c>
      <c r="J64" s="64">
        <v>0.28000000000000003</v>
      </c>
      <c r="K64" s="64">
        <v>186.91</v>
      </c>
      <c r="L64" s="64">
        <v>27.65</v>
      </c>
      <c r="M64" s="64">
        <v>71.930000000000007</v>
      </c>
      <c r="N64" s="64">
        <v>733</v>
      </c>
      <c r="O64" s="64">
        <v>0</v>
      </c>
      <c r="P64" s="64">
        <v>0.65</v>
      </c>
      <c r="Q64" s="64">
        <v>1.84</v>
      </c>
      <c r="R64" s="198"/>
      <c r="S64" s="198"/>
      <c r="T64" s="198"/>
      <c r="U64" s="198"/>
    </row>
    <row r="65" spans="1:21" s="12" customFormat="1" x14ac:dyDescent="0.25">
      <c r="A65" s="215" t="s">
        <v>1360</v>
      </c>
      <c r="B65" s="64">
        <v>2.93</v>
      </c>
      <c r="C65" s="64">
        <v>11.82</v>
      </c>
      <c r="D65" s="64">
        <v>9.51</v>
      </c>
      <c r="E65" s="64">
        <v>2.2999999999999998</v>
      </c>
      <c r="F65" s="64">
        <v>11.72</v>
      </c>
      <c r="G65" s="64">
        <v>33.26</v>
      </c>
      <c r="H65" s="64">
        <v>6.02</v>
      </c>
      <c r="I65" s="218" t="s">
        <v>36</v>
      </c>
      <c r="J65" s="64">
        <v>0.6</v>
      </c>
      <c r="K65" s="64">
        <v>181.91</v>
      </c>
      <c r="L65" s="64">
        <v>27.43</v>
      </c>
      <c r="M65" s="64">
        <v>70.73</v>
      </c>
      <c r="N65" s="64">
        <v>609.79999999999995</v>
      </c>
      <c r="O65" s="64">
        <v>0</v>
      </c>
      <c r="P65" s="64">
        <v>0.64</v>
      </c>
      <c r="Q65" s="64">
        <v>6.53</v>
      </c>
      <c r="R65" s="198"/>
      <c r="S65" s="198"/>
      <c r="T65" s="198"/>
      <c r="U65" s="198"/>
    </row>
    <row r="66" spans="1:21" s="12" customFormat="1" x14ac:dyDescent="0.25">
      <c r="A66" s="215" t="s">
        <v>1361</v>
      </c>
      <c r="B66" s="64">
        <v>2.58</v>
      </c>
      <c r="C66" s="64">
        <v>11.73</v>
      </c>
      <c r="D66" s="64">
        <v>9.19</v>
      </c>
      <c r="E66" s="64">
        <v>2.21</v>
      </c>
      <c r="F66" s="64">
        <v>10.050000000000001</v>
      </c>
      <c r="G66" s="64">
        <v>33.26</v>
      </c>
      <c r="H66" s="64">
        <v>6.57</v>
      </c>
      <c r="I66" s="218" t="s">
        <v>36</v>
      </c>
      <c r="J66" s="64">
        <v>0.2</v>
      </c>
      <c r="K66" s="64">
        <v>171.46</v>
      </c>
      <c r="L66" s="64">
        <v>27.91</v>
      </c>
      <c r="M66" s="64">
        <v>70.25</v>
      </c>
      <c r="N66" s="64">
        <v>476.1</v>
      </c>
      <c r="O66" s="64">
        <v>0</v>
      </c>
      <c r="P66" s="64">
        <v>0.62</v>
      </c>
      <c r="Q66" s="64">
        <v>5.48</v>
      </c>
      <c r="R66" s="198"/>
      <c r="S66" s="198"/>
      <c r="T66" s="198"/>
      <c r="U66" s="198"/>
    </row>
    <row r="67" spans="1:21" s="12" customFormat="1" x14ac:dyDescent="0.25">
      <c r="A67" s="215" t="s">
        <v>1362</v>
      </c>
      <c r="B67" s="64">
        <v>2.63</v>
      </c>
      <c r="C67" s="64">
        <v>11.36</v>
      </c>
      <c r="D67" s="64">
        <v>9.02</v>
      </c>
      <c r="E67" s="64">
        <v>1.81</v>
      </c>
      <c r="F67" s="64">
        <v>9.18</v>
      </c>
      <c r="G67" s="64">
        <v>33.26</v>
      </c>
      <c r="H67" s="64">
        <v>6.57</v>
      </c>
      <c r="I67" s="218" t="s">
        <v>36</v>
      </c>
      <c r="J67" s="64">
        <v>0.81</v>
      </c>
      <c r="K67" s="64">
        <v>169.95</v>
      </c>
      <c r="L67" s="64">
        <v>27.22</v>
      </c>
      <c r="M67" s="64">
        <v>73.67</v>
      </c>
      <c r="N67" s="64">
        <v>524.4</v>
      </c>
      <c r="O67" s="64">
        <v>0</v>
      </c>
      <c r="P67" s="64">
        <v>0.62</v>
      </c>
      <c r="Q67" s="64">
        <v>5.76</v>
      </c>
      <c r="R67" s="198"/>
      <c r="S67" s="198"/>
      <c r="T67" s="198"/>
      <c r="U67" s="198"/>
    </row>
    <row r="68" spans="1:21" s="12" customFormat="1" x14ac:dyDescent="0.25">
      <c r="A68" s="215" t="s">
        <v>1363</v>
      </c>
      <c r="B68" s="64">
        <v>2.9</v>
      </c>
      <c r="C68" s="64">
        <v>11.45</v>
      </c>
      <c r="D68" s="64">
        <v>9.2899999999999991</v>
      </c>
      <c r="E68" s="64">
        <v>1.91</v>
      </c>
      <c r="F68" s="64">
        <v>7.27</v>
      </c>
      <c r="G68" s="64">
        <v>36.39</v>
      </c>
      <c r="H68" s="64">
        <v>4.55</v>
      </c>
      <c r="I68" s="218" t="s">
        <v>36</v>
      </c>
      <c r="J68" s="64">
        <v>0.67</v>
      </c>
      <c r="K68" s="64">
        <v>166.75</v>
      </c>
      <c r="L68" s="64">
        <v>27.29</v>
      </c>
      <c r="M68" s="64">
        <v>72.63</v>
      </c>
      <c r="N68" s="64">
        <v>391.2</v>
      </c>
      <c r="O68" s="64">
        <v>0</v>
      </c>
      <c r="P68" s="64">
        <v>0.64</v>
      </c>
      <c r="Q68" s="64">
        <v>6.68</v>
      </c>
      <c r="R68" s="198"/>
      <c r="S68" s="198"/>
      <c r="T68" s="198"/>
      <c r="U68" s="198"/>
    </row>
    <row r="69" spans="1:21" s="12" customFormat="1" x14ac:dyDescent="0.25">
      <c r="A69" s="215" t="s">
        <v>1364</v>
      </c>
      <c r="B69" s="64">
        <v>3.02</v>
      </c>
      <c r="C69" s="64">
        <v>11.22</v>
      </c>
      <c r="D69" s="64">
        <v>9.26</v>
      </c>
      <c r="E69" s="64">
        <v>2.2000000000000002</v>
      </c>
      <c r="F69" s="64">
        <v>4.6100000000000003</v>
      </c>
      <c r="G69" s="64">
        <v>36.5</v>
      </c>
      <c r="H69" s="64">
        <v>4.46</v>
      </c>
      <c r="I69" s="218" t="s">
        <v>36</v>
      </c>
      <c r="J69" s="64">
        <v>0.09</v>
      </c>
      <c r="K69" s="64">
        <v>224.44</v>
      </c>
      <c r="L69" s="64">
        <v>27.41</v>
      </c>
      <c r="M69" s="64">
        <v>71.86</v>
      </c>
      <c r="N69" s="64">
        <v>160.69999999999999</v>
      </c>
      <c r="O69" s="64">
        <v>0</v>
      </c>
      <c r="P69" s="64">
        <v>0.62</v>
      </c>
      <c r="Q69" s="64">
        <v>5.74</v>
      </c>
      <c r="R69" s="198"/>
      <c r="S69" s="198"/>
      <c r="T69" s="198"/>
      <c r="U69" s="198"/>
    </row>
    <row r="70" spans="1:21" s="12" customFormat="1" x14ac:dyDescent="0.25">
      <c r="A70" s="215" t="s">
        <v>1365</v>
      </c>
      <c r="B70" s="64">
        <v>2.82</v>
      </c>
      <c r="C70" s="64">
        <v>11.06</v>
      </c>
      <c r="D70" s="64">
        <v>9.01</v>
      </c>
      <c r="E70" s="64">
        <v>1.49</v>
      </c>
      <c r="F70" s="64">
        <v>4.87</v>
      </c>
      <c r="G70" s="64">
        <v>36.5</v>
      </c>
      <c r="H70" s="64">
        <v>4.46</v>
      </c>
      <c r="I70" s="218" t="s">
        <v>36</v>
      </c>
      <c r="J70" s="64">
        <v>0.2</v>
      </c>
      <c r="K70" s="64">
        <v>204.85</v>
      </c>
      <c r="L70" s="64">
        <v>27.05</v>
      </c>
      <c r="M70" s="64">
        <v>73.290000000000006</v>
      </c>
      <c r="N70" s="64">
        <v>179.3</v>
      </c>
      <c r="O70" s="64">
        <v>0</v>
      </c>
      <c r="P70" s="64">
        <v>0.61</v>
      </c>
      <c r="Q70" s="64">
        <v>3.75</v>
      </c>
      <c r="R70" s="198"/>
      <c r="S70" s="198"/>
      <c r="T70" s="198"/>
      <c r="U70" s="198"/>
    </row>
    <row r="71" spans="1:21" s="12" customFormat="1" x14ac:dyDescent="0.25">
      <c r="A71" s="215" t="s">
        <v>1366</v>
      </c>
      <c r="B71" s="64">
        <v>2.42</v>
      </c>
      <c r="C71" s="64">
        <v>11.43</v>
      </c>
      <c r="D71" s="64">
        <v>8.9</v>
      </c>
      <c r="E71" s="64">
        <v>1.93</v>
      </c>
      <c r="F71" s="64">
        <v>19.13</v>
      </c>
      <c r="G71" s="64">
        <v>36.5</v>
      </c>
      <c r="H71" s="64">
        <v>4.46</v>
      </c>
      <c r="I71" s="218" t="s">
        <v>36</v>
      </c>
      <c r="J71" s="64">
        <v>0.38</v>
      </c>
      <c r="K71" s="64">
        <v>197.91</v>
      </c>
      <c r="L71" s="64">
        <v>27.2</v>
      </c>
      <c r="M71" s="64">
        <v>71.13</v>
      </c>
      <c r="N71" s="64">
        <v>196.5</v>
      </c>
      <c r="O71" s="64">
        <v>0</v>
      </c>
      <c r="P71" s="64">
        <v>0.59</v>
      </c>
      <c r="Q71" s="64">
        <v>3.91</v>
      </c>
      <c r="R71" s="198"/>
      <c r="S71" s="198"/>
      <c r="T71" s="198"/>
      <c r="U71" s="198"/>
    </row>
    <row r="72" spans="1:21" s="12" customFormat="1" x14ac:dyDescent="0.25">
      <c r="A72" s="215" t="s">
        <v>1367</v>
      </c>
      <c r="B72" s="64">
        <v>2.0499999999999998</v>
      </c>
      <c r="C72" s="64">
        <v>12.05</v>
      </c>
      <c r="D72" s="64">
        <v>8.94</v>
      </c>
      <c r="E72" s="64">
        <v>1.33</v>
      </c>
      <c r="F72" s="64">
        <v>24.78</v>
      </c>
      <c r="G72" s="64">
        <v>24.15</v>
      </c>
      <c r="H72" s="64">
        <v>4.1500000000000004</v>
      </c>
      <c r="I72" s="218" t="s">
        <v>36</v>
      </c>
      <c r="J72" s="64">
        <v>0.35</v>
      </c>
      <c r="K72" s="64">
        <v>188.19</v>
      </c>
      <c r="L72" s="64">
        <v>27.23</v>
      </c>
      <c r="M72" s="64">
        <v>73.03</v>
      </c>
      <c r="N72" s="64">
        <v>180.7</v>
      </c>
      <c r="O72" s="64">
        <v>0</v>
      </c>
      <c r="P72" s="64">
        <v>0.56000000000000005</v>
      </c>
      <c r="Q72" s="64">
        <v>2.79</v>
      </c>
      <c r="R72" s="198"/>
      <c r="S72" s="198"/>
      <c r="T72" s="198"/>
      <c r="U72" s="198"/>
    </row>
    <row r="73" spans="1:21" s="12" customFormat="1" x14ac:dyDescent="0.25">
      <c r="A73" s="215" t="s">
        <v>1368</v>
      </c>
      <c r="B73" s="64">
        <v>2.04</v>
      </c>
      <c r="C73" s="64">
        <v>14.56</v>
      </c>
      <c r="D73" s="64">
        <v>10.32</v>
      </c>
      <c r="E73" s="64">
        <v>1.1599999999999999</v>
      </c>
      <c r="F73" s="64">
        <v>20.96</v>
      </c>
      <c r="G73" s="64">
        <v>23.72</v>
      </c>
      <c r="H73" s="64">
        <v>4.1399999999999997</v>
      </c>
      <c r="I73" s="218" t="s">
        <v>36</v>
      </c>
      <c r="J73" s="64">
        <v>0.24</v>
      </c>
      <c r="K73" s="64">
        <v>213.7</v>
      </c>
      <c r="L73" s="64">
        <v>27.23</v>
      </c>
      <c r="M73" s="64">
        <v>72.87</v>
      </c>
      <c r="N73" s="64">
        <v>193.4</v>
      </c>
      <c r="O73" s="64">
        <v>0</v>
      </c>
      <c r="P73" s="64">
        <v>0.67</v>
      </c>
      <c r="Q73" s="64">
        <v>3.95</v>
      </c>
      <c r="R73" s="198"/>
      <c r="S73" s="198"/>
      <c r="T73" s="198"/>
      <c r="U73" s="198"/>
    </row>
    <row r="74" spans="1:21" s="12" customFormat="1" x14ac:dyDescent="0.25">
      <c r="A74" s="215" t="s">
        <v>1369</v>
      </c>
      <c r="B74" s="64">
        <v>2.0499999999999998</v>
      </c>
      <c r="C74" s="64">
        <v>15.46</v>
      </c>
      <c r="D74" s="64">
        <v>10.82</v>
      </c>
      <c r="E74" s="64">
        <v>1.2</v>
      </c>
      <c r="F74" s="64">
        <v>8.98</v>
      </c>
      <c r="G74" s="64">
        <v>23.72</v>
      </c>
      <c r="H74" s="64">
        <v>4.1399999999999997</v>
      </c>
      <c r="I74" s="218" t="s">
        <v>36</v>
      </c>
      <c r="J74" s="64">
        <v>0.06</v>
      </c>
      <c r="K74" s="64">
        <v>263.56</v>
      </c>
      <c r="L74" s="64">
        <v>26.95</v>
      </c>
      <c r="M74" s="64">
        <v>73.97</v>
      </c>
      <c r="N74" s="64">
        <v>169</v>
      </c>
      <c r="O74" s="64">
        <v>0</v>
      </c>
      <c r="P74" s="64">
        <v>0.75</v>
      </c>
      <c r="Q74" s="64">
        <v>4.07</v>
      </c>
      <c r="R74" s="198"/>
      <c r="S74" s="198"/>
      <c r="T74" s="198"/>
      <c r="U74" s="198"/>
    </row>
    <row r="75" spans="1:21" s="12" customFormat="1" x14ac:dyDescent="0.25">
      <c r="A75" s="215" t="s">
        <v>1370</v>
      </c>
      <c r="B75" s="64">
        <v>2.61</v>
      </c>
      <c r="C75" s="64">
        <v>14.76</v>
      </c>
      <c r="D75" s="64">
        <v>10.88</v>
      </c>
      <c r="E75" s="64">
        <v>0.77</v>
      </c>
      <c r="F75" s="64">
        <v>5.83</v>
      </c>
      <c r="G75" s="64">
        <v>23.72</v>
      </c>
      <c r="H75" s="64">
        <v>4.1399999999999997</v>
      </c>
      <c r="I75" s="218" t="s">
        <v>36</v>
      </c>
      <c r="J75" s="64">
        <v>0.01</v>
      </c>
      <c r="K75" s="64">
        <v>159.25</v>
      </c>
      <c r="L75" s="64">
        <v>26.54</v>
      </c>
      <c r="M75" s="64">
        <v>75.13</v>
      </c>
      <c r="N75" s="64">
        <v>127.4</v>
      </c>
      <c r="O75" s="64">
        <v>0</v>
      </c>
      <c r="P75" s="64">
        <v>0.78</v>
      </c>
      <c r="Q75" s="64">
        <v>3.01</v>
      </c>
      <c r="R75" s="198"/>
      <c r="S75" s="198"/>
      <c r="T75" s="198"/>
      <c r="U75" s="198"/>
    </row>
    <row r="76" spans="1:21" s="12" customFormat="1" x14ac:dyDescent="0.25">
      <c r="A76" s="215" t="s">
        <v>1371</v>
      </c>
      <c r="B76" s="64">
        <v>3.16</v>
      </c>
      <c r="C76" s="64">
        <v>14.54</v>
      </c>
      <c r="D76" s="64">
        <v>11.2</v>
      </c>
      <c r="E76" s="64">
        <v>0.78</v>
      </c>
      <c r="F76" s="64">
        <v>9.3000000000000007</v>
      </c>
      <c r="G76" s="64">
        <v>31.8</v>
      </c>
      <c r="H76" s="64">
        <v>3.96</v>
      </c>
      <c r="I76" s="218" t="s">
        <v>36</v>
      </c>
      <c r="J76" s="64">
        <v>0.14000000000000001</v>
      </c>
      <c r="K76" s="64">
        <v>218.86</v>
      </c>
      <c r="L76" s="64">
        <v>26.5</v>
      </c>
      <c r="M76" s="64">
        <v>76.61</v>
      </c>
      <c r="N76" s="64">
        <v>118.7</v>
      </c>
      <c r="O76" s="64">
        <v>0</v>
      </c>
      <c r="P76" s="64">
        <v>0.81</v>
      </c>
      <c r="Q76" s="64">
        <v>4.7300000000000004</v>
      </c>
      <c r="R76" s="198"/>
      <c r="S76" s="198"/>
      <c r="T76" s="198"/>
      <c r="U76" s="198"/>
    </row>
    <row r="77" spans="1:21" s="12" customFormat="1" x14ac:dyDescent="0.25">
      <c r="A77" s="215" t="s">
        <v>1372</v>
      </c>
      <c r="B77" s="64">
        <v>5.87</v>
      </c>
      <c r="C77" s="64">
        <v>17.71</v>
      </c>
      <c r="D77" s="64">
        <v>15.13</v>
      </c>
      <c r="E77" s="64">
        <v>1.37</v>
      </c>
      <c r="F77" s="64">
        <v>16.440000000000001</v>
      </c>
      <c r="G77" s="64">
        <v>32.08</v>
      </c>
      <c r="H77" s="64">
        <v>3.96</v>
      </c>
      <c r="I77" s="218" t="s">
        <v>36</v>
      </c>
      <c r="J77" s="64">
        <v>0.06</v>
      </c>
      <c r="K77" s="64">
        <v>308.8</v>
      </c>
      <c r="L77" s="64">
        <v>26.47</v>
      </c>
      <c r="M77" s="64">
        <v>77.48</v>
      </c>
      <c r="N77" s="64">
        <v>119.3</v>
      </c>
      <c r="O77" s="64">
        <v>0</v>
      </c>
      <c r="P77" s="64">
        <v>0.82</v>
      </c>
      <c r="Q77" s="64">
        <v>5.42</v>
      </c>
      <c r="R77" s="198"/>
      <c r="S77" s="198"/>
      <c r="T77" s="198"/>
      <c r="U77" s="198"/>
    </row>
    <row r="78" spans="1:21" s="12" customFormat="1" x14ac:dyDescent="0.25">
      <c r="A78" s="215" t="s">
        <v>1373</v>
      </c>
      <c r="B78" s="64">
        <v>5.69</v>
      </c>
      <c r="C78" s="64">
        <v>20.95</v>
      </c>
      <c r="D78" s="64">
        <v>16.77</v>
      </c>
      <c r="E78" s="64">
        <v>1.1399999999999999</v>
      </c>
      <c r="F78" s="64">
        <v>17.059999999999999</v>
      </c>
      <c r="G78" s="64">
        <v>32.08</v>
      </c>
      <c r="H78" s="64">
        <v>3.96</v>
      </c>
      <c r="I78" s="218" t="s">
        <v>36</v>
      </c>
      <c r="J78" s="64">
        <v>0.17</v>
      </c>
      <c r="K78" s="64">
        <v>224.77</v>
      </c>
      <c r="L78" s="64">
        <v>26.51</v>
      </c>
      <c r="M78" s="64">
        <v>74.959999999999994</v>
      </c>
      <c r="N78" s="64">
        <v>111.3</v>
      </c>
      <c r="O78" s="64">
        <v>0</v>
      </c>
      <c r="P78" s="64">
        <v>0.93</v>
      </c>
      <c r="Q78" s="64">
        <v>4.59</v>
      </c>
      <c r="R78" s="198"/>
      <c r="S78" s="198"/>
      <c r="T78" s="198"/>
      <c r="U78" s="198"/>
    </row>
    <row r="79" spans="1:21" s="12" customFormat="1" x14ac:dyDescent="0.25">
      <c r="A79" s="215" t="s">
        <v>1374</v>
      </c>
      <c r="B79" s="64">
        <v>4</v>
      </c>
      <c r="C79" s="64">
        <v>22.55</v>
      </c>
      <c r="D79" s="64">
        <v>16.3</v>
      </c>
      <c r="E79" s="64">
        <v>1.1499999999999999</v>
      </c>
      <c r="F79" s="64">
        <v>12.99</v>
      </c>
      <c r="G79" s="64">
        <v>32.08</v>
      </c>
      <c r="H79" s="64">
        <v>3.96</v>
      </c>
      <c r="I79" s="218" t="s">
        <v>36</v>
      </c>
      <c r="J79" s="64">
        <v>0.02</v>
      </c>
      <c r="K79" s="64">
        <v>7.11</v>
      </c>
      <c r="L79" s="64">
        <v>26.4</v>
      </c>
      <c r="M79" s="64">
        <v>76.400000000000006</v>
      </c>
      <c r="N79" s="64">
        <v>115.4</v>
      </c>
      <c r="O79" s="64">
        <v>0</v>
      </c>
      <c r="P79" s="64">
        <v>0.99</v>
      </c>
      <c r="Q79" s="64">
        <v>4.7300000000000004</v>
      </c>
      <c r="R79" s="198"/>
      <c r="S79" s="198"/>
      <c r="T79" s="198"/>
      <c r="U79" s="198"/>
    </row>
    <row r="80" spans="1:21" s="12" customFormat="1" x14ac:dyDescent="0.25">
      <c r="A80" s="215" t="s">
        <v>1375</v>
      </c>
      <c r="B80" s="64">
        <v>4.68</v>
      </c>
      <c r="C80" s="64">
        <v>23.78</v>
      </c>
      <c r="D80" s="64">
        <v>17.52</v>
      </c>
      <c r="E80" s="64">
        <v>1.5</v>
      </c>
      <c r="F80" s="64">
        <v>16.57</v>
      </c>
      <c r="G80" s="64">
        <v>21.22</v>
      </c>
      <c r="H80" s="64">
        <v>5.87</v>
      </c>
      <c r="I80" s="218" t="s">
        <v>36</v>
      </c>
      <c r="J80" s="64">
        <v>0.08</v>
      </c>
      <c r="K80" s="64">
        <v>176.42</v>
      </c>
      <c r="L80" s="64">
        <v>26.11</v>
      </c>
      <c r="M80" s="64">
        <v>78.73</v>
      </c>
      <c r="N80" s="64">
        <v>86.9</v>
      </c>
      <c r="O80" s="64">
        <v>0</v>
      </c>
      <c r="P80" s="64">
        <v>0.86</v>
      </c>
      <c r="Q80" s="64">
        <v>6.09</v>
      </c>
      <c r="R80" s="198"/>
      <c r="S80" s="198"/>
      <c r="T80" s="198"/>
      <c r="U80" s="198"/>
    </row>
    <row r="81" spans="1:26" s="12" customFormat="1" x14ac:dyDescent="0.25">
      <c r="A81" s="215" t="s">
        <v>1376</v>
      </c>
      <c r="B81" s="64">
        <v>2.96</v>
      </c>
      <c r="C81" s="64">
        <v>23.17</v>
      </c>
      <c r="D81" s="64">
        <v>15.8</v>
      </c>
      <c r="E81" s="64">
        <v>1.82</v>
      </c>
      <c r="F81" s="64">
        <v>9.09</v>
      </c>
      <c r="G81" s="64">
        <v>20.85</v>
      </c>
      <c r="H81" s="64">
        <v>5.94</v>
      </c>
      <c r="I81" s="218" t="s">
        <v>36</v>
      </c>
      <c r="J81" s="64">
        <v>0.01</v>
      </c>
      <c r="K81" s="64">
        <v>3.57</v>
      </c>
      <c r="L81" s="64">
        <v>25.81</v>
      </c>
      <c r="M81" s="64">
        <v>77.08</v>
      </c>
      <c r="N81" s="64">
        <v>69.099999999999994</v>
      </c>
      <c r="O81" s="64">
        <v>0</v>
      </c>
      <c r="P81" s="64">
        <v>0.88</v>
      </c>
      <c r="Q81" s="64">
        <v>5.15</v>
      </c>
      <c r="R81" s="198"/>
      <c r="S81" s="198"/>
      <c r="T81" s="198"/>
      <c r="U81" s="198"/>
    </row>
    <row r="82" spans="1:26" s="12" customFormat="1" x14ac:dyDescent="0.25">
      <c r="A82" s="215" t="s">
        <v>1377</v>
      </c>
      <c r="B82" s="64">
        <v>2.5</v>
      </c>
      <c r="C82" s="64">
        <v>20.11</v>
      </c>
      <c r="D82" s="64">
        <v>13.75</v>
      </c>
      <c r="E82" s="64">
        <v>1.24</v>
      </c>
      <c r="F82" s="64">
        <v>7.66</v>
      </c>
      <c r="G82" s="64">
        <v>20.85</v>
      </c>
      <c r="H82" s="64">
        <v>5.94</v>
      </c>
      <c r="I82" s="218" t="s">
        <v>36</v>
      </c>
      <c r="J82" s="64">
        <v>0.19</v>
      </c>
      <c r="K82" s="64">
        <v>202.43</v>
      </c>
      <c r="L82" s="64">
        <v>25.61</v>
      </c>
      <c r="M82" s="64">
        <v>78.38</v>
      </c>
      <c r="N82" s="64">
        <v>60.3</v>
      </c>
      <c r="O82" s="64">
        <v>0</v>
      </c>
      <c r="P82" s="64">
        <v>0.87</v>
      </c>
      <c r="Q82" s="64">
        <v>2.4</v>
      </c>
      <c r="R82" s="198"/>
      <c r="S82" s="198"/>
      <c r="T82" s="198"/>
      <c r="U82" s="198"/>
    </row>
    <row r="83" spans="1:26" s="12" customFormat="1" x14ac:dyDescent="0.25">
      <c r="A83" s="215" t="s">
        <v>1378</v>
      </c>
      <c r="B83" s="64">
        <v>2.74</v>
      </c>
      <c r="C83" s="64">
        <v>18.11</v>
      </c>
      <c r="D83" s="64">
        <v>12.84</v>
      </c>
      <c r="E83" s="64">
        <v>1.38</v>
      </c>
      <c r="F83" s="64">
        <v>6.72</v>
      </c>
      <c r="G83" s="64">
        <v>20.85</v>
      </c>
      <c r="H83" s="64">
        <v>5.94</v>
      </c>
      <c r="I83" s="218" t="s">
        <v>36</v>
      </c>
      <c r="J83" s="64">
        <v>0.05</v>
      </c>
      <c r="K83" s="64">
        <v>167.99</v>
      </c>
      <c r="L83" s="64">
        <v>25.42</v>
      </c>
      <c r="M83" s="64">
        <v>80.680000000000007</v>
      </c>
      <c r="N83" s="64">
        <v>43.7</v>
      </c>
      <c r="O83" s="64">
        <v>0</v>
      </c>
      <c r="P83" s="64">
        <v>0.87</v>
      </c>
      <c r="Q83" s="64">
        <v>2.62</v>
      </c>
      <c r="R83" s="198"/>
      <c r="S83" s="198"/>
      <c r="T83" s="198"/>
      <c r="U83" s="198"/>
    </row>
    <row r="84" spans="1:26" s="12" customFormat="1" x14ac:dyDescent="0.25">
      <c r="A84" s="215" t="s">
        <v>1379</v>
      </c>
      <c r="B84" s="64">
        <v>2.92</v>
      </c>
      <c r="C84" s="64">
        <v>15.87</v>
      </c>
      <c r="D84" s="64">
        <v>11.74</v>
      </c>
      <c r="E84" s="64">
        <v>1.1399999999999999</v>
      </c>
      <c r="F84" s="64">
        <v>8.3000000000000007</v>
      </c>
      <c r="G84" s="64">
        <v>22.33</v>
      </c>
      <c r="H84" s="64">
        <v>6.23</v>
      </c>
      <c r="I84" s="218" t="s">
        <v>36</v>
      </c>
      <c r="J84" s="64">
        <v>0.12</v>
      </c>
      <c r="K84" s="64">
        <v>190.15</v>
      </c>
      <c r="L84" s="64">
        <v>25.24</v>
      </c>
      <c r="M84" s="64">
        <v>81.83</v>
      </c>
      <c r="N84" s="64">
        <v>39.1</v>
      </c>
      <c r="O84" s="64">
        <v>0</v>
      </c>
      <c r="P84" s="64">
        <v>0.86</v>
      </c>
      <c r="Q84" s="64">
        <v>1.66</v>
      </c>
      <c r="R84" s="198"/>
      <c r="S84" s="198"/>
      <c r="T84" s="198"/>
      <c r="U84" s="198"/>
    </row>
    <row r="85" spans="1:26" s="12" customFormat="1" x14ac:dyDescent="0.25">
      <c r="A85" s="215" t="s">
        <v>1380</v>
      </c>
      <c r="B85" s="64">
        <v>3.14</v>
      </c>
      <c r="C85" s="64">
        <v>16.07</v>
      </c>
      <c r="D85" s="64">
        <v>12.03</v>
      </c>
      <c r="E85" s="64">
        <v>1.08</v>
      </c>
      <c r="F85" s="64">
        <v>8.73</v>
      </c>
      <c r="G85" s="64">
        <v>22.38</v>
      </c>
      <c r="H85" s="64">
        <v>6.24</v>
      </c>
      <c r="I85" s="218" t="s">
        <v>36</v>
      </c>
      <c r="J85" s="64">
        <v>0.23</v>
      </c>
      <c r="K85" s="64">
        <v>197.47</v>
      </c>
      <c r="L85" s="64">
        <v>25.11</v>
      </c>
      <c r="M85" s="64">
        <v>83.01</v>
      </c>
      <c r="N85" s="64">
        <v>38.6</v>
      </c>
      <c r="O85" s="64">
        <v>0</v>
      </c>
      <c r="P85" s="64">
        <v>0.79</v>
      </c>
      <c r="Q85" s="64">
        <v>2.58</v>
      </c>
      <c r="R85" s="198"/>
      <c r="S85" s="198"/>
      <c r="T85" s="198"/>
      <c r="U85" s="198"/>
    </row>
    <row r="86" spans="1:26" s="12" customFormat="1" x14ac:dyDescent="0.25">
      <c r="A86" s="215" t="s">
        <v>1381</v>
      </c>
      <c r="B86" s="64">
        <v>3.34</v>
      </c>
      <c r="C86" s="64">
        <v>16.55</v>
      </c>
      <c r="D86" s="64">
        <v>12.46</v>
      </c>
      <c r="E86" s="64">
        <v>1.25</v>
      </c>
      <c r="F86" s="64">
        <v>8.6199999999999992</v>
      </c>
      <c r="G86" s="64">
        <v>22.38</v>
      </c>
      <c r="H86" s="64">
        <v>6.24</v>
      </c>
      <c r="I86" s="218" t="s">
        <v>36</v>
      </c>
      <c r="J86" s="64">
        <v>0.19</v>
      </c>
      <c r="K86" s="64">
        <v>213.76</v>
      </c>
      <c r="L86" s="64">
        <v>25.02</v>
      </c>
      <c r="M86" s="64">
        <v>83.86</v>
      </c>
      <c r="N86" s="64">
        <v>38.6</v>
      </c>
      <c r="O86" s="64">
        <v>0</v>
      </c>
      <c r="P86" s="64">
        <v>0.87</v>
      </c>
      <c r="Q86" s="64">
        <v>1.93</v>
      </c>
      <c r="R86" s="198"/>
      <c r="S86" s="198"/>
      <c r="T86" s="198"/>
      <c r="U86" s="198"/>
    </row>
    <row r="87" spans="1:26" s="12" customFormat="1" x14ac:dyDescent="0.25">
      <c r="A87" s="215" t="s">
        <v>1382</v>
      </c>
      <c r="B87" s="64">
        <v>3.57</v>
      </c>
      <c r="C87" s="64">
        <v>15.55</v>
      </c>
      <c r="D87" s="64">
        <v>12.09</v>
      </c>
      <c r="E87" s="64">
        <v>1.0900000000000001</v>
      </c>
      <c r="F87" s="64">
        <v>9.49</v>
      </c>
      <c r="G87" s="64">
        <v>22.38</v>
      </c>
      <c r="H87" s="64">
        <v>6.24</v>
      </c>
      <c r="I87" s="218" t="s">
        <v>36</v>
      </c>
      <c r="J87" s="64">
        <v>0.08</v>
      </c>
      <c r="K87" s="64">
        <v>232.11</v>
      </c>
      <c r="L87" s="64">
        <v>24.92</v>
      </c>
      <c r="M87" s="64">
        <v>85.26</v>
      </c>
      <c r="N87" s="64">
        <v>38.700000000000003</v>
      </c>
      <c r="O87" s="64">
        <v>0</v>
      </c>
      <c r="P87" s="64">
        <v>0.89</v>
      </c>
      <c r="Q87" s="64">
        <v>3.01</v>
      </c>
      <c r="R87" s="198"/>
      <c r="S87" s="198"/>
      <c r="T87" s="198"/>
      <c r="U87" s="198"/>
    </row>
    <row r="88" spans="1:26" s="12" customFormat="1" x14ac:dyDescent="0.25">
      <c r="A88" s="215" t="s">
        <v>1383</v>
      </c>
      <c r="B88" s="64">
        <v>3.45</v>
      </c>
      <c r="C88" s="64">
        <v>15.88</v>
      </c>
      <c r="D88" s="64">
        <v>12.18</v>
      </c>
      <c r="E88" s="64">
        <v>1.85</v>
      </c>
      <c r="F88" s="64">
        <v>12.08</v>
      </c>
      <c r="G88" s="64">
        <v>18.93</v>
      </c>
      <c r="H88" s="64">
        <v>9.7899999999999991</v>
      </c>
      <c r="I88" s="218" t="s">
        <v>36</v>
      </c>
      <c r="J88" s="64">
        <v>0.3</v>
      </c>
      <c r="K88" s="64">
        <v>227.81</v>
      </c>
      <c r="L88" s="64">
        <v>24.78</v>
      </c>
      <c r="M88" s="64">
        <v>86</v>
      </c>
      <c r="N88" s="64">
        <v>38.4</v>
      </c>
      <c r="O88" s="64">
        <v>0</v>
      </c>
      <c r="P88" s="64">
        <v>0.88</v>
      </c>
      <c r="Q88" s="64">
        <v>4.7699999999999996</v>
      </c>
      <c r="R88" s="198"/>
      <c r="S88" s="198"/>
      <c r="T88" s="198"/>
      <c r="U88" s="198"/>
    </row>
    <row r="89" spans="1:26" s="12" customFormat="1" x14ac:dyDescent="0.25">
      <c r="A89" s="215" t="s">
        <v>1384</v>
      </c>
      <c r="B89" s="64">
        <v>3.7</v>
      </c>
      <c r="C89" s="64">
        <v>16.64</v>
      </c>
      <c r="D89" s="64">
        <v>12.8</v>
      </c>
      <c r="E89" s="64">
        <v>2.57</v>
      </c>
      <c r="F89" s="64">
        <v>13.76</v>
      </c>
      <c r="G89" s="64">
        <v>18.809999999999999</v>
      </c>
      <c r="H89" s="64">
        <v>9.92</v>
      </c>
      <c r="I89" s="218" t="s">
        <v>36</v>
      </c>
      <c r="J89" s="64">
        <v>0.2</v>
      </c>
      <c r="K89" s="64">
        <v>205.98</v>
      </c>
      <c r="L89" s="64">
        <v>24.66</v>
      </c>
      <c r="M89" s="64">
        <v>86.87</v>
      </c>
      <c r="N89" s="64">
        <v>38.6</v>
      </c>
      <c r="O89" s="64">
        <v>0</v>
      </c>
      <c r="P89" s="64">
        <v>0.89</v>
      </c>
      <c r="Q89" s="64">
        <v>5.17</v>
      </c>
      <c r="R89" s="198"/>
      <c r="S89" s="198"/>
      <c r="T89" s="198"/>
      <c r="U89" s="198"/>
    </row>
    <row r="90" spans="1:26" s="12" customFormat="1" x14ac:dyDescent="0.25">
      <c r="A90" s="215" t="s">
        <v>1385</v>
      </c>
      <c r="B90" s="64">
        <v>3.9</v>
      </c>
      <c r="C90" s="64">
        <v>14.55</v>
      </c>
      <c r="D90" s="64">
        <v>11.8</v>
      </c>
      <c r="E90" s="64">
        <v>2.6</v>
      </c>
      <c r="F90" s="64">
        <v>13.2</v>
      </c>
      <c r="G90" s="64">
        <v>18.809999999999999</v>
      </c>
      <c r="H90" s="64">
        <v>9.92</v>
      </c>
      <c r="I90" s="218" t="s">
        <v>36</v>
      </c>
      <c r="J90" s="64">
        <v>0.05</v>
      </c>
      <c r="K90" s="64">
        <v>220.3</v>
      </c>
      <c r="L90" s="64">
        <v>24.45</v>
      </c>
      <c r="M90" s="64">
        <v>88.27</v>
      </c>
      <c r="N90" s="64">
        <v>38.700000000000003</v>
      </c>
      <c r="O90" s="64">
        <v>0</v>
      </c>
      <c r="P90" s="64">
        <v>0.9</v>
      </c>
      <c r="Q90" s="64">
        <v>6.05</v>
      </c>
      <c r="R90" s="198"/>
      <c r="S90" s="198"/>
      <c r="T90" s="198"/>
      <c r="U90" s="198"/>
    </row>
    <row r="91" spans="1:26" s="12" customFormat="1" x14ac:dyDescent="0.25">
      <c r="A91" s="215" t="s">
        <v>1386</v>
      </c>
      <c r="B91" s="64">
        <v>3.9</v>
      </c>
      <c r="C91" s="64">
        <v>16.3</v>
      </c>
      <c r="D91" s="64">
        <v>12.76</v>
      </c>
      <c r="E91" s="64">
        <v>2.89</v>
      </c>
      <c r="F91" s="64">
        <v>15.09</v>
      </c>
      <c r="G91" s="64">
        <v>18.809999999999999</v>
      </c>
      <c r="H91" s="64">
        <v>9.92</v>
      </c>
      <c r="I91" s="218" t="s">
        <v>36</v>
      </c>
      <c r="J91" s="64">
        <v>0.17</v>
      </c>
      <c r="K91" s="64">
        <v>211.34</v>
      </c>
      <c r="L91" s="64">
        <v>24.42</v>
      </c>
      <c r="M91" s="64">
        <v>88.01</v>
      </c>
      <c r="N91" s="64">
        <v>38.4</v>
      </c>
      <c r="O91" s="64">
        <v>0</v>
      </c>
      <c r="P91" s="64">
        <v>0.9</v>
      </c>
      <c r="Q91" s="64">
        <v>7.22</v>
      </c>
      <c r="R91" s="198"/>
      <c r="S91" s="198"/>
      <c r="T91" s="198"/>
      <c r="U91" s="198"/>
    </row>
    <row r="92" spans="1:26" s="12" customFormat="1" x14ac:dyDescent="0.25">
      <c r="A92" s="215" t="s">
        <v>1387</v>
      </c>
      <c r="B92" s="64">
        <v>5.26</v>
      </c>
      <c r="C92" s="64">
        <v>14.8</v>
      </c>
      <c r="D92" s="64">
        <v>13.03</v>
      </c>
      <c r="E92" s="64">
        <v>3.06</v>
      </c>
      <c r="F92" s="64">
        <v>7.54</v>
      </c>
      <c r="G92" s="64">
        <v>22.28</v>
      </c>
      <c r="H92" s="64">
        <v>11.52</v>
      </c>
      <c r="I92" s="218" t="s">
        <v>36</v>
      </c>
      <c r="J92" s="64">
        <v>0.18</v>
      </c>
      <c r="K92" s="64">
        <v>215.37</v>
      </c>
      <c r="L92" s="64">
        <v>24.32</v>
      </c>
      <c r="M92" s="64">
        <v>88.5</v>
      </c>
      <c r="N92" s="64">
        <v>38.4</v>
      </c>
      <c r="O92" s="64">
        <v>0</v>
      </c>
      <c r="P92" s="64">
        <v>0.9</v>
      </c>
      <c r="Q92" s="64">
        <v>7.43</v>
      </c>
      <c r="R92" s="198"/>
      <c r="S92" s="198"/>
      <c r="T92" s="198"/>
      <c r="U92" s="198"/>
    </row>
    <row r="93" spans="1:26" s="12" customFormat="1" x14ac:dyDescent="0.25">
      <c r="A93" s="215" t="s">
        <v>1388</v>
      </c>
      <c r="B93" s="64">
        <v>6.2</v>
      </c>
      <c r="C93" s="64">
        <v>14.74</v>
      </c>
      <c r="D93" s="64">
        <v>13.75</v>
      </c>
      <c r="E93" s="64">
        <v>2.66</v>
      </c>
      <c r="F93" s="64">
        <v>7.42</v>
      </c>
      <c r="G93" s="64">
        <v>22.4</v>
      </c>
      <c r="H93" s="64">
        <v>11.58</v>
      </c>
      <c r="I93" s="218" t="s">
        <v>36</v>
      </c>
      <c r="J93" s="64">
        <v>0.24</v>
      </c>
      <c r="K93" s="64">
        <v>197.47</v>
      </c>
      <c r="L93" s="64">
        <v>24.32</v>
      </c>
      <c r="M93" s="64">
        <v>88.82</v>
      </c>
      <c r="N93" s="64">
        <v>38.4</v>
      </c>
      <c r="O93" s="64">
        <v>0</v>
      </c>
      <c r="P93" s="64">
        <v>0.93</v>
      </c>
      <c r="Q93" s="64">
        <v>7.69</v>
      </c>
      <c r="R93" s="198"/>
      <c r="S93" s="198"/>
      <c r="T93" s="198"/>
      <c r="U93" s="198"/>
    </row>
    <row r="94" spans="1:26" s="12" customFormat="1" x14ac:dyDescent="0.25">
      <c r="A94" s="215" t="s">
        <v>1389</v>
      </c>
      <c r="B94" s="64">
        <v>5.42</v>
      </c>
      <c r="C94" s="64">
        <v>12.12</v>
      </c>
      <c r="D94" s="64">
        <v>11.68</v>
      </c>
      <c r="E94" s="64">
        <v>2.66</v>
      </c>
      <c r="F94" s="64">
        <v>5.22</v>
      </c>
      <c r="G94" s="64">
        <v>22.4</v>
      </c>
      <c r="H94" s="64">
        <v>11.58</v>
      </c>
      <c r="I94" s="218" t="s">
        <v>36</v>
      </c>
      <c r="J94" s="64">
        <v>7.0000000000000007E-2</v>
      </c>
      <c r="K94" s="64">
        <v>217.61</v>
      </c>
      <c r="L94" s="64">
        <v>24.22</v>
      </c>
      <c r="M94" s="64">
        <v>89.64</v>
      </c>
      <c r="N94" s="64">
        <v>38.5</v>
      </c>
      <c r="O94" s="64">
        <v>0</v>
      </c>
      <c r="P94" s="64">
        <v>0.91</v>
      </c>
      <c r="Q94" s="64">
        <v>7.26</v>
      </c>
      <c r="R94" s="198"/>
      <c r="S94" s="198"/>
      <c r="T94" s="198"/>
      <c r="U94" s="198"/>
    </row>
    <row r="95" spans="1:26" s="12" customFormat="1" x14ac:dyDescent="0.25">
      <c r="A95" s="215" t="s">
        <v>1390</v>
      </c>
      <c r="B95" s="64">
        <v>5.44</v>
      </c>
      <c r="C95" s="64">
        <v>12.64</v>
      </c>
      <c r="D95" s="64">
        <v>11.99</v>
      </c>
      <c r="E95" s="64">
        <v>2.16</v>
      </c>
      <c r="F95" s="64">
        <v>7.74</v>
      </c>
      <c r="G95" s="64">
        <v>22.4</v>
      </c>
      <c r="H95" s="64">
        <v>11.58</v>
      </c>
      <c r="I95" s="218" t="s">
        <v>36</v>
      </c>
      <c r="J95" s="64">
        <v>0.06</v>
      </c>
      <c r="K95" s="64">
        <v>4.24</v>
      </c>
      <c r="L95" s="64">
        <v>24.08</v>
      </c>
      <c r="M95" s="64">
        <v>90.51</v>
      </c>
      <c r="N95" s="64">
        <v>38.4</v>
      </c>
      <c r="O95" s="64">
        <v>0</v>
      </c>
      <c r="P95" s="64">
        <v>0.91</v>
      </c>
      <c r="Q95" s="64">
        <v>6.54</v>
      </c>
      <c r="R95" s="198"/>
      <c r="S95" s="198"/>
      <c r="T95" s="198"/>
      <c r="U95" s="198"/>
    </row>
    <row r="96" spans="1:26" s="12" customFormat="1" x14ac:dyDescent="0.25">
      <c r="A96" s="215" t="s">
        <v>1391</v>
      </c>
      <c r="B96" s="64">
        <v>5.41</v>
      </c>
      <c r="C96" s="64">
        <v>11.82</v>
      </c>
      <c r="D96" s="64">
        <v>11.51</v>
      </c>
      <c r="E96" s="64">
        <v>2.56</v>
      </c>
      <c r="F96" s="64">
        <v>5.75</v>
      </c>
      <c r="G96" s="64">
        <v>22.24</v>
      </c>
      <c r="H96" s="64">
        <v>10.8</v>
      </c>
      <c r="I96" s="218" t="s">
        <v>36</v>
      </c>
      <c r="J96" s="64">
        <v>0.09</v>
      </c>
      <c r="K96" s="64">
        <v>34.33</v>
      </c>
      <c r="L96" s="64">
        <v>24.03</v>
      </c>
      <c r="M96" s="64">
        <v>90.88</v>
      </c>
      <c r="N96" s="64">
        <v>38.4</v>
      </c>
      <c r="O96" s="64">
        <v>0</v>
      </c>
      <c r="P96" s="64">
        <v>0.93</v>
      </c>
      <c r="Q96" s="64">
        <v>6.39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1392</v>
      </c>
      <c r="B97" s="64">
        <v>4.93</v>
      </c>
      <c r="C97" s="64">
        <v>12.18</v>
      </c>
      <c r="D97" s="64">
        <v>11.32</v>
      </c>
      <c r="E97" s="64">
        <v>2.66</v>
      </c>
      <c r="F97" s="64">
        <v>5.26</v>
      </c>
      <c r="G97" s="64">
        <v>22.24</v>
      </c>
      <c r="H97" s="64">
        <v>10.78</v>
      </c>
      <c r="I97" s="218" t="s">
        <v>36</v>
      </c>
      <c r="J97" s="64">
        <v>0.05</v>
      </c>
      <c r="K97" s="64">
        <v>256.23</v>
      </c>
      <c r="L97" s="64">
        <v>23.9</v>
      </c>
      <c r="M97" s="64">
        <v>91.65</v>
      </c>
      <c r="N97" s="64">
        <v>38.4</v>
      </c>
      <c r="O97" s="64">
        <v>0</v>
      </c>
      <c r="P97" s="64">
        <v>0.93</v>
      </c>
      <c r="Q97" s="64">
        <v>6.6</v>
      </c>
      <c r="R97" s="198"/>
      <c r="S97" s="198"/>
      <c r="T97" s="198"/>
      <c r="U97" s="198"/>
    </row>
    <row r="98" spans="1:33" s="12" customFormat="1" x14ac:dyDescent="0.25">
      <c r="A98" s="215" t="s">
        <v>1393</v>
      </c>
      <c r="B98" s="64">
        <v>5.3</v>
      </c>
      <c r="C98" s="64">
        <v>12.73</v>
      </c>
      <c r="D98" s="64">
        <v>11.92</v>
      </c>
      <c r="E98" s="64">
        <v>2.41</v>
      </c>
      <c r="F98" s="64">
        <v>4.03</v>
      </c>
      <c r="G98" s="64">
        <v>22.24</v>
      </c>
      <c r="H98" s="64">
        <v>10.78</v>
      </c>
      <c r="I98" s="218" t="s">
        <v>36</v>
      </c>
      <c r="J98" s="64">
        <v>0.04</v>
      </c>
      <c r="K98" s="64">
        <v>17.29</v>
      </c>
      <c r="L98" s="64">
        <v>23.86</v>
      </c>
      <c r="M98" s="64">
        <v>92.39</v>
      </c>
      <c r="N98" s="64">
        <v>38.299999999999997</v>
      </c>
      <c r="O98" s="64">
        <v>0</v>
      </c>
      <c r="P98" s="64">
        <v>0.93</v>
      </c>
      <c r="Q98" s="64">
        <v>6.88</v>
      </c>
      <c r="R98" s="198"/>
      <c r="S98" s="198"/>
      <c r="T98" s="198"/>
      <c r="U98" s="198"/>
    </row>
    <row r="99" spans="1:33" s="12" customFormat="1" x14ac:dyDescent="0.25">
      <c r="A99" s="215" t="s">
        <v>1394</v>
      </c>
      <c r="B99" s="64">
        <v>5.88</v>
      </c>
      <c r="C99" s="64">
        <v>13.83</v>
      </c>
      <c r="D99" s="64">
        <v>13</v>
      </c>
      <c r="E99" s="64">
        <v>2.64</v>
      </c>
      <c r="F99" s="64">
        <v>6.74</v>
      </c>
      <c r="G99" s="64">
        <v>22.24</v>
      </c>
      <c r="H99" s="64">
        <v>10.78</v>
      </c>
      <c r="I99" s="218" t="s">
        <v>36</v>
      </c>
      <c r="J99" s="64">
        <v>0.15</v>
      </c>
      <c r="K99" s="64">
        <v>46.29</v>
      </c>
      <c r="L99" s="64">
        <v>23.8</v>
      </c>
      <c r="M99" s="64">
        <v>93.17</v>
      </c>
      <c r="N99" s="64">
        <v>38.4</v>
      </c>
      <c r="O99" s="64">
        <v>0</v>
      </c>
      <c r="P99" s="64">
        <v>0.95</v>
      </c>
      <c r="Q99" s="64">
        <v>6.49</v>
      </c>
      <c r="R99" s="198"/>
      <c r="S99" s="198"/>
      <c r="T99" s="198"/>
      <c r="U99" s="198"/>
    </row>
    <row r="100" spans="1:33" s="12" customFormat="1" x14ac:dyDescent="0.25">
      <c r="A100" s="215" t="s">
        <v>1395</v>
      </c>
      <c r="B100" s="64">
        <v>5.99</v>
      </c>
      <c r="C100" s="64">
        <v>14.8</v>
      </c>
      <c r="D100" s="64">
        <v>13.62</v>
      </c>
      <c r="E100" s="64">
        <v>2.3199999999999998</v>
      </c>
      <c r="F100" s="64">
        <v>7.54</v>
      </c>
      <c r="G100" s="64">
        <v>24.13</v>
      </c>
      <c r="H100" s="64">
        <v>12.91</v>
      </c>
      <c r="I100" s="218" t="s">
        <v>36</v>
      </c>
      <c r="J100" s="64">
        <v>0.16</v>
      </c>
      <c r="K100" s="64">
        <v>47.54</v>
      </c>
      <c r="L100" s="64">
        <v>23.74</v>
      </c>
      <c r="M100" s="64">
        <v>93.35</v>
      </c>
      <c r="N100" s="64">
        <v>38.299999999999997</v>
      </c>
      <c r="O100" s="64">
        <v>0</v>
      </c>
      <c r="P100" s="64">
        <v>0.94</v>
      </c>
      <c r="Q100" s="64">
        <v>9.27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1396</v>
      </c>
      <c r="B101" s="64">
        <v>6.35</v>
      </c>
      <c r="C101" s="64">
        <v>15.53</v>
      </c>
      <c r="D101" s="64">
        <v>14.31</v>
      </c>
      <c r="E101" s="64">
        <v>2.4</v>
      </c>
      <c r="F101" s="64">
        <v>7.96</v>
      </c>
      <c r="G101" s="64">
        <v>24.19</v>
      </c>
      <c r="H101" s="64">
        <v>12.98</v>
      </c>
      <c r="I101" s="218" t="s">
        <v>36</v>
      </c>
      <c r="J101" s="64">
        <v>0.14000000000000001</v>
      </c>
      <c r="K101" s="64">
        <v>33.659999999999997</v>
      </c>
      <c r="L101" s="64">
        <v>23.63</v>
      </c>
      <c r="M101" s="64">
        <v>95.19</v>
      </c>
      <c r="N101" s="64">
        <v>38.4</v>
      </c>
      <c r="O101" s="64">
        <v>0</v>
      </c>
      <c r="P101" s="64">
        <v>0.95</v>
      </c>
      <c r="Q101" s="64">
        <v>8.19</v>
      </c>
      <c r="R101" s="198"/>
      <c r="S101" s="198"/>
      <c r="T101" s="198"/>
      <c r="U101" s="198"/>
    </row>
    <row r="102" spans="1:33" s="12" customFormat="1" x14ac:dyDescent="0.25">
      <c r="A102" s="215" t="s">
        <v>1397</v>
      </c>
      <c r="B102" s="64">
        <v>6.73</v>
      </c>
      <c r="C102" s="64">
        <v>14.14</v>
      </c>
      <c r="D102" s="64">
        <v>13.85</v>
      </c>
      <c r="E102" s="64">
        <v>2.73</v>
      </c>
      <c r="F102" s="64">
        <v>6.21</v>
      </c>
      <c r="G102" s="64">
        <v>24.19</v>
      </c>
      <c r="H102" s="64">
        <v>12.98</v>
      </c>
      <c r="I102" s="218" t="s">
        <v>36</v>
      </c>
      <c r="J102" s="64">
        <v>0.18</v>
      </c>
      <c r="K102" s="64">
        <v>35.06</v>
      </c>
      <c r="L102" s="64">
        <v>23.56</v>
      </c>
      <c r="M102" s="64">
        <v>94.48</v>
      </c>
      <c r="N102" s="64">
        <v>38.299999999999997</v>
      </c>
      <c r="O102" s="64">
        <v>0</v>
      </c>
      <c r="P102" s="64">
        <v>0.94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15" t="s">
        <v>1398</v>
      </c>
      <c r="B103" s="64">
        <v>6.49</v>
      </c>
      <c r="C103" s="64">
        <v>12.83</v>
      </c>
      <c r="D103" s="64">
        <v>12.93</v>
      </c>
      <c r="E103" s="64">
        <v>2.54</v>
      </c>
      <c r="F103" s="64">
        <v>6.59</v>
      </c>
      <c r="G103" s="64">
        <v>24.19</v>
      </c>
      <c r="H103" s="64">
        <v>12.98</v>
      </c>
      <c r="I103" s="218" t="s">
        <v>36</v>
      </c>
      <c r="J103" s="64">
        <v>0.17</v>
      </c>
      <c r="K103" s="64">
        <v>45.35</v>
      </c>
      <c r="L103" s="64">
        <v>23.43</v>
      </c>
      <c r="M103" s="64">
        <v>92.64</v>
      </c>
      <c r="N103" s="64">
        <v>38.299999999999997</v>
      </c>
      <c r="O103" s="64">
        <v>0</v>
      </c>
      <c r="P103" s="64">
        <v>0.94</v>
      </c>
      <c r="Q103" s="64">
        <v>9.06</v>
      </c>
      <c r="R103" s="198"/>
      <c r="S103" s="198"/>
      <c r="T103" s="198"/>
      <c r="U103" s="198"/>
    </row>
    <row r="104" spans="1:33" s="12" customFormat="1" x14ac:dyDescent="0.25">
      <c r="A104" s="215" t="s">
        <v>1399</v>
      </c>
      <c r="B104" s="64">
        <v>6.2</v>
      </c>
      <c r="C104" s="64">
        <v>11.62</v>
      </c>
      <c r="D104" s="64">
        <v>12.03</v>
      </c>
      <c r="E104" s="64">
        <v>1.94</v>
      </c>
      <c r="F104" s="64">
        <v>4.3</v>
      </c>
      <c r="G104" s="64">
        <v>30.55</v>
      </c>
      <c r="H104" s="64">
        <v>11.7</v>
      </c>
      <c r="I104" s="218" t="s">
        <v>36</v>
      </c>
      <c r="J104" s="64">
        <v>0.05</v>
      </c>
      <c r="K104" s="64">
        <v>29.84</v>
      </c>
      <c r="L104" s="64">
        <v>23.28</v>
      </c>
      <c r="M104" s="64">
        <v>92.6</v>
      </c>
      <c r="N104" s="64">
        <v>38.4</v>
      </c>
      <c r="O104" s="64">
        <v>0</v>
      </c>
      <c r="P104" s="64">
        <v>0.94</v>
      </c>
      <c r="Q104" s="64">
        <v>8.85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2.04</v>
      </c>
      <c r="C106" s="67">
        <f>MIN(C9:C104)</f>
        <v>6.16</v>
      </c>
      <c r="D106" s="67">
        <f t="shared" ref="D106:Q106" si="0">MIN(D9:D104)</f>
        <v>6.88</v>
      </c>
      <c r="E106" s="67">
        <f t="shared" si="0"/>
        <v>0.77</v>
      </c>
      <c r="F106" s="67">
        <f t="shared" si="0"/>
        <v>3.43</v>
      </c>
      <c r="G106" s="67">
        <f t="shared" si="0"/>
        <v>18.809999999999999</v>
      </c>
      <c r="H106" s="67">
        <f t="shared" si="0"/>
        <v>1.52</v>
      </c>
      <c r="I106" s="67">
        <f t="shared" si="0"/>
        <v>3.75</v>
      </c>
      <c r="J106" s="67">
        <f t="shared" si="0"/>
        <v>0.01</v>
      </c>
      <c r="K106" s="67">
        <f t="shared" si="0"/>
        <v>1.0900000000000001</v>
      </c>
      <c r="L106" s="67">
        <f t="shared" si="0"/>
        <v>22.35</v>
      </c>
      <c r="M106" s="67">
        <f t="shared" si="0"/>
        <v>70.25</v>
      </c>
      <c r="N106" s="67">
        <f t="shared" si="0"/>
        <v>38.299999999999997</v>
      </c>
      <c r="O106" s="67">
        <f t="shared" si="0"/>
        <v>0</v>
      </c>
      <c r="P106" s="67">
        <f t="shared" si="0"/>
        <v>0.56000000000000005</v>
      </c>
      <c r="Q106" s="67">
        <f t="shared" si="0"/>
        <v>0.41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10.94</v>
      </c>
      <c r="C107" s="66">
        <f t="shared" ref="C107:Q107" si="1">MAX(C9:C104)</f>
        <v>23.78</v>
      </c>
      <c r="D107" s="66">
        <f t="shared" si="1"/>
        <v>18.39</v>
      </c>
      <c r="E107" s="66">
        <f t="shared" si="1"/>
        <v>3.15</v>
      </c>
      <c r="F107" s="66">
        <f t="shared" si="1"/>
        <v>24.78</v>
      </c>
      <c r="G107" s="66">
        <f t="shared" si="1"/>
        <v>36.5</v>
      </c>
      <c r="H107" s="66">
        <f t="shared" si="1"/>
        <v>12.98</v>
      </c>
      <c r="I107" s="66">
        <f t="shared" si="1"/>
        <v>5.79</v>
      </c>
      <c r="J107" s="66">
        <f t="shared" si="1"/>
        <v>0.81</v>
      </c>
      <c r="K107" s="66">
        <f t="shared" si="1"/>
        <v>342.42</v>
      </c>
      <c r="L107" s="66">
        <f t="shared" si="1"/>
        <v>27.91</v>
      </c>
      <c r="M107" s="66">
        <f t="shared" si="1"/>
        <v>97.18</v>
      </c>
      <c r="N107" s="66">
        <f t="shared" si="1"/>
        <v>1050.9000000000001</v>
      </c>
      <c r="O107" s="66">
        <f t="shared" si="1"/>
        <v>0</v>
      </c>
      <c r="P107" s="66">
        <f t="shared" si="1"/>
        <v>0.99</v>
      </c>
      <c r="Q107" s="66">
        <f t="shared" si="1"/>
        <v>13.1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4.2300000000000013</v>
      </c>
      <c r="C108" s="67">
        <f t="shared" ref="C108:Q108" si="2">AVERAGE(C9:C104)</f>
        <v>12.13833333333333</v>
      </c>
      <c r="D108" s="67">
        <f t="shared" si="2"/>
        <v>10.736145833333332</v>
      </c>
      <c r="E108" s="67">
        <f t="shared" si="2"/>
        <v>2.1001041666666667</v>
      </c>
      <c r="F108" s="67">
        <f t="shared" si="2"/>
        <v>8.2748958333333373</v>
      </c>
      <c r="G108" s="67">
        <f t="shared" si="2"/>
        <v>25.734146341463411</v>
      </c>
      <c r="H108" s="67">
        <f t="shared" si="2"/>
        <v>7.6136585365853682</v>
      </c>
      <c r="I108" s="67">
        <f t="shared" si="2"/>
        <v>4.6688235294117639</v>
      </c>
      <c r="J108" s="67">
        <f t="shared" si="2"/>
        <v>0.22750000000000001</v>
      </c>
      <c r="K108" s="67">
        <f t="shared" si="2"/>
        <v>173.46937500000004</v>
      </c>
      <c r="L108" s="67">
        <f t="shared" si="2"/>
        <v>24.434479166666673</v>
      </c>
      <c r="M108" s="67">
        <f t="shared" si="2"/>
        <v>87.427499999999995</v>
      </c>
      <c r="N108" s="67">
        <f t="shared" si="2"/>
        <v>188.8947916666668</v>
      </c>
      <c r="O108" s="67">
        <f t="shared" si="2"/>
        <v>0</v>
      </c>
      <c r="P108" s="67">
        <f t="shared" si="2"/>
        <v>0.76958333333333362</v>
      </c>
      <c r="Q108" s="67">
        <f t="shared" si="2"/>
        <v>6.759062499999998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1.4473591195873341</v>
      </c>
      <c r="C109" s="67">
        <f t="shared" ref="C109:Q109" si="3">STDEV(C9:C104)</f>
        <v>4.3125261046756371</v>
      </c>
      <c r="D109" s="67">
        <f t="shared" si="3"/>
        <v>2.6671800088410658</v>
      </c>
      <c r="E109" s="67">
        <f t="shared" si="3"/>
        <v>0.58449707539075935</v>
      </c>
      <c r="F109" s="67">
        <f t="shared" si="3"/>
        <v>4.0603025541380919</v>
      </c>
      <c r="G109" s="67">
        <f t="shared" si="3"/>
        <v>5.6889713374254951</v>
      </c>
      <c r="H109" s="67">
        <f t="shared" si="3"/>
        <v>3.377153946814945</v>
      </c>
      <c r="I109" s="67">
        <f t="shared" si="3"/>
        <v>0.62921461315815541</v>
      </c>
      <c r="J109" s="67">
        <f t="shared" si="3"/>
        <v>0.17072600393921439</v>
      </c>
      <c r="K109" s="67">
        <f t="shared" si="3"/>
        <v>74.877079154859643</v>
      </c>
      <c r="L109" s="67">
        <f t="shared" si="3"/>
        <v>1.7008232494522157</v>
      </c>
      <c r="M109" s="67">
        <f t="shared" si="3"/>
        <v>8.9364133862827302</v>
      </c>
      <c r="N109" s="67">
        <f t="shared" si="3"/>
        <v>241.36991063937828</v>
      </c>
      <c r="O109" s="67">
        <f t="shared" si="3"/>
        <v>0</v>
      </c>
      <c r="P109" s="67">
        <f t="shared" si="3"/>
        <v>0.10726177193808671</v>
      </c>
      <c r="Q109" s="67">
        <f t="shared" si="3"/>
        <v>3.0734941809385625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COUNT(G9:G104)+55</f>
        <v>96</v>
      </c>
      <c r="H110" s="66">
        <f>COUNT(H9:H104)+55</f>
        <v>96</v>
      </c>
      <c r="I110" s="66">
        <f>COUNT(I9:I104)+79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 t="s">
        <v>1400</v>
      </c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1401</v>
      </c>
      <c r="B9" s="64">
        <v>5.44</v>
      </c>
      <c r="C9" s="64">
        <v>11.38</v>
      </c>
      <c r="D9" s="64">
        <v>11.29</v>
      </c>
      <c r="E9" s="64">
        <v>1.65</v>
      </c>
      <c r="F9" s="64">
        <v>4.76</v>
      </c>
      <c r="G9" s="64">
        <v>30.77</v>
      </c>
      <c r="H9" s="64">
        <v>11.66</v>
      </c>
      <c r="I9" s="218" t="s">
        <v>36</v>
      </c>
      <c r="J9" s="64">
        <v>0.02</v>
      </c>
      <c r="K9" s="64">
        <v>120.37</v>
      </c>
      <c r="L9" s="64">
        <v>23.09</v>
      </c>
      <c r="M9" s="64">
        <v>93.87</v>
      </c>
      <c r="N9" s="64">
        <v>38.5</v>
      </c>
      <c r="O9" s="64">
        <v>0</v>
      </c>
      <c r="P9" s="64">
        <v>0.89</v>
      </c>
      <c r="Q9" s="64">
        <v>6.62</v>
      </c>
      <c r="R9" s="198"/>
      <c r="S9" s="198"/>
      <c r="T9" s="198"/>
      <c r="U9" s="198"/>
    </row>
    <row r="10" spans="1:21" s="12" customFormat="1" x14ac:dyDescent="0.25">
      <c r="A10" s="215" t="s">
        <v>1402</v>
      </c>
      <c r="B10" s="64">
        <v>5</v>
      </c>
      <c r="C10" s="64">
        <v>10.83</v>
      </c>
      <c r="D10" s="64">
        <v>10.63</v>
      </c>
      <c r="E10" s="64">
        <v>2.1</v>
      </c>
      <c r="F10" s="64">
        <v>5.23</v>
      </c>
      <c r="G10" s="64">
        <v>30.77</v>
      </c>
      <c r="H10" s="64">
        <v>11.66</v>
      </c>
      <c r="I10" s="218" t="s">
        <v>36</v>
      </c>
      <c r="J10" s="64">
        <v>0.04</v>
      </c>
      <c r="K10" s="64">
        <v>253.29</v>
      </c>
      <c r="L10" s="64">
        <v>22.99</v>
      </c>
      <c r="M10" s="64">
        <v>94.61</v>
      </c>
      <c r="N10" s="64">
        <v>38.299999999999997</v>
      </c>
      <c r="O10" s="64">
        <v>0</v>
      </c>
      <c r="P10" s="64">
        <v>0.89</v>
      </c>
      <c r="Q10" s="64">
        <v>6.66</v>
      </c>
      <c r="R10" s="198"/>
      <c r="S10" s="198"/>
      <c r="T10" s="198"/>
      <c r="U10" s="198"/>
    </row>
    <row r="11" spans="1:21" s="12" customFormat="1" x14ac:dyDescent="0.25">
      <c r="A11" s="215" t="s">
        <v>1403</v>
      </c>
      <c r="B11" s="64">
        <v>4.7699999999999996</v>
      </c>
      <c r="C11" s="64">
        <v>10.69</v>
      </c>
      <c r="D11" s="64">
        <v>10.37</v>
      </c>
      <c r="E11" s="64">
        <v>1.69</v>
      </c>
      <c r="F11" s="64">
        <v>6.09</v>
      </c>
      <c r="G11" s="64">
        <v>30.77</v>
      </c>
      <c r="H11" s="64">
        <v>11.66</v>
      </c>
      <c r="I11" s="218" t="s">
        <v>36</v>
      </c>
      <c r="J11" s="64">
        <v>0.05</v>
      </c>
      <c r="K11" s="64">
        <v>59.45</v>
      </c>
      <c r="L11" s="64">
        <v>22.89</v>
      </c>
      <c r="M11" s="64">
        <v>95.47</v>
      </c>
      <c r="N11" s="64">
        <v>38.4</v>
      </c>
      <c r="O11" s="64">
        <v>0</v>
      </c>
      <c r="P11" s="64">
        <v>0.9</v>
      </c>
      <c r="Q11" s="64">
        <v>6.42</v>
      </c>
      <c r="R11" s="198"/>
      <c r="S11" s="198"/>
      <c r="T11" s="198"/>
      <c r="U11" s="198"/>
    </row>
    <row r="12" spans="1:21" s="12" customFormat="1" x14ac:dyDescent="0.25">
      <c r="A12" s="215" t="s">
        <v>1404</v>
      </c>
      <c r="B12" s="64">
        <v>4.7</v>
      </c>
      <c r="C12" s="64">
        <v>10.72</v>
      </c>
      <c r="D12" s="64">
        <v>10.33</v>
      </c>
      <c r="E12" s="64">
        <v>1.93</v>
      </c>
      <c r="F12" s="64">
        <v>3.98</v>
      </c>
      <c r="G12" s="64">
        <v>21.21</v>
      </c>
      <c r="H12" s="64">
        <v>16.63</v>
      </c>
      <c r="I12" s="218" t="s">
        <v>36</v>
      </c>
      <c r="J12" s="64">
        <v>0.06</v>
      </c>
      <c r="K12" s="64">
        <v>50.63</v>
      </c>
      <c r="L12" s="64">
        <v>22.86</v>
      </c>
      <c r="M12" s="64">
        <v>95.67</v>
      </c>
      <c r="N12" s="64">
        <v>38.1</v>
      </c>
      <c r="O12" s="64">
        <v>0</v>
      </c>
      <c r="P12" s="64">
        <v>0.86</v>
      </c>
      <c r="Q12" s="64">
        <v>6.69</v>
      </c>
      <c r="R12" s="198"/>
      <c r="S12" s="198"/>
      <c r="T12" s="198"/>
      <c r="U12" s="198"/>
    </row>
    <row r="13" spans="1:21" s="12" customFormat="1" x14ac:dyDescent="0.25">
      <c r="A13" s="215" t="s">
        <v>1405</v>
      </c>
      <c r="B13" s="64">
        <v>4.67</v>
      </c>
      <c r="C13" s="64">
        <v>10.66</v>
      </c>
      <c r="D13" s="64">
        <v>10.27</v>
      </c>
      <c r="E13" s="64">
        <v>1.87</v>
      </c>
      <c r="F13" s="64">
        <v>3.97</v>
      </c>
      <c r="G13" s="64">
        <v>20.88</v>
      </c>
      <c r="H13" s="64">
        <v>16.8</v>
      </c>
      <c r="I13" s="218" t="s">
        <v>36</v>
      </c>
      <c r="J13" s="64">
        <v>7.0000000000000007E-2</v>
      </c>
      <c r="K13" s="64">
        <v>20.3</v>
      </c>
      <c r="L13" s="64">
        <v>22.81</v>
      </c>
      <c r="M13" s="64">
        <v>95.74</v>
      </c>
      <c r="N13" s="64">
        <v>38.1</v>
      </c>
      <c r="O13" s="64">
        <v>0</v>
      </c>
      <c r="P13" s="64">
        <v>0.83</v>
      </c>
      <c r="Q13" s="64">
        <v>6.74</v>
      </c>
      <c r="R13" s="198"/>
      <c r="S13" s="198"/>
      <c r="T13" s="198"/>
      <c r="U13" s="198"/>
    </row>
    <row r="14" spans="1:21" s="12" customFormat="1" x14ac:dyDescent="0.25">
      <c r="A14" s="215" t="s">
        <v>1406</v>
      </c>
      <c r="B14" s="64">
        <v>4.45</v>
      </c>
      <c r="C14" s="64">
        <v>10.51</v>
      </c>
      <c r="D14" s="64">
        <v>10.01</v>
      </c>
      <c r="E14" s="64">
        <v>1.86</v>
      </c>
      <c r="F14" s="64">
        <v>5.54</v>
      </c>
      <c r="G14" s="64">
        <v>20.88</v>
      </c>
      <c r="H14" s="64">
        <v>16.8</v>
      </c>
      <c r="I14" s="218" t="s">
        <v>36</v>
      </c>
      <c r="J14" s="64">
        <v>0.11</v>
      </c>
      <c r="K14" s="64">
        <v>41.14</v>
      </c>
      <c r="L14" s="64">
        <v>22.74</v>
      </c>
      <c r="M14" s="64">
        <v>96.54</v>
      </c>
      <c r="N14" s="64">
        <v>38.200000000000003</v>
      </c>
      <c r="O14" s="64">
        <v>0</v>
      </c>
      <c r="P14" s="64">
        <v>0.84</v>
      </c>
      <c r="Q14" s="64">
        <v>4.76</v>
      </c>
      <c r="R14" s="198"/>
      <c r="S14" s="198"/>
      <c r="T14" s="198"/>
      <c r="U14" s="198"/>
    </row>
    <row r="15" spans="1:21" s="12" customFormat="1" x14ac:dyDescent="0.25">
      <c r="A15" s="215" t="s">
        <v>1407</v>
      </c>
      <c r="B15" s="64">
        <v>4.0999999999999996</v>
      </c>
      <c r="C15" s="64">
        <v>10.48</v>
      </c>
      <c r="D15" s="64">
        <v>9.7100000000000009</v>
      </c>
      <c r="E15" s="64">
        <v>1.86</v>
      </c>
      <c r="F15" s="64">
        <v>7.6</v>
      </c>
      <c r="G15" s="64">
        <v>20.88</v>
      </c>
      <c r="H15" s="64">
        <v>16.8</v>
      </c>
      <c r="I15" s="218" t="s">
        <v>36</v>
      </c>
      <c r="J15" s="64">
        <v>0.02</v>
      </c>
      <c r="K15" s="64">
        <v>344.9</v>
      </c>
      <c r="L15" s="64">
        <v>22.68</v>
      </c>
      <c r="M15" s="64">
        <v>96.83</v>
      </c>
      <c r="N15" s="64">
        <v>38.1</v>
      </c>
      <c r="O15" s="64">
        <v>0</v>
      </c>
      <c r="P15" s="64">
        <v>0.83</v>
      </c>
      <c r="Q15" s="64">
        <v>6.58</v>
      </c>
      <c r="R15" s="198"/>
      <c r="S15" s="198"/>
      <c r="T15" s="198"/>
      <c r="U15" s="198"/>
    </row>
    <row r="16" spans="1:21" s="12" customFormat="1" x14ac:dyDescent="0.25">
      <c r="A16" s="215" t="s">
        <v>1408</v>
      </c>
      <c r="B16" s="64">
        <v>3.82</v>
      </c>
      <c r="C16" s="64">
        <v>9.9600000000000009</v>
      </c>
      <c r="D16" s="64">
        <v>9.2100000000000009</v>
      </c>
      <c r="E16" s="64">
        <v>1.62</v>
      </c>
      <c r="F16" s="64">
        <v>9.25</v>
      </c>
      <c r="G16" s="64">
        <v>23.63</v>
      </c>
      <c r="H16" s="64">
        <v>15.89</v>
      </c>
      <c r="I16" s="218" t="s">
        <v>36</v>
      </c>
      <c r="J16" s="64">
        <v>0.09</v>
      </c>
      <c r="K16" s="64">
        <v>22.72</v>
      </c>
      <c r="L16" s="64">
        <v>22.59</v>
      </c>
      <c r="M16" s="64">
        <v>97.13</v>
      </c>
      <c r="N16" s="64">
        <v>38.299999999999997</v>
      </c>
      <c r="O16" s="64">
        <v>0</v>
      </c>
      <c r="P16" s="64">
        <v>0.83</v>
      </c>
      <c r="Q16" s="64">
        <v>7.97</v>
      </c>
      <c r="R16" s="198"/>
      <c r="S16" s="198"/>
      <c r="T16" s="198"/>
      <c r="U16" s="198"/>
    </row>
    <row r="17" spans="1:21" s="12" customFormat="1" x14ac:dyDescent="0.25">
      <c r="A17" s="215" t="s">
        <v>1409</v>
      </c>
      <c r="B17" s="64">
        <v>3.52</v>
      </c>
      <c r="C17" s="64">
        <v>10.17</v>
      </c>
      <c r="D17" s="64">
        <v>9.08</v>
      </c>
      <c r="E17" s="64">
        <v>1.88</v>
      </c>
      <c r="F17" s="64">
        <v>13.15</v>
      </c>
      <c r="G17" s="64">
        <v>23.76</v>
      </c>
      <c r="H17" s="64">
        <v>15.84</v>
      </c>
      <c r="I17" s="218" t="s">
        <v>36</v>
      </c>
      <c r="J17" s="64">
        <v>0.02</v>
      </c>
      <c r="K17" s="64">
        <v>306.45</v>
      </c>
      <c r="L17" s="64">
        <v>22.52</v>
      </c>
      <c r="M17" s="64">
        <v>97.17</v>
      </c>
      <c r="N17" s="64">
        <v>38.1</v>
      </c>
      <c r="O17" s="64">
        <v>0</v>
      </c>
      <c r="P17" s="64">
        <v>0.8</v>
      </c>
      <c r="Q17" s="64">
        <v>8.8699999999999992</v>
      </c>
      <c r="R17" s="198"/>
      <c r="S17" s="198"/>
      <c r="T17" s="198"/>
      <c r="U17" s="198"/>
    </row>
    <row r="18" spans="1:21" s="12" customFormat="1" x14ac:dyDescent="0.25">
      <c r="A18" s="215" t="s">
        <v>1410</v>
      </c>
      <c r="B18" s="64">
        <v>3.86</v>
      </c>
      <c r="C18" s="64">
        <v>9.4499999999999993</v>
      </c>
      <c r="D18" s="64">
        <v>8.9499999999999993</v>
      </c>
      <c r="E18" s="64">
        <v>1.84</v>
      </c>
      <c r="F18" s="64">
        <v>10.11</v>
      </c>
      <c r="G18" s="64">
        <v>23.76</v>
      </c>
      <c r="H18" s="64">
        <v>15.84</v>
      </c>
      <c r="I18" s="218" t="s">
        <v>36</v>
      </c>
      <c r="J18" s="64">
        <v>0.04</v>
      </c>
      <c r="K18" s="64">
        <v>4.0999999999999996</v>
      </c>
      <c r="L18" s="64">
        <v>22.44</v>
      </c>
      <c r="M18" s="64">
        <v>97.18</v>
      </c>
      <c r="N18" s="64">
        <v>38</v>
      </c>
      <c r="O18" s="64">
        <v>0</v>
      </c>
      <c r="P18" s="64">
        <v>0.84</v>
      </c>
      <c r="Q18" s="64">
        <v>9.34</v>
      </c>
      <c r="R18" s="198"/>
      <c r="S18" s="198"/>
      <c r="T18" s="198"/>
      <c r="U18" s="198"/>
    </row>
    <row r="19" spans="1:21" s="12" customFormat="1" x14ac:dyDescent="0.25">
      <c r="A19" s="215" t="s">
        <v>1411</v>
      </c>
      <c r="B19" s="64">
        <v>4.1100000000000003</v>
      </c>
      <c r="C19" s="64">
        <v>11.02</v>
      </c>
      <c r="D19" s="64">
        <v>10.029999999999999</v>
      </c>
      <c r="E19" s="64">
        <v>2.2999999999999998</v>
      </c>
      <c r="F19" s="64">
        <v>9.6</v>
      </c>
      <c r="G19" s="64">
        <v>23.76</v>
      </c>
      <c r="H19" s="64">
        <v>15.84</v>
      </c>
      <c r="I19" s="218" t="s">
        <v>36</v>
      </c>
      <c r="J19" s="64">
        <v>0.02</v>
      </c>
      <c r="K19" s="64">
        <v>338.02</v>
      </c>
      <c r="L19" s="64">
        <v>22.37</v>
      </c>
      <c r="M19" s="64">
        <v>97.2</v>
      </c>
      <c r="N19" s="64">
        <v>38.200000000000003</v>
      </c>
      <c r="O19" s="64">
        <v>0</v>
      </c>
      <c r="P19" s="64">
        <v>0.81</v>
      </c>
      <c r="Q19" s="64">
        <v>10.15</v>
      </c>
      <c r="R19" s="198"/>
      <c r="S19" s="198"/>
      <c r="T19" s="198"/>
      <c r="U19" s="198"/>
    </row>
    <row r="20" spans="1:21" s="12" customFormat="1" x14ac:dyDescent="0.25">
      <c r="A20" s="215" t="s">
        <v>1412</v>
      </c>
      <c r="B20" s="64">
        <v>4.78</v>
      </c>
      <c r="C20" s="64">
        <v>10.81</v>
      </c>
      <c r="D20" s="64">
        <v>10.45</v>
      </c>
      <c r="E20" s="64">
        <v>1.98</v>
      </c>
      <c r="F20" s="64">
        <v>4.6500000000000004</v>
      </c>
      <c r="G20" s="64">
        <v>23.56</v>
      </c>
      <c r="H20" s="64">
        <v>13.09</v>
      </c>
      <c r="I20" s="218" t="s">
        <v>36</v>
      </c>
      <c r="J20" s="64">
        <v>0.13</v>
      </c>
      <c r="K20" s="64">
        <v>213.61</v>
      </c>
      <c r="L20" s="64">
        <v>22.29</v>
      </c>
      <c r="M20" s="64">
        <v>97.2</v>
      </c>
      <c r="N20" s="64">
        <v>37.9</v>
      </c>
      <c r="O20" s="64">
        <v>0</v>
      </c>
      <c r="P20" s="64">
        <v>0.83</v>
      </c>
      <c r="Q20" s="64">
        <v>9.9</v>
      </c>
      <c r="R20" s="198"/>
      <c r="S20" s="198"/>
      <c r="T20" s="198"/>
      <c r="U20" s="198"/>
    </row>
    <row r="21" spans="1:21" s="12" customFormat="1" x14ac:dyDescent="0.25">
      <c r="A21" s="215" t="s">
        <v>1413</v>
      </c>
      <c r="B21" s="64">
        <v>4.9000000000000004</v>
      </c>
      <c r="C21" s="64">
        <v>10.3</v>
      </c>
      <c r="D21" s="64">
        <v>10.26</v>
      </c>
      <c r="E21" s="64">
        <v>2</v>
      </c>
      <c r="F21" s="64">
        <v>5.9</v>
      </c>
      <c r="G21" s="64">
        <v>23.56</v>
      </c>
      <c r="H21" s="64">
        <v>12.99</v>
      </c>
      <c r="I21" s="218" t="s">
        <v>36</v>
      </c>
      <c r="J21" s="64">
        <v>0.13</v>
      </c>
      <c r="K21" s="64">
        <v>185.28</v>
      </c>
      <c r="L21" s="64">
        <v>22.25</v>
      </c>
      <c r="M21" s="64">
        <v>97.2</v>
      </c>
      <c r="N21" s="64">
        <v>38</v>
      </c>
      <c r="O21" s="64">
        <v>0</v>
      </c>
      <c r="P21" s="64">
        <v>0.82</v>
      </c>
      <c r="Q21" s="64">
        <v>9.4499999999999993</v>
      </c>
      <c r="R21" s="198"/>
      <c r="S21" s="198"/>
      <c r="T21" s="198"/>
      <c r="U21" s="198"/>
    </row>
    <row r="22" spans="1:21" s="12" customFormat="1" x14ac:dyDescent="0.25">
      <c r="A22" s="215" t="s">
        <v>1414</v>
      </c>
      <c r="B22" s="64">
        <v>4.8</v>
      </c>
      <c r="C22" s="64">
        <v>10.119999999999999</v>
      </c>
      <c r="D22" s="64">
        <v>10.08</v>
      </c>
      <c r="E22" s="64">
        <v>1.82</v>
      </c>
      <c r="F22" s="64">
        <v>6.3</v>
      </c>
      <c r="G22" s="64">
        <v>23.56</v>
      </c>
      <c r="H22" s="64">
        <v>12.99</v>
      </c>
      <c r="I22" s="218" t="s">
        <v>36</v>
      </c>
      <c r="J22" s="64">
        <v>0.33</v>
      </c>
      <c r="K22" s="64">
        <v>167.45</v>
      </c>
      <c r="L22" s="64">
        <v>22.21</v>
      </c>
      <c r="M22" s="64">
        <v>97.2</v>
      </c>
      <c r="N22" s="64">
        <v>38.299999999999997</v>
      </c>
      <c r="O22" s="64">
        <v>0</v>
      </c>
      <c r="P22" s="64">
        <v>0.8</v>
      </c>
      <c r="Q22" s="64">
        <v>9.32</v>
      </c>
      <c r="R22" s="198"/>
      <c r="S22" s="198"/>
      <c r="T22" s="198"/>
      <c r="U22" s="198"/>
    </row>
    <row r="23" spans="1:21" s="12" customFormat="1" x14ac:dyDescent="0.25">
      <c r="A23" s="215" t="s">
        <v>1415</v>
      </c>
      <c r="B23" s="64">
        <v>4.92</v>
      </c>
      <c r="C23" s="64">
        <v>9.99</v>
      </c>
      <c r="D23" s="64">
        <v>10.1</v>
      </c>
      <c r="E23" s="64">
        <v>2.2200000000000002</v>
      </c>
      <c r="F23" s="64">
        <v>4.96</v>
      </c>
      <c r="G23" s="64">
        <v>23.56</v>
      </c>
      <c r="H23" s="64">
        <v>12.99</v>
      </c>
      <c r="I23" s="218" t="s">
        <v>36</v>
      </c>
      <c r="J23" s="64">
        <v>0.14000000000000001</v>
      </c>
      <c r="K23" s="64">
        <v>212.94</v>
      </c>
      <c r="L23" s="64">
        <v>22.21</v>
      </c>
      <c r="M23" s="64">
        <v>97.2</v>
      </c>
      <c r="N23" s="64">
        <v>38</v>
      </c>
      <c r="O23" s="64">
        <v>0</v>
      </c>
      <c r="P23" s="64">
        <v>0.81</v>
      </c>
      <c r="Q23" s="64">
        <v>8.8800000000000008</v>
      </c>
      <c r="R23" s="198"/>
      <c r="S23" s="198"/>
      <c r="T23" s="198"/>
      <c r="U23" s="198"/>
    </row>
    <row r="24" spans="1:21" s="12" customFormat="1" x14ac:dyDescent="0.25">
      <c r="A24" s="215" t="s">
        <v>1416</v>
      </c>
      <c r="B24" s="64">
        <v>4.84</v>
      </c>
      <c r="C24" s="64">
        <v>10.119999999999999</v>
      </c>
      <c r="D24" s="64">
        <v>10.119999999999999</v>
      </c>
      <c r="E24" s="64">
        <v>1.35</v>
      </c>
      <c r="F24" s="64">
        <v>5.42</v>
      </c>
      <c r="G24" s="64">
        <v>21.79</v>
      </c>
      <c r="H24" s="64">
        <v>14.25</v>
      </c>
      <c r="I24" s="218" t="s">
        <v>36</v>
      </c>
      <c r="J24" s="64">
        <v>0.11</v>
      </c>
      <c r="K24" s="64">
        <v>197.78</v>
      </c>
      <c r="L24" s="64">
        <v>22.27</v>
      </c>
      <c r="M24" s="64">
        <v>97.2</v>
      </c>
      <c r="N24" s="64">
        <v>38.4</v>
      </c>
      <c r="O24" s="64">
        <v>0</v>
      </c>
      <c r="P24" s="64">
        <v>0.78</v>
      </c>
      <c r="Q24" s="64">
        <v>8.49</v>
      </c>
      <c r="R24" s="198"/>
      <c r="S24" s="198"/>
      <c r="T24" s="198"/>
      <c r="U24" s="198"/>
    </row>
    <row r="25" spans="1:21" s="12" customFormat="1" x14ac:dyDescent="0.25">
      <c r="A25" s="215" t="s">
        <v>1417</v>
      </c>
      <c r="B25" s="64">
        <v>4.82</v>
      </c>
      <c r="C25" s="64">
        <v>10.28</v>
      </c>
      <c r="D25" s="64">
        <v>10.19</v>
      </c>
      <c r="E25" s="64">
        <v>1.8</v>
      </c>
      <c r="F25" s="64">
        <v>4.9000000000000004</v>
      </c>
      <c r="G25" s="64">
        <v>21.7</v>
      </c>
      <c r="H25" s="64">
        <v>14.3</v>
      </c>
      <c r="I25" s="218" t="s">
        <v>36</v>
      </c>
      <c r="J25" s="64">
        <v>0.44</v>
      </c>
      <c r="K25" s="64">
        <v>176.23</v>
      </c>
      <c r="L25" s="64">
        <v>22.32</v>
      </c>
      <c r="M25" s="64">
        <v>97.2</v>
      </c>
      <c r="N25" s="64">
        <v>38.4</v>
      </c>
      <c r="O25" s="64">
        <v>0</v>
      </c>
      <c r="P25" s="64">
        <v>0.77</v>
      </c>
      <c r="Q25" s="64">
        <v>8.32</v>
      </c>
      <c r="R25" s="198"/>
      <c r="S25" s="198"/>
      <c r="T25" s="198"/>
      <c r="U25" s="198"/>
    </row>
    <row r="26" spans="1:21" s="12" customFormat="1" x14ac:dyDescent="0.25">
      <c r="A26" s="215" t="s">
        <v>1418</v>
      </c>
      <c r="B26" s="64">
        <v>4.82</v>
      </c>
      <c r="C26" s="64">
        <v>10.25</v>
      </c>
      <c r="D26" s="64">
        <v>10.17</v>
      </c>
      <c r="E26" s="64">
        <v>2.0299999999999998</v>
      </c>
      <c r="F26" s="64">
        <v>5.93</v>
      </c>
      <c r="G26" s="64">
        <v>21.7</v>
      </c>
      <c r="H26" s="64">
        <v>14.3</v>
      </c>
      <c r="I26" s="218" t="s">
        <v>36</v>
      </c>
      <c r="J26" s="64">
        <v>0.56999999999999995</v>
      </c>
      <c r="K26" s="64">
        <v>167.87</v>
      </c>
      <c r="L26" s="64">
        <v>22.34</v>
      </c>
      <c r="M26" s="64">
        <v>97.2</v>
      </c>
      <c r="N26" s="64">
        <v>38.4</v>
      </c>
      <c r="O26" s="64">
        <v>0</v>
      </c>
      <c r="P26" s="64">
        <v>0.78</v>
      </c>
      <c r="Q26" s="64">
        <v>8.1199999999999992</v>
      </c>
      <c r="R26" s="198"/>
      <c r="S26" s="198"/>
      <c r="T26" s="198"/>
      <c r="U26" s="198"/>
    </row>
    <row r="27" spans="1:21" s="12" customFormat="1" x14ac:dyDescent="0.25">
      <c r="A27" s="215" t="s">
        <v>1419</v>
      </c>
      <c r="B27" s="64">
        <v>4.3899999999999997</v>
      </c>
      <c r="C27" s="64">
        <v>10.47</v>
      </c>
      <c r="D27" s="64">
        <v>9.94</v>
      </c>
      <c r="E27" s="64">
        <v>1.57</v>
      </c>
      <c r="F27" s="64">
        <v>10.38</v>
      </c>
      <c r="G27" s="64">
        <v>21.7</v>
      </c>
      <c r="H27" s="64">
        <v>14.3</v>
      </c>
      <c r="I27" s="218" t="s">
        <v>36</v>
      </c>
      <c r="J27" s="64">
        <v>0.22</v>
      </c>
      <c r="K27" s="64">
        <v>186.94</v>
      </c>
      <c r="L27" s="64">
        <v>22.34</v>
      </c>
      <c r="M27" s="64">
        <v>97.2</v>
      </c>
      <c r="N27" s="64">
        <v>38.4</v>
      </c>
      <c r="O27" s="64">
        <v>0</v>
      </c>
      <c r="P27" s="64">
        <v>0.79</v>
      </c>
      <c r="Q27" s="64">
        <v>10.63</v>
      </c>
      <c r="R27" s="198"/>
      <c r="S27" s="198"/>
      <c r="T27" s="198"/>
      <c r="U27" s="198"/>
    </row>
    <row r="28" spans="1:21" s="12" customFormat="1" x14ac:dyDescent="0.25">
      <c r="A28" s="215" t="s">
        <v>1420</v>
      </c>
      <c r="B28" s="64">
        <v>3.7</v>
      </c>
      <c r="C28" s="64">
        <v>10.66</v>
      </c>
      <c r="D28" s="64">
        <v>9.5</v>
      </c>
      <c r="E28" s="64">
        <v>1.65</v>
      </c>
      <c r="F28" s="64">
        <v>13.49</v>
      </c>
      <c r="G28" s="64">
        <v>19.59</v>
      </c>
      <c r="H28" s="64">
        <v>13.44</v>
      </c>
      <c r="I28" s="218" t="s">
        <v>36</v>
      </c>
      <c r="J28" s="64">
        <v>7.0000000000000007E-2</v>
      </c>
      <c r="K28" s="64">
        <v>195.95</v>
      </c>
      <c r="L28" s="64">
        <v>22.24</v>
      </c>
      <c r="M28" s="64">
        <v>97.2</v>
      </c>
      <c r="N28" s="64">
        <v>38.4</v>
      </c>
      <c r="O28" s="64">
        <v>0</v>
      </c>
      <c r="P28" s="64">
        <v>0.78</v>
      </c>
      <c r="Q28" s="64">
        <v>11</v>
      </c>
      <c r="R28" s="198"/>
      <c r="S28" s="198"/>
      <c r="T28" s="198"/>
      <c r="U28" s="198"/>
    </row>
    <row r="29" spans="1:21" s="12" customFormat="1" x14ac:dyDescent="0.25">
      <c r="A29" s="215" t="s">
        <v>1421</v>
      </c>
      <c r="B29" s="64">
        <v>4.21</v>
      </c>
      <c r="C29" s="64">
        <v>11.58</v>
      </c>
      <c r="D29" s="64">
        <v>10.41</v>
      </c>
      <c r="E29" s="64">
        <v>2.04</v>
      </c>
      <c r="F29" s="64">
        <v>9.98</v>
      </c>
      <c r="G29" s="64">
        <v>19.489999999999998</v>
      </c>
      <c r="H29" s="64">
        <v>13.44</v>
      </c>
      <c r="I29" s="218" t="s">
        <v>36</v>
      </c>
      <c r="J29" s="64">
        <v>0.1</v>
      </c>
      <c r="K29" s="64">
        <v>219.66</v>
      </c>
      <c r="L29" s="64">
        <v>22.16</v>
      </c>
      <c r="M29" s="64">
        <v>97.2</v>
      </c>
      <c r="N29" s="64">
        <v>38.700000000000003</v>
      </c>
      <c r="O29" s="64">
        <v>0</v>
      </c>
      <c r="P29" s="64">
        <v>0.79</v>
      </c>
      <c r="Q29" s="64">
        <v>12.46</v>
      </c>
      <c r="R29" s="198"/>
      <c r="S29" s="198"/>
      <c r="T29" s="198"/>
      <c r="U29" s="198"/>
    </row>
    <row r="30" spans="1:21" s="12" customFormat="1" x14ac:dyDescent="0.25">
      <c r="A30" s="215" t="s">
        <v>1422</v>
      </c>
      <c r="B30" s="64">
        <v>4.43</v>
      </c>
      <c r="C30" s="64">
        <v>12.01</v>
      </c>
      <c r="D30" s="64">
        <v>10.83</v>
      </c>
      <c r="E30" s="64">
        <v>2.15</v>
      </c>
      <c r="F30" s="64">
        <v>12.01</v>
      </c>
      <c r="G30" s="64">
        <v>19.489999999999998</v>
      </c>
      <c r="H30" s="64">
        <v>13.44</v>
      </c>
      <c r="I30" s="218" t="s">
        <v>36</v>
      </c>
      <c r="J30" s="64">
        <v>0.04</v>
      </c>
      <c r="K30" s="64">
        <v>273.81</v>
      </c>
      <c r="L30" s="64">
        <v>22.11</v>
      </c>
      <c r="M30" s="64">
        <v>97.2</v>
      </c>
      <c r="N30" s="64">
        <v>42.9</v>
      </c>
      <c r="O30" s="64">
        <v>0</v>
      </c>
      <c r="P30" s="64">
        <v>0.79</v>
      </c>
      <c r="Q30" s="64">
        <v>12.88</v>
      </c>
      <c r="R30" s="198"/>
      <c r="S30" s="198"/>
      <c r="T30" s="198"/>
      <c r="U30" s="198"/>
    </row>
    <row r="31" spans="1:21" s="12" customFormat="1" x14ac:dyDescent="0.25">
      <c r="A31" s="215" t="s">
        <v>1423</v>
      </c>
      <c r="B31" s="64">
        <v>5.57</v>
      </c>
      <c r="C31" s="64">
        <v>13.02</v>
      </c>
      <c r="D31" s="64">
        <v>12.3</v>
      </c>
      <c r="E31" s="64">
        <v>2.4700000000000002</v>
      </c>
      <c r="F31" s="64">
        <v>7.04</v>
      </c>
      <c r="G31" s="64">
        <v>19.489999999999998</v>
      </c>
      <c r="H31" s="64">
        <v>13.44</v>
      </c>
      <c r="I31" s="218" t="s">
        <v>36</v>
      </c>
      <c r="J31" s="64">
        <v>0.38</v>
      </c>
      <c r="K31" s="64">
        <v>175.85</v>
      </c>
      <c r="L31" s="64">
        <v>22.16</v>
      </c>
      <c r="M31" s="64">
        <v>97.2</v>
      </c>
      <c r="N31" s="64">
        <v>61.2</v>
      </c>
      <c r="O31" s="64">
        <v>0</v>
      </c>
      <c r="P31" s="64">
        <v>0.78</v>
      </c>
      <c r="Q31" s="64">
        <v>14.37</v>
      </c>
      <c r="R31" s="198"/>
      <c r="S31" s="198"/>
      <c r="T31" s="198"/>
      <c r="U31" s="198"/>
    </row>
    <row r="32" spans="1:21" s="12" customFormat="1" x14ac:dyDescent="0.25">
      <c r="A32" s="215" t="s">
        <v>1424</v>
      </c>
      <c r="B32" s="64">
        <v>6.3</v>
      </c>
      <c r="C32" s="64">
        <v>11.85</v>
      </c>
      <c r="D32" s="64">
        <v>12.24</v>
      </c>
      <c r="E32" s="64">
        <v>2.13</v>
      </c>
      <c r="F32" s="64">
        <v>4.25</v>
      </c>
      <c r="G32" s="64">
        <v>22.04</v>
      </c>
      <c r="H32" s="64">
        <v>11.8</v>
      </c>
      <c r="I32" s="218" t="s">
        <v>36</v>
      </c>
      <c r="J32" s="64">
        <v>0.65</v>
      </c>
      <c r="K32" s="64">
        <v>174.16</v>
      </c>
      <c r="L32" s="64">
        <v>22.35</v>
      </c>
      <c r="M32" s="64">
        <v>97.18</v>
      </c>
      <c r="N32" s="64">
        <v>85.3</v>
      </c>
      <c r="O32" s="64">
        <v>0</v>
      </c>
      <c r="P32" s="64">
        <v>0.76</v>
      </c>
      <c r="Q32" s="64">
        <v>13.77</v>
      </c>
      <c r="R32" s="198"/>
      <c r="S32" s="198"/>
      <c r="T32" s="198"/>
      <c r="U32" s="198"/>
    </row>
    <row r="33" spans="1:21" s="12" customFormat="1" x14ac:dyDescent="0.25">
      <c r="A33" s="215" t="s">
        <v>1425</v>
      </c>
      <c r="B33" s="64">
        <v>6.69</v>
      </c>
      <c r="C33" s="64">
        <v>10.65</v>
      </c>
      <c r="D33" s="64">
        <v>11.89</v>
      </c>
      <c r="E33" s="64">
        <v>2.0499999999999998</v>
      </c>
      <c r="F33" s="64">
        <v>3.93</v>
      </c>
      <c r="G33" s="64">
        <v>22.13</v>
      </c>
      <c r="H33" s="64">
        <v>11.8</v>
      </c>
      <c r="I33" s="218" t="s">
        <v>36</v>
      </c>
      <c r="J33" s="64">
        <v>0.61</v>
      </c>
      <c r="K33" s="64">
        <v>180.06</v>
      </c>
      <c r="L33" s="64">
        <v>22.67</v>
      </c>
      <c r="M33" s="64">
        <v>96.2</v>
      </c>
      <c r="N33" s="64">
        <v>122.6</v>
      </c>
      <c r="O33" s="64">
        <v>0</v>
      </c>
      <c r="P33" s="64">
        <v>0.79</v>
      </c>
      <c r="Q33" s="64">
        <v>12.72</v>
      </c>
      <c r="R33" s="198"/>
      <c r="S33" s="198"/>
      <c r="T33" s="198"/>
      <c r="U33" s="198"/>
    </row>
    <row r="34" spans="1:21" s="12" customFormat="1" x14ac:dyDescent="0.25">
      <c r="A34" s="215" t="s">
        <v>1426</v>
      </c>
      <c r="B34" s="64">
        <v>6.91</v>
      </c>
      <c r="C34" s="64">
        <v>10.97</v>
      </c>
      <c r="D34" s="64">
        <v>12.24</v>
      </c>
      <c r="E34" s="64">
        <v>1.85</v>
      </c>
      <c r="F34" s="64">
        <v>3.8</v>
      </c>
      <c r="G34" s="64">
        <v>22.13</v>
      </c>
      <c r="H34" s="64">
        <v>11.8</v>
      </c>
      <c r="I34" s="218" t="s">
        <v>36</v>
      </c>
      <c r="J34" s="64">
        <v>0.91</v>
      </c>
      <c r="K34" s="64">
        <v>167.15</v>
      </c>
      <c r="L34" s="64">
        <v>23.07</v>
      </c>
      <c r="M34" s="64">
        <v>93.94</v>
      </c>
      <c r="N34" s="64">
        <v>154.69999999999999</v>
      </c>
      <c r="O34" s="64">
        <v>0</v>
      </c>
      <c r="P34" s="64">
        <v>0.78</v>
      </c>
      <c r="Q34" s="64">
        <v>12.53</v>
      </c>
      <c r="R34" s="198"/>
      <c r="S34" s="198"/>
      <c r="T34" s="198"/>
      <c r="U34" s="198"/>
    </row>
    <row r="35" spans="1:21" s="12" customFormat="1" x14ac:dyDescent="0.25">
      <c r="A35" s="215" t="s">
        <v>1427</v>
      </c>
      <c r="B35" s="64">
        <v>6.97</v>
      </c>
      <c r="C35" s="64">
        <v>11.47</v>
      </c>
      <c r="D35" s="64">
        <v>12.57</v>
      </c>
      <c r="E35" s="64">
        <v>2.23</v>
      </c>
      <c r="F35" s="64">
        <v>4.07</v>
      </c>
      <c r="G35" s="64">
        <v>22.13</v>
      </c>
      <c r="H35" s="64">
        <v>11.8</v>
      </c>
      <c r="I35" s="218" t="s">
        <v>36</v>
      </c>
      <c r="J35" s="64">
        <v>0.44</v>
      </c>
      <c r="K35" s="64">
        <v>178.26</v>
      </c>
      <c r="L35" s="64">
        <v>23.55</v>
      </c>
      <c r="M35" s="64">
        <v>91.19</v>
      </c>
      <c r="N35" s="64">
        <v>231.1</v>
      </c>
      <c r="O35" s="64">
        <v>0</v>
      </c>
      <c r="P35" s="64">
        <v>0.79</v>
      </c>
      <c r="Q35" s="64">
        <v>12.52</v>
      </c>
      <c r="R35" s="198"/>
      <c r="S35" s="198"/>
      <c r="T35" s="198"/>
      <c r="U35" s="198"/>
    </row>
    <row r="36" spans="1:21" s="12" customFormat="1" x14ac:dyDescent="0.25">
      <c r="A36" s="215" t="s">
        <v>1428</v>
      </c>
      <c r="B36" s="64">
        <v>6.97</v>
      </c>
      <c r="C36" s="64">
        <v>11</v>
      </c>
      <c r="D36" s="64">
        <v>12.31</v>
      </c>
      <c r="E36" s="64">
        <v>2.09</v>
      </c>
      <c r="F36" s="64">
        <v>4.47</v>
      </c>
      <c r="G36" s="64">
        <v>24.17</v>
      </c>
      <c r="H36" s="64">
        <v>8.93</v>
      </c>
      <c r="I36" s="218" t="s">
        <v>36</v>
      </c>
      <c r="J36" s="64">
        <v>0.6</v>
      </c>
      <c r="K36" s="64">
        <v>174.94</v>
      </c>
      <c r="L36" s="64">
        <v>23.94</v>
      </c>
      <c r="M36" s="64">
        <v>89.76</v>
      </c>
      <c r="N36" s="64">
        <v>230.8</v>
      </c>
      <c r="O36" s="64">
        <v>0</v>
      </c>
      <c r="P36" s="64">
        <v>0.8</v>
      </c>
      <c r="Q36" s="64">
        <v>12.27</v>
      </c>
      <c r="R36" s="198"/>
      <c r="S36" s="198"/>
      <c r="T36" s="198"/>
      <c r="U36" s="198"/>
    </row>
    <row r="37" spans="1:21" s="12" customFormat="1" x14ac:dyDescent="0.25">
      <c r="A37" s="215" t="s">
        <v>1429</v>
      </c>
      <c r="B37" s="64">
        <v>6.85</v>
      </c>
      <c r="C37" s="64">
        <v>11.42</v>
      </c>
      <c r="D37" s="64">
        <v>12.45</v>
      </c>
      <c r="E37" s="64">
        <v>1.77</v>
      </c>
      <c r="F37" s="64">
        <v>4.33</v>
      </c>
      <c r="G37" s="64">
        <v>24.24</v>
      </c>
      <c r="H37" s="64">
        <v>8.93</v>
      </c>
      <c r="I37" s="218" t="s">
        <v>36</v>
      </c>
      <c r="J37" s="64">
        <v>0.34</v>
      </c>
      <c r="K37" s="64">
        <v>172.96</v>
      </c>
      <c r="L37" s="64">
        <v>23.73</v>
      </c>
      <c r="M37" s="64">
        <v>91.32</v>
      </c>
      <c r="N37" s="64">
        <v>220.7</v>
      </c>
      <c r="O37" s="64">
        <v>0</v>
      </c>
      <c r="P37" s="64">
        <v>0.71</v>
      </c>
      <c r="Q37" s="64">
        <v>11.63</v>
      </c>
      <c r="R37" s="198"/>
      <c r="S37" s="198"/>
      <c r="T37" s="198"/>
      <c r="U37" s="198"/>
    </row>
    <row r="38" spans="1:21" s="12" customFormat="1" x14ac:dyDescent="0.25">
      <c r="A38" s="215" t="s">
        <v>1430</v>
      </c>
      <c r="B38" s="64">
        <v>6.47</v>
      </c>
      <c r="C38" s="64">
        <v>10.93</v>
      </c>
      <c r="D38" s="64">
        <v>11.86</v>
      </c>
      <c r="E38" s="64">
        <v>1.93</v>
      </c>
      <c r="F38" s="64">
        <v>6.05</v>
      </c>
      <c r="G38" s="64">
        <v>24.24</v>
      </c>
      <c r="H38" s="64">
        <v>8.93</v>
      </c>
      <c r="I38" s="218" t="s">
        <v>36</v>
      </c>
      <c r="J38" s="64">
        <v>0.17</v>
      </c>
      <c r="K38" s="64">
        <v>160.30000000000001</v>
      </c>
      <c r="L38" s="64">
        <v>23.77</v>
      </c>
      <c r="M38" s="64">
        <v>90.39</v>
      </c>
      <c r="N38" s="64">
        <v>197.2</v>
      </c>
      <c r="O38" s="64">
        <v>0</v>
      </c>
      <c r="P38" s="64">
        <v>0.79</v>
      </c>
      <c r="Q38" s="64">
        <v>11.21</v>
      </c>
      <c r="R38" s="198"/>
      <c r="S38" s="198"/>
      <c r="T38" s="198"/>
      <c r="U38" s="198"/>
    </row>
    <row r="39" spans="1:21" s="12" customFormat="1" x14ac:dyDescent="0.25">
      <c r="A39" s="215" t="s">
        <v>1431</v>
      </c>
      <c r="B39" s="64">
        <v>6.2</v>
      </c>
      <c r="C39" s="64">
        <v>11.99</v>
      </c>
      <c r="D39" s="64">
        <v>12.23</v>
      </c>
      <c r="E39" s="64">
        <v>1.93</v>
      </c>
      <c r="F39" s="64">
        <v>9.3699999999999992</v>
      </c>
      <c r="G39" s="64">
        <v>24.24</v>
      </c>
      <c r="H39" s="64">
        <v>8.93</v>
      </c>
      <c r="I39" s="218" t="s">
        <v>36</v>
      </c>
      <c r="J39" s="64">
        <v>0.53</v>
      </c>
      <c r="K39" s="64">
        <v>179.58</v>
      </c>
      <c r="L39" s="64">
        <v>23.92</v>
      </c>
      <c r="M39" s="64">
        <v>89.05</v>
      </c>
      <c r="N39" s="64">
        <v>237.8</v>
      </c>
      <c r="O39" s="64">
        <v>0</v>
      </c>
      <c r="P39" s="64">
        <v>0.78</v>
      </c>
      <c r="Q39" s="64">
        <v>12.85</v>
      </c>
      <c r="R39" s="198"/>
      <c r="S39" s="198"/>
      <c r="T39" s="198"/>
      <c r="U39" s="198"/>
    </row>
    <row r="40" spans="1:21" s="12" customFormat="1" x14ac:dyDescent="0.25">
      <c r="A40" s="215" t="s">
        <v>1432</v>
      </c>
      <c r="B40" s="64">
        <v>7.82</v>
      </c>
      <c r="C40" s="64">
        <v>9.67</v>
      </c>
      <c r="D40" s="64">
        <v>12.25</v>
      </c>
      <c r="E40" s="64">
        <v>1.44</v>
      </c>
      <c r="F40" s="64">
        <v>7.37</v>
      </c>
      <c r="G40" s="64">
        <v>28.39</v>
      </c>
      <c r="H40" s="64">
        <v>11.19</v>
      </c>
      <c r="I40" s="218" t="s">
        <v>36</v>
      </c>
      <c r="J40" s="64">
        <v>0.63</v>
      </c>
      <c r="K40" s="64">
        <v>174.41</v>
      </c>
      <c r="L40" s="64">
        <v>24.46</v>
      </c>
      <c r="M40" s="64">
        <v>86.31</v>
      </c>
      <c r="N40" s="64">
        <v>371.9</v>
      </c>
      <c r="O40" s="64">
        <v>0</v>
      </c>
      <c r="P40" s="64">
        <v>0.79</v>
      </c>
      <c r="Q40" s="64">
        <v>12.65</v>
      </c>
      <c r="R40" s="198"/>
      <c r="S40" s="198"/>
      <c r="T40" s="198"/>
      <c r="U40" s="198"/>
    </row>
    <row r="41" spans="1:21" s="12" customFormat="1" x14ac:dyDescent="0.25">
      <c r="A41" s="215" t="s">
        <v>1433</v>
      </c>
      <c r="B41" s="64">
        <v>6.85</v>
      </c>
      <c r="C41" s="64">
        <v>11.51</v>
      </c>
      <c r="D41" s="64">
        <v>12.49</v>
      </c>
      <c r="E41" s="64">
        <v>1.74</v>
      </c>
      <c r="F41" s="64">
        <v>9.76</v>
      </c>
      <c r="G41" s="64">
        <v>28.53</v>
      </c>
      <c r="H41" s="64">
        <v>11.29</v>
      </c>
      <c r="I41" s="218" t="s">
        <v>36</v>
      </c>
      <c r="J41" s="64">
        <v>1.02</v>
      </c>
      <c r="K41" s="64">
        <v>168.86</v>
      </c>
      <c r="L41" s="64">
        <v>24.96</v>
      </c>
      <c r="M41" s="64">
        <v>83.84</v>
      </c>
      <c r="N41" s="64">
        <v>436.3</v>
      </c>
      <c r="O41" s="64">
        <v>0</v>
      </c>
      <c r="P41" s="64">
        <v>0.78</v>
      </c>
      <c r="Q41" s="64">
        <v>14.39</v>
      </c>
      <c r="R41" s="198"/>
      <c r="S41" s="198"/>
      <c r="T41" s="198"/>
      <c r="U41" s="198"/>
    </row>
    <row r="42" spans="1:21" s="12" customFormat="1" x14ac:dyDescent="0.25">
      <c r="A42" s="215" t="s">
        <v>1434</v>
      </c>
      <c r="B42" s="64">
        <v>6.64</v>
      </c>
      <c r="C42" s="64">
        <v>10.119999999999999</v>
      </c>
      <c r="D42" s="64">
        <v>11.56</v>
      </c>
      <c r="E42" s="64">
        <v>1.54</v>
      </c>
      <c r="F42" s="64">
        <v>7.06</v>
      </c>
      <c r="G42" s="64">
        <v>28.53</v>
      </c>
      <c r="H42" s="64">
        <v>11.29</v>
      </c>
      <c r="I42" s="218" t="s">
        <v>36</v>
      </c>
      <c r="J42" s="64">
        <v>1</v>
      </c>
      <c r="K42" s="64">
        <v>167.44</v>
      </c>
      <c r="L42" s="64">
        <v>25.27</v>
      </c>
      <c r="M42" s="64">
        <v>81.790000000000006</v>
      </c>
      <c r="N42" s="64">
        <v>578.79999999999995</v>
      </c>
      <c r="O42" s="64">
        <v>0</v>
      </c>
      <c r="P42" s="64">
        <v>0.81</v>
      </c>
      <c r="Q42" s="64">
        <v>13.91</v>
      </c>
      <c r="R42" s="198"/>
      <c r="S42" s="198"/>
      <c r="T42" s="198"/>
      <c r="U42" s="198"/>
    </row>
    <row r="43" spans="1:21" s="12" customFormat="1" x14ac:dyDescent="0.25">
      <c r="A43" s="215" t="s">
        <v>1435</v>
      </c>
      <c r="B43" s="64">
        <v>6.95</v>
      </c>
      <c r="C43" s="64">
        <v>11.33</v>
      </c>
      <c r="D43" s="64">
        <v>12.48</v>
      </c>
      <c r="E43" s="64">
        <v>1.87</v>
      </c>
      <c r="F43" s="64">
        <v>5.01</v>
      </c>
      <c r="G43" s="64">
        <v>28.53</v>
      </c>
      <c r="H43" s="64">
        <v>11.29</v>
      </c>
      <c r="I43" s="218" t="s">
        <v>36</v>
      </c>
      <c r="J43" s="64">
        <v>0.69</v>
      </c>
      <c r="K43" s="64">
        <v>165.73</v>
      </c>
      <c r="L43" s="64">
        <v>25.68</v>
      </c>
      <c r="M43" s="64">
        <v>80.540000000000006</v>
      </c>
      <c r="N43" s="64">
        <v>521.70000000000005</v>
      </c>
      <c r="O43" s="64">
        <v>0</v>
      </c>
      <c r="P43" s="64">
        <v>0.8</v>
      </c>
      <c r="Q43" s="64">
        <v>15.77</v>
      </c>
      <c r="R43" s="198"/>
      <c r="S43" s="198"/>
      <c r="T43" s="198"/>
      <c r="U43" s="198"/>
    </row>
    <row r="44" spans="1:21" s="12" customFormat="1" x14ac:dyDescent="0.25">
      <c r="A44" s="215" t="s">
        <v>1436</v>
      </c>
      <c r="B44" s="64">
        <v>6.57</v>
      </c>
      <c r="C44" s="64">
        <v>11.46</v>
      </c>
      <c r="D44" s="64">
        <v>12.24</v>
      </c>
      <c r="E44" s="64">
        <v>1.59</v>
      </c>
      <c r="F44" s="64">
        <v>4.3600000000000003</v>
      </c>
      <c r="G44" s="64">
        <v>23.22</v>
      </c>
      <c r="H44" s="64">
        <v>12.04</v>
      </c>
      <c r="I44" s="218" t="s">
        <v>36</v>
      </c>
      <c r="J44" s="64">
        <v>0.16</v>
      </c>
      <c r="K44" s="64">
        <v>204.12</v>
      </c>
      <c r="L44" s="64">
        <v>25.54</v>
      </c>
      <c r="M44" s="64">
        <v>81.05</v>
      </c>
      <c r="N44" s="64">
        <v>343.7</v>
      </c>
      <c r="O44" s="64">
        <v>0</v>
      </c>
      <c r="P44" s="64">
        <v>0.8</v>
      </c>
      <c r="Q44" s="64">
        <v>13.38</v>
      </c>
      <c r="R44" s="198"/>
      <c r="S44" s="198"/>
      <c r="T44" s="198"/>
      <c r="U44" s="198"/>
    </row>
    <row r="45" spans="1:21" s="12" customFormat="1" x14ac:dyDescent="0.25">
      <c r="A45" s="215" t="s">
        <v>1437</v>
      </c>
      <c r="B45" s="64">
        <v>6</v>
      </c>
      <c r="C45" s="64">
        <v>11.85</v>
      </c>
      <c r="D45" s="64">
        <v>12</v>
      </c>
      <c r="E45" s="64">
        <v>1.67</v>
      </c>
      <c r="F45" s="64">
        <v>4.41</v>
      </c>
      <c r="G45" s="64">
        <v>23.04</v>
      </c>
      <c r="H45" s="64">
        <v>12.07</v>
      </c>
      <c r="I45" s="218" t="s">
        <v>36</v>
      </c>
      <c r="J45" s="64">
        <v>0.55000000000000004</v>
      </c>
      <c r="K45" s="64">
        <v>171.95</v>
      </c>
      <c r="L45" s="64">
        <v>25.2</v>
      </c>
      <c r="M45" s="64">
        <v>81.48</v>
      </c>
      <c r="N45" s="64">
        <v>279.8</v>
      </c>
      <c r="O45" s="64">
        <v>0</v>
      </c>
      <c r="P45" s="64">
        <v>0.8</v>
      </c>
      <c r="Q45" s="64">
        <v>12.44</v>
      </c>
      <c r="R45" s="198"/>
      <c r="S45" s="198"/>
      <c r="T45" s="198"/>
      <c r="U45" s="198"/>
    </row>
    <row r="46" spans="1:21" s="12" customFormat="1" x14ac:dyDescent="0.25">
      <c r="A46" s="215" t="s">
        <v>1438</v>
      </c>
      <c r="B46" s="64">
        <v>5.55</v>
      </c>
      <c r="C46" s="64">
        <v>12.01</v>
      </c>
      <c r="D46" s="64">
        <v>11.73</v>
      </c>
      <c r="E46" s="64">
        <v>1.87</v>
      </c>
      <c r="F46" s="64">
        <v>4.5199999999999996</v>
      </c>
      <c r="G46" s="64">
        <v>23.04</v>
      </c>
      <c r="H46" s="64">
        <v>12.07</v>
      </c>
      <c r="I46" s="218" t="s">
        <v>36</v>
      </c>
      <c r="J46" s="64">
        <v>0.3</v>
      </c>
      <c r="K46" s="64">
        <v>210.72</v>
      </c>
      <c r="L46" s="64">
        <v>24.94</v>
      </c>
      <c r="M46" s="64">
        <v>82.75</v>
      </c>
      <c r="N46" s="64">
        <v>195.7</v>
      </c>
      <c r="O46" s="64">
        <v>0</v>
      </c>
      <c r="P46" s="64">
        <v>0.81</v>
      </c>
      <c r="Q46" s="64">
        <v>11.58</v>
      </c>
      <c r="R46" s="198"/>
      <c r="S46" s="198"/>
      <c r="T46" s="198"/>
      <c r="U46" s="198"/>
    </row>
    <row r="47" spans="1:21" s="12" customFormat="1" x14ac:dyDescent="0.25">
      <c r="A47" s="215" t="s">
        <v>1439</v>
      </c>
      <c r="B47" s="64">
        <v>5.12</v>
      </c>
      <c r="C47" s="64">
        <v>12.34</v>
      </c>
      <c r="D47" s="64">
        <v>11.57</v>
      </c>
      <c r="E47" s="64">
        <v>1.64</v>
      </c>
      <c r="F47" s="64">
        <v>4.34</v>
      </c>
      <c r="G47" s="64">
        <v>23.04</v>
      </c>
      <c r="H47" s="64">
        <v>12.07</v>
      </c>
      <c r="I47" s="218" t="s">
        <v>36</v>
      </c>
      <c r="J47" s="64">
        <v>0.27</v>
      </c>
      <c r="K47" s="64">
        <v>185.97</v>
      </c>
      <c r="L47" s="64">
        <v>24.63</v>
      </c>
      <c r="M47" s="64">
        <v>84.51</v>
      </c>
      <c r="N47" s="64">
        <v>127.1</v>
      </c>
      <c r="O47" s="64">
        <v>0</v>
      </c>
      <c r="P47" s="64">
        <v>0.79</v>
      </c>
      <c r="Q47" s="64">
        <v>10.44</v>
      </c>
      <c r="R47" s="198"/>
      <c r="S47" s="198"/>
      <c r="T47" s="198"/>
      <c r="U47" s="198"/>
    </row>
    <row r="48" spans="1:21" s="12" customFormat="1" x14ac:dyDescent="0.25">
      <c r="A48" s="215" t="s">
        <v>1440</v>
      </c>
      <c r="B48" s="64">
        <v>5.05</v>
      </c>
      <c r="C48" s="64">
        <v>12.69</v>
      </c>
      <c r="D48" s="64">
        <v>11.7</v>
      </c>
      <c r="E48" s="64">
        <v>1.35</v>
      </c>
      <c r="F48" s="64">
        <v>3.99</v>
      </c>
      <c r="G48" s="64">
        <v>27.6</v>
      </c>
      <c r="H48" s="64">
        <v>13.92</v>
      </c>
      <c r="I48" s="218" t="s">
        <v>36</v>
      </c>
      <c r="J48" s="64">
        <v>0.54</v>
      </c>
      <c r="K48" s="64">
        <v>184.71</v>
      </c>
      <c r="L48" s="64">
        <v>24.73</v>
      </c>
      <c r="M48" s="64">
        <v>83.68</v>
      </c>
      <c r="N48" s="64">
        <v>257.2</v>
      </c>
      <c r="O48" s="64">
        <v>0</v>
      </c>
      <c r="P48" s="64">
        <v>0.81</v>
      </c>
      <c r="Q48" s="64">
        <v>10.31</v>
      </c>
      <c r="R48" s="198"/>
      <c r="S48" s="198"/>
      <c r="T48" s="198"/>
      <c r="U48" s="198"/>
    </row>
    <row r="49" spans="1:21" s="12" customFormat="1" x14ac:dyDescent="0.25">
      <c r="A49" s="215" t="s">
        <v>1441</v>
      </c>
      <c r="B49" s="64">
        <v>4.95</v>
      </c>
      <c r="C49" s="64">
        <v>12.9</v>
      </c>
      <c r="D49" s="64">
        <v>11.73</v>
      </c>
      <c r="E49" s="64">
        <v>1.39</v>
      </c>
      <c r="F49" s="64">
        <v>5.15</v>
      </c>
      <c r="G49" s="64">
        <v>27.76</v>
      </c>
      <c r="H49" s="64">
        <v>14.01</v>
      </c>
      <c r="I49" s="218" t="s">
        <v>36</v>
      </c>
      <c r="J49" s="64">
        <v>1.02</v>
      </c>
      <c r="K49" s="64">
        <v>166.31</v>
      </c>
      <c r="L49" s="64">
        <v>25.12</v>
      </c>
      <c r="M49" s="64">
        <v>82.27</v>
      </c>
      <c r="N49" s="64">
        <v>268.39999999999998</v>
      </c>
      <c r="O49" s="64">
        <v>0</v>
      </c>
      <c r="P49" s="64">
        <v>0.82</v>
      </c>
      <c r="Q49" s="64">
        <v>8.84</v>
      </c>
      <c r="R49" s="198"/>
      <c r="S49" s="198"/>
      <c r="T49" s="198"/>
      <c r="U49" s="198"/>
    </row>
    <row r="50" spans="1:21" s="12" customFormat="1" x14ac:dyDescent="0.25">
      <c r="A50" s="215" t="s">
        <v>1442</v>
      </c>
      <c r="B50" s="64">
        <v>4.82</v>
      </c>
      <c r="C50" s="64">
        <v>12.94</v>
      </c>
      <c r="D50" s="64">
        <v>11.66</v>
      </c>
      <c r="E50" s="64">
        <v>1.27</v>
      </c>
      <c r="F50" s="64">
        <v>6.61</v>
      </c>
      <c r="G50" s="64">
        <v>27.76</v>
      </c>
      <c r="H50" s="64">
        <v>14.01</v>
      </c>
      <c r="I50" s="218" t="s">
        <v>36</v>
      </c>
      <c r="J50" s="64">
        <v>1.01</v>
      </c>
      <c r="K50" s="64">
        <v>167.38</v>
      </c>
      <c r="L50" s="64">
        <v>25.08</v>
      </c>
      <c r="M50" s="64">
        <v>82.37</v>
      </c>
      <c r="N50" s="64">
        <v>240.6</v>
      </c>
      <c r="O50" s="64">
        <v>0</v>
      </c>
      <c r="P50" s="64">
        <v>0.82</v>
      </c>
      <c r="Q50" s="64">
        <v>9.8800000000000008</v>
      </c>
      <c r="R50" s="198"/>
      <c r="S50" s="198"/>
      <c r="T50" s="198"/>
      <c r="U50" s="198"/>
    </row>
    <row r="51" spans="1:21" s="12" customFormat="1" x14ac:dyDescent="0.25">
      <c r="A51" s="215" t="s">
        <v>1443</v>
      </c>
      <c r="B51" s="64">
        <v>4.8099999999999996</v>
      </c>
      <c r="C51" s="64">
        <v>12.96</v>
      </c>
      <c r="D51" s="64">
        <v>11.65</v>
      </c>
      <c r="E51" s="64">
        <v>1.63</v>
      </c>
      <c r="F51" s="64">
        <v>7.49</v>
      </c>
      <c r="G51" s="64">
        <v>27.76</v>
      </c>
      <c r="H51" s="64">
        <v>14.01</v>
      </c>
      <c r="I51" s="218" t="s">
        <v>36</v>
      </c>
      <c r="J51" s="64">
        <v>0.31</v>
      </c>
      <c r="K51" s="64">
        <v>211.45</v>
      </c>
      <c r="L51" s="64">
        <v>25.22</v>
      </c>
      <c r="M51" s="64">
        <v>82.17</v>
      </c>
      <c r="N51" s="64">
        <v>462.9</v>
      </c>
      <c r="O51" s="64">
        <v>0</v>
      </c>
      <c r="P51" s="64">
        <v>0.8</v>
      </c>
      <c r="Q51" s="64">
        <v>10.42</v>
      </c>
      <c r="R51" s="198"/>
      <c r="S51" s="198"/>
      <c r="T51" s="198"/>
      <c r="U51" s="198"/>
    </row>
    <row r="52" spans="1:21" s="12" customFormat="1" x14ac:dyDescent="0.25">
      <c r="A52" s="215" t="s">
        <v>1444</v>
      </c>
      <c r="B52" s="64">
        <v>4.84</v>
      </c>
      <c r="C52" s="64">
        <v>12.26</v>
      </c>
      <c r="D52" s="64">
        <v>11.29</v>
      </c>
      <c r="E52" s="64">
        <v>1.58</v>
      </c>
      <c r="F52" s="64">
        <v>5.9</v>
      </c>
      <c r="G52" s="64">
        <v>29.09</v>
      </c>
      <c r="H52" s="64">
        <v>14.79</v>
      </c>
      <c r="I52" s="218" t="s">
        <v>36</v>
      </c>
      <c r="J52" s="64">
        <v>0.56000000000000005</v>
      </c>
      <c r="K52" s="64">
        <v>181.36</v>
      </c>
      <c r="L52" s="64">
        <v>25.55</v>
      </c>
      <c r="M52" s="64">
        <v>80.760000000000005</v>
      </c>
      <c r="N52" s="64">
        <v>497.3</v>
      </c>
      <c r="O52" s="64">
        <v>0</v>
      </c>
      <c r="P52" s="64">
        <v>0.85</v>
      </c>
      <c r="Q52" s="64">
        <v>10.77</v>
      </c>
      <c r="R52" s="198"/>
      <c r="S52" s="198"/>
      <c r="T52" s="198"/>
      <c r="U52" s="198"/>
    </row>
    <row r="53" spans="1:21" s="12" customFormat="1" x14ac:dyDescent="0.25">
      <c r="A53" s="215" t="s">
        <v>1445</v>
      </c>
      <c r="B53" s="64">
        <v>4.66</v>
      </c>
      <c r="C53" s="64">
        <v>12.24</v>
      </c>
      <c r="D53" s="64">
        <v>11.13</v>
      </c>
      <c r="E53" s="64">
        <v>1.66</v>
      </c>
      <c r="F53" s="64">
        <v>8.7100000000000009</v>
      </c>
      <c r="G53" s="64">
        <v>29.14</v>
      </c>
      <c r="H53" s="64">
        <v>14.79</v>
      </c>
      <c r="I53" s="218" t="s">
        <v>36</v>
      </c>
      <c r="J53" s="64">
        <v>0.46</v>
      </c>
      <c r="K53" s="64">
        <v>182.64</v>
      </c>
      <c r="L53" s="64">
        <v>25.74</v>
      </c>
      <c r="M53" s="64">
        <v>80.34</v>
      </c>
      <c r="N53" s="64">
        <v>438.4</v>
      </c>
      <c r="O53" s="64">
        <v>0</v>
      </c>
      <c r="P53" s="64">
        <v>0.82</v>
      </c>
      <c r="Q53" s="64">
        <v>10.35</v>
      </c>
      <c r="R53" s="198"/>
      <c r="S53" s="198"/>
      <c r="T53" s="198"/>
      <c r="U53" s="198"/>
    </row>
    <row r="54" spans="1:21" s="12" customFormat="1" x14ac:dyDescent="0.25">
      <c r="A54" s="215" t="s">
        <v>1446</v>
      </c>
      <c r="B54" s="64">
        <v>4.66</v>
      </c>
      <c r="C54" s="64">
        <v>12.02</v>
      </c>
      <c r="D54" s="64">
        <v>11.02</v>
      </c>
      <c r="E54" s="64">
        <v>1.71</v>
      </c>
      <c r="F54" s="64">
        <v>7.67</v>
      </c>
      <c r="G54" s="64">
        <v>29.14</v>
      </c>
      <c r="H54" s="64">
        <v>14.79</v>
      </c>
      <c r="I54" s="218" t="s">
        <v>36</v>
      </c>
      <c r="J54" s="64">
        <v>0.63</v>
      </c>
      <c r="K54" s="64">
        <v>188.02</v>
      </c>
      <c r="L54" s="64">
        <v>25.95</v>
      </c>
      <c r="M54" s="64">
        <v>78.69</v>
      </c>
      <c r="N54" s="64">
        <v>486.1</v>
      </c>
      <c r="O54" s="64">
        <v>0</v>
      </c>
      <c r="P54" s="64">
        <v>0.82</v>
      </c>
      <c r="Q54" s="64">
        <v>10.3</v>
      </c>
      <c r="R54" s="198"/>
      <c r="S54" s="198"/>
      <c r="T54" s="198"/>
      <c r="U54" s="198"/>
    </row>
    <row r="55" spans="1:21" s="12" customFormat="1" x14ac:dyDescent="0.25">
      <c r="A55" s="215" t="s">
        <v>1447</v>
      </c>
      <c r="B55" s="64">
        <v>4.59</v>
      </c>
      <c r="C55" s="64">
        <v>12.57</v>
      </c>
      <c r="D55" s="64">
        <v>11.26</v>
      </c>
      <c r="E55" s="64">
        <v>1.74</v>
      </c>
      <c r="F55" s="64">
        <v>5.07</v>
      </c>
      <c r="G55" s="64">
        <v>29.14</v>
      </c>
      <c r="H55" s="64">
        <v>14.79</v>
      </c>
      <c r="I55" s="218" t="s">
        <v>36</v>
      </c>
      <c r="J55" s="64">
        <v>0.05</v>
      </c>
      <c r="K55" s="64">
        <v>97.7</v>
      </c>
      <c r="L55" s="64">
        <v>26.54</v>
      </c>
      <c r="M55" s="64">
        <v>77.31</v>
      </c>
      <c r="N55" s="64">
        <v>538.6</v>
      </c>
      <c r="O55" s="64">
        <v>0</v>
      </c>
      <c r="P55" s="64">
        <v>0.82</v>
      </c>
      <c r="Q55" s="64">
        <v>10.6</v>
      </c>
      <c r="R55" s="198"/>
      <c r="S55" s="198"/>
      <c r="T55" s="198"/>
      <c r="U55" s="198"/>
    </row>
    <row r="56" spans="1:21" s="12" customFormat="1" x14ac:dyDescent="0.25">
      <c r="A56" s="215" t="s">
        <v>1448</v>
      </c>
      <c r="B56" s="64">
        <v>4.1100000000000003</v>
      </c>
      <c r="C56" s="64">
        <v>12.27</v>
      </c>
      <c r="D56" s="64">
        <v>10.71</v>
      </c>
      <c r="E56" s="64">
        <v>1.21</v>
      </c>
      <c r="F56" s="64">
        <v>4.91</v>
      </c>
      <c r="G56" s="64">
        <v>29.74</v>
      </c>
      <c r="H56" s="64">
        <v>14.48</v>
      </c>
      <c r="I56" s="218" t="s">
        <v>36</v>
      </c>
      <c r="J56" s="64">
        <v>0.04</v>
      </c>
      <c r="K56" s="64">
        <v>277.48</v>
      </c>
      <c r="L56" s="64">
        <v>26.73</v>
      </c>
      <c r="M56" s="64">
        <v>75.180000000000007</v>
      </c>
      <c r="N56" s="64">
        <v>577.20000000000005</v>
      </c>
      <c r="O56" s="64">
        <v>0</v>
      </c>
      <c r="P56" s="64">
        <v>0.84</v>
      </c>
      <c r="Q56" s="64">
        <v>8.34</v>
      </c>
      <c r="R56" s="198"/>
      <c r="S56" s="198"/>
      <c r="T56" s="198"/>
      <c r="U56" s="198"/>
    </row>
    <row r="57" spans="1:21" s="12" customFormat="1" x14ac:dyDescent="0.25">
      <c r="A57" s="215" t="s">
        <v>1449</v>
      </c>
      <c r="B57" s="64">
        <v>3.76</v>
      </c>
      <c r="C57" s="64">
        <v>13.06</v>
      </c>
      <c r="D57" s="64">
        <v>10.87</v>
      </c>
      <c r="E57" s="64">
        <v>1.59</v>
      </c>
      <c r="F57" s="64">
        <v>4.9000000000000004</v>
      </c>
      <c r="G57" s="64">
        <v>29.76</v>
      </c>
      <c r="H57" s="64">
        <v>14.48</v>
      </c>
      <c r="I57" s="218" t="s">
        <v>36</v>
      </c>
      <c r="J57" s="64">
        <v>0.05</v>
      </c>
      <c r="K57" s="64">
        <v>221.46</v>
      </c>
      <c r="L57" s="64">
        <v>27.12</v>
      </c>
      <c r="M57" s="64">
        <v>72.7</v>
      </c>
      <c r="N57" s="64">
        <v>499.1</v>
      </c>
      <c r="O57" s="64">
        <v>0</v>
      </c>
      <c r="P57" s="64">
        <v>0.82</v>
      </c>
      <c r="Q57" s="64">
        <v>7.89</v>
      </c>
      <c r="R57" s="198"/>
      <c r="S57" s="198"/>
      <c r="T57" s="198"/>
      <c r="U57" s="198"/>
    </row>
    <row r="58" spans="1:21" s="12" customFormat="1" x14ac:dyDescent="0.25">
      <c r="A58" s="215" t="s">
        <v>1450</v>
      </c>
      <c r="B58" s="64">
        <v>3.58</v>
      </c>
      <c r="C58" s="64">
        <v>13.04</v>
      </c>
      <c r="D58" s="64">
        <v>10.71</v>
      </c>
      <c r="E58" s="64">
        <v>1.33</v>
      </c>
      <c r="F58" s="64">
        <v>5.0199999999999996</v>
      </c>
      <c r="G58" s="64">
        <v>29.76</v>
      </c>
      <c r="H58" s="64">
        <v>14.48</v>
      </c>
      <c r="I58" s="218" t="s">
        <v>36</v>
      </c>
      <c r="J58" s="64">
        <v>0.04</v>
      </c>
      <c r="K58" s="64">
        <v>356.35</v>
      </c>
      <c r="L58" s="64">
        <v>27.15</v>
      </c>
      <c r="M58" s="64">
        <v>73.77</v>
      </c>
      <c r="N58" s="64">
        <v>507.5</v>
      </c>
      <c r="O58" s="64">
        <v>0</v>
      </c>
      <c r="P58" s="64">
        <v>0.82</v>
      </c>
      <c r="Q58" s="64">
        <v>5.95</v>
      </c>
      <c r="R58" s="198"/>
      <c r="S58" s="198"/>
      <c r="T58" s="198"/>
      <c r="U58" s="198"/>
    </row>
    <row r="59" spans="1:21" s="12" customFormat="1" x14ac:dyDescent="0.25">
      <c r="A59" s="215" t="s">
        <v>1451</v>
      </c>
      <c r="B59" s="64">
        <v>3.62</v>
      </c>
      <c r="C59" s="64">
        <v>13.94</v>
      </c>
      <c r="D59" s="64">
        <v>11.24</v>
      </c>
      <c r="E59" s="64">
        <v>1.29</v>
      </c>
      <c r="F59" s="64">
        <v>4.72</v>
      </c>
      <c r="G59" s="64">
        <v>29.76</v>
      </c>
      <c r="H59" s="64">
        <v>14.48</v>
      </c>
      <c r="I59" s="218" t="s">
        <v>36</v>
      </c>
      <c r="J59" s="64">
        <v>0.13</v>
      </c>
      <c r="K59" s="64">
        <v>198.2</v>
      </c>
      <c r="L59" s="64">
        <v>27.07</v>
      </c>
      <c r="M59" s="64">
        <v>73.22</v>
      </c>
      <c r="N59" s="64">
        <v>538.5</v>
      </c>
      <c r="O59" s="64">
        <v>0</v>
      </c>
      <c r="P59" s="64">
        <v>0.84</v>
      </c>
      <c r="Q59" s="64">
        <v>7.03</v>
      </c>
      <c r="R59" s="198"/>
      <c r="S59" s="198"/>
      <c r="T59" s="198"/>
      <c r="U59" s="198"/>
    </row>
    <row r="60" spans="1:21" s="12" customFormat="1" x14ac:dyDescent="0.25">
      <c r="A60" s="215" t="s">
        <v>1452</v>
      </c>
      <c r="B60" s="64">
        <v>3.27</v>
      </c>
      <c r="C60" s="64">
        <v>13.4</v>
      </c>
      <c r="D60" s="64">
        <v>10.66</v>
      </c>
      <c r="E60" s="64">
        <v>1.44</v>
      </c>
      <c r="F60" s="64">
        <v>4.96</v>
      </c>
      <c r="G60" s="64">
        <v>27.04</v>
      </c>
      <c r="H60" s="64">
        <v>12.83</v>
      </c>
      <c r="I60" s="218" t="s">
        <v>36</v>
      </c>
      <c r="J60" s="64">
        <v>0.21</v>
      </c>
      <c r="K60" s="64">
        <v>227.09</v>
      </c>
      <c r="L60" s="64">
        <v>26.65</v>
      </c>
      <c r="M60" s="64">
        <v>75.5</v>
      </c>
      <c r="N60" s="64">
        <v>586.5</v>
      </c>
      <c r="O60" s="64">
        <v>0</v>
      </c>
      <c r="P60" s="64">
        <v>0.85</v>
      </c>
      <c r="Q60" s="64">
        <v>5.34</v>
      </c>
      <c r="R60" s="198"/>
      <c r="S60" s="198"/>
      <c r="T60" s="198"/>
      <c r="U60" s="198"/>
    </row>
    <row r="61" spans="1:21" s="12" customFormat="1" x14ac:dyDescent="0.25">
      <c r="A61" s="215" t="s">
        <v>1453</v>
      </c>
      <c r="B61" s="64">
        <v>3.03</v>
      </c>
      <c r="C61" s="64">
        <v>13.45</v>
      </c>
      <c r="D61" s="64">
        <v>10.5</v>
      </c>
      <c r="E61" s="64">
        <v>1.3</v>
      </c>
      <c r="F61" s="64">
        <v>4.8099999999999996</v>
      </c>
      <c r="G61" s="64">
        <v>26.95</v>
      </c>
      <c r="H61" s="64">
        <v>12.83</v>
      </c>
      <c r="I61" s="218" t="s">
        <v>36</v>
      </c>
      <c r="J61" s="64">
        <v>0.15</v>
      </c>
      <c r="K61" s="64">
        <v>172.49</v>
      </c>
      <c r="L61" s="64">
        <v>27.19</v>
      </c>
      <c r="M61" s="64">
        <v>73.959999999999994</v>
      </c>
      <c r="N61" s="64">
        <v>658.9</v>
      </c>
      <c r="O61" s="64">
        <v>0</v>
      </c>
      <c r="P61" s="64">
        <v>0.93</v>
      </c>
      <c r="Q61" s="64">
        <v>5.51</v>
      </c>
      <c r="R61" s="198"/>
      <c r="S61" s="198"/>
      <c r="T61" s="198"/>
      <c r="U61" s="198"/>
    </row>
    <row r="62" spans="1:21" s="12" customFormat="1" x14ac:dyDescent="0.25">
      <c r="A62" s="215" t="s">
        <v>1454</v>
      </c>
      <c r="B62" s="64">
        <v>3.31</v>
      </c>
      <c r="C62" s="64">
        <v>13.84</v>
      </c>
      <c r="D62" s="64">
        <v>10.94</v>
      </c>
      <c r="E62" s="64">
        <v>1.21</v>
      </c>
      <c r="F62" s="64">
        <v>8.4</v>
      </c>
      <c r="G62" s="64">
        <v>26.95</v>
      </c>
      <c r="H62" s="64">
        <v>12.83</v>
      </c>
      <c r="I62" s="218" t="s">
        <v>36</v>
      </c>
      <c r="J62" s="64">
        <v>0.14000000000000001</v>
      </c>
      <c r="K62" s="64">
        <v>350.58</v>
      </c>
      <c r="L62" s="64">
        <v>27.91</v>
      </c>
      <c r="M62" s="64">
        <v>71.89</v>
      </c>
      <c r="N62" s="64">
        <v>724.3</v>
      </c>
      <c r="O62" s="64">
        <v>0</v>
      </c>
      <c r="P62" s="64">
        <v>0.99</v>
      </c>
      <c r="Q62" s="64">
        <v>6.13</v>
      </c>
      <c r="R62" s="198"/>
      <c r="S62" s="198"/>
      <c r="T62" s="198"/>
      <c r="U62" s="198"/>
    </row>
    <row r="63" spans="1:21" s="12" customFormat="1" x14ac:dyDescent="0.25">
      <c r="A63" s="215" t="s">
        <v>1455</v>
      </c>
      <c r="B63" s="64">
        <v>3.78</v>
      </c>
      <c r="C63" s="64">
        <v>13.47</v>
      </c>
      <c r="D63" s="64">
        <v>11.11</v>
      </c>
      <c r="E63" s="64">
        <v>0.6</v>
      </c>
      <c r="F63" s="64">
        <v>9.5</v>
      </c>
      <c r="G63" s="64">
        <v>26.95</v>
      </c>
      <c r="H63" s="64">
        <v>12.83</v>
      </c>
      <c r="I63" s="218" t="s">
        <v>36</v>
      </c>
      <c r="J63" s="64">
        <v>0.18</v>
      </c>
      <c r="K63" s="64">
        <v>189.12</v>
      </c>
      <c r="L63" s="64">
        <v>27.87</v>
      </c>
      <c r="M63" s="64">
        <v>70.14</v>
      </c>
      <c r="N63" s="64">
        <v>975.4</v>
      </c>
      <c r="O63" s="64">
        <v>0</v>
      </c>
      <c r="P63" s="64">
        <v>1.03</v>
      </c>
      <c r="Q63" s="64">
        <v>6.72</v>
      </c>
      <c r="R63" s="198"/>
      <c r="S63" s="198"/>
      <c r="T63" s="198"/>
      <c r="U63" s="198"/>
    </row>
    <row r="64" spans="1:21" s="12" customFormat="1" x14ac:dyDescent="0.25">
      <c r="A64" s="215" t="s">
        <v>1456</v>
      </c>
      <c r="B64" s="64">
        <v>3.76</v>
      </c>
      <c r="C64" s="64">
        <v>12.45</v>
      </c>
      <c r="D64" s="64">
        <v>10.53</v>
      </c>
      <c r="E64" s="64">
        <v>1.03</v>
      </c>
      <c r="F64" s="64">
        <v>7.72</v>
      </c>
      <c r="G64" s="64">
        <v>27.2</v>
      </c>
      <c r="H64" s="64">
        <v>10.57</v>
      </c>
      <c r="I64" s="218" t="s">
        <v>36</v>
      </c>
      <c r="J64" s="64">
        <v>0.04</v>
      </c>
      <c r="K64" s="64">
        <v>211.34</v>
      </c>
      <c r="L64" s="64">
        <v>28.16</v>
      </c>
      <c r="M64" s="64">
        <v>69.680000000000007</v>
      </c>
      <c r="N64" s="64">
        <v>936.9</v>
      </c>
      <c r="O64" s="64">
        <v>0</v>
      </c>
      <c r="P64" s="64">
        <v>1.05</v>
      </c>
      <c r="Q64" s="64">
        <v>6.67</v>
      </c>
      <c r="R64" s="198"/>
      <c r="S64" s="198"/>
      <c r="T64" s="198"/>
      <c r="U64" s="198"/>
    </row>
    <row r="65" spans="1:21" s="12" customFormat="1" x14ac:dyDescent="0.25">
      <c r="A65" s="215" t="s">
        <v>1457</v>
      </c>
      <c r="B65" s="64">
        <v>3.82</v>
      </c>
      <c r="C65" s="64">
        <v>12.77</v>
      </c>
      <c r="D65" s="64">
        <v>10.75</v>
      </c>
      <c r="E65" s="64">
        <v>1.5</v>
      </c>
      <c r="F65" s="64">
        <v>10.62</v>
      </c>
      <c r="G65" s="64">
        <v>27.21</v>
      </c>
      <c r="H65" s="64">
        <v>10.5</v>
      </c>
      <c r="I65" s="218" t="s">
        <v>36</v>
      </c>
      <c r="J65" s="64">
        <v>0.04</v>
      </c>
      <c r="K65" s="64">
        <v>162.19</v>
      </c>
      <c r="L65" s="64">
        <v>28.3</v>
      </c>
      <c r="M65" s="64">
        <v>68.989999999999995</v>
      </c>
      <c r="N65" s="64">
        <v>462.4</v>
      </c>
      <c r="O65" s="64">
        <v>0</v>
      </c>
      <c r="P65" s="64">
        <v>1.05</v>
      </c>
      <c r="Q65" s="64">
        <v>7.53</v>
      </c>
      <c r="R65" s="198"/>
      <c r="S65" s="198"/>
      <c r="T65" s="198"/>
      <c r="U65" s="198"/>
    </row>
    <row r="66" spans="1:21" s="12" customFormat="1" x14ac:dyDescent="0.25">
      <c r="A66" s="215" t="s">
        <v>1458</v>
      </c>
      <c r="B66" s="64">
        <v>3.72</v>
      </c>
      <c r="C66" s="64">
        <v>11.89</v>
      </c>
      <c r="D66" s="64">
        <v>10.19</v>
      </c>
      <c r="E66" s="64">
        <v>1.8</v>
      </c>
      <c r="F66" s="64">
        <v>5.97</v>
      </c>
      <c r="G66" s="64">
        <v>27.21</v>
      </c>
      <c r="H66" s="64">
        <v>10.5</v>
      </c>
      <c r="I66" s="218" t="s">
        <v>36</v>
      </c>
      <c r="J66" s="64">
        <v>0.76</v>
      </c>
      <c r="K66" s="64">
        <v>163.51</v>
      </c>
      <c r="L66" s="64">
        <v>27.81</v>
      </c>
      <c r="M66" s="64">
        <v>70.319999999999993</v>
      </c>
      <c r="N66" s="64">
        <v>439.2</v>
      </c>
      <c r="O66" s="64">
        <v>0</v>
      </c>
      <c r="P66" s="64">
        <v>1.05</v>
      </c>
      <c r="Q66" s="64">
        <v>6.64</v>
      </c>
      <c r="R66" s="198"/>
      <c r="S66" s="198"/>
      <c r="T66" s="198"/>
      <c r="U66" s="198"/>
    </row>
    <row r="67" spans="1:21" s="12" customFormat="1" x14ac:dyDescent="0.25">
      <c r="A67" s="215" t="s">
        <v>1459</v>
      </c>
      <c r="B67" s="64">
        <v>3.51</v>
      </c>
      <c r="C67" s="64">
        <v>12.24</v>
      </c>
      <c r="D67" s="64">
        <v>10.210000000000001</v>
      </c>
      <c r="E67" s="64">
        <v>1.27</v>
      </c>
      <c r="F67" s="64">
        <v>4.12</v>
      </c>
      <c r="G67" s="64">
        <v>27.21</v>
      </c>
      <c r="H67" s="64">
        <v>10.5</v>
      </c>
      <c r="I67" s="218" t="s">
        <v>36</v>
      </c>
      <c r="J67" s="64">
        <v>0.43</v>
      </c>
      <c r="K67" s="64">
        <v>185.44</v>
      </c>
      <c r="L67" s="64">
        <v>27.95</v>
      </c>
      <c r="M67" s="64">
        <v>69.06</v>
      </c>
      <c r="N67" s="64">
        <v>795.9</v>
      </c>
      <c r="O67" s="64">
        <v>0</v>
      </c>
      <c r="P67" s="64">
        <v>1</v>
      </c>
      <c r="Q67" s="64">
        <v>6.71</v>
      </c>
      <c r="R67" s="198"/>
      <c r="S67" s="198"/>
      <c r="T67" s="198"/>
      <c r="U67" s="198"/>
    </row>
    <row r="68" spans="1:21" s="12" customFormat="1" x14ac:dyDescent="0.25">
      <c r="A68" s="215" t="s">
        <v>1460</v>
      </c>
      <c r="B68" s="64">
        <v>3.08</v>
      </c>
      <c r="C68" s="64">
        <v>11.91</v>
      </c>
      <c r="D68" s="64">
        <v>9.69</v>
      </c>
      <c r="E68" s="64">
        <v>1.43</v>
      </c>
      <c r="F68" s="64">
        <v>6.04</v>
      </c>
      <c r="G68" s="64">
        <v>23.76</v>
      </c>
      <c r="H68" s="64">
        <v>9.41</v>
      </c>
      <c r="I68" s="218" t="s">
        <v>36</v>
      </c>
      <c r="J68" s="64">
        <v>0.02</v>
      </c>
      <c r="K68" s="64">
        <v>231.74</v>
      </c>
      <c r="L68" s="64">
        <v>28.08</v>
      </c>
      <c r="M68" s="64">
        <v>69.61</v>
      </c>
      <c r="N68" s="64">
        <v>392.3</v>
      </c>
      <c r="O68" s="64">
        <v>0</v>
      </c>
      <c r="P68" s="64">
        <v>1.04</v>
      </c>
      <c r="Q68" s="64">
        <v>4.62</v>
      </c>
      <c r="R68" s="198"/>
      <c r="S68" s="198"/>
      <c r="T68" s="198"/>
      <c r="U68" s="198"/>
    </row>
    <row r="69" spans="1:21" s="12" customFormat="1" x14ac:dyDescent="0.25">
      <c r="A69" s="215" t="s">
        <v>1461</v>
      </c>
      <c r="B69" s="64">
        <v>2.84</v>
      </c>
      <c r="C69" s="64">
        <v>12.13</v>
      </c>
      <c r="D69" s="64">
        <v>9.6199999999999992</v>
      </c>
      <c r="E69" s="64">
        <v>1.45</v>
      </c>
      <c r="F69" s="64">
        <v>5.51</v>
      </c>
      <c r="G69" s="64">
        <v>23.64</v>
      </c>
      <c r="H69" s="64">
        <v>9.41</v>
      </c>
      <c r="I69" s="218" t="s">
        <v>36</v>
      </c>
      <c r="J69" s="64">
        <v>0.1</v>
      </c>
      <c r="K69" s="64">
        <v>195.14</v>
      </c>
      <c r="L69" s="64">
        <v>27.98</v>
      </c>
      <c r="M69" s="64">
        <v>69.44</v>
      </c>
      <c r="N69" s="64">
        <v>217.5</v>
      </c>
      <c r="O69" s="64">
        <v>0</v>
      </c>
      <c r="P69" s="64">
        <v>1.02</v>
      </c>
      <c r="Q69" s="64">
        <v>4.5999999999999996</v>
      </c>
      <c r="R69" s="198"/>
      <c r="S69" s="198"/>
      <c r="T69" s="198"/>
      <c r="U69" s="198"/>
    </row>
    <row r="70" spans="1:21" s="12" customFormat="1" x14ac:dyDescent="0.25">
      <c r="A70" s="215" t="s">
        <v>1462</v>
      </c>
      <c r="B70" s="64">
        <v>2.63</v>
      </c>
      <c r="C70" s="64">
        <v>12.4</v>
      </c>
      <c r="D70" s="64">
        <v>9.6</v>
      </c>
      <c r="E70" s="64">
        <v>1.1299999999999999</v>
      </c>
      <c r="F70" s="64">
        <v>5.98</v>
      </c>
      <c r="G70" s="64">
        <v>23.64</v>
      </c>
      <c r="H70" s="64">
        <v>9.41</v>
      </c>
      <c r="I70" s="218" t="s">
        <v>36</v>
      </c>
      <c r="J70" s="64">
        <v>0.16</v>
      </c>
      <c r="K70" s="64">
        <v>185.16</v>
      </c>
      <c r="L70" s="64">
        <v>28.01</v>
      </c>
      <c r="M70" s="64">
        <v>69.540000000000006</v>
      </c>
      <c r="N70" s="64">
        <v>236.5</v>
      </c>
      <c r="O70" s="64">
        <v>0</v>
      </c>
      <c r="P70" s="64">
        <v>1.01</v>
      </c>
      <c r="Q70" s="64">
        <v>4.0599999999999996</v>
      </c>
      <c r="R70" s="198"/>
      <c r="S70" s="198"/>
      <c r="T70" s="198"/>
      <c r="U70" s="198"/>
    </row>
    <row r="71" spans="1:21" s="12" customFormat="1" x14ac:dyDescent="0.25">
      <c r="A71" s="215" t="s">
        <v>1463</v>
      </c>
      <c r="B71" s="64">
        <v>2.5499999999999998</v>
      </c>
      <c r="C71" s="64">
        <v>12.26</v>
      </c>
      <c r="D71" s="64">
        <v>9.4600000000000009</v>
      </c>
      <c r="E71" s="64">
        <v>1.36</v>
      </c>
      <c r="F71" s="64">
        <v>6.43</v>
      </c>
      <c r="G71" s="64">
        <v>23.64</v>
      </c>
      <c r="H71" s="64">
        <v>9.41</v>
      </c>
      <c r="I71" s="218" t="s">
        <v>36</v>
      </c>
      <c r="J71" s="64">
        <v>0.37</v>
      </c>
      <c r="K71" s="64">
        <v>208.19</v>
      </c>
      <c r="L71" s="64">
        <v>27.72</v>
      </c>
      <c r="M71" s="64">
        <v>70.150000000000006</v>
      </c>
      <c r="N71" s="64">
        <v>201.6</v>
      </c>
      <c r="O71" s="64">
        <v>0</v>
      </c>
      <c r="P71" s="64">
        <v>1.01</v>
      </c>
      <c r="Q71" s="64">
        <v>3.14</v>
      </c>
      <c r="R71" s="198"/>
      <c r="S71" s="198"/>
      <c r="T71" s="198"/>
      <c r="U71" s="198"/>
    </row>
    <row r="72" spans="1:21" s="12" customFormat="1" x14ac:dyDescent="0.25">
      <c r="A72" s="215" t="s">
        <v>1464</v>
      </c>
      <c r="B72" s="64">
        <v>2.6</v>
      </c>
      <c r="C72" s="64">
        <v>12.45</v>
      </c>
      <c r="D72" s="64">
        <v>9.6</v>
      </c>
      <c r="E72" s="64">
        <v>1.65</v>
      </c>
      <c r="F72" s="64">
        <v>6.07</v>
      </c>
      <c r="G72" s="64">
        <v>24.3</v>
      </c>
      <c r="H72" s="64">
        <v>10.33</v>
      </c>
      <c r="I72" s="218" t="s">
        <v>36</v>
      </c>
      <c r="J72" s="64">
        <v>0.36</v>
      </c>
      <c r="K72" s="64">
        <v>211.86</v>
      </c>
      <c r="L72" s="64">
        <v>27.44</v>
      </c>
      <c r="M72" s="64">
        <v>71.099999999999994</v>
      </c>
      <c r="N72" s="64">
        <v>181.5</v>
      </c>
      <c r="O72" s="64">
        <v>0</v>
      </c>
      <c r="P72" s="64">
        <v>1</v>
      </c>
      <c r="Q72" s="64">
        <v>3.86</v>
      </c>
      <c r="R72" s="198"/>
      <c r="S72" s="198"/>
      <c r="T72" s="198"/>
      <c r="U72" s="198"/>
    </row>
    <row r="73" spans="1:21" s="12" customFormat="1" x14ac:dyDescent="0.25">
      <c r="A73" s="215" t="s">
        <v>1465</v>
      </c>
      <c r="B73" s="64">
        <v>2.72</v>
      </c>
      <c r="C73" s="64">
        <v>12.31</v>
      </c>
      <c r="D73" s="64">
        <v>9.6199999999999992</v>
      </c>
      <c r="E73" s="64">
        <v>1.73</v>
      </c>
      <c r="F73" s="64">
        <v>8.3000000000000007</v>
      </c>
      <c r="G73" s="64">
        <v>24.33</v>
      </c>
      <c r="H73" s="64">
        <v>10.33</v>
      </c>
      <c r="I73" s="218" t="s">
        <v>36</v>
      </c>
      <c r="J73" s="64">
        <v>0.26</v>
      </c>
      <c r="K73" s="64">
        <v>223.66</v>
      </c>
      <c r="L73" s="64">
        <v>27.63</v>
      </c>
      <c r="M73" s="64">
        <v>71.45</v>
      </c>
      <c r="N73" s="64">
        <v>229.6</v>
      </c>
      <c r="O73" s="64">
        <v>0</v>
      </c>
      <c r="P73" s="64">
        <v>1.01</v>
      </c>
      <c r="Q73" s="64">
        <v>2.65</v>
      </c>
      <c r="R73" s="198"/>
      <c r="S73" s="198"/>
      <c r="T73" s="198"/>
      <c r="U73" s="198"/>
    </row>
    <row r="74" spans="1:21" s="12" customFormat="1" x14ac:dyDescent="0.25">
      <c r="A74" s="215" t="s">
        <v>1466</v>
      </c>
      <c r="B74" s="64">
        <v>2.87</v>
      </c>
      <c r="C74" s="64">
        <v>12.85</v>
      </c>
      <c r="D74" s="64">
        <v>10.039999999999999</v>
      </c>
      <c r="E74" s="64">
        <v>2.2200000000000002</v>
      </c>
      <c r="F74" s="64">
        <v>12.5</v>
      </c>
      <c r="G74" s="64">
        <v>24.33</v>
      </c>
      <c r="H74" s="64">
        <v>10.33</v>
      </c>
      <c r="I74" s="218" t="s">
        <v>36</v>
      </c>
      <c r="J74" s="64">
        <v>0.11</v>
      </c>
      <c r="K74" s="64">
        <v>224.17</v>
      </c>
      <c r="L74" s="64">
        <v>27.53</v>
      </c>
      <c r="M74" s="64">
        <v>72.150000000000006</v>
      </c>
      <c r="N74" s="64">
        <v>169.3</v>
      </c>
      <c r="O74" s="64">
        <v>0</v>
      </c>
      <c r="P74" s="64">
        <v>1.01</v>
      </c>
      <c r="Q74" s="64">
        <v>4.96</v>
      </c>
      <c r="R74" s="198"/>
      <c r="S74" s="198"/>
      <c r="T74" s="198"/>
      <c r="U74" s="198"/>
    </row>
    <row r="75" spans="1:21" s="12" customFormat="1" x14ac:dyDescent="0.25">
      <c r="A75" s="215" t="s">
        <v>1467</v>
      </c>
      <c r="B75" s="64">
        <v>3.25</v>
      </c>
      <c r="C75" s="64">
        <v>13.16</v>
      </c>
      <c r="D75" s="64">
        <v>10.52</v>
      </c>
      <c r="E75" s="64">
        <v>2.12</v>
      </c>
      <c r="F75" s="64">
        <v>11.24</v>
      </c>
      <c r="G75" s="64">
        <v>24.33</v>
      </c>
      <c r="H75" s="64">
        <v>10.33</v>
      </c>
      <c r="I75" s="218" t="s">
        <v>36</v>
      </c>
      <c r="J75" s="64">
        <v>0.14000000000000001</v>
      </c>
      <c r="K75" s="64">
        <v>19.02</v>
      </c>
      <c r="L75" s="64">
        <v>27.46</v>
      </c>
      <c r="M75" s="64">
        <v>70.12</v>
      </c>
      <c r="N75" s="64">
        <v>155.80000000000001</v>
      </c>
      <c r="O75" s="64">
        <v>0</v>
      </c>
      <c r="P75" s="64">
        <v>1.02</v>
      </c>
      <c r="Q75" s="64">
        <v>4.1500000000000004</v>
      </c>
      <c r="R75" s="198"/>
      <c r="S75" s="198"/>
      <c r="T75" s="198"/>
      <c r="U75" s="198"/>
    </row>
    <row r="76" spans="1:21" s="12" customFormat="1" x14ac:dyDescent="0.25">
      <c r="A76" s="215" t="s">
        <v>1468</v>
      </c>
      <c r="B76" s="64">
        <v>3.81</v>
      </c>
      <c r="C76" s="64">
        <v>15.24</v>
      </c>
      <c r="D76" s="64">
        <v>12.11</v>
      </c>
      <c r="E76" s="64">
        <v>2.19</v>
      </c>
      <c r="F76" s="64">
        <v>10.76</v>
      </c>
      <c r="G76" s="64">
        <v>22.77</v>
      </c>
      <c r="H76" s="64">
        <v>11.24</v>
      </c>
      <c r="I76" s="218" t="s">
        <v>36</v>
      </c>
      <c r="J76" s="64">
        <v>0.16</v>
      </c>
      <c r="K76" s="64">
        <v>23.51</v>
      </c>
      <c r="L76" s="64">
        <v>27.39</v>
      </c>
      <c r="M76" s="64">
        <v>71.290000000000006</v>
      </c>
      <c r="N76" s="64">
        <v>132.30000000000001</v>
      </c>
      <c r="O76" s="64">
        <v>0</v>
      </c>
      <c r="P76" s="64">
        <v>1.03</v>
      </c>
      <c r="Q76" s="64">
        <v>5.99</v>
      </c>
      <c r="R76" s="198"/>
      <c r="S76" s="198"/>
      <c r="T76" s="198"/>
      <c r="U76" s="198"/>
    </row>
    <row r="77" spans="1:21" s="12" customFormat="1" x14ac:dyDescent="0.25">
      <c r="A77" s="215" t="s">
        <v>1469</v>
      </c>
      <c r="B77" s="64">
        <v>4.17</v>
      </c>
      <c r="C77" s="64">
        <v>15.37</v>
      </c>
      <c r="D77" s="64">
        <v>12.47</v>
      </c>
      <c r="E77" s="64">
        <v>2.2999999999999998</v>
      </c>
      <c r="F77" s="64">
        <v>8.15</v>
      </c>
      <c r="G77" s="64">
        <v>22.71</v>
      </c>
      <c r="H77" s="64">
        <v>11.24</v>
      </c>
      <c r="I77" s="218" t="s">
        <v>36</v>
      </c>
      <c r="J77" s="64">
        <v>0.2</v>
      </c>
      <c r="K77" s="64">
        <v>39.9</v>
      </c>
      <c r="L77" s="64">
        <v>27.69</v>
      </c>
      <c r="M77" s="64">
        <v>69.34</v>
      </c>
      <c r="N77" s="64">
        <v>111.1</v>
      </c>
      <c r="O77" s="64">
        <v>0</v>
      </c>
      <c r="P77" s="64">
        <v>1.03</v>
      </c>
      <c r="Q77" s="64">
        <v>6.11</v>
      </c>
      <c r="R77" s="198"/>
      <c r="S77" s="198"/>
      <c r="T77" s="198"/>
      <c r="U77" s="198"/>
    </row>
    <row r="78" spans="1:21" s="12" customFormat="1" x14ac:dyDescent="0.25">
      <c r="A78" s="215" t="s">
        <v>1470</v>
      </c>
      <c r="B78" s="64">
        <v>4.3600000000000003</v>
      </c>
      <c r="C78" s="64">
        <v>15.03</v>
      </c>
      <c r="D78" s="64">
        <v>12.44</v>
      </c>
      <c r="E78" s="64">
        <v>2.2999999999999998</v>
      </c>
      <c r="F78" s="64">
        <v>6.9</v>
      </c>
      <c r="G78" s="64">
        <v>22.71</v>
      </c>
      <c r="H78" s="64">
        <v>11.24</v>
      </c>
      <c r="I78" s="218" t="s">
        <v>36</v>
      </c>
      <c r="J78" s="64">
        <v>0.09</v>
      </c>
      <c r="K78" s="64">
        <v>32.049999999999997</v>
      </c>
      <c r="L78" s="64">
        <v>27.5</v>
      </c>
      <c r="M78" s="64">
        <v>69.97</v>
      </c>
      <c r="N78" s="64">
        <v>97.7</v>
      </c>
      <c r="O78" s="64">
        <v>0</v>
      </c>
      <c r="P78" s="64">
        <v>1.08</v>
      </c>
      <c r="Q78" s="64">
        <v>5.13</v>
      </c>
      <c r="R78" s="198"/>
      <c r="S78" s="198"/>
      <c r="T78" s="198"/>
      <c r="U78" s="198"/>
    </row>
    <row r="79" spans="1:21" s="12" customFormat="1" x14ac:dyDescent="0.25">
      <c r="A79" s="215" t="s">
        <v>1471</v>
      </c>
      <c r="B79" s="64">
        <v>4.49</v>
      </c>
      <c r="C79" s="64">
        <v>16.03</v>
      </c>
      <c r="D79" s="64">
        <v>13.1</v>
      </c>
      <c r="E79" s="64">
        <v>2.31</v>
      </c>
      <c r="F79" s="64">
        <v>4.8099999999999996</v>
      </c>
      <c r="G79" s="64">
        <v>22.71</v>
      </c>
      <c r="H79" s="64">
        <v>11.24</v>
      </c>
      <c r="I79" s="218" t="s">
        <v>36</v>
      </c>
      <c r="J79" s="64">
        <v>0.24</v>
      </c>
      <c r="K79" s="64">
        <v>36.42</v>
      </c>
      <c r="L79" s="64">
        <v>27.35</v>
      </c>
      <c r="M79" s="64">
        <v>69.47</v>
      </c>
      <c r="N79" s="64">
        <v>87.4</v>
      </c>
      <c r="O79" s="64">
        <v>0</v>
      </c>
      <c r="P79" s="64">
        <v>1.08</v>
      </c>
      <c r="Q79" s="64">
        <v>5.4</v>
      </c>
      <c r="R79" s="198"/>
      <c r="S79" s="198"/>
      <c r="T79" s="198"/>
      <c r="U79" s="198"/>
    </row>
    <row r="80" spans="1:21" s="12" customFormat="1" x14ac:dyDescent="0.25">
      <c r="A80" s="215" t="s">
        <v>1472</v>
      </c>
      <c r="B80" s="64">
        <v>4.4800000000000004</v>
      </c>
      <c r="C80" s="64">
        <v>15.75</v>
      </c>
      <c r="D80" s="64">
        <v>12.93</v>
      </c>
      <c r="E80" s="64">
        <v>2.2200000000000002</v>
      </c>
      <c r="F80" s="64">
        <v>5.95</v>
      </c>
      <c r="G80" s="64">
        <v>20.47</v>
      </c>
      <c r="H80" s="64">
        <v>9.82</v>
      </c>
      <c r="I80" s="218" t="s">
        <v>36</v>
      </c>
      <c r="J80" s="64">
        <v>0.15</v>
      </c>
      <c r="K80" s="64">
        <v>41.28</v>
      </c>
      <c r="L80" s="64">
        <v>27.27</v>
      </c>
      <c r="M80" s="64">
        <v>69.73</v>
      </c>
      <c r="N80" s="64">
        <v>76.8</v>
      </c>
      <c r="O80" s="64">
        <v>0</v>
      </c>
      <c r="P80" s="64">
        <v>1.1100000000000001</v>
      </c>
      <c r="Q80" s="64">
        <v>3.92</v>
      </c>
      <c r="R80" s="198"/>
      <c r="S80" s="198"/>
      <c r="T80" s="198"/>
      <c r="U80" s="198"/>
    </row>
    <row r="81" spans="1:26" s="12" customFormat="1" x14ac:dyDescent="0.25">
      <c r="A81" s="215" t="s">
        <v>1473</v>
      </c>
      <c r="B81" s="64">
        <v>6.38</v>
      </c>
      <c r="C81" s="64">
        <v>20.010000000000002</v>
      </c>
      <c r="D81" s="64">
        <v>16.809999999999999</v>
      </c>
      <c r="E81" s="64">
        <v>2.31</v>
      </c>
      <c r="F81" s="64">
        <v>5.34</v>
      </c>
      <c r="G81" s="64">
        <v>20.39</v>
      </c>
      <c r="H81" s="64">
        <v>9.82</v>
      </c>
      <c r="I81" s="218" t="s">
        <v>36</v>
      </c>
      <c r="J81" s="64">
        <v>0.11</v>
      </c>
      <c r="K81" s="64">
        <v>55.47</v>
      </c>
      <c r="L81" s="64">
        <v>27.22</v>
      </c>
      <c r="M81" s="64">
        <v>70.680000000000007</v>
      </c>
      <c r="N81" s="64">
        <v>71.8</v>
      </c>
      <c r="O81" s="64">
        <v>0</v>
      </c>
      <c r="P81" s="64">
        <v>1.1399999999999999</v>
      </c>
      <c r="Q81" s="64">
        <v>4.96</v>
      </c>
      <c r="R81" s="198"/>
      <c r="S81" s="198"/>
      <c r="T81" s="198"/>
      <c r="U81" s="198"/>
    </row>
    <row r="82" spans="1:26" s="12" customFormat="1" x14ac:dyDescent="0.25">
      <c r="A82" s="215" t="s">
        <v>1474</v>
      </c>
      <c r="B82" s="64">
        <v>5.41</v>
      </c>
      <c r="C82" s="64">
        <v>16.93</v>
      </c>
      <c r="D82" s="64">
        <v>14.33</v>
      </c>
      <c r="E82" s="64">
        <v>1.91</v>
      </c>
      <c r="F82" s="64">
        <v>5.67</v>
      </c>
      <c r="G82" s="64">
        <v>20.39</v>
      </c>
      <c r="H82" s="64">
        <v>9.82</v>
      </c>
      <c r="I82" s="218" t="s">
        <v>36</v>
      </c>
      <c r="J82" s="64">
        <v>0.2</v>
      </c>
      <c r="K82" s="64">
        <v>33.659999999999997</v>
      </c>
      <c r="L82" s="64">
        <v>26.9</v>
      </c>
      <c r="M82" s="64">
        <v>72.09</v>
      </c>
      <c r="N82" s="64">
        <v>51.2</v>
      </c>
      <c r="O82" s="64">
        <v>0</v>
      </c>
      <c r="P82" s="64">
        <v>1.1599999999999999</v>
      </c>
      <c r="Q82" s="64">
        <v>3.64</v>
      </c>
      <c r="R82" s="198"/>
      <c r="S82" s="198"/>
      <c r="T82" s="198"/>
      <c r="U82" s="198"/>
    </row>
    <row r="83" spans="1:26" s="12" customFormat="1" x14ac:dyDescent="0.25">
      <c r="A83" s="215" t="s">
        <v>1475</v>
      </c>
      <c r="B83" s="64">
        <v>8.07</v>
      </c>
      <c r="C83" s="64">
        <v>18.96</v>
      </c>
      <c r="D83" s="64">
        <v>17.579999999999998</v>
      </c>
      <c r="E83" s="64">
        <v>2.23</v>
      </c>
      <c r="F83" s="64">
        <v>5.85</v>
      </c>
      <c r="G83" s="64">
        <v>20.39</v>
      </c>
      <c r="H83" s="64">
        <v>9.82</v>
      </c>
      <c r="I83" s="218" t="s">
        <v>36</v>
      </c>
      <c r="J83" s="64">
        <v>0.14000000000000001</v>
      </c>
      <c r="K83" s="64">
        <v>42.55</v>
      </c>
      <c r="L83" s="64">
        <v>26.72</v>
      </c>
      <c r="M83" s="64">
        <v>73.94</v>
      </c>
      <c r="N83" s="64">
        <v>41.4</v>
      </c>
      <c r="O83" s="64">
        <v>0</v>
      </c>
      <c r="P83" s="64">
        <v>1.2</v>
      </c>
      <c r="Q83" s="64">
        <v>4.07</v>
      </c>
      <c r="R83" s="198"/>
      <c r="S83" s="198"/>
      <c r="T83" s="198"/>
      <c r="U83" s="198"/>
    </row>
    <row r="84" spans="1:26" s="12" customFormat="1" x14ac:dyDescent="0.25">
      <c r="A84" s="215" t="s">
        <v>1476</v>
      </c>
      <c r="B84" s="64">
        <v>6.19</v>
      </c>
      <c r="C84" s="64">
        <v>19.7</v>
      </c>
      <c r="D84" s="64">
        <v>16.48</v>
      </c>
      <c r="E84" s="64">
        <v>2.08</v>
      </c>
      <c r="F84" s="64">
        <v>6.54</v>
      </c>
      <c r="G84" s="64">
        <v>30.94</v>
      </c>
      <c r="H84" s="64">
        <v>10.79</v>
      </c>
      <c r="I84" s="218" t="s">
        <v>36</v>
      </c>
      <c r="J84" s="64">
        <v>0.11</v>
      </c>
      <c r="K84" s="64">
        <v>30.69</v>
      </c>
      <c r="L84" s="64">
        <v>26.49</v>
      </c>
      <c r="M84" s="64">
        <v>75.88</v>
      </c>
      <c r="N84" s="64">
        <v>38.6</v>
      </c>
      <c r="O84" s="64">
        <v>0</v>
      </c>
      <c r="P84" s="64">
        <v>1.24</v>
      </c>
      <c r="Q84" s="64">
        <v>4.5999999999999996</v>
      </c>
      <c r="R84" s="198"/>
      <c r="S84" s="198"/>
      <c r="T84" s="198"/>
      <c r="U84" s="198"/>
    </row>
    <row r="85" spans="1:26" s="12" customFormat="1" x14ac:dyDescent="0.25">
      <c r="A85" s="215" t="s">
        <v>1477</v>
      </c>
      <c r="B85" s="64">
        <v>21.7</v>
      </c>
      <c r="C85" s="64">
        <v>23.25</v>
      </c>
      <c r="D85" s="64">
        <v>30.88</v>
      </c>
      <c r="E85" s="64">
        <v>2.0499999999999998</v>
      </c>
      <c r="F85" s="64">
        <v>9.1199999999999992</v>
      </c>
      <c r="G85" s="64">
        <v>31.3</v>
      </c>
      <c r="H85" s="64">
        <v>10.79</v>
      </c>
      <c r="I85" s="218" t="s">
        <v>36</v>
      </c>
      <c r="J85" s="64">
        <v>0.1</v>
      </c>
      <c r="K85" s="64">
        <v>31.76</v>
      </c>
      <c r="L85" s="64">
        <v>26.35</v>
      </c>
      <c r="M85" s="64">
        <v>76.31</v>
      </c>
      <c r="N85" s="64">
        <v>38.200000000000003</v>
      </c>
      <c r="O85" s="64">
        <v>0</v>
      </c>
      <c r="P85" s="64">
        <v>1.08</v>
      </c>
      <c r="Q85" s="64">
        <v>6.25</v>
      </c>
      <c r="R85" s="198"/>
      <c r="S85" s="198"/>
      <c r="T85" s="198"/>
      <c r="U85" s="198"/>
    </row>
    <row r="86" spans="1:26" s="12" customFormat="1" x14ac:dyDescent="0.25">
      <c r="A86" s="215" t="s">
        <v>1478</v>
      </c>
      <c r="B86" s="64">
        <v>10.220000000000001</v>
      </c>
      <c r="C86" s="64">
        <v>32.36</v>
      </c>
      <c r="D86" s="64">
        <v>26.7</v>
      </c>
      <c r="E86" s="64">
        <v>2.42</v>
      </c>
      <c r="F86" s="64">
        <v>15.35</v>
      </c>
      <c r="G86" s="64">
        <v>31.3</v>
      </c>
      <c r="H86" s="64">
        <v>10.79</v>
      </c>
      <c r="I86" s="218" t="s">
        <v>36</v>
      </c>
      <c r="J86" s="64">
        <v>0.06</v>
      </c>
      <c r="K86" s="64">
        <v>230.94</v>
      </c>
      <c r="L86" s="64">
        <v>26.25</v>
      </c>
      <c r="M86" s="64">
        <v>77.349999999999994</v>
      </c>
      <c r="N86" s="64">
        <v>38</v>
      </c>
      <c r="O86" s="64">
        <v>0</v>
      </c>
      <c r="P86" s="64">
        <v>1.17</v>
      </c>
      <c r="Q86" s="64">
        <v>8.3699999999999992</v>
      </c>
      <c r="R86" s="198"/>
      <c r="S86" s="198"/>
      <c r="T86" s="198"/>
      <c r="U86" s="198"/>
    </row>
    <row r="87" spans="1:26" s="12" customFormat="1" x14ac:dyDescent="0.25">
      <c r="A87" s="215" t="s">
        <v>1479</v>
      </c>
      <c r="B87" s="64">
        <v>5.1100000000000003</v>
      </c>
      <c r="C87" s="64">
        <v>26.1</v>
      </c>
      <c r="D87" s="64">
        <v>19.149999999999999</v>
      </c>
      <c r="E87" s="64">
        <v>2.57</v>
      </c>
      <c r="F87" s="64">
        <v>16.170000000000002</v>
      </c>
      <c r="G87" s="64">
        <v>31.3</v>
      </c>
      <c r="H87" s="64">
        <v>10.79</v>
      </c>
      <c r="I87" s="218" t="s">
        <v>36</v>
      </c>
      <c r="J87" s="64">
        <v>0.03</v>
      </c>
      <c r="K87" s="64">
        <v>215.29</v>
      </c>
      <c r="L87" s="64">
        <v>26.03</v>
      </c>
      <c r="M87" s="64">
        <v>79.989999999999995</v>
      </c>
      <c r="N87" s="64">
        <v>38.1</v>
      </c>
      <c r="O87" s="64">
        <v>0</v>
      </c>
      <c r="P87" s="64">
        <v>1.21</v>
      </c>
      <c r="Q87" s="64">
        <v>7.65</v>
      </c>
      <c r="R87" s="198"/>
      <c r="S87" s="198"/>
      <c r="T87" s="198"/>
      <c r="U87" s="198"/>
    </row>
    <row r="88" spans="1:26" s="12" customFormat="1" x14ac:dyDescent="0.25">
      <c r="A88" s="215" t="s">
        <v>1480</v>
      </c>
      <c r="B88" s="64">
        <v>6.01</v>
      </c>
      <c r="C88" s="64">
        <v>24.92</v>
      </c>
      <c r="D88" s="64">
        <v>19.22</v>
      </c>
      <c r="E88" s="64">
        <v>1.66</v>
      </c>
      <c r="F88" s="64">
        <v>16.02</v>
      </c>
      <c r="G88" s="64">
        <v>32.11</v>
      </c>
      <c r="H88" s="64">
        <v>14.58</v>
      </c>
      <c r="I88" s="218" t="s">
        <v>36</v>
      </c>
      <c r="J88" s="64">
        <v>0</v>
      </c>
      <c r="K88" s="64">
        <v>185.3</v>
      </c>
      <c r="L88" s="64">
        <v>25.88</v>
      </c>
      <c r="M88" s="64">
        <v>81.25</v>
      </c>
      <c r="N88" s="64">
        <v>38.1</v>
      </c>
      <c r="O88" s="64">
        <v>0</v>
      </c>
      <c r="P88" s="64">
        <v>1.18</v>
      </c>
      <c r="Q88" s="64">
        <v>10.46</v>
      </c>
      <c r="R88" s="198"/>
      <c r="S88" s="198"/>
      <c r="T88" s="198"/>
      <c r="U88" s="198"/>
    </row>
    <row r="89" spans="1:26" s="12" customFormat="1" x14ac:dyDescent="0.25">
      <c r="A89" s="215" t="s">
        <v>1481</v>
      </c>
      <c r="B89" s="64">
        <v>9.1999999999999993</v>
      </c>
      <c r="C89" s="64">
        <v>24.84</v>
      </c>
      <c r="D89" s="64">
        <v>21.73</v>
      </c>
      <c r="E89" s="64">
        <v>1.94</v>
      </c>
      <c r="F89" s="64">
        <v>13.24</v>
      </c>
      <c r="G89" s="64">
        <v>32.14</v>
      </c>
      <c r="H89" s="64">
        <v>14.58</v>
      </c>
      <c r="I89" s="218" t="s">
        <v>36</v>
      </c>
      <c r="J89" s="64">
        <v>0.04</v>
      </c>
      <c r="K89" s="64">
        <v>353.84</v>
      </c>
      <c r="L89" s="64">
        <v>25.8</v>
      </c>
      <c r="M89" s="64">
        <v>80.77</v>
      </c>
      <c r="N89" s="64">
        <v>38</v>
      </c>
      <c r="O89" s="64">
        <v>0</v>
      </c>
      <c r="P89" s="64">
        <v>1.21</v>
      </c>
      <c r="Q89" s="64">
        <v>9.77</v>
      </c>
      <c r="R89" s="198"/>
      <c r="S89" s="198"/>
      <c r="T89" s="198"/>
      <c r="U89" s="198"/>
    </row>
    <row r="90" spans="1:26" s="12" customFormat="1" x14ac:dyDescent="0.25">
      <c r="A90" s="215" t="s">
        <v>1482</v>
      </c>
      <c r="B90" s="64">
        <v>8.09</v>
      </c>
      <c r="C90" s="64">
        <v>18.100000000000001</v>
      </c>
      <c r="D90" s="64">
        <v>17.13</v>
      </c>
      <c r="E90" s="64">
        <v>2.37</v>
      </c>
      <c r="F90" s="64">
        <v>6.27</v>
      </c>
      <c r="G90" s="64">
        <v>32.14</v>
      </c>
      <c r="H90" s="64">
        <v>14.58</v>
      </c>
      <c r="I90" s="218" t="s">
        <v>36</v>
      </c>
      <c r="J90" s="64">
        <v>0.08</v>
      </c>
      <c r="K90" s="64">
        <v>38.43</v>
      </c>
      <c r="L90" s="64">
        <v>25.79</v>
      </c>
      <c r="M90" s="64">
        <v>78.17</v>
      </c>
      <c r="N90" s="64">
        <v>38</v>
      </c>
      <c r="O90" s="64">
        <v>0</v>
      </c>
      <c r="P90" s="64">
        <v>1.21</v>
      </c>
      <c r="Q90" s="64">
        <v>10.26</v>
      </c>
      <c r="R90" s="198"/>
      <c r="S90" s="198"/>
      <c r="T90" s="198"/>
      <c r="U90" s="198"/>
    </row>
    <row r="91" spans="1:26" s="12" customFormat="1" x14ac:dyDescent="0.25">
      <c r="A91" s="215" t="s">
        <v>1483</v>
      </c>
      <c r="B91" s="64">
        <v>7.78</v>
      </c>
      <c r="C91" s="64">
        <v>15.97</v>
      </c>
      <c r="D91" s="64">
        <v>15.7</v>
      </c>
      <c r="E91" s="64">
        <v>2.0299999999999998</v>
      </c>
      <c r="F91" s="64">
        <v>6.92</v>
      </c>
      <c r="G91" s="64">
        <v>32.14</v>
      </c>
      <c r="H91" s="64">
        <v>14.58</v>
      </c>
      <c r="I91" s="218" t="s">
        <v>36</v>
      </c>
      <c r="J91" s="64">
        <v>0.13</v>
      </c>
      <c r="K91" s="64">
        <v>27.01</v>
      </c>
      <c r="L91" s="64">
        <v>25.66</v>
      </c>
      <c r="M91" s="64">
        <v>79.010000000000005</v>
      </c>
      <c r="N91" s="64">
        <v>38.200000000000003</v>
      </c>
      <c r="O91" s="64">
        <v>0</v>
      </c>
      <c r="P91" s="64">
        <v>1.22</v>
      </c>
      <c r="Q91" s="64">
        <v>8.7799999999999994</v>
      </c>
      <c r="R91" s="198"/>
      <c r="S91" s="198"/>
      <c r="T91" s="198"/>
      <c r="U91" s="198"/>
    </row>
    <row r="92" spans="1:26" s="12" customFormat="1" x14ac:dyDescent="0.25">
      <c r="A92" s="215" t="s">
        <v>1484</v>
      </c>
      <c r="B92" s="64">
        <v>7.67</v>
      </c>
      <c r="C92" s="64">
        <v>15.67</v>
      </c>
      <c r="D92" s="64">
        <v>15.44</v>
      </c>
      <c r="E92" s="64">
        <v>1.79</v>
      </c>
      <c r="F92" s="64">
        <v>6.92</v>
      </c>
      <c r="G92" s="64">
        <v>34.590000000000003</v>
      </c>
      <c r="H92" s="64">
        <v>14.04</v>
      </c>
      <c r="I92" s="218" t="s">
        <v>36</v>
      </c>
      <c r="J92" s="64">
        <v>0.01</v>
      </c>
      <c r="K92" s="64">
        <v>317.60000000000002</v>
      </c>
      <c r="L92" s="64">
        <v>25.52</v>
      </c>
      <c r="M92" s="64">
        <v>80.319999999999993</v>
      </c>
      <c r="N92" s="64">
        <v>38.1</v>
      </c>
      <c r="O92" s="64">
        <v>0</v>
      </c>
      <c r="P92" s="64">
        <v>1.26</v>
      </c>
      <c r="Q92" s="64">
        <v>8.8800000000000008</v>
      </c>
      <c r="R92" s="198"/>
      <c r="S92" s="198"/>
      <c r="T92" s="198"/>
      <c r="U92" s="198"/>
    </row>
    <row r="93" spans="1:26" s="12" customFormat="1" x14ac:dyDescent="0.25">
      <c r="A93" s="215" t="s">
        <v>1485</v>
      </c>
      <c r="B93" s="64">
        <v>10.63</v>
      </c>
      <c r="C93" s="64">
        <v>19.98</v>
      </c>
      <c r="D93" s="64">
        <v>20.2</v>
      </c>
      <c r="E93" s="64">
        <v>1.92</v>
      </c>
      <c r="F93" s="64">
        <v>7.52</v>
      </c>
      <c r="G93" s="64">
        <v>34.68</v>
      </c>
      <c r="H93" s="64">
        <v>14.04</v>
      </c>
      <c r="I93" s="218" t="s">
        <v>36</v>
      </c>
      <c r="J93" s="64">
        <v>0.09</v>
      </c>
      <c r="K93" s="64">
        <v>241.53</v>
      </c>
      <c r="L93" s="64">
        <v>25.44</v>
      </c>
      <c r="M93" s="64">
        <v>81.569999999999993</v>
      </c>
      <c r="N93" s="64">
        <v>38.1</v>
      </c>
      <c r="O93" s="64">
        <v>0</v>
      </c>
      <c r="P93" s="64">
        <v>1.26</v>
      </c>
      <c r="Q93" s="64">
        <v>8.01</v>
      </c>
      <c r="R93" s="198"/>
      <c r="S93" s="198"/>
      <c r="T93" s="198"/>
      <c r="U93" s="198"/>
    </row>
    <row r="94" spans="1:26" s="12" customFormat="1" x14ac:dyDescent="0.25">
      <c r="A94" s="215" t="s">
        <v>1486</v>
      </c>
      <c r="B94" s="64">
        <v>7.57</v>
      </c>
      <c r="C94" s="64">
        <v>15.97</v>
      </c>
      <c r="D94" s="64">
        <v>15.53</v>
      </c>
      <c r="E94" s="64">
        <v>1.6</v>
      </c>
      <c r="F94" s="64">
        <v>6.12</v>
      </c>
      <c r="G94" s="64">
        <v>34.68</v>
      </c>
      <c r="H94" s="64">
        <v>14.04</v>
      </c>
      <c r="I94" s="218" t="s">
        <v>36</v>
      </c>
      <c r="J94" s="64">
        <v>0.1</v>
      </c>
      <c r="K94" s="64">
        <v>31.19</v>
      </c>
      <c r="L94" s="64">
        <v>25.33</v>
      </c>
      <c r="M94" s="64">
        <v>82.18</v>
      </c>
      <c r="N94" s="64">
        <v>38.200000000000003</v>
      </c>
      <c r="O94" s="64">
        <v>0</v>
      </c>
      <c r="P94" s="64">
        <v>1.25</v>
      </c>
      <c r="Q94" s="64">
        <v>7.46</v>
      </c>
      <c r="R94" s="198"/>
      <c r="S94" s="198"/>
      <c r="T94" s="198"/>
      <c r="U94" s="198"/>
    </row>
    <row r="95" spans="1:26" s="12" customFormat="1" x14ac:dyDescent="0.25">
      <c r="A95" s="215" t="s">
        <v>1487</v>
      </c>
      <c r="B95" s="64">
        <v>9.9600000000000009</v>
      </c>
      <c r="C95" s="64">
        <v>17.63</v>
      </c>
      <c r="D95" s="64">
        <v>18.36</v>
      </c>
      <c r="E95" s="64">
        <v>1.72</v>
      </c>
      <c r="F95" s="64">
        <v>4.68</v>
      </c>
      <c r="G95" s="64">
        <v>34.68</v>
      </c>
      <c r="H95" s="64">
        <v>14.04</v>
      </c>
      <c r="I95" s="218" t="s">
        <v>36</v>
      </c>
      <c r="J95" s="64">
        <v>0.18</v>
      </c>
      <c r="K95" s="64">
        <v>37.92</v>
      </c>
      <c r="L95" s="64">
        <v>25.32</v>
      </c>
      <c r="M95" s="64">
        <v>82.27</v>
      </c>
      <c r="N95" s="64">
        <v>38</v>
      </c>
      <c r="O95" s="64">
        <v>0</v>
      </c>
      <c r="P95" s="64">
        <v>1.27</v>
      </c>
      <c r="Q95" s="64">
        <v>7.79</v>
      </c>
      <c r="R95" s="198"/>
      <c r="S95" s="198"/>
      <c r="T95" s="198"/>
      <c r="U95" s="198"/>
    </row>
    <row r="96" spans="1:26" s="12" customFormat="1" x14ac:dyDescent="0.25">
      <c r="A96" s="215" t="s">
        <v>1488</v>
      </c>
      <c r="B96" s="64">
        <v>8.68</v>
      </c>
      <c r="C96" s="64">
        <v>15.39</v>
      </c>
      <c r="D96" s="64">
        <v>16.100000000000001</v>
      </c>
      <c r="E96" s="64">
        <v>1.78</v>
      </c>
      <c r="F96" s="64">
        <v>4.74</v>
      </c>
      <c r="G96" s="64">
        <v>34.700000000000003</v>
      </c>
      <c r="H96" s="64">
        <v>16.62</v>
      </c>
      <c r="I96" s="218" t="s">
        <v>36</v>
      </c>
      <c r="J96" s="64">
        <v>0.12</v>
      </c>
      <c r="K96" s="64">
        <v>24.04</v>
      </c>
      <c r="L96" s="64">
        <v>25.22</v>
      </c>
      <c r="M96" s="64">
        <v>83.27</v>
      </c>
      <c r="N96" s="64">
        <v>38.1</v>
      </c>
      <c r="O96" s="64">
        <v>0</v>
      </c>
      <c r="P96" s="64">
        <v>1.3</v>
      </c>
      <c r="Q96" s="64">
        <v>7.71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1489</v>
      </c>
      <c r="B97" s="64">
        <v>6.62</v>
      </c>
      <c r="C97" s="64">
        <v>18.07</v>
      </c>
      <c r="D97" s="64">
        <v>15.92</v>
      </c>
      <c r="E97" s="64">
        <v>2.02</v>
      </c>
      <c r="F97" s="64">
        <v>13.62</v>
      </c>
      <c r="G97" s="64">
        <v>34.71</v>
      </c>
      <c r="H97" s="64">
        <v>16.62</v>
      </c>
      <c r="I97" s="218" t="s">
        <v>36</v>
      </c>
      <c r="J97" s="64">
        <v>0.04</v>
      </c>
      <c r="K97" s="64">
        <v>1.19</v>
      </c>
      <c r="L97" s="64">
        <v>25.12</v>
      </c>
      <c r="M97" s="64">
        <v>83.61</v>
      </c>
      <c r="N97" s="64">
        <v>38</v>
      </c>
      <c r="O97" s="64">
        <v>0</v>
      </c>
      <c r="P97" s="64">
        <v>1.28</v>
      </c>
      <c r="Q97" s="64">
        <v>9.6999999999999993</v>
      </c>
      <c r="R97" s="198"/>
      <c r="S97" s="198"/>
      <c r="T97" s="198"/>
      <c r="U97" s="198"/>
    </row>
    <row r="98" spans="1:33" s="12" customFormat="1" x14ac:dyDescent="0.25">
      <c r="A98" s="215" t="s">
        <v>1490</v>
      </c>
      <c r="B98" s="64">
        <v>5.69</v>
      </c>
      <c r="C98" s="64">
        <v>18.899999999999999</v>
      </c>
      <c r="D98" s="64">
        <v>15.64</v>
      </c>
      <c r="E98" s="64">
        <v>1.77</v>
      </c>
      <c r="F98" s="64">
        <v>15.57</v>
      </c>
      <c r="G98" s="64">
        <v>34.71</v>
      </c>
      <c r="H98" s="64">
        <v>16.62</v>
      </c>
      <c r="I98" s="218" t="s">
        <v>36</v>
      </c>
      <c r="J98" s="64">
        <v>0.09</v>
      </c>
      <c r="K98" s="64">
        <v>14.17</v>
      </c>
      <c r="L98" s="64">
        <v>25.07</v>
      </c>
      <c r="M98" s="64">
        <v>84.47</v>
      </c>
      <c r="N98" s="64">
        <v>38</v>
      </c>
      <c r="O98" s="64">
        <v>0</v>
      </c>
      <c r="P98" s="64">
        <v>1.28</v>
      </c>
      <c r="Q98" s="64">
        <v>9.73</v>
      </c>
      <c r="R98" s="198"/>
      <c r="S98" s="198"/>
      <c r="T98" s="198"/>
      <c r="U98" s="198"/>
    </row>
    <row r="99" spans="1:33" s="12" customFormat="1" x14ac:dyDescent="0.25">
      <c r="A99" s="215" t="s">
        <v>1491</v>
      </c>
      <c r="B99" s="64">
        <v>7.16</v>
      </c>
      <c r="C99" s="64">
        <v>21.66</v>
      </c>
      <c r="D99" s="64">
        <v>18.34</v>
      </c>
      <c r="E99" s="64">
        <v>1.87</v>
      </c>
      <c r="F99" s="64">
        <v>11.95</v>
      </c>
      <c r="G99" s="64">
        <v>34.71</v>
      </c>
      <c r="H99" s="64">
        <v>16.62</v>
      </c>
      <c r="I99" s="218" t="s">
        <v>36</v>
      </c>
      <c r="J99" s="64">
        <v>0.04</v>
      </c>
      <c r="K99" s="64">
        <v>39.76</v>
      </c>
      <c r="L99" s="64">
        <v>24.91</v>
      </c>
      <c r="M99" s="64">
        <v>85.46</v>
      </c>
      <c r="N99" s="64">
        <v>38</v>
      </c>
      <c r="O99" s="64">
        <v>0</v>
      </c>
      <c r="P99" s="64">
        <v>1.27</v>
      </c>
      <c r="Q99" s="64">
        <v>11.36</v>
      </c>
      <c r="R99" s="198"/>
      <c r="S99" s="198"/>
      <c r="T99" s="198"/>
      <c r="U99" s="198"/>
    </row>
    <row r="100" spans="1:33" s="12" customFormat="1" x14ac:dyDescent="0.25">
      <c r="A100" s="215" t="s">
        <v>1492</v>
      </c>
      <c r="B100" s="64">
        <v>6.17</v>
      </c>
      <c r="C100" s="64">
        <v>23.94</v>
      </c>
      <c r="D100" s="64">
        <v>18.809999999999999</v>
      </c>
      <c r="E100" s="64">
        <v>1.31</v>
      </c>
      <c r="F100" s="64">
        <v>13.17</v>
      </c>
      <c r="G100" s="64">
        <v>35.99</v>
      </c>
      <c r="H100" s="64">
        <v>16.32</v>
      </c>
      <c r="I100" s="218" t="s">
        <v>36</v>
      </c>
      <c r="J100" s="64">
        <v>0.24</v>
      </c>
      <c r="K100" s="64">
        <v>160</v>
      </c>
      <c r="L100" s="64">
        <v>24.78</v>
      </c>
      <c r="M100" s="64">
        <v>87.24</v>
      </c>
      <c r="N100" s="64">
        <v>37.9</v>
      </c>
      <c r="O100" s="64">
        <v>0</v>
      </c>
      <c r="P100" s="64">
        <v>1.26</v>
      </c>
      <c r="Q100" s="64">
        <v>11.48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1493</v>
      </c>
      <c r="B101" s="64">
        <v>5.38</v>
      </c>
      <c r="C101" s="64">
        <v>17.760000000000002</v>
      </c>
      <c r="D101" s="64">
        <v>14.76</v>
      </c>
      <c r="E101" s="64">
        <v>1.75</v>
      </c>
      <c r="F101" s="64">
        <v>11.23</v>
      </c>
      <c r="G101" s="64">
        <v>36.03</v>
      </c>
      <c r="H101" s="64">
        <v>16.32</v>
      </c>
      <c r="I101" s="218" t="s">
        <v>36</v>
      </c>
      <c r="J101" s="64">
        <v>0.03</v>
      </c>
      <c r="K101" s="64">
        <v>257.38</v>
      </c>
      <c r="L101" s="64">
        <v>24.64</v>
      </c>
      <c r="M101" s="64">
        <v>88.22</v>
      </c>
      <c r="N101" s="64">
        <v>38</v>
      </c>
      <c r="O101" s="64">
        <v>0</v>
      </c>
      <c r="P101" s="64">
        <v>1.24</v>
      </c>
      <c r="Q101" s="64">
        <v>13.1</v>
      </c>
      <c r="R101" s="198"/>
      <c r="S101" s="198"/>
      <c r="T101" s="198"/>
      <c r="U101" s="198"/>
    </row>
    <row r="102" spans="1:33" s="12" customFormat="1" x14ac:dyDescent="0.25">
      <c r="A102" s="215" t="s">
        <v>1494</v>
      </c>
      <c r="B102" s="64">
        <v>6.5</v>
      </c>
      <c r="C102" s="64">
        <v>13.78</v>
      </c>
      <c r="D102" s="64">
        <v>13.47</v>
      </c>
      <c r="E102" s="64">
        <v>2.09</v>
      </c>
      <c r="F102" s="64">
        <v>9.74</v>
      </c>
      <c r="G102" s="64">
        <v>36.03</v>
      </c>
      <c r="H102" s="64">
        <v>16.32</v>
      </c>
      <c r="I102" s="218" t="s">
        <v>36</v>
      </c>
      <c r="J102" s="64">
        <v>0.16</v>
      </c>
      <c r="K102" s="64">
        <v>206.41</v>
      </c>
      <c r="L102" s="64">
        <v>24.6</v>
      </c>
      <c r="M102" s="64">
        <v>89.04</v>
      </c>
      <c r="N102" s="64">
        <v>37.9</v>
      </c>
      <c r="O102" s="64">
        <v>0</v>
      </c>
      <c r="P102" s="64">
        <v>1.22</v>
      </c>
      <c r="Q102" s="64">
        <v>12.92</v>
      </c>
      <c r="R102" s="198"/>
      <c r="S102" s="198"/>
      <c r="T102" s="198"/>
      <c r="U102" s="198"/>
    </row>
    <row r="103" spans="1:33" s="12" customFormat="1" x14ac:dyDescent="0.25">
      <c r="A103" s="215" t="s">
        <v>1495</v>
      </c>
      <c r="B103" s="64">
        <v>6.18</v>
      </c>
      <c r="C103" s="64">
        <v>12.78</v>
      </c>
      <c r="D103" s="64">
        <v>12.65</v>
      </c>
      <c r="E103" s="64">
        <v>1.78</v>
      </c>
      <c r="F103" s="64">
        <v>9.5399999999999991</v>
      </c>
      <c r="G103" s="64">
        <v>36.03</v>
      </c>
      <c r="H103" s="64">
        <v>16.32</v>
      </c>
      <c r="I103" s="218" t="s">
        <v>36</v>
      </c>
      <c r="J103" s="64">
        <v>0.1</v>
      </c>
      <c r="K103" s="64">
        <v>158.86000000000001</v>
      </c>
      <c r="L103" s="64">
        <v>24.44</v>
      </c>
      <c r="M103" s="64">
        <v>89.42</v>
      </c>
      <c r="N103" s="64">
        <v>38</v>
      </c>
      <c r="O103" s="64">
        <v>0</v>
      </c>
      <c r="P103" s="64">
        <v>1.22</v>
      </c>
      <c r="Q103" s="64">
        <v>11.34</v>
      </c>
      <c r="R103" s="198"/>
      <c r="S103" s="198"/>
      <c r="T103" s="198"/>
      <c r="U103" s="198"/>
    </row>
    <row r="104" spans="1:33" s="12" customFormat="1" x14ac:dyDescent="0.25">
      <c r="A104" s="215" t="s">
        <v>1496</v>
      </c>
      <c r="B104" s="64">
        <v>5.64</v>
      </c>
      <c r="C104" s="64">
        <v>12.38</v>
      </c>
      <c r="D104" s="64">
        <v>12</v>
      </c>
      <c r="E104" s="64">
        <v>2.12</v>
      </c>
      <c r="F104" s="64">
        <v>11.58</v>
      </c>
      <c r="G104" s="64">
        <v>32.729999999999997</v>
      </c>
      <c r="H104" s="64">
        <v>24.37</v>
      </c>
      <c r="I104" s="218" t="s">
        <v>36</v>
      </c>
      <c r="J104" s="64">
        <v>0.26</v>
      </c>
      <c r="K104" s="64">
        <v>179</v>
      </c>
      <c r="L104" s="64">
        <v>24.38</v>
      </c>
      <c r="M104" s="64">
        <v>89.53</v>
      </c>
      <c r="N104" s="64">
        <v>37.700000000000003</v>
      </c>
      <c r="O104" s="64">
        <v>0</v>
      </c>
      <c r="P104" s="64">
        <v>1.18</v>
      </c>
      <c r="Q104" s="64">
        <v>11.28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2.5499999999999998</v>
      </c>
      <c r="C106" s="67">
        <f>MIN(C9:C104)</f>
        <v>9.4499999999999993</v>
      </c>
      <c r="D106" s="67">
        <f t="shared" ref="D106:Q106" si="0">MIN(D9:D104)</f>
        <v>8.9499999999999993</v>
      </c>
      <c r="E106" s="67">
        <f t="shared" si="0"/>
        <v>0.6</v>
      </c>
      <c r="F106" s="67">
        <f t="shared" si="0"/>
        <v>3.8</v>
      </c>
      <c r="G106" s="67">
        <f t="shared" si="0"/>
        <v>19.489999999999998</v>
      </c>
      <c r="H106" s="67">
        <f t="shared" si="0"/>
        <v>8.93</v>
      </c>
      <c r="I106" s="67">
        <f t="shared" si="0"/>
        <v>0</v>
      </c>
      <c r="J106" s="67">
        <f t="shared" si="0"/>
        <v>0</v>
      </c>
      <c r="K106" s="67">
        <f t="shared" si="0"/>
        <v>1.19</v>
      </c>
      <c r="L106" s="67">
        <f t="shared" si="0"/>
        <v>22.11</v>
      </c>
      <c r="M106" s="67">
        <f t="shared" si="0"/>
        <v>68.989999999999995</v>
      </c>
      <c r="N106" s="67">
        <f t="shared" si="0"/>
        <v>37.700000000000003</v>
      </c>
      <c r="O106" s="67">
        <f t="shared" si="0"/>
        <v>0</v>
      </c>
      <c r="P106" s="67">
        <f t="shared" si="0"/>
        <v>0.71</v>
      </c>
      <c r="Q106" s="67">
        <f t="shared" si="0"/>
        <v>2.65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21.7</v>
      </c>
      <c r="C107" s="66">
        <f t="shared" ref="C107:Q107" si="1">MAX(C9:C104)</f>
        <v>32.36</v>
      </c>
      <c r="D107" s="66">
        <f t="shared" si="1"/>
        <v>30.88</v>
      </c>
      <c r="E107" s="66">
        <f t="shared" si="1"/>
        <v>2.57</v>
      </c>
      <c r="F107" s="66">
        <f t="shared" si="1"/>
        <v>16.170000000000002</v>
      </c>
      <c r="G107" s="66">
        <f t="shared" si="1"/>
        <v>36.03</v>
      </c>
      <c r="H107" s="66">
        <f t="shared" si="1"/>
        <v>24.37</v>
      </c>
      <c r="I107" s="66">
        <f t="shared" si="1"/>
        <v>0</v>
      </c>
      <c r="J107" s="66">
        <f t="shared" si="1"/>
        <v>1.02</v>
      </c>
      <c r="K107" s="66">
        <f t="shared" si="1"/>
        <v>356.35</v>
      </c>
      <c r="L107" s="66">
        <f t="shared" si="1"/>
        <v>28.3</v>
      </c>
      <c r="M107" s="66">
        <f t="shared" si="1"/>
        <v>97.2</v>
      </c>
      <c r="N107" s="66">
        <f t="shared" si="1"/>
        <v>975.4</v>
      </c>
      <c r="O107" s="66">
        <f t="shared" si="1"/>
        <v>0</v>
      </c>
      <c r="P107" s="66">
        <f t="shared" si="1"/>
        <v>1.3</v>
      </c>
      <c r="Q107" s="66">
        <f t="shared" si="1"/>
        <v>15.77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5.4478124999999986</v>
      </c>
      <c r="C108" s="67">
        <f t="shared" ref="C108:Q108" si="2">AVERAGE(C9:C104)</f>
        <v>13.795729166666673</v>
      </c>
      <c r="D108" s="67">
        <f t="shared" si="2"/>
        <v>12.628437500000006</v>
      </c>
      <c r="E108" s="67">
        <f t="shared" si="2"/>
        <v>1.7960416666666665</v>
      </c>
      <c r="F108" s="67">
        <f t="shared" si="2"/>
        <v>7.4488541666666661</v>
      </c>
      <c r="G108" s="67">
        <f t="shared" si="2"/>
        <v>26.63729166666667</v>
      </c>
      <c r="H108" s="67">
        <f t="shared" si="2"/>
        <v>13.000104166666661</v>
      </c>
      <c r="I108" s="67" t="e">
        <f t="shared" si="2"/>
        <v>#DIV/0!</v>
      </c>
      <c r="J108" s="67">
        <f t="shared" si="2"/>
        <v>0.24666666666666667</v>
      </c>
      <c r="K108" s="67">
        <f t="shared" si="2"/>
        <v>160.96104166666672</v>
      </c>
      <c r="L108" s="67">
        <f t="shared" si="2"/>
        <v>25.117812500000003</v>
      </c>
      <c r="M108" s="67">
        <f t="shared" si="2"/>
        <v>83.359479166666702</v>
      </c>
      <c r="N108" s="67">
        <f t="shared" si="2"/>
        <v>201.94583333333324</v>
      </c>
      <c r="O108" s="67">
        <f t="shared" si="2"/>
        <v>0</v>
      </c>
      <c r="P108" s="67">
        <f t="shared" si="2"/>
        <v>0.95843749999999994</v>
      </c>
      <c r="Q108" s="67">
        <f t="shared" si="2"/>
        <v>8.7371874999999992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2.4156878515347677</v>
      </c>
      <c r="C109" s="67">
        <f t="shared" ref="C109:Q109" si="3">STDEV(C9:C104)</f>
        <v>4.1773708036443375</v>
      </c>
      <c r="D109" s="67">
        <f t="shared" si="3"/>
        <v>3.674883837226024</v>
      </c>
      <c r="E109" s="67">
        <f t="shared" si="3"/>
        <v>0.35578076977311696</v>
      </c>
      <c r="F109" s="67">
        <f t="shared" si="3"/>
        <v>3.17305858415958</v>
      </c>
      <c r="G109" s="67">
        <f t="shared" si="3"/>
        <v>4.7858672379515976</v>
      </c>
      <c r="H109" s="67">
        <f t="shared" si="3"/>
        <v>2.5797345823458193</v>
      </c>
      <c r="I109" s="67" t="e">
        <f t="shared" si="3"/>
        <v>#DIV/0!</v>
      </c>
      <c r="J109" s="67">
        <f t="shared" si="3"/>
        <v>0.2575130723985492</v>
      </c>
      <c r="K109" s="67">
        <f t="shared" si="3"/>
        <v>89.93282224415195</v>
      </c>
      <c r="L109" s="67">
        <f t="shared" si="3"/>
        <v>1.9662002913046053</v>
      </c>
      <c r="M109" s="67">
        <f t="shared" si="3"/>
        <v>10.012082844431873</v>
      </c>
      <c r="N109" s="67">
        <f t="shared" si="3"/>
        <v>225.06951717503534</v>
      </c>
      <c r="O109" s="67">
        <f t="shared" si="3"/>
        <v>0</v>
      </c>
      <c r="P109" s="67">
        <f t="shared" si="3"/>
        <v>0.17875786695974985</v>
      </c>
      <c r="Q109" s="67">
        <f t="shared" si="3"/>
        <v>3.0606272845611233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COUNT(I9:I104)+96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1497</v>
      </c>
      <c r="B9" s="64">
        <v>5.97</v>
      </c>
      <c r="C9" s="64">
        <v>12.14</v>
      </c>
      <c r="D9" s="64">
        <v>12.14</v>
      </c>
      <c r="E9" s="64">
        <v>2.31</v>
      </c>
      <c r="F9" s="64">
        <v>8.83</v>
      </c>
      <c r="G9" s="64">
        <v>32.619999999999997</v>
      </c>
      <c r="H9" s="64">
        <v>24.37</v>
      </c>
      <c r="I9" s="218" t="s">
        <v>36</v>
      </c>
      <c r="J9" s="64">
        <v>0.02</v>
      </c>
      <c r="K9" s="64">
        <v>348.63</v>
      </c>
      <c r="L9" s="64">
        <v>24.32</v>
      </c>
      <c r="M9" s="64">
        <v>89.7</v>
      </c>
      <c r="N9" s="64">
        <v>37.9</v>
      </c>
      <c r="O9" s="64">
        <v>0</v>
      </c>
      <c r="P9" s="64">
        <v>1.18</v>
      </c>
      <c r="Q9" s="64">
        <v>10.68</v>
      </c>
      <c r="R9" s="198"/>
      <c r="S9" s="198"/>
      <c r="T9" s="198"/>
      <c r="U9" s="198"/>
    </row>
    <row r="10" spans="1:21" s="12" customFormat="1" x14ac:dyDescent="0.25">
      <c r="A10" s="215" t="s">
        <v>1498</v>
      </c>
      <c r="B10" s="64">
        <v>5.39</v>
      </c>
      <c r="C10" s="64">
        <v>12.49</v>
      </c>
      <c r="D10" s="64">
        <v>11.86</v>
      </c>
      <c r="E10" s="64">
        <v>2</v>
      </c>
      <c r="F10" s="64">
        <v>9.76</v>
      </c>
      <c r="G10" s="64">
        <v>32.619999999999997</v>
      </c>
      <c r="H10" s="64">
        <v>24.37</v>
      </c>
      <c r="I10" s="218" t="s">
        <v>36</v>
      </c>
      <c r="J10" s="64">
        <v>0.08</v>
      </c>
      <c r="K10" s="64">
        <v>183.08</v>
      </c>
      <c r="L10" s="64">
        <v>24.34</v>
      </c>
      <c r="M10" s="64">
        <v>89.52</v>
      </c>
      <c r="N10" s="64">
        <v>37.6</v>
      </c>
      <c r="O10" s="64">
        <v>0</v>
      </c>
      <c r="P10" s="64">
        <v>1.17</v>
      </c>
      <c r="Q10" s="64">
        <v>10.5</v>
      </c>
      <c r="R10" s="198"/>
      <c r="S10" s="198"/>
      <c r="T10" s="198"/>
      <c r="U10" s="198"/>
    </row>
    <row r="11" spans="1:21" s="12" customFormat="1" x14ac:dyDescent="0.25">
      <c r="A11" s="215" t="s">
        <v>1499</v>
      </c>
      <c r="B11" s="64">
        <v>5.25</v>
      </c>
      <c r="C11" s="64">
        <v>12.07</v>
      </c>
      <c r="D11" s="64">
        <v>11.51</v>
      </c>
      <c r="E11" s="64">
        <v>2.23</v>
      </c>
      <c r="F11" s="64">
        <v>11.61</v>
      </c>
      <c r="G11" s="64">
        <v>32.619999999999997</v>
      </c>
      <c r="H11" s="64">
        <v>24.37</v>
      </c>
      <c r="I11" s="218" t="s">
        <v>36</v>
      </c>
      <c r="J11" s="64">
        <v>0.14000000000000001</v>
      </c>
      <c r="K11" s="64">
        <v>153.31</v>
      </c>
      <c r="L11" s="64">
        <v>24.47</v>
      </c>
      <c r="M11" s="64">
        <v>88.76</v>
      </c>
      <c r="N11" s="64">
        <v>37.799999999999997</v>
      </c>
      <c r="O11" s="64">
        <v>0</v>
      </c>
      <c r="P11" s="64">
        <v>1.1599999999999999</v>
      </c>
      <c r="Q11" s="64">
        <v>10.69</v>
      </c>
      <c r="R11" s="198"/>
      <c r="S11" s="198"/>
      <c r="T11" s="198"/>
      <c r="U11" s="198"/>
    </row>
    <row r="12" spans="1:21" s="12" customFormat="1" x14ac:dyDescent="0.25">
      <c r="A12" s="215" t="s">
        <v>1500</v>
      </c>
      <c r="B12" s="64">
        <v>4.97</v>
      </c>
      <c r="C12" s="64">
        <v>11.32</v>
      </c>
      <c r="D12" s="64">
        <v>10.88</v>
      </c>
      <c r="E12" s="64">
        <v>1.62</v>
      </c>
      <c r="F12" s="64">
        <v>12.33</v>
      </c>
      <c r="G12" s="64">
        <v>30.03</v>
      </c>
      <c r="H12" s="64">
        <v>30.37</v>
      </c>
      <c r="I12" s="218" t="s">
        <v>36</v>
      </c>
      <c r="J12" s="64">
        <v>0.05</v>
      </c>
      <c r="K12" s="64">
        <v>232.33</v>
      </c>
      <c r="L12" s="64">
        <v>24.44</v>
      </c>
      <c r="M12" s="64">
        <v>88.51</v>
      </c>
      <c r="N12" s="64">
        <v>38</v>
      </c>
      <c r="O12" s="64">
        <v>0</v>
      </c>
      <c r="P12" s="64">
        <v>1.1299999999999999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15" t="s">
        <v>1501</v>
      </c>
      <c r="B13" s="64">
        <v>3.81</v>
      </c>
      <c r="C13" s="64">
        <v>10.55</v>
      </c>
      <c r="D13" s="64">
        <v>9.5299999999999994</v>
      </c>
      <c r="E13" s="64">
        <v>1.79</v>
      </c>
      <c r="F13" s="64">
        <v>18.18</v>
      </c>
      <c r="G13" s="64">
        <v>29.94</v>
      </c>
      <c r="H13" s="64">
        <v>30.37</v>
      </c>
      <c r="I13" s="218" t="s">
        <v>36</v>
      </c>
      <c r="J13" s="64">
        <v>0.05</v>
      </c>
      <c r="K13" s="64">
        <v>252.07</v>
      </c>
      <c r="L13" s="64">
        <v>24.37</v>
      </c>
      <c r="M13" s="64">
        <v>88.04</v>
      </c>
      <c r="N13" s="64">
        <v>38.1</v>
      </c>
      <c r="O13" s="64">
        <v>0</v>
      </c>
      <c r="P13" s="64">
        <v>1.07</v>
      </c>
      <c r="Q13" s="64">
        <v>12.07</v>
      </c>
      <c r="R13" s="198"/>
      <c r="S13" s="198"/>
      <c r="T13" s="198"/>
      <c r="U13" s="198"/>
    </row>
    <row r="14" spans="1:21" s="12" customFormat="1" x14ac:dyDescent="0.25">
      <c r="A14" s="215" t="s">
        <v>1502</v>
      </c>
      <c r="B14" s="64">
        <v>3.31</v>
      </c>
      <c r="C14" s="64">
        <v>10.25</v>
      </c>
      <c r="D14" s="64">
        <v>8.9600000000000009</v>
      </c>
      <c r="E14" s="64">
        <v>2.42</v>
      </c>
      <c r="F14" s="64">
        <v>19.29</v>
      </c>
      <c r="G14" s="64">
        <v>29.94</v>
      </c>
      <c r="H14" s="64">
        <v>30.37</v>
      </c>
      <c r="I14" s="218" t="s">
        <v>36</v>
      </c>
      <c r="J14" s="64">
        <v>0.32</v>
      </c>
      <c r="K14" s="64">
        <v>160.53</v>
      </c>
      <c r="L14" s="64">
        <v>24.26</v>
      </c>
      <c r="M14" s="64">
        <v>88.88</v>
      </c>
      <c r="N14" s="64">
        <v>37.799999999999997</v>
      </c>
      <c r="O14" s="64">
        <v>0</v>
      </c>
      <c r="P14" s="64">
        <v>1.1100000000000001</v>
      </c>
      <c r="Q14" s="64">
        <v>12.29</v>
      </c>
      <c r="R14" s="198"/>
      <c r="S14" s="198"/>
      <c r="T14" s="198"/>
      <c r="U14" s="198"/>
    </row>
    <row r="15" spans="1:21" s="12" customFormat="1" x14ac:dyDescent="0.25">
      <c r="A15" s="215" t="s">
        <v>1503</v>
      </c>
      <c r="B15" s="64">
        <v>3.56</v>
      </c>
      <c r="C15" s="64">
        <v>9.9600000000000009</v>
      </c>
      <c r="D15" s="64">
        <v>9</v>
      </c>
      <c r="E15" s="64">
        <v>2.44</v>
      </c>
      <c r="F15" s="64">
        <v>19.39</v>
      </c>
      <c r="G15" s="64">
        <v>29.94</v>
      </c>
      <c r="H15" s="64">
        <v>30.37</v>
      </c>
      <c r="I15" s="218" t="s">
        <v>36</v>
      </c>
      <c r="J15" s="64">
        <v>0.47</v>
      </c>
      <c r="K15" s="64">
        <v>163.35</v>
      </c>
      <c r="L15" s="64">
        <v>24.21</v>
      </c>
      <c r="M15" s="64">
        <v>89.16</v>
      </c>
      <c r="N15" s="64">
        <v>37.799999999999997</v>
      </c>
      <c r="O15" s="64">
        <v>0</v>
      </c>
      <c r="P15" s="64">
        <v>1.0900000000000001</v>
      </c>
      <c r="Q15" s="64">
        <v>14.29</v>
      </c>
      <c r="R15" s="198"/>
      <c r="S15" s="198"/>
      <c r="T15" s="198"/>
      <c r="U15" s="198"/>
    </row>
    <row r="16" spans="1:21" s="12" customFormat="1" x14ac:dyDescent="0.25">
      <c r="A16" s="215" t="s">
        <v>1504</v>
      </c>
      <c r="B16" s="64">
        <v>3.47</v>
      </c>
      <c r="C16" s="64">
        <v>10.34</v>
      </c>
      <c r="D16" s="64">
        <v>9.1300000000000008</v>
      </c>
      <c r="E16" s="64">
        <v>2.5499999999999998</v>
      </c>
      <c r="F16" s="64">
        <v>17.59</v>
      </c>
      <c r="G16" s="213" t="s">
        <v>42</v>
      </c>
      <c r="H16" s="213" t="s">
        <v>42</v>
      </c>
      <c r="I16" s="218" t="s">
        <v>36</v>
      </c>
      <c r="J16" s="64">
        <v>0.13</v>
      </c>
      <c r="K16" s="64">
        <v>177.93</v>
      </c>
      <c r="L16" s="64">
        <v>24.08</v>
      </c>
      <c r="M16" s="64">
        <v>89.96</v>
      </c>
      <c r="N16" s="64">
        <v>37.9</v>
      </c>
      <c r="O16" s="64">
        <v>0</v>
      </c>
      <c r="P16" s="64">
        <v>1.07</v>
      </c>
      <c r="Q16" s="64">
        <v>14.8</v>
      </c>
      <c r="R16" s="198"/>
      <c r="S16" s="198"/>
      <c r="T16" s="198"/>
      <c r="U16" s="198"/>
    </row>
    <row r="17" spans="1:21" s="12" customFormat="1" x14ac:dyDescent="0.25">
      <c r="A17" s="215" t="s">
        <v>1505</v>
      </c>
      <c r="B17" s="64">
        <v>4.08</v>
      </c>
      <c r="C17" s="64">
        <v>11.17</v>
      </c>
      <c r="D17" s="64">
        <v>10.08</v>
      </c>
      <c r="E17" s="64">
        <v>2.39</v>
      </c>
      <c r="F17" s="64">
        <v>11.65</v>
      </c>
      <c r="G17" s="213" t="s">
        <v>42</v>
      </c>
      <c r="H17" s="213" t="s">
        <v>42</v>
      </c>
      <c r="I17" s="218" t="s">
        <v>36</v>
      </c>
      <c r="J17" s="64">
        <v>0</v>
      </c>
      <c r="K17" s="64">
        <v>270.87</v>
      </c>
      <c r="L17" s="64">
        <v>23.98</v>
      </c>
      <c r="M17" s="64">
        <v>90.26</v>
      </c>
      <c r="N17" s="64">
        <v>38</v>
      </c>
      <c r="O17" s="64">
        <v>0</v>
      </c>
      <c r="P17" s="64">
        <v>1.07</v>
      </c>
      <c r="Q17" s="64">
        <v>16.54</v>
      </c>
      <c r="R17" s="198"/>
      <c r="S17" s="198"/>
      <c r="T17" s="198"/>
      <c r="U17" s="198"/>
    </row>
    <row r="18" spans="1:21" s="12" customFormat="1" x14ac:dyDescent="0.25">
      <c r="A18" s="215" t="s">
        <v>1506</v>
      </c>
      <c r="B18" s="64">
        <v>5.0599999999999996</v>
      </c>
      <c r="C18" s="64">
        <v>11.13</v>
      </c>
      <c r="D18" s="64">
        <v>10.85</v>
      </c>
      <c r="E18" s="64">
        <v>2.25</v>
      </c>
      <c r="F18" s="64">
        <v>10.220000000000001</v>
      </c>
      <c r="G18" s="213" t="s">
        <v>42</v>
      </c>
      <c r="H18" s="213" t="s">
        <v>42</v>
      </c>
      <c r="I18" s="218" t="s">
        <v>36</v>
      </c>
      <c r="J18" s="64">
        <v>0.04</v>
      </c>
      <c r="K18" s="64">
        <v>268.18</v>
      </c>
      <c r="L18" s="64">
        <v>23.91</v>
      </c>
      <c r="M18" s="64">
        <v>90.61</v>
      </c>
      <c r="N18" s="64">
        <v>37.799999999999997</v>
      </c>
      <c r="O18" s="64">
        <v>0</v>
      </c>
      <c r="P18" s="64">
        <v>1.06</v>
      </c>
      <c r="Q18" s="64">
        <v>14.95</v>
      </c>
      <c r="R18" s="198"/>
      <c r="S18" s="198"/>
      <c r="T18" s="198"/>
      <c r="U18" s="198"/>
    </row>
    <row r="19" spans="1:21" s="12" customFormat="1" x14ac:dyDescent="0.25">
      <c r="A19" s="215" t="s">
        <v>1507</v>
      </c>
      <c r="B19" s="64">
        <v>5.54</v>
      </c>
      <c r="C19" s="64">
        <v>11.03</v>
      </c>
      <c r="D19" s="64">
        <v>11.17</v>
      </c>
      <c r="E19" s="64">
        <v>2.44</v>
      </c>
      <c r="F19" s="64">
        <v>9.77</v>
      </c>
      <c r="G19" s="213" t="s">
        <v>42</v>
      </c>
      <c r="H19" s="213" t="s">
        <v>42</v>
      </c>
      <c r="I19" s="218" t="s">
        <v>36</v>
      </c>
      <c r="J19" s="64">
        <v>0.1</v>
      </c>
      <c r="K19" s="64">
        <v>211.16</v>
      </c>
      <c r="L19" s="64">
        <v>24.02</v>
      </c>
      <c r="M19" s="64">
        <v>90.31</v>
      </c>
      <c r="N19" s="64">
        <v>37.6</v>
      </c>
      <c r="O19" s="64">
        <v>0</v>
      </c>
      <c r="P19" s="64">
        <v>1.05</v>
      </c>
      <c r="Q19" s="64">
        <v>14.21</v>
      </c>
      <c r="R19" s="198"/>
      <c r="S19" s="198"/>
      <c r="T19" s="198"/>
      <c r="U19" s="198"/>
    </row>
    <row r="20" spans="1:21" s="12" customFormat="1" x14ac:dyDescent="0.25">
      <c r="A20" s="215" t="s">
        <v>1508</v>
      </c>
      <c r="B20" s="64">
        <v>5.48</v>
      </c>
      <c r="C20" s="64">
        <v>10.99</v>
      </c>
      <c r="D20" s="64">
        <v>11.11</v>
      </c>
      <c r="E20" s="64">
        <v>2.21</v>
      </c>
      <c r="F20" s="64">
        <v>7.03</v>
      </c>
      <c r="G20" s="64">
        <v>21.99</v>
      </c>
      <c r="H20" s="64">
        <v>20.18</v>
      </c>
      <c r="I20" s="218" t="s">
        <v>36</v>
      </c>
      <c r="J20" s="64">
        <v>7.0000000000000007E-2</v>
      </c>
      <c r="K20" s="64">
        <v>216.82</v>
      </c>
      <c r="L20" s="64">
        <v>24</v>
      </c>
      <c r="M20" s="64">
        <v>90.72</v>
      </c>
      <c r="N20" s="64">
        <v>37.700000000000003</v>
      </c>
      <c r="O20" s="64">
        <v>0</v>
      </c>
      <c r="P20" s="64">
        <v>1.05</v>
      </c>
      <c r="Q20" s="64">
        <v>13.2</v>
      </c>
      <c r="R20" s="198"/>
      <c r="S20" s="198"/>
      <c r="T20" s="198"/>
      <c r="U20" s="198"/>
    </row>
    <row r="21" spans="1:21" s="12" customFormat="1" x14ac:dyDescent="0.25">
      <c r="A21" s="215" t="s">
        <v>1509</v>
      </c>
      <c r="B21" s="64">
        <v>4.88</v>
      </c>
      <c r="C21" s="64">
        <v>11.17</v>
      </c>
      <c r="D21" s="64">
        <v>10.72</v>
      </c>
      <c r="E21" s="64">
        <v>2.15</v>
      </c>
      <c r="F21" s="64">
        <v>10.119999999999999</v>
      </c>
      <c r="G21" s="64">
        <v>21.92</v>
      </c>
      <c r="H21" s="64">
        <v>20.18</v>
      </c>
      <c r="I21" s="218" t="s">
        <v>36</v>
      </c>
      <c r="J21" s="64">
        <v>0.06</v>
      </c>
      <c r="K21" s="64">
        <v>214.84</v>
      </c>
      <c r="L21" s="64">
        <v>23.87</v>
      </c>
      <c r="M21" s="64">
        <v>92.43</v>
      </c>
      <c r="N21" s="64">
        <v>37.9</v>
      </c>
      <c r="O21" s="64">
        <v>0</v>
      </c>
      <c r="P21" s="64">
        <v>1.02</v>
      </c>
      <c r="Q21" s="64">
        <v>13.21</v>
      </c>
      <c r="R21" s="198"/>
      <c r="S21" s="198"/>
      <c r="T21" s="198"/>
      <c r="U21" s="198"/>
    </row>
    <row r="22" spans="1:21" s="12" customFormat="1" x14ac:dyDescent="0.25">
      <c r="A22" s="215" t="s">
        <v>1510</v>
      </c>
      <c r="B22" s="64">
        <v>5.43</v>
      </c>
      <c r="C22" s="64">
        <v>11.26</v>
      </c>
      <c r="D22" s="64">
        <v>11.21</v>
      </c>
      <c r="E22" s="64">
        <v>2.2599999999999998</v>
      </c>
      <c r="F22" s="64">
        <v>5.31</v>
      </c>
      <c r="G22" s="64">
        <v>21.92</v>
      </c>
      <c r="H22" s="64">
        <v>20.18</v>
      </c>
      <c r="I22" s="218" t="s">
        <v>36</v>
      </c>
      <c r="J22" s="64">
        <v>0.04</v>
      </c>
      <c r="K22" s="64">
        <v>12.82</v>
      </c>
      <c r="L22" s="64">
        <v>23.75</v>
      </c>
      <c r="M22" s="64">
        <v>93.56</v>
      </c>
      <c r="N22" s="64">
        <v>37.9</v>
      </c>
      <c r="O22" s="64">
        <v>0</v>
      </c>
      <c r="P22" s="64">
        <v>1.04</v>
      </c>
      <c r="Q22" s="64">
        <v>12.11</v>
      </c>
      <c r="R22" s="198"/>
      <c r="S22" s="198"/>
      <c r="T22" s="198"/>
      <c r="U22" s="198"/>
    </row>
    <row r="23" spans="1:21" s="12" customFormat="1" x14ac:dyDescent="0.25">
      <c r="A23" s="215" t="s">
        <v>1511</v>
      </c>
      <c r="B23" s="64">
        <v>5.38</v>
      </c>
      <c r="C23" s="64">
        <v>11.48</v>
      </c>
      <c r="D23" s="64">
        <v>11.3</v>
      </c>
      <c r="E23" s="64">
        <v>2.1</v>
      </c>
      <c r="F23" s="64">
        <v>6.65</v>
      </c>
      <c r="G23" s="64">
        <v>21.92</v>
      </c>
      <c r="H23" s="64">
        <v>20.18</v>
      </c>
      <c r="I23" s="218" t="s">
        <v>36</v>
      </c>
      <c r="J23" s="64">
        <v>0.12</v>
      </c>
      <c r="K23" s="64">
        <v>40.15</v>
      </c>
      <c r="L23" s="64">
        <v>23.7</v>
      </c>
      <c r="M23" s="64">
        <v>93.63</v>
      </c>
      <c r="N23" s="64">
        <v>37.700000000000003</v>
      </c>
      <c r="O23" s="64">
        <v>0</v>
      </c>
      <c r="P23" s="64">
        <v>1.03</v>
      </c>
      <c r="Q23" s="64">
        <v>11.43</v>
      </c>
      <c r="R23" s="198"/>
      <c r="S23" s="198"/>
      <c r="T23" s="198"/>
      <c r="U23" s="198"/>
    </row>
    <row r="24" spans="1:21" s="12" customFormat="1" x14ac:dyDescent="0.25">
      <c r="A24" s="215" t="s">
        <v>1512</v>
      </c>
      <c r="B24" s="64">
        <v>5.32</v>
      </c>
      <c r="C24" s="64">
        <v>11.72</v>
      </c>
      <c r="D24" s="64">
        <v>11.38</v>
      </c>
      <c r="E24" s="64">
        <v>1.63</v>
      </c>
      <c r="F24" s="64">
        <v>7.13</v>
      </c>
      <c r="G24" s="64">
        <v>19.63</v>
      </c>
      <c r="H24" s="64">
        <v>14.9</v>
      </c>
      <c r="I24" s="218" t="s">
        <v>36</v>
      </c>
      <c r="J24" s="64">
        <v>0.16</v>
      </c>
      <c r="K24" s="64">
        <v>31.66</v>
      </c>
      <c r="L24" s="64">
        <v>23.69</v>
      </c>
      <c r="M24" s="64">
        <v>93.23</v>
      </c>
      <c r="N24" s="64">
        <v>37.700000000000003</v>
      </c>
      <c r="O24" s="64">
        <v>0</v>
      </c>
      <c r="P24" s="64">
        <v>1.03</v>
      </c>
      <c r="Q24" s="64">
        <v>11.7</v>
      </c>
      <c r="R24" s="198"/>
      <c r="S24" s="198"/>
      <c r="T24" s="198"/>
      <c r="U24" s="198"/>
    </row>
    <row r="25" spans="1:21" s="12" customFormat="1" x14ac:dyDescent="0.25">
      <c r="A25" s="215" t="s">
        <v>1513</v>
      </c>
      <c r="B25" s="64">
        <v>3.87</v>
      </c>
      <c r="C25" s="64">
        <v>11.41</v>
      </c>
      <c r="D25" s="64">
        <v>10.050000000000001</v>
      </c>
      <c r="E25" s="64">
        <v>2.36</v>
      </c>
      <c r="F25" s="64">
        <v>13.62</v>
      </c>
      <c r="G25" s="64">
        <v>19.55</v>
      </c>
      <c r="H25" s="64">
        <v>14.9</v>
      </c>
      <c r="I25" s="218" t="s">
        <v>36</v>
      </c>
      <c r="J25" s="64">
        <v>0.21</v>
      </c>
      <c r="K25" s="64">
        <v>216.86</v>
      </c>
      <c r="L25" s="64">
        <v>23.63</v>
      </c>
      <c r="M25" s="64">
        <v>93.66</v>
      </c>
      <c r="N25" s="64">
        <v>37.700000000000003</v>
      </c>
      <c r="O25" s="64">
        <v>0</v>
      </c>
      <c r="P25" s="64">
        <v>0.99</v>
      </c>
      <c r="Q25" s="64">
        <v>12.96</v>
      </c>
      <c r="R25" s="198"/>
      <c r="S25" s="198"/>
      <c r="T25" s="198"/>
      <c r="U25" s="198"/>
    </row>
    <row r="26" spans="1:21" s="12" customFormat="1" x14ac:dyDescent="0.25">
      <c r="A26" s="215" t="s">
        <v>1514</v>
      </c>
      <c r="B26" s="64">
        <v>3.64</v>
      </c>
      <c r="C26" s="64">
        <v>10.67</v>
      </c>
      <c r="D26" s="64">
        <v>9.4499999999999993</v>
      </c>
      <c r="E26" s="64">
        <v>2.5099999999999998</v>
      </c>
      <c r="F26" s="64">
        <v>13.42</v>
      </c>
      <c r="G26" s="64">
        <v>19.55</v>
      </c>
      <c r="H26" s="64">
        <v>14.9</v>
      </c>
      <c r="I26" s="218" t="s">
        <v>36</v>
      </c>
      <c r="J26" s="64">
        <v>0.13</v>
      </c>
      <c r="K26" s="64">
        <v>214.48</v>
      </c>
      <c r="L26" s="64">
        <v>23.55</v>
      </c>
      <c r="M26" s="64">
        <v>94.35</v>
      </c>
      <c r="N26" s="64">
        <v>37.9</v>
      </c>
      <c r="O26" s="64">
        <v>0</v>
      </c>
      <c r="P26" s="64">
        <v>1.02</v>
      </c>
      <c r="Q26" s="64">
        <v>12.89</v>
      </c>
      <c r="R26" s="198"/>
      <c r="S26" s="198"/>
      <c r="T26" s="198"/>
      <c r="U26" s="198"/>
    </row>
    <row r="27" spans="1:21" s="12" customFormat="1" x14ac:dyDescent="0.25">
      <c r="A27" s="215" t="s">
        <v>1515</v>
      </c>
      <c r="B27" s="64">
        <v>3.86</v>
      </c>
      <c r="C27" s="64">
        <v>11.71</v>
      </c>
      <c r="D27" s="64">
        <v>10.210000000000001</v>
      </c>
      <c r="E27" s="64">
        <v>2.13</v>
      </c>
      <c r="F27" s="64">
        <v>13.66</v>
      </c>
      <c r="G27" s="64">
        <v>19.55</v>
      </c>
      <c r="H27" s="64">
        <v>14.9</v>
      </c>
      <c r="I27" s="218" t="s">
        <v>36</v>
      </c>
      <c r="J27" s="64">
        <v>0.03</v>
      </c>
      <c r="K27" s="64">
        <v>271.20999999999998</v>
      </c>
      <c r="L27" s="64">
        <v>23.49</v>
      </c>
      <c r="M27" s="64">
        <v>94.54</v>
      </c>
      <c r="N27" s="64">
        <v>38</v>
      </c>
      <c r="O27" s="64">
        <v>0</v>
      </c>
      <c r="P27" s="64">
        <v>0.99</v>
      </c>
      <c r="Q27" s="64">
        <v>14.48</v>
      </c>
      <c r="R27" s="198"/>
      <c r="S27" s="198"/>
      <c r="T27" s="198"/>
      <c r="U27" s="198"/>
    </row>
    <row r="28" spans="1:21" s="12" customFormat="1" x14ac:dyDescent="0.25">
      <c r="A28" s="215" t="s">
        <v>1516</v>
      </c>
      <c r="B28" s="64">
        <v>4.04</v>
      </c>
      <c r="C28" s="64">
        <v>13</v>
      </c>
      <c r="D28" s="64">
        <v>11.06</v>
      </c>
      <c r="E28" s="64">
        <v>2.56</v>
      </c>
      <c r="F28" s="64">
        <v>13.01</v>
      </c>
      <c r="G28" s="64">
        <v>21.05</v>
      </c>
      <c r="H28" s="64">
        <v>18.190000000000001</v>
      </c>
      <c r="I28" s="218" t="s">
        <v>36</v>
      </c>
      <c r="J28" s="64">
        <v>0.02</v>
      </c>
      <c r="K28" s="64">
        <v>128.82</v>
      </c>
      <c r="L28" s="64">
        <v>23.49</v>
      </c>
      <c r="M28" s="64">
        <v>94.62</v>
      </c>
      <c r="N28" s="64">
        <v>37.799999999999997</v>
      </c>
      <c r="O28" s="64">
        <v>0</v>
      </c>
      <c r="P28" s="64">
        <v>1.01</v>
      </c>
      <c r="Q28" s="64">
        <v>15.07</v>
      </c>
      <c r="R28" s="198"/>
      <c r="S28" s="198"/>
      <c r="T28" s="198"/>
      <c r="U28" s="198"/>
    </row>
    <row r="29" spans="1:21" s="12" customFormat="1" x14ac:dyDescent="0.25">
      <c r="A29" s="215" t="s">
        <v>1517</v>
      </c>
      <c r="B29" s="64">
        <v>5.13</v>
      </c>
      <c r="C29" s="64">
        <v>13.62</v>
      </c>
      <c r="D29" s="64">
        <v>12.28</v>
      </c>
      <c r="E29" s="64">
        <v>2.56</v>
      </c>
      <c r="F29" s="64">
        <v>5.54</v>
      </c>
      <c r="G29" s="64">
        <v>21.1</v>
      </c>
      <c r="H29" s="64">
        <v>18.190000000000001</v>
      </c>
      <c r="I29" s="218" t="s">
        <v>36</v>
      </c>
      <c r="J29" s="64">
        <v>0.04</v>
      </c>
      <c r="K29" s="64">
        <v>204.62</v>
      </c>
      <c r="L29" s="64">
        <v>23.56</v>
      </c>
      <c r="M29" s="64">
        <v>94.51</v>
      </c>
      <c r="N29" s="64">
        <v>38</v>
      </c>
      <c r="O29" s="64">
        <v>0</v>
      </c>
      <c r="P29" s="64">
        <v>0.97</v>
      </c>
      <c r="Q29" s="64">
        <v>16.72</v>
      </c>
      <c r="R29" s="198"/>
      <c r="S29" s="198"/>
      <c r="T29" s="198"/>
      <c r="U29" s="198"/>
    </row>
    <row r="30" spans="1:21" s="12" customFormat="1" x14ac:dyDescent="0.25">
      <c r="A30" s="215" t="s">
        <v>1518</v>
      </c>
      <c r="B30" s="64">
        <v>5.79</v>
      </c>
      <c r="C30" s="64">
        <v>12.43</v>
      </c>
      <c r="D30" s="64">
        <v>12.15</v>
      </c>
      <c r="E30" s="64">
        <v>2.71</v>
      </c>
      <c r="F30" s="64">
        <v>6.84</v>
      </c>
      <c r="G30" s="64">
        <v>21.1</v>
      </c>
      <c r="H30" s="64">
        <v>18.190000000000001</v>
      </c>
      <c r="I30" s="218" t="s">
        <v>36</v>
      </c>
      <c r="J30" s="64">
        <v>0.1</v>
      </c>
      <c r="K30" s="64">
        <v>221.82</v>
      </c>
      <c r="L30" s="64">
        <v>23.56</v>
      </c>
      <c r="M30" s="64">
        <v>94.77</v>
      </c>
      <c r="N30" s="64">
        <v>39.5</v>
      </c>
      <c r="O30" s="64">
        <v>0</v>
      </c>
      <c r="P30" s="64">
        <v>1</v>
      </c>
      <c r="Q30" s="64">
        <v>14.6</v>
      </c>
      <c r="R30" s="198"/>
      <c r="S30" s="198"/>
      <c r="T30" s="198"/>
      <c r="U30" s="198"/>
    </row>
    <row r="31" spans="1:21" s="12" customFormat="1" x14ac:dyDescent="0.25">
      <c r="A31" s="215" t="s">
        <v>1519</v>
      </c>
      <c r="B31" s="64">
        <v>6</v>
      </c>
      <c r="C31" s="64">
        <v>12.44</v>
      </c>
      <c r="D31" s="64">
        <v>12.33</v>
      </c>
      <c r="E31" s="64">
        <v>2.33</v>
      </c>
      <c r="F31" s="64">
        <v>5.96</v>
      </c>
      <c r="G31" s="64">
        <v>21.1</v>
      </c>
      <c r="H31" s="64">
        <v>18.190000000000001</v>
      </c>
      <c r="I31" s="218" t="s">
        <v>36</v>
      </c>
      <c r="J31" s="64">
        <v>7.0000000000000007E-2</v>
      </c>
      <c r="K31" s="64">
        <v>233.25</v>
      </c>
      <c r="L31" s="64">
        <v>23.56</v>
      </c>
      <c r="M31" s="64">
        <v>95.16</v>
      </c>
      <c r="N31" s="64">
        <v>48.4</v>
      </c>
      <c r="O31" s="64">
        <v>0</v>
      </c>
      <c r="P31" s="64">
        <v>0.98</v>
      </c>
      <c r="Q31" s="64">
        <v>14.33</v>
      </c>
      <c r="R31" s="198"/>
      <c r="S31" s="198"/>
      <c r="T31" s="198"/>
      <c r="U31" s="198"/>
    </row>
    <row r="32" spans="1:21" s="12" customFormat="1" x14ac:dyDescent="0.25">
      <c r="A32" s="215" t="s">
        <v>1520</v>
      </c>
      <c r="B32" s="64">
        <v>6.29</v>
      </c>
      <c r="C32" s="64">
        <v>12.73</v>
      </c>
      <c r="D32" s="64">
        <v>12.71</v>
      </c>
      <c r="E32" s="64">
        <v>2.82</v>
      </c>
      <c r="F32" s="64">
        <v>5.42</v>
      </c>
      <c r="G32" s="64">
        <v>22.12</v>
      </c>
      <c r="H32" s="64">
        <v>15.66</v>
      </c>
      <c r="I32" s="218" t="s">
        <v>36</v>
      </c>
      <c r="J32" s="64">
        <v>0.66</v>
      </c>
      <c r="K32" s="64">
        <v>167.71</v>
      </c>
      <c r="L32" s="64">
        <v>23.57</v>
      </c>
      <c r="M32" s="64">
        <v>95.47</v>
      </c>
      <c r="N32" s="64">
        <v>63.2</v>
      </c>
      <c r="O32" s="64">
        <v>0</v>
      </c>
      <c r="P32" s="64">
        <v>1</v>
      </c>
      <c r="Q32" s="64">
        <v>14.1</v>
      </c>
      <c r="R32" s="198"/>
      <c r="S32" s="198"/>
      <c r="T32" s="198"/>
      <c r="U32" s="198"/>
    </row>
    <row r="33" spans="1:21" s="12" customFormat="1" x14ac:dyDescent="0.25">
      <c r="A33" s="215" t="s">
        <v>1521</v>
      </c>
      <c r="B33" s="64">
        <v>6.56</v>
      </c>
      <c r="C33" s="64">
        <v>12.67</v>
      </c>
      <c r="D33" s="64">
        <v>12.9</v>
      </c>
      <c r="E33" s="64">
        <v>2.5499999999999998</v>
      </c>
      <c r="F33" s="64">
        <v>5.49</v>
      </c>
      <c r="G33" s="64">
        <v>22.15</v>
      </c>
      <c r="H33" s="64">
        <v>15.66</v>
      </c>
      <c r="I33" s="218" t="s">
        <v>36</v>
      </c>
      <c r="J33" s="64">
        <v>0.5</v>
      </c>
      <c r="K33" s="64">
        <v>174.93</v>
      </c>
      <c r="L33" s="64">
        <v>23.64</v>
      </c>
      <c r="M33" s="64">
        <v>95.34</v>
      </c>
      <c r="N33" s="64">
        <v>79.7</v>
      </c>
      <c r="O33" s="64">
        <v>0</v>
      </c>
      <c r="P33" s="64">
        <v>0.99</v>
      </c>
      <c r="Q33" s="64">
        <v>13.53</v>
      </c>
      <c r="R33" s="198"/>
      <c r="S33" s="198"/>
      <c r="T33" s="198"/>
      <c r="U33" s="198"/>
    </row>
    <row r="34" spans="1:21" s="12" customFormat="1" x14ac:dyDescent="0.25">
      <c r="A34" s="215" t="s">
        <v>1522</v>
      </c>
      <c r="B34" s="64">
        <v>6.9</v>
      </c>
      <c r="C34" s="64">
        <v>12.23</v>
      </c>
      <c r="D34" s="64">
        <v>12.93</v>
      </c>
      <c r="E34" s="64">
        <v>2.4500000000000002</v>
      </c>
      <c r="F34" s="64">
        <v>4.84</v>
      </c>
      <c r="G34" s="64">
        <v>22.15</v>
      </c>
      <c r="H34" s="64">
        <v>15.66</v>
      </c>
      <c r="I34" s="218" t="s">
        <v>36</v>
      </c>
      <c r="J34" s="64">
        <v>0.23</v>
      </c>
      <c r="K34" s="64">
        <v>204.14</v>
      </c>
      <c r="L34" s="64">
        <v>23.91</v>
      </c>
      <c r="M34" s="64">
        <v>93.88</v>
      </c>
      <c r="N34" s="64">
        <v>141.5</v>
      </c>
      <c r="O34" s="64">
        <v>0</v>
      </c>
      <c r="P34" s="64">
        <v>0.99</v>
      </c>
      <c r="Q34" s="64">
        <v>13.51</v>
      </c>
      <c r="R34" s="198"/>
      <c r="S34" s="198"/>
      <c r="T34" s="198"/>
      <c r="U34" s="198"/>
    </row>
    <row r="35" spans="1:21" s="12" customFormat="1" x14ac:dyDescent="0.25">
      <c r="A35" s="215" t="s">
        <v>1523</v>
      </c>
      <c r="B35" s="64">
        <v>6.85</v>
      </c>
      <c r="C35" s="64">
        <v>12.19</v>
      </c>
      <c r="D35" s="64">
        <v>12.87</v>
      </c>
      <c r="E35" s="64">
        <v>2.58</v>
      </c>
      <c r="F35" s="64">
        <v>4.99</v>
      </c>
      <c r="G35" s="64">
        <v>22.15</v>
      </c>
      <c r="H35" s="64">
        <v>15.66</v>
      </c>
      <c r="I35" s="218" t="s">
        <v>36</v>
      </c>
      <c r="J35" s="64">
        <v>0.24</v>
      </c>
      <c r="K35" s="64">
        <v>203.32</v>
      </c>
      <c r="L35" s="64">
        <v>24.27</v>
      </c>
      <c r="M35" s="64">
        <v>92.12</v>
      </c>
      <c r="N35" s="64">
        <v>151.80000000000001</v>
      </c>
      <c r="O35" s="64">
        <v>0</v>
      </c>
      <c r="P35" s="64">
        <v>0.98</v>
      </c>
      <c r="Q35" s="64">
        <v>11.78</v>
      </c>
      <c r="R35" s="198"/>
      <c r="S35" s="198"/>
      <c r="T35" s="198"/>
      <c r="U35" s="198"/>
    </row>
    <row r="36" spans="1:21" s="12" customFormat="1" x14ac:dyDescent="0.25">
      <c r="A36" s="215" t="s">
        <v>1524</v>
      </c>
      <c r="B36" s="64">
        <v>6.6</v>
      </c>
      <c r="C36" s="64">
        <v>11.67</v>
      </c>
      <c r="D36" s="64">
        <v>12.37</v>
      </c>
      <c r="E36" s="64">
        <v>2.4500000000000002</v>
      </c>
      <c r="F36" s="64">
        <v>6.64</v>
      </c>
      <c r="G36" s="64">
        <v>23.68</v>
      </c>
      <c r="H36" s="64">
        <v>15.24</v>
      </c>
      <c r="I36" s="218" t="s">
        <v>36</v>
      </c>
      <c r="J36" s="64">
        <v>0.06</v>
      </c>
      <c r="K36" s="64">
        <v>208.66</v>
      </c>
      <c r="L36" s="64">
        <v>24.3</v>
      </c>
      <c r="M36" s="64">
        <v>91.1</v>
      </c>
      <c r="N36" s="64">
        <v>164.5</v>
      </c>
      <c r="O36" s="64">
        <v>0</v>
      </c>
      <c r="P36" s="64">
        <v>0.98</v>
      </c>
      <c r="Q36" s="64">
        <v>12.71</v>
      </c>
      <c r="R36" s="198"/>
      <c r="S36" s="198"/>
      <c r="T36" s="198"/>
      <c r="U36" s="198"/>
    </row>
    <row r="37" spans="1:21" s="12" customFormat="1" x14ac:dyDescent="0.25">
      <c r="A37" s="215" t="s">
        <v>1525</v>
      </c>
      <c r="B37" s="64">
        <v>6.07</v>
      </c>
      <c r="C37" s="64">
        <v>12.04</v>
      </c>
      <c r="D37" s="64">
        <v>12.16</v>
      </c>
      <c r="E37" s="64">
        <v>2.27</v>
      </c>
      <c r="F37" s="64">
        <v>6.39</v>
      </c>
      <c r="G37" s="64">
        <v>23.74</v>
      </c>
      <c r="H37" s="64">
        <v>15.24</v>
      </c>
      <c r="I37" s="218" t="s">
        <v>36</v>
      </c>
      <c r="J37" s="64">
        <v>0.23</v>
      </c>
      <c r="K37" s="64">
        <v>224.48</v>
      </c>
      <c r="L37" s="64">
        <v>24.5</v>
      </c>
      <c r="M37" s="64">
        <v>89.72</v>
      </c>
      <c r="N37" s="64">
        <v>234.8</v>
      </c>
      <c r="O37" s="64">
        <v>0</v>
      </c>
      <c r="P37" s="64">
        <v>0.79</v>
      </c>
      <c r="Q37" s="64">
        <v>13.24</v>
      </c>
      <c r="R37" s="198"/>
      <c r="S37" s="198"/>
      <c r="T37" s="198"/>
      <c r="U37" s="198"/>
    </row>
    <row r="38" spans="1:21" s="12" customFormat="1" x14ac:dyDescent="0.25">
      <c r="A38" s="215" t="s">
        <v>1526</v>
      </c>
      <c r="B38" s="64">
        <v>5.79</v>
      </c>
      <c r="C38" s="64">
        <v>11.14</v>
      </c>
      <c r="D38" s="64">
        <v>11.44</v>
      </c>
      <c r="E38" s="64">
        <v>2.4300000000000002</v>
      </c>
      <c r="F38" s="64">
        <v>6.99</v>
      </c>
      <c r="G38" s="64">
        <v>23.74</v>
      </c>
      <c r="H38" s="64">
        <v>15.24</v>
      </c>
      <c r="I38" s="218" t="s">
        <v>36</v>
      </c>
      <c r="J38" s="64">
        <v>0.09</v>
      </c>
      <c r="K38" s="64">
        <v>233.23</v>
      </c>
      <c r="L38" s="64">
        <v>24.83</v>
      </c>
      <c r="M38" s="64">
        <v>88.06</v>
      </c>
      <c r="N38" s="64">
        <v>291.5</v>
      </c>
      <c r="O38" s="64">
        <v>0</v>
      </c>
      <c r="P38" s="64">
        <v>0.84</v>
      </c>
      <c r="Q38" s="64">
        <v>12.05</v>
      </c>
      <c r="R38" s="198"/>
      <c r="S38" s="198"/>
      <c r="T38" s="198"/>
      <c r="U38" s="198"/>
    </row>
    <row r="39" spans="1:21" s="12" customFormat="1" x14ac:dyDescent="0.25">
      <c r="A39" s="215" t="s">
        <v>1527</v>
      </c>
      <c r="B39" s="64">
        <v>5.38</v>
      </c>
      <c r="C39" s="64">
        <v>12.15</v>
      </c>
      <c r="D39" s="64">
        <v>11.66</v>
      </c>
      <c r="E39" s="64">
        <v>2.88</v>
      </c>
      <c r="F39" s="64">
        <v>7.29</v>
      </c>
      <c r="G39" s="64">
        <v>23.74</v>
      </c>
      <c r="H39" s="64">
        <v>15.24</v>
      </c>
      <c r="I39" s="218" t="s">
        <v>36</v>
      </c>
      <c r="J39" s="64">
        <v>0.27</v>
      </c>
      <c r="K39" s="64">
        <v>193.41</v>
      </c>
      <c r="L39" s="64">
        <v>25.33</v>
      </c>
      <c r="M39" s="64">
        <v>84.69</v>
      </c>
      <c r="N39" s="64">
        <v>382</v>
      </c>
      <c r="O39" s="64">
        <v>0</v>
      </c>
      <c r="P39" s="64">
        <v>0.82</v>
      </c>
      <c r="Q39" s="64">
        <v>12.23</v>
      </c>
      <c r="R39" s="198"/>
      <c r="S39" s="198"/>
      <c r="T39" s="198"/>
      <c r="U39" s="198"/>
    </row>
    <row r="40" spans="1:21" s="12" customFormat="1" x14ac:dyDescent="0.25">
      <c r="A40" s="215" t="s">
        <v>1528</v>
      </c>
      <c r="B40" s="64">
        <v>4.96</v>
      </c>
      <c r="C40" s="64">
        <v>11.53</v>
      </c>
      <c r="D40" s="64">
        <v>10.99</v>
      </c>
      <c r="E40" s="64">
        <v>0.86</v>
      </c>
      <c r="F40" s="64">
        <v>7.49</v>
      </c>
      <c r="G40" s="64">
        <v>25.42</v>
      </c>
      <c r="H40" s="64">
        <v>19.78</v>
      </c>
      <c r="I40" s="218" t="s">
        <v>36</v>
      </c>
      <c r="J40" s="64">
        <v>0.18</v>
      </c>
      <c r="K40" s="64">
        <v>223.35</v>
      </c>
      <c r="L40" s="64">
        <v>25.91</v>
      </c>
      <c r="M40" s="64">
        <v>81.34</v>
      </c>
      <c r="N40" s="64">
        <v>432.4</v>
      </c>
      <c r="O40" s="64">
        <v>0</v>
      </c>
      <c r="P40" s="64">
        <v>0.84</v>
      </c>
      <c r="Q40" s="64">
        <v>10.86</v>
      </c>
      <c r="R40" s="198"/>
      <c r="S40" s="198"/>
      <c r="T40" s="198"/>
      <c r="U40" s="198"/>
    </row>
    <row r="41" spans="1:21" s="12" customFormat="1" x14ac:dyDescent="0.25">
      <c r="A41" s="215" t="s">
        <v>1529</v>
      </c>
      <c r="B41" s="64">
        <v>4.71</v>
      </c>
      <c r="C41" s="64">
        <v>12.69</v>
      </c>
      <c r="D41" s="64">
        <v>11.43</v>
      </c>
      <c r="E41" s="64">
        <v>1.53</v>
      </c>
      <c r="F41" s="64">
        <v>4.13</v>
      </c>
      <c r="G41" s="64">
        <v>25.48</v>
      </c>
      <c r="H41" s="64">
        <v>19.78</v>
      </c>
      <c r="I41" s="218" t="s">
        <v>36</v>
      </c>
      <c r="J41" s="64">
        <v>0.22</v>
      </c>
      <c r="K41" s="64">
        <v>221.99</v>
      </c>
      <c r="L41" s="64">
        <v>26.04</v>
      </c>
      <c r="M41" s="64">
        <v>80.040000000000006</v>
      </c>
      <c r="N41" s="64">
        <v>435.3</v>
      </c>
      <c r="O41" s="64">
        <v>0</v>
      </c>
      <c r="P41" s="64">
        <v>0.83</v>
      </c>
      <c r="Q41" s="64">
        <v>11.24</v>
      </c>
      <c r="R41" s="198"/>
      <c r="S41" s="198"/>
      <c r="T41" s="198"/>
      <c r="U41" s="198"/>
    </row>
    <row r="42" spans="1:21" s="12" customFormat="1" x14ac:dyDescent="0.25">
      <c r="A42" s="215" t="s">
        <v>1530</v>
      </c>
      <c r="B42" s="64">
        <v>4.1500000000000004</v>
      </c>
      <c r="C42" s="64">
        <v>12.74</v>
      </c>
      <c r="D42" s="64">
        <v>11</v>
      </c>
      <c r="E42" s="64">
        <v>1.18</v>
      </c>
      <c r="F42" s="64">
        <v>4.8099999999999996</v>
      </c>
      <c r="G42" s="64">
        <v>25.48</v>
      </c>
      <c r="H42" s="64">
        <v>19.78</v>
      </c>
      <c r="I42" s="218" t="s">
        <v>36</v>
      </c>
      <c r="J42" s="64">
        <v>0.11</v>
      </c>
      <c r="K42" s="64">
        <v>42.54</v>
      </c>
      <c r="L42" s="64">
        <v>26.65</v>
      </c>
      <c r="M42" s="64">
        <v>77.290000000000006</v>
      </c>
      <c r="N42" s="64">
        <v>377</v>
      </c>
      <c r="O42" s="64">
        <v>0</v>
      </c>
      <c r="P42" s="64">
        <v>0.83</v>
      </c>
      <c r="Q42" s="64">
        <v>8.35</v>
      </c>
      <c r="R42" s="198"/>
      <c r="S42" s="198"/>
      <c r="T42" s="198"/>
      <c r="U42" s="198"/>
    </row>
    <row r="43" spans="1:21" s="12" customFormat="1" x14ac:dyDescent="0.25">
      <c r="A43" s="215" t="s">
        <v>1531</v>
      </c>
      <c r="B43" s="64">
        <v>3.94</v>
      </c>
      <c r="C43" s="64">
        <v>13.25</v>
      </c>
      <c r="D43" s="64">
        <v>11.12</v>
      </c>
      <c r="E43" s="64">
        <v>1.1299999999999999</v>
      </c>
      <c r="F43" s="64">
        <v>4.78</v>
      </c>
      <c r="G43" s="64">
        <v>25.48</v>
      </c>
      <c r="H43" s="64">
        <v>19.78</v>
      </c>
      <c r="I43" s="218" t="s">
        <v>36</v>
      </c>
      <c r="J43" s="64">
        <v>7.0000000000000007E-2</v>
      </c>
      <c r="K43" s="64">
        <v>172.27</v>
      </c>
      <c r="L43" s="64">
        <v>26.75</v>
      </c>
      <c r="M43" s="64">
        <v>75.41</v>
      </c>
      <c r="N43" s="64">
        <v>565.6</v>
      </c>
      <c r="O43" s="64">
        <v>0</v>
      </c>
      <c r="P43" s="64">
        <v>0.84</v>
      </c>
      <c r="Q43" s="64">
        <v>7.46</v>
      </c>
      <c r="R43" s="198"/>
      <c r="S43" s="198"/>
      <c r="T43" s="198"/>
      <c r="U43" s="198"/>
    </row>
    <row r="44" spans="1:21" s="12" customFormat="1" x14ac:dyDescent="0.25">
      <c r="A44" s="215" t="s">
        <v>1532</v>
      </c>
      <c r="B44" s="64">
        <v>3.69</v>
      </c>
      <c r="C44" s="64">
        <v>13.64</v>
      </c>
      <c r="D44" s="64">
        <v>11.13</v>
      </c>
      <c r="E44" s="64">
        <v>1.22</v>
      </c>
      <c r="F44" s="64">
        <v>5.26</v>
      </c>
      <c r="G44" s="64">
        <v>37.21</v>
      </c>
      <c r="H44" s="64">
        <v>16.850000000000001</v>
      </c>
      <c r="I44" s="218" t="s">
        <v>36</v>
      </c>
      <c r="J44" s="64">
        <v>0.25</v>
      </c>
      <c r="K44" s="64">
        <v>31.65</v>
      </c>
      <c r="L44" s="64">
        <v>27.91</v>
      </c>
      <c r="M44" s="64">
        <v>70.34</v>
      </c>
      <c r="N44" s="64">
        <v>702.5</v>
      </c>
      <c r="O44" s="64">
        <v>0</v>
      </c>
      <c r="P44" s="64">
        <v>0.84</v>
      </c>
      <c r="Q44" s="64">
        <v>5.87</v>
      </c>
      <c r="R44" s="198"/>
      <c r="S44" s="198"/>
      <c r="T44" s="198"/>
      <c r="U44" s="198"/>
    </row>
    <row r="45" spans="1:21" s="12" customFormat="1" x14ac:dyDescent="0.25">
      <c r="A45" s="215" t="s">
        <v>1533</v>
      </c>
      <c r="B45" s="64">
        <v>3.86</v>
      </c>
      <c r="C45" s="64">
        <v>14.7</v>
      </c>
      <c r="D45" s="64">
        <v>11.85</v>
      </c>
      <c r="E45" s="64">
        <v>0.99</v>
      </c>
      <c r="F45" s="64">
        <v>4.18</v>
      </c>
      <c r="G45" s="64">
        <v>37.619999999999997</v>
      </c>
      <c r="H45" s="64">
        <v>16.850000000000001</v>
      </c>
      <c r="I45" s="218" t="s">
        <v>36</v>
      </c>
      <c r="J45" s="64">
        <v>0.33</v>
      </c>
      <c r="K45" s="64">
        <v>17.63</v>
      </c>
      <c r="L45" s="64">
        <v>28.84</v>
      </c>
      <c r="M45" s="64">
        <v>68.37</v>
      </c>
      <c r="N45" s="64">
        <v>696.3</v>
      </c>
      <c r="O45" s="64">
        <v>0</v>
      </c>
      <c r="P45" s="64">
        <v>0.86</v>
      </c>
      <c r="Q45" s="64">
        <v>6.45</v>
      </c>
      <c r="R45" s="198"/>
      <c r="S45" s="198"/>
      <c r="T45" s="198"/>
      <c r="U45" s="198"/>
    </row>
    <row r="46" spans="1:21" s="12" customFormat="1" x14ac:dyDescent="0.25">
      <c r="A46" s="215" t="s">
        <v>1534</v>
      </c>
      <c r="B46" s="64">
        <v>4.01</v>
      </c>
      <c r="C46" s="64">
        <v>14.77</v>
      </c>
      <c r="D46" s="64">
        <v>12.01</v>
      </c>
      <c r="E46" s="64">
        <v>1.46</v>
      </c>
      <c r="F46" s="64">
        <v>4.66</v>
      </c>
      <c r="G46" s="64">
        <v>37.619999999999997</v>
      </c>
      <c r="H46" s="64">
        <v>16.850000000000001</v>
      </c>
      <c r="I46" s="218" t="s">
        <v>36</v>
      </c>
      <c r="J46" s="64">
        <v>0.2</v>
      </c>
      <c r="K46" s="64">
        <v>29.74</v>
      </c>
      <c r="L46" s="64">
        <v>28.51</v>
      </c>
      <c r="M46" s="64">
        <v>69.790000000000006</v>
      </c>
      <c r="N46" s="64">
        <v>524.29999999999995</v>
      </c>
      <c r="O46" s="64">
        <v>0</v>
      </c>
      <c r="P46" s="64">
        <v>0.87</v>
      </c>
      <c r="Q46" s="64">
        <v>4.68</v>
      </c>
      <c r="R46" s="198"/>
      <c r="S46" s="198"/>
      <c r="T46" s="198"/>
      <c r="U46" s="198"/>
    </row>
    <row r="47" spans="1:21" s="12" customFormat="1" x14ac:dyDescent="0.25">
      <c r="A47" s="215" t="s">
        <v>1535</v>
      </c>
      <c r="B47" s="64">
        <v>4.0199999999999996</v>
      </c>
      <c r="C47" s="64">
        <v>15.12</v>
      </c>
      <c r="D47" s="64">
        <v>12.22</v>
      </c>
      <c r="E47" s="64">
        <v>1.1200000000000001</v>
      </c>
      <c r="F47" s="64">
        <v>4.5599999999999996</v>
      </c>
      <c r="G47" s="64">
        <v>37.619999999999997</v>
      </c>
      <c r="H47" s="64">
        <v>16.850000000000001</v>
      </c>
      <c r="I47" s="218" t="s">
        <v>36</v>
      </c>
      <c r="J47" s="64">
        <v>0.2</v>
      </c>
      <c r="K47" s="64">
        <v>41.97</v>
      </c>
      <c r="L47" s="64">
        <v>27.8</v>
      </c>
      <c r="M47" s="64">
        <v>71.97</v>
      </c>
      <c r="N47" s="64">
        <v>434.7</v>
      </c>
      <c r="O47" s="64">
        <v>0</v>
      </c>
      <c r="P47" s="64">
        <v>0.89</v>
      </c>
      <c r="Q47" s="64">
        <v>5.22</v>
      </c>
      <c r="R47" s="198"/>
      <c r="S47" s="198"/>
      <c r="T47" s="198"/>
      <c r="U47" s="198"/>
    </row>
    <row r="48" spans="1:21" s="12" customFormat="1" x14ac:dyDescent="0.25">
      <c r="A48" s="215" t="s">
        <v>1536</v>
      </c>
      <c r="B48" s="64">
        <v>3.84</v>
      </c>
      <c r="C48" s="64">
        <v>16.2</v>
      </c>
      <c r="D48" s="64">
        <v>12.67</v>
      </c>
      <c r="E48" s="64">
        <v>1.17</v>
      </c>
      <c r="F48" s="64">
        <v>5.74</v>
      </c>
      <c r="G48" s="64">
        <v>34.93</v>
      </c>
      <c r="H48" s="64">
        <v>15.81</v>
      </c>
      <c r="I48" s="218" t="s">
        <v>36</v>
      </c>
      <c r="J48" s="64">
        <v>0.08</v>
      </c>
      <c r="K48" s="64">
        <v>6.78</v>
      </c>
      <c r="L48" s="64">
        <v>27.35</v>
      </c>
      <c r="M48" s="64">
        <v>73.36</v>
      </c>
      <c r="N48" s="64">
        <v>533.1</v>
      </c>
      <c r="O48" s="64">
        <v>0</v>
      </c>
      <c r="P48" s="64">
        <v>0.91</v>
      </c>
      <c r="Q48" s="64">
        <v>6.11</v>
      </c>
      <c r="R48" s="198"/>
      <c r="S48" s="198"/>
      <c r="T48" s="198"/>
      <c r="U48" s="198"/>
    </row>
    <row r="49" spans="1:21" s="12" customFormat="1" x14ac:dyDescent="0.25">
      <c r="A49" s="215" t="s">
        <v>1537</v>
      </c>
      <c r="B49" s="64">
        <v>3.48</v>
      </c>
      <c r="C49" s="64">
        <v>15.35</v>
      </c>
      <c r="D49" s="64">
        <v>11.91</v>
      </c>
      <c r="E49" s="64">
        <v>1.58</v>
      </c>
      <c r="F49" s="64">
        <v>7.24</v>
      </c>
      <c r="G49" s="64">
        <v>34.840000000000003</v>
      </c>
      <c r="H49" s="64">
        <v>15.78</v>
      </c>
      <c r="I49" s="218" t="s">
        <v>36</v>
      </c>
      <c r="J49" s="64">
        <v>0.16</v>
      </c>
      <c r="K49" s="64">
        <v>18.170000000000002</v>
      </c>
      <c r="L49" s="64">
        <v>27.42</v>
      </c>
      <c r="M49" s="64">
        <v>73.94</v>
      </c>
      <c r="N49" s="64">
        <v>840.5</v>
      </c>
      <c r="O49" s="64">
        <v>0</v>
      </c>
      <c r="P49" s="64">
        <v>0.92</v>
      </c>
      <c r="Q49" s="64">
        <v>4.7300000000000004</v>
      </c>
      <c r="R49" s="198"/>
      <c r="S49" s="198"/>
      <c r="T49" s="198"/>
      <c r="U49" s="198"/>
    </row>
    <row r="50" spans="1:21" s="12" customFormat="1" x14ac:dyDescent="0.25">
      <c r="A50" s="215" t="s">
        <v>1538</v>
      </c>
      <c r="B50" s="64">
        <v>3.36</v>
      </c>
      <c r="C50" s="64">
        <v>15.68</v>
      </c>
      <c r="D50" s="64">
        <v>11.99</v>
      </c>
      <c r="E50" s="64">
        <v>1.28</v>
      </c>
      <c r="F50" s="64">
        <v>5.7</v>
      </c>
      <c r="G50" s="64">
        <v>34.840000000000003</v>
      </c>
      <c r="H50" s="64">
        <v>15.78</v>
      </c>
      <c r="I50" s="218" t="s">
        <v>36</v>
      </c>
      <c r="J50" s="64">
        <v>0.31</v>
      </c>
      <c r="K50" s="64">
        <v>33.020000000000003</v>
      </c>
      <c r="L50" s="64">
        <v>28.64</v>
      </c>
      <c r="M50" s="64">
        <v>69.37</v>
      </c>
      <c r="N50" s="64">
        <v>999.5</v>
      </c>
      <c r="O50" s="64">
        <v>0</v>
      </c>
      <c r="P50" s="64">
        <v>0.95</v>
      </c>
      <c r="Q50" s="64">
        <v>4.93</v>
      </c>
      <c r="R50" s="198"/>
      <c r="S50" s="198"/>
      <c r="T50" s="198"/>
      <c r="U50" s="198"/>
    </row>
    <row r="51" spans="1:21" s="12" customFormat="1" x14ac:dyDescent="0.25">
      <c r="A51" s="215" t="s">
        <v>1539</v>
      </c>
      <c r="B51" s="64">
        <v>3.27</v>
      </c>
      <c r="C51" s="64">
        <v>15.54</v>
      </c>
      <c r="D51" s="64">
        <v>11.84</v>
      </c>
      <c r="E51" s="64">
        <v>1.1200000000000001</v>
      </c>
      <c r="F51" s="64">
        <v>5.94</v>
      </c>
      <c r="G51" s="64">
        <v>34.840000000000003</v>
      </c>
      <c r="H51" s="64">
        <v>15.78</v>
      </c>
      <c r="I51" s="218" t="s">
        <v>36</v>
      </c>
      <c r="J51" s="64">
        <v>0.33</v>
      </c>
      <c r="K51" s="64">
        <v>36.74</v>
      </c>
      <c r="L51" s="64">
        <v>29.23</v>
      </c>
      <c r="M51" s="64">
        <v>67.510000000000005</v>
      </c>
      <c r="N51" s="64">
        <v>652.20000000000005</v>
      </c>
      <c r="O51" s="64">
        <v>0</v>
      </c>
      <c r="P51" s="64">
        <v>0.94</v>
      </c>
      <c r="Q51" s="64">
        <v>4.32</v>
      </c>
      <c r="R51" s="198"/>
      <c r="S51" s="198"/>
      <c r="T51" s="198"/>
      <c r="U51" s="198"/>
    </row>
    <row r="52" spans="1:21" s="12" customFormat="1" x14ac:dyDescent="0.25">
      <c r="A52" s="215" t="s">
        <v>1540</v>
      </c>
      <c r="B52" s="64">
        <v>3.26</v>
      </c>
      <c r="C52" s="64">
        <v>15.23</v>
      </c>
      <c r="D52" s="64">
        <v>11.67</v>
      </c>
      <c r="E52" s="64">
        <v>1.47</v>
      </c>
      <c r="F52" s="64">
        <v>6.87</v>
      </c>
      <c r="G52" s="64">
        <v>46.03</v>
      </c>
      <c r="H52" s="64">
        <v>19.12</v>
      </c>
      <c r="I52" s="218" t="s">
        <v>36</v>
      </c>
      <c r="J52" s="64">
        <v>0.16</v>
      </c>
      <c r="K52" s="64">
        <v>33.630000000000003</v>
      </c>
      <c r="L52" s="64">
        <v>28.42</v>
      </c>
      <c r="M52" s="64">
        <v>70.06</v>
      </c>
      <c r="N52" s="64">
        <v>565.9</v>
      </c>
      <c r="O52" s="64">
        <v>0</v>
      </c>
      <c r="P52" s="64">
        <v>0.95</v>
      </c>
      <c r="Q52" s="64">
        <v>3.73</v>
      </c>
      <c r="R52" s="198"/>
      <c r="S52" s="198"/>
      <c r="T52" s="198"/>
      <c r="U52" s="198"/>
    </row>
    <row r="53" spans="1:21" s="12" customFormat="1" x14ac:dyDescent="0.25">
      <c r="A53" s="215" t="s">
        <v>1541</v>
      </c>
      <c r="B53" s="64">
        <v>3.01</v>
      </c>
      <c r="C53" s="64">
        <v>15.52</v>
      </c>
      <c r="D53" s="64">
        <v>11.62</v>
      </c>
      <c r="E53" s="64">
        <v>1.04</v>
      </c>
      <c r="F53" s="64">
        <v>4.07</v>
      </c>
      <c r="G53" s="64">
        <v>46.42</v>
      </c>
      <c r="H53" s="64">
        <v>19.12</v>
      </c>
      <c r="I53" s="218" t="s">
        <v>36</v>
      </c>
      <c r="J53" s="64">
        <v>0.16</v>
      </c>
      <c r="K53" s="64">
        <v>31.57</v>
      </c>
      <c r="L53" s="64">
        <v>28.05</v>
      </c>
      <c r="M53" s="64">
        <v>70.63</v>
      </c>
      <c r="N53" s="64">
        <v>519.5</v>
      </c>
      <c r="O53" s="64">
        <v>0</v>
      </c>
      <c r="P53" s="64">
        <v>0.94</v>
      </c>
      <c r="Q53" s="64">
        <v>3.7</v>
      </c>
      <c r="R53" s="198"/>
      <c r="S53" s="198"/>
      <c r="T53" s="198"/>
      <c r="U53" s="198"/>
    </row>
    <row r="54" spans="1:21" s="12" customFormat="1" x14ac:dyDescent="0.25">
      <c r="A54" s="215" t="s">
        <v>1542</v>
      </c>
      <c r="B54" s="64">
        <v>2.82</v>
      </c>
      <c r="C54" s="64">
        <v>15.03</v>
      </c>
      <c r="D54" s="64">
        <v>11.2</v>
      </c>
      <c r="E54" s="64">
        <v>0.49</v>
      </c>
      <c r="F54" s="64">
        <v>5.85</v>
      </c>
      <c r="G54" s="64">
        <v>46.42</v>
      </c>
      <c r="H54" s="64">
        <v>19.12</v>
      </c>
      <c r="I54" s="218" t="s">
        <v>36</v>
      </c>
      <c r="J54" s="64">
        <v>7.0000000000000007E-2</v>
      </c>
      <c r="K54" s="64">
        <v>73.86</v>
      </c>
      <c r="L54" s="64">
        <v>28.28</v>
      </c>
      <c r="M54" s="64">
        <v>69.650000000000006</v>
      </c>
      <c r="N54" s="64">
        <v>576.79999999999995</v>
      </c>
      <c r="O54" s="64">
        <v>0</v>
      </c>
      <c r="P54" s="64">
        <v>0.94</v>
      </c>
      <c r="Q54" s="64">
        <v>1.61</v>
      </c>
      <c r="R54" s="198"/>
      <c r="S54" s="198"/>
      <c r="T54" s="198"/>
      <c r="U54" s="198"/>
    </row>
    <row r="55" spans="1:21" s="12" customFormat="1" x14ac:dyDescent="0.25">
      <c r="A55" s="215" t="s">
        <v>1543</v>
      </c>
      <c r="B55" s="64">
        <v>2.77</v>
      </c>
      <c r="C55" s="64">
        <v>14.54</v>
      </c>
      <c r="D55" s="64">
        <v>10.89</v>
      </c>
      <c r="E55" s="64">
        <v>0.73</v>
      </c>
      <c r="F55" s="64">
        <v>6.17</v>
      </c>
      <c r="G55" s="64">
        <v>46.42</v>
      </c>
      <c r="H55" s="64">
        <v>19.12</v>
      </c>
      <c r="I55" s="218" t="s">
        <v>36</v>
      </c>
      <c r="J55" s="64">
        <v>0.26</v>
      </c>
      <c r="K55" s="64">
        <v>38.46</v>
      </c>
      <c r="L55" s="64">
        <v>28.4</v>
      </c>
      <c r="M55" s="64">
        <v>69.87</v>
      </c>
      <c r="N55" s="64">
        <v>477.5</v>
      </c>
      <c r="O55" s="64">
        <v>0</v>
      </c>
      <c r="P55" s="64">
        <v>0.95</v>
      </c>
      <c r="Q55" s="64">
        <v>1.28</v>
      </c>
      <c r="R55" s="198"/>
      <c r="S55" s="198"/>
      <c r="T55" s="198"/>
      <c r="U55" s="198"/>
    </row>
    <row r="56" spans="1:21" s="12" customFormat="1" x14ac:dyDescent="0.25">
      <c r="A56" s="215" t="s">
        <v>1544</v>
      </c>
      <c r="B56" s="64">
        <v>2.8</v>
      </c>
      <c r="C56" s="64">
        <v>14.82</v>
      </c>
      <c r="D56" s="64">
        <v>11.07</v>
      </c>
      <c r="E56" s="64">
        <v>1.32</v>
      </c>
      <c r="F56" s="64">
        <v>5.44</v>
      </c>
      <c r="G56" s="64">
        <v>42.32</v>
      </c>
      <c r="H56" s="64">
        <v>21.3</v>
      </c>
      <c r="I56" s="218" t="s">
        <v>36</v>
      </c>
      <c r="J56" s="64">
        <v>0.11</v>
      </c>
      <c r="K56" s="64">
        <v>194.8</v>
      </c>
      <c r="L56" s="64">
        <v>29</v>
      </c>
      <c r="M56" s="64">
        <v>66.86</v>
      </c>
      <c r="N56" s="64">
        <v>647.1</v>
      </c>
      <c r="O56" s="64">
        <v>0</v>
      </c>
      <c r="P56" s="64">
        <v>0.97</v>
      </c>
      <c r="Q56" s="64">
        <v>1.43</v>
      </c>
      <c r="R56" s="198"/>
      <c r="S56" s="198"/>
      <c r="T56" s="198"/>
      <c r="U56" s="198"/>
    </row>
    <row r="57" spans="1:21" s="12" customFormat="1" x14ac:dyDescent="0.25">
      <c r="A57" s="215" t="s">
        <v>1545</v>
      </c>
      <c r="B57" s="64">
        <v>2.81</v>
      </c>
      <c r="C57" s="64">
        <v>14.57</v>
      </c>
      <c r="D57" s="64">
        <v>10.94</v>
      </c>
      <c r="E57" s="64">
        <v>1.49</v>
      </c>
      <c r="F57" s="64">
        <v>6.2</v>
      </c>
      <c r="G57" s="64">
        <v>42.18</v>
      </c>
      <c r="H57" s="64">
        <v>21.3</v>
      </c>
      <c r="I57" s="218" t="s">
        <v>36</v>
      </c>
      <c r="J57" s="64">
        <v>0</v>
      </c>
      <c r="K57" s="64">
        <v>314.88</v>
      </c>
      <c r="L57" s="64">
        <v>28</v>
      </c>
      <c r="M57" s="64">
        <v>72.73</v>
      </c>
      <c r="N57" s="64">
        <v>222.7</v>
      </c>
      <c r="O57" s="64">
        <v>0</v>
      </c>
      <c r="P57" s="64">
        <v>0.96</v>
      </c>
      <c r="Q57" s="64">
        <v>0.23</v>
      </c>
      <c r="R57" s="198"/>
      <c r="S57" s="198"/>
      <c r="T57" s="198"/>
      <c r="U57" s="198"/>
    </row>
    <row r="58" spans="1:21" s="12" customFormat="1" x14ac:dyDescent="0.25">
      <c r="A58" s="215" t="s">
        <v>1546</v>
      </c>
      <c r="B58" s="64">
        <v>2.79</v>
      </c>
      <c r="C58" s="64">
        <v>14.73</v>
      </c>
      <c r="D58" s="64">
        <v>11.01</v>
      </c>
      <c r="E58" s="64">
        <v>1.25</v>
      </c>
      <c r="F58" s="64">
        <v>5.89</v>
      </c>
      <c r="G58" s="64">
        <v>42.18</v>
      </c>
      <c r="H58" s="64">
        <v>21.3</v>
      </c>
      <c r="I58" s="218" t="s">
        <v>36</v>
      </c>
      <c r="J58" s="64">
        <v>0.02</v>
      </c>
      <c r="K58" s="64">
        <v>320.58999999999997</v>
      </c>
      <c r="L58" s="64">
        <v>27.7</v>
      </c>
      <c r="M58" s="64">
        <v>72.08</v>
      </c>
      <c r="N58" s="64">
        <v>275.2</v>
      </c>
      <c r="O58" s="64">
        <v>0</v>
      </c>
      <c r="P58" s="64">
        <v>0.95</v>
      </c>
      <c r="Q58" s="64">
        <v>1.23</v>
      </c>
      <c r="R58" s="198"/>
      <c r="S58" s="198"/>
      <c r="T58" s="198"/>
      <c r="U58" s="198"/>
    </row>
    <row r="59" spans="1:21" s="12" customFormat="1" x14ac:dyDescent="0.25">
      <c r="A59" s="215" t="s">
        <v>1547</v>
      </c>
      <c r="B59" s="64">
        <v>3.63</v>
      </c>
      <c r="C59" s="64">
        <v>17.28</v>
      </c>
      <c r="D59" s="64">
        <v>13.1</v>
      </c>
      <c r="E59" s="64">
        <v>1.47</v>
      </c>
      <c r="F59" s="64">
        <v>8.7100000000000009</v>
      </c>
      <c r="G59" s="64">
        <v>42.18</v>
      </c>
      <c r="H59" s="64">
        <v>21.3</v>
      </c>
      <c r="I59" s="218" t="s">
        <v>36</v>
      </c>
      <c r="J59" s="64">
        <v>0.05</v>
      </c>
      <c r="K59" s="64">
        <v>40.49</v>
      </c>
      <c r="L59" s="64">
        <v>28.06</v>
      </c>
      <c r="M59" s="64">
        <v>70.73</v>
      </c>
      <c r="N59" s="64">
        <v>314.3</v>
      </c>
      <c r="O59" s="64">
        <v>0</v>
      </c>
      <c r="P59" s="64">
        <v>0.93</v>
      </c>
      <c r="Q59" s="64">
        <v>1.3</v>
      </c>
      <c r="R59" s="198"/>
      <c r="S59" s="198"/>
      <c r="T59" s="198"/>
      <c r="U59" s="198"/>
    </row>
    <row r="60" spans="1:21" s="12" customFormat="1" x14ac:dyDescent="0.25">
      <c r="A60" s="215" t="s">
        <v>1548</v>
      </c>
      <c r="B60" s="64">
        <v>3.68</v>
      </c>
      <c r="C60" s="64">
        <v>18.440000000000001</v>
      </c>
      <c r="D60" s="64">
        <v>13.77</v>
      </c>
      <c r="E60" s="64">
        <v>1.75</v>
      </c>
      <c r="F60" s="64">
        <v>9.56</v>
      </c>
      <c r="G60" s="64">
        <v>39.340000000000003</v>
      </c>
      <c r="H60" s="64">
        <v>16.07</v>
      </c>
      <c r="I60" s="218" t="s">
        <v>36</v>
      </c>
      <c r="J60" s="64">
        <v>0.19</v>
      </c>
      <c r="K60" s="64">
        <v>31.75</v>
      </c>
      <c r="L60" s="64">
        <v>27.85</v>
      </c>
      <c r="M60" s="64">
        <v>70.92</v>
      </c>
      <c r="N60" s="64">
        <v>289.89999999999998</v>
      </c>
      <c r="O60" s="64">
        <v>0</v>
      </c>
      <c r="P60" s="64">
        <v>0.94</v>
      </c>
      <c r="Q60" s="64">
        <v>3.02</v>
      </c>
      <c r="R60" s="198"/>
      <c r="S60" s="198"/>
      <c r="T60" s="198"/>
      <c r="U60" s="198"/>
    </row>
    <row r="61" spans="1:21" s="12" customFormat="1" x14ac:dyDescent="0.25">
      <c r="A61" s="215" t="s">
        <v>1549</v>
      </c>
      <c r="B61" s="64">
        <v>3.36</v>
      </c>
      <c r="C61" s="64">
        <v>15.63</v>
      </c>
      <c r="D61" s="64">
        <v>11.97</v>
      </c>
      <c r="E61" s="64">
        <v>1.35</v>
      </c>
      <c r="F61" s="64">
        <v>7.56</v>
      </c>
      <c r="G61" s="64">
        <v>39.24</v>
      </c>
      <c r="H61" s="64">
        <v>15.99</v>
      </c>
      <c r="I61" s="218" t="s">
        <v>36</v>
      </c>
      <c r="J61" s="64">
        <v>0.1</v>
      </c>
      <c r="K61" s="64">
        <v>24.56</v>
      </c>
      <c r="L61" s="64">
        <v>27.63</v>
      </c>
      <c r="M61" s="64">
        <v>72</v>
      </c>
      <c r="N61" s="64">
        <v>254.4</v>
      </c>
      <c r="O61" s="64">
        <v>0</v>
      </c>
      <c r="P61" s="64">
        <v>0.87</v>
      </c>
      <c r="Q61" s="64">
        <v>3.11</v>
      </c>
      <c r="R61" s="198"/>
      <c r="S61" s="198"/>
      <c r="T61" s="198"/>
      <c r="U61" s="198"/>
    </row>
    <row r="62" spans="1:21" s="12" customFormat="1" x14ac:dyDescent="0.25">
      <c r="A62" s="215" t="s">
        <v>1550</v>
      </c>
      <c r="B62" s="64">
        <v>3.69</v>
      </c>
      <c r="C62" s="64">
        <v>16.54</v>
      </c>
      <c r="D62" s="64">
        <v>12.74</v>
      </c>
      <c r="E62" s="64">
        <v>1.26</v>
      </c>
      <c r="F62" s="64">
        <v>10.98</v>
      </c>
      <c r="G62" s="64">
        <v>39.24</v>
      </c>
      <c r="H62" s="64">
        <v>15.99</v>
      </c>
      <c r="I62" s="218" t="s">
        <v>36</v>
      </c>
      <c r="J62" s="64">
        <v>0.06</v>
      </c>
      <c r="K62" s="64">
        <v>0.39</v>
      </c>
      <c r="L62" s="64">
        <v>27.9</v>
      </c>
      <c r="M62" s="64">
        <v>70.19</v>
      </c>
      <c r="N62" s="64">
        <v>364.8</v>
      </c>
      <c r="O62" s="64">
        <v>0</v>
      </c>
      <c r="P62" s="64">
        <v>0.94</v>
      </c>
      <c r="Q62" s="64">
        <v>4.1500000000000004</v>
      </c>
      <c r="R62" s="198"/>
      <c r="S62" s="198"/>
      <c r="T62" s="198"/>
      <c r="U62" s="198"/>
    </row>
    <row r="63" spans="1:21" s="12" customFormat="1" x14ac:dyDescent="0.25">
      <c r="A63" s="215" t="s">
        <v>1551</v>
      </c>
      <c r="B63" s="64">
        <v>3.91</v>
      </c>
      <c r="C63" s="64">
        <v>14.7</v>
      </c>
      <c r="D63" s="64">
        <v>11.89</v>
      </c>
      <c r="E63" s="64">
        <v>0.56000000000000005</v>
      </c>
      <c r="F63" s="64">
        <v>10.01</v>
      </c>
      <c r="G63" s="64">
        <v>39.24</v>
      </c>
      <c r="H63" s="64">
        <v>15.99</v>
      </c>
      <c r="I63" s="218" t="s">
        <v>36</v>
      </c>
      <c r="J63" s="64">
        <v>7.0000000000000007E-2</v>
      </c>
      <c r="K63" s="64">
        <v>26.98</v>
      </c>
      <c r="L63" s="64">
        <v>28.26</v>
      </c>
      <c r="M63" s="64">
        <v>67.22</v>
      </c>
      <c r="N63" s="64">
        <v>375.1</v>
      </c>
      <c r="O63" s="64">
        <v>0</v>
      </c>
      <c r="P63" s="64">
        <v>0.94</v>
      </c>
      <c r="Q63" s="64">
        <v>3.33</v>
      </c>
      <c r="R63" s="198"/>
      <c r="S63" s="198"/>
      <c r="T63" s="198"/>
      <c r="U63" s="198"/>
    </row>
    <row r="64" spans="1:21" s="12" customFormat="1" x14ac:dyDescent="0.25">
      <c r="A64" s="215" t="s">
        <v>1552</v>
      </c>
      <c r="B64" s="64">
        <v>3.93</v>
      </c>
      <c r="C64" s="64">
        <v>16.86</v>
      </c>
      <c r="D64" s="64">
        <v>13.1</v>
      </c>
      <c r="E64" s="64">
        <v>1.74</v>
      </c>
      <c r="F64" s="64">
        <v>5.89</v>
      </c>
      <c r="G64" s="64">
        <v>37.28</v>
      </c>
      <c r="H64" s="64">
        <v>15.96</v>
      </c>
      <c r="I64" s="218" t="s">
        <v>36</v>
      </c>
      <c r="J64" s="64">
        <v>0.18</v>
      </c>
      <c r="K64" s="64">
        <v>39.619999999999997</v>
      </c>
      <c r="L64" s="64">
        <v>29.31</v>
      </c>
      <c r="M64" s="64">
        <v>64.02</v>
      </c>
      <c r="N64" s="64">
        <v>753.3</v>
      </c>
      <c r="O64" s="64">
        <v>0</v>
      </c>
      <c r="P64" s="64">
        <v>0.94</v>
      </c>
      <c r="Q64" s="64">
        <v>5.37</v>
      </c>
      <c r="R64" s="198"/>
      <c r="S64" s="198"/>
      <c r="T64" s="198"/>
      <c r="U64" s="198"/>
    </row>
    <row r="65" spans="1:21" s="12" customFormat="1" x14ac:dyDescent="0.25">
      <c r="A65" s="215" t="s">
        <v>1553</v>
      </c>
      <c r="B65" s="64">
        <v>3.62</v>
      </c>
      <c r="C65" s="64">
        <v>16.11</v>
      </c>
      <c r="D65" s="64">
        <v>12.44</v>
      </c>
      <c r="E65" s="64">
        <v>1.49</v>
      </c>
      <c r="F65" s="64">
        <v>5.2</v>
      </c>
      <c r="G65" s="64">
        <v>37.21</v>
      </c>
      <c r="H65" s="64">
        <v>15.96</v>
      </c>
      <c r="I65" s="218" t="s">
        <v>36</v>
      </c>
      <c r="J65" s="64">
        <v>0.1</v>
      </c>
      <c r="K65" s="64">
        <v>51.71</v>
      </c>
      <c r="L65" s="64">
        <v>29.77</v>
      </c>
      <c r="M65" s="64">
        <v>62.57</v>
      </c>
      <c r="N65" s="64">
        <v>422.1</v>
      </c>
      <c r="O65" s="64">
        <v>0</v>
      </c>
      <c r="P65" s="64">
        <v>0.95</v>
      </c>
      <c r="Q65" s="64">
        <v>3.93</v>
      </c>
      <c r="R65" s="198"/>
      <c r="S65" s="198"/>
      <c r="T65" s="198"/>
      <c r="U65" s="198"/>
    </row>
    <row r="66" spans="1:21" s="12" customFormat="1" x14ac:dyDescent="0.25">
      <c r="A66" s="215" t="s">
        <v>1554</v>
      </c>
      <c r="B66" s="64">
        <v>3.5</v>
      </c>
      <c r="C66" s="64">
        <v>14.79</v>
      </c>
      <c r="D66" s="64">
        <v>11.61</v>
      </c>
      <c r="E66" s="64">
        <v>2.06</v>
      </c>
      <c r="F66" s="64">
        <v>5.95</v>
      </c>
      <c r="G66" s="64">
        <v>37.21</v>
      </c>
      <c r="H66" s="64">
        <v>15.96</v>
      </c>
      <c r="I66" s="218" t="s">
        <v>36</v>
      </c>
      <c r="J66" s="64">
        <v>0.48</v>
      </c>
      <c r="K66" s="64">
        <v>205.2</v>
      </c>
      <c r="L66" s="64">
        <v>29.41</v>
      </c>
      <c r="M66" s="64">
        <v>64.38</v>
      </c>
      <c r="N66" s="64">
        <v>478.9</v>
      </c>
      <c r="O66" s="64">
        <v>0</v>
      </c>
      <c r="P66" s="64">
        <v>0.95</v>
      </c>
      <c r="Q66" s="64">
        <v>1.94</v>
      </c>
      <c r="R66" s="198"/>
      <c r="S66" s="198"/>
      <c r="T66" s="198"/>
      <c r="U66" s="198"/>
    </row>
    <row r="67" spans="1:21" s="12" customFormat="1" x14ac:dyDescent="0.25">
      <c r="A67" s="215" t="s">
        <v>1555</v>
      </c>
      <c r="B67" s="64">
        <v>3.4</v>
      </c>
      <c r="C67" s="64">
        <v>14.97</v>
      </c>
      <c r="D67" s="64">
        <v>11.63</v>
      </c>
      <c r="E67" s="64">
        <v>1.74</v>
      </c>
      <c r="F67" s="64">
        <v>5.55</v>
      </c>
      <c r="G67" s="64">
        <v>37.21</v>
      </c>
      <c r="H67" s="64">
        <v>15.96</v>
      </c>
      <c r="I67" s="218" t="s">
        <v>36</v>
      </c>
      <c r="J67" s="64">
        <v>0.12</v>
      </c>
      <c r="K67" s="64">
        <v>15.58</v>
      </c>
      <c r="L67" s="64">
        <v>29.06</v>
      </c>
      <c r="M67" s="64">
        <v>64.63</v>
      </c>
      <c r="N67" s="64">
        <v>646.9</v>
      </c>
      <c r="O67" s="64">
        <v>0</v>
      </c>
      <c r="P67" s="64">
        <v>0.94</v>
      </c>
      <c r="Q67" s="64">
        <v>2.37</v>
      </c>
      <c r="R67" s="198"/>
      <c r="S67" s="198"/>
      <c r="T67" s="198"/>
      <c r="U67" s="198"/>
    </row>
    <row r="68" spans="1:21" s="12" customFormat="1" x14ac:dyDescent="0.25">
      <c r="A68" s="215" t="s">
        <v>1556</v>
      </c>
      <c r="B68" s="64">
        <v>3.57</v>
      </c>
      <c r="C68" s="64">
        <v>15.36</v>
      </c>
      <c r="D68" s="64">
        <v>11.99</v>
      </c>
      <c r="E68" s="64">
        <v>1.06</v>
      </c>
      <c r="F68" s="64">
        <v>5.7</v>
      </c>
      <c r="G68" s="64">
        <v>39.42</v>
      </c>
      <c r="H68" s="64">
        <v>14.87</v>
      </c>
      <c r="I68" s="218" t="s">
        <v>36</v>
      </c>
      <c r="J68" s="64">
        <v>0.08</v>
      </c>
      <c r="K68" s="64">
        <v>215.54</v>
      </c>
      <c r="L68" s="64">
        <v>29.76</v>
      </c>
      <c r="M68" s="64">
        <v>62.52</v>
      </c>
      <c r="N68" s="64">
        <v>443.2</v>
      </c>
      <c r="O68" s="64">
        <v>0</v>
      </c>
      <c r="P68" s="64">
        <v>0.91</v>
      </c>
      <c r="Q68" s="64">
        <v>1.56</v>
      </c>
      <c r="R68" s="198"/>
      <c r="S68" s="198"/>
      <c r="T68" s="198"/>
      <c r="U68" s="198"/>
    </row>
    <row r="69" spans="1:21" s="12" customFormat="1" x14ac:dyDescent="0.25">
      <c r="A69" s="215" t="s">
        <v>1557</v>
      </c>
      <c r="B69" s="64">
        <v>3.56</v>
      </c>
      <c r="C69" s="64">
        <v>15.54</v>
      </c>
      <c r="D69" s="64">
        <v>12.08</v>
      </c>
      <c r="E69" s="64">
        <v>1.22</v>
      </c>
      <c r="F69" s="64">
        <v>5.67</v>
      </c>
      <c r="G69" s="64">
        <v>39.49</v>
      </c>
      <c r="H69" s="64">
        <v>14.87</v>
      </c>
      <c r="I69" s="218" t="s">
        <v>36</v>
      </c>
      <c r="J69" s="64">
        <v>0.28999999999999998</v>
      </c>
      <c r="K69" s="64">
        <v>29.22</v>
      </c>
      <c r="L69" s="64">
        <v>29.74</v>
      </c>
      <c r="M69" s="64">
        <v>62.98</v>
      </c>
      <c r="N69" s="64">
        <v>349.7</v>
      </c>
      <c r="O69" s="64">
        <v>0</v>
      </c>
      <c r="P69" s="64">
        <v>0.93</v>
      </c>
      <c r="Q69" s="64">
        <v>0.82</v>
      </c>
      <c r="R69" s="198"/>
      <c r="S69" s="198"/>
      <c r="T69" s="198"/>
      <c r="U69" s="198"/>
    </row>
    <row r="70" spans="1:21" s="12" customFormat="1" x14ac:dyDescent="0.25">
      <c r="A70" s="215" t="s">
        <v>1558</v>
      </c>
      <c r="B70" s="64">
        <v>3.23</v>
      </c>
      <c r="C70" s="64">
        <v>15.93</v>
      </c>
      <c r="D70" s="64">
        <v>12.03</v>
      </c>
      <c r="E70" s="64">
        <v>1.5</v>
      </c>
      <c r="F70" s="64">
        <v>5.39</v>
      </c>
      <c r="G70" s="64">
        <v>39.49</v>
      </c>
      <c r="H70" s="64">
        <v>14.87</v>
      </c>
      <c r="I70" s="218" t="s">
        <v>36</v>
      </c>
      <c r="J70" s="64">
        <v>0.04</v>
      </c>
      <c r="K70" s="64">
        <v>354.21</v>
      </c>
      <c r="L70" s="64">
        <v>29.4</v>
      </c>
      <c r="M70" s="64">
        <v>63.88</v>
      </c>
      <c r="N70" s="64">
        <v>282.5</v>
      </c>
      <c r="O70" s="64">
        <v>0</v>
      </c>
      <c r="P70" s="64">
        <v>0.93</v>
      </c>
      <c r="Q70" s="64">
        <v>1.58</v>
      </c>
      <c r="R70" s="198"/>
      <c r="S70" s="198"/>
      <c r="T70" s="198"/>
      <c r="U70" s="198"/>
    </row>
    <row r="71" spans="1:21" s="12" customFormat="1" x14ac:dyDescent="0.25">
      <c r="A71" s="215" t="s">
        <v>1559</v>
      </c>
      <c r="B71" s="64">
        <v>2.98</v>
      </c>
      <c r="C71" s="64">
        <v>15.77</v>
      </c>
      <c r="D71" s="64">
        <v>11.74</v>
      </c>
      <c r="E71" s="64">
        <v>1.22</v>
      </c>
      <c r="F71" s="64">
        <v>8.14</v>
      </c>
      <c r="G71" s="64">
        <v>39.49</v>
      </c>
      <c r="H71" s="64">
        <v>14.87</v>
      </c>
      <c r="I71" s="218" t="s">
        <v>36</v>
      </c>
      <c r="J71" s="64">
        <v>0.28000000000000003</v>
      </c>
      <c r="K71" s="64">
        <v>29.53</v>
      </c>
      <c r="L71" s="64">
        <v>29.27</v>
      </c>
      <c r="M71" s="64">
        <v>63.38</v>
      </c>
      <c r="N71" s="64">
        <v>235.7</v>
      </c>
      <c r="O71" s="64">
        <v>0</v>
      </c>
      <c r="P71" s="64">
        <v>0.9</v>
      </c>
      <c r="Q71" s="64">
        <v>0.92</v>
      </c>
      <c r="R71" s="198"/>
      <c r="S71" s="198"/>
      <c r="T71" s="198"/>
      <c r="U71" s="198"/>
    </row>
    <row r="72" spans="1:21" s="12" customFormat="1" x14ac:dyDescent="0.25">
      <c r="A72" s="215" t="s">
        <v>1560</v>
      </c>
      <c r="B72" s="64">
        <v>3.55</v>
      </c>
      <c r="C72" s="64">
        <v>16.829999999999998</v>
      </c>
      <c r="D72" s="64">
        <v>12.78</v>
      </c>
      <c r="E72" s="64">
        <v>1.54</v>
      </c>
      <c r="F72" s="64">
        <v>11.17</v>
      </c>
      <c r="G72" s="64">
        <v>34.770000000000003</v>
      </c>
      <c r="H72" s="64">
        <v>18.25</v>
      </c>
      <c r="I72" s="218" t="s">
        <v>36</v>
      </c>
      <c r="J72" s="64">
        <v>0.23</v>
      </c>
      <c r="K72" s="64">
        <v>25.04</v>
      </c>
      <c r="L72" s="64">
        <v>29.25</v>
      </c>
      <c r="M72" s="64">
        <v>63.94</v>
      </c>
      <c r="N72" s="64">
        <v>203.8</v>
      </c>
      <c r="O72" s="64">
        <v>0</v>
      </c>
      <c r="P72" s="64">
        <v>0.94</v>
      </c>
      <c r="Q72" s="64">
        <v>1.48</v>
      </c>
      <c r="R72" s="198"/>
      <c r="S72" s="198"/>
      <c r="T72" s="198"/>
      <c r="U72" s="198"/>
    </row>
    <row r="73" spans="1:21" s="12" customFormat="1" x14ac:dyDescent="0.25">
      <c r="A73" s="215" t="s">
        <v>1561</v>
      </c>
      <c r="B73" s="64">
        <v>3.72</v>
      </c>
      <c r="C73" s="64">
        <v>17.07</v>
      </c>
      <c r="D73" s="64">
        <v>13.05</v>
      </c>
      <c r="E73" s="64">
        <v>1.33</v>
      </c>
      <c r="F73" s="64">
        <v>9.74</v>
      </c>
      <c r="G73" s="64">
        <v>34.61</v>
      </c>
      <c r="H73" s="64">
        <v>18.25</v>
      </c>
      <c r="I73" s="218" t="s">
        <v>36</v>
      </c>
      <c r="J73" s="64">
        <v>0.16</v>
      </c>
      <c r="K73" s="64">
        <v>43.2</v>
      </c>
      <c r="L73" s="64">
        <v>29.21</v>
      </c>
      <c r="M73" s="64">
        <v>63.81</v>
      </c>
      <c r="N73" s="64">
        <v>197.7</v>
      </c>
      <c r="O73" s="64">
        <v>0</v>
      </c>
      <c r="P73" s="64">
        <v>0.94</v>
      </c>
      <c r="Q73" s="64">
        <v>2.57</v>
      </c>
      <c r="R73" s="198"/>
      <c r="S73" s="198"/>
      <c r="T73" s="198"/>
      <c r="U73" s="198"/>
    </row>
    <row r="74" spans="1:21" s="12" customFormat="1" x14ac:dyDescent="0.25">
      <c r="A74" s="215" t="s">
        <v>1562</v>
      </c>
      <c r="B74" s="64">
        <v>3.76</v>
      </c>
      <c r="C74" s="64">
        <v>15.69</v>
      </c>
      <c r="D74" s="64">
        <v>12.32</v>
      </c>
      <c r="E74" s="64">
        <v>1.4</v>
      </c>
      <c r="F74" s="64">
        <v>9.82</v>
      </c>
      <c r="G74" s="64">
        <v>34.61</v>
      </c>
      <c r="H74" s="64">
        <v>18.25</v>
      </c>
      <c r="I74" s="218" t="s">
        <v>36</v>
      </c>
      <c r="J74" s="64">
        <v>0.28999999999999998</v>
      </c>
      <c r="K74" s="64">
        <v>16.27</v>
      </c>
      <c r="L74" s="64">
        <v>29.4</v>
      </c>
      <c r="M74" s="64">
        <v>63.25</v>
      </c>
      <c r="N74" s="64">
        <v>239</v>
      </c>
      <c r="O74" s="64">
        <v>0</v>
      </c>
      <c r="P74" s="64">
        <v>0.97</v>
      </c>
      <c r="Q74" s="64">
        <v>2.02</v>
      </c>
      <c r="R74" s="198"/>
      <c r="S74" s="198"/>
      <c r="T74" s="198"/>
      <c r="U74" s="198"/>
    </row>
    <row r="75" spans="1:21" s="12" customFormat="1" x14ac:dyDescent="0.25">
      <c r="A75" s="215" t="s">
        <v>1563</v>
      </c>
      <c r="B75" s="64">
        <v>4.28</v>
      </c>
      <c r="C75" s="64">
        <v>16.34</v>
      </c>
      <c r="D75" s="64">
        <v>13.1</v>
      </c>
      <c r="E75" s="64">
        <v>1.51</v>
      </c>
      <c r="F75" s="64">
        <v>11.44</v>
      </c>
      <c r="G75" s="64">
        <v>34.61</v>
      </c>
      <c r="H75" s="64">
        <v>18.25</v>
      </c>
      <c r="I75" s="218" t="s">
        <v>36</v>
      </c>
      <c r="J75" s="64">
        <v>0.21</v>
      </c>
      <c r="K75" s="64">
        <v>36.17</v>
      </c>
      <c r="L75" s="64">
        <v>29.28</v>
      </c>
      <c r="M75" s="64">
        <v>64.099999999999994</v>
      </c>
      <c r="N75" s="64">
        <v>213.2</v>
      </c>
      <c r="O75" s="64">
        <v>0</v>
      </c>
      <c r="P75" s="64">
        <v>0.95</v>
      </c>
      <c r="Q75" s="64">
        <v>3.22</v>
      </c>
      <c r="R75" s="198"/>
      <c r="S75" s="198"/>
      <c r="T75" s="198"/>
      <c r="U75" s="198"/>
    </row>
    <row r="76" spans="1:21" s="12" customFormat="1" x14ac:dyDescent="0.25">
      <c r="A76" s="215" t="s">
        <v>1564</v>
      </c>
      <c r="B76" s="64">
        <v>3.75</v>
      </c>
      <c r="C76" s="64">
        <v>15.04</v>
      </c>
      <c r="D76" s="64">
        <v>11.95</v>
      </c>
      <c r="E76" s="64">
        <v>1.9</v>
      </c>
      <c r="F76" s="64">
        <v>4.93</v>
      </c>
      <c r="G76" s="64">
        <v>37.65</v>
      </c>
      <c r="H76" s="64">
        <v>15.29</v>
      </c>
      <c r="I76" s="218" t="s">
        <v>36</v>
      </c>
      <c r="J76" s="64">
        <v>0.17</v>
      </c>
      <c r="K76" s="64">
        <v>35.04</v>
      </c>
      <c r="L76" s="64">
        <v>28.91</v>
      </c>
      <c r="M76" s="64">
        <v>64.260000000000005</v>
      </c>
      <c r="N76" s="64">
        <v>163.69999999999999</v>
      </c>
      <c r="O76" s="64">
        <v>0</v>
      </c>
      <c r="P76" s="64">
        <v>0.94</v>
      </c>
      <c r="Q76" s="64">
        <v>2.8</v>
      </c>
      <c r="R76" s="198"/>
      <c r="S76" s="198"/>
      <c r="T76" s="198"/>
      <c r="U76" s="198"/>
    </row>
    <row r="77" spans="1:21" s="12" customFormat="1" x14ac:dyDescent="0.25">
      <c r="A77" s="215" t="s">
        <v>1565</v>
      </c>
      <c r="B77" s="64">
        <v>3.4</v>
      </c>
      <c r="C77" s="64">
        <v>15.27</v>
      </c>
      <c r="D77" s="64">
        <v>11.8</v>
      </c>
      <c r="E77" s="64">
        <v>1.4</v>
      </c>
      <c r="F77" s="64">
        <v>5.17</v>
      </c>
      <c r="G77" s="64">
        <v>37.76</v>
      </c>
      <c r="H77" s="64">
        <v>15.29</v>
      </c>
      <c r="I77" s="218" t="s">
        <v>36</v>
      </c>
      <c r="J77" s="64">
        <v>0.27</v>
      </c>
      <c r="K77" s="64">
        <v>19.93</v>
      </c>
      <c r="L77" s="64">
        <v>28.81</v>
      </c>
      <c r="M77" s="64">
        <v>63.7</v>
      </c>
      <c r="N77" s="64">
        <v>139.30000000000001</v>
      </c>
      <c r="O77" s="64">
        <v>0</v>
      </c>
      <c r="P77" s="64">
        <v>0.95</v>
      </c>
      <c r="Q77" s="64">
        <v>1.95</v>
      </c>
      <c r="R77" s="198"/>
      <c r="S77" s="198"/>
      <c r="T77" s="198"/>
      <c r="U77" s="198"/>
    </row>
    <row r="78" spans="1:21" s="12" customFormat="1" x14ac:dyDescent="0.25">
      <c r="A78" s="215" t="s">
        <v>1566</v>
      </c>
      <c r="B78" s="64">
        <v>4.04</v>
      </c>
      <c r="C78" s="64">
        <v>15.26</v>
      </c>
      <c r="D78" s="64">
        <v>12.31</v>
      </c>
      <c r="E78" s="64">
        <v>1.47</v>
      </c>
      <c r="F78" s="64">
        <v>5.43</v>
      </c>
      <c r="G78" s="64">
        <v>37.76</v>
      </c>
      <c r="H78" s="64">
        <v>15.29</v>
      </c>
      <c r="I78" s="218" t="s">
        <v>36</v>
      </c>
      <c r="J78" s="64">
        <v>0.34</v>
      </c>
      <c r="K78" s="64">
        <v>36.340000000000003</v>
      </c>
      <c r="L78" s="64">
        <v>28.76</v>
      </c>
      <c r="M78" s="64">
        <v>63.43</v>
      </c>
      <c r="N78" s="64">
        <v>112.7</v>
      </c>
      <c r="O78" s="64">
        <v>0</v>
      </c>
      <c r="P78" s="64">
        <v>0.97</v>
      </c>
      <c r="Q78" s="64">
        <v>0.57999999999999996</v>
      </c>
      <c r="R78" s="198"/>
      <c r="S78" s="198"/>
      <c r="T78" s="198"/>
      <c r="U78" s="198"/>
    </row>
    <row r="79" spans="1:21" s="12" customFormat="1" x14ac:dyDescent="0.25">
      <c r="A79" s="215" t="s">
        <v>1567</v>
      </c>
      <c r="B79" s="64">
        <v>4.87</v>
      </c>
      <c r="C79" s="64">
        <v>17.93</v>
      </c>
      <c r="D79" s="64">
        <v>14.44</v>
      </c>
      <c r="E79" s="64">
        <v>1.66</v>
      </c>
      <c r="F79" s="64">
        <v>5.81</v>
      </c>
      <c r="G79" s="64">
        <v>37.76</v>
      </c>
      <c r="H79" s="64">
        <v>15.29</v>
      </c>
      <c r="I79" s="218" t="s">
        <v>36</v>
      </c>
      <c r="J79" s="64">
        <v>0.2</v>
      </c>
      <c r="K79" s="64">
        <v>26.04</v>
      </c>
      <c r="L79" s="64">
        <v>28.6</v>
      </c>
      <c r="M79" s="64">
        <v>64.47</v>
      </c>
      <c r="N79" s="64">
        <v>94</v>
      </c>
      <c r="O79" s="64">
        <v>0</v>
      </c>
      <c r="P79" s="64">
        <v>1.01</v>
      </c>
      <c r="Q79" s="64">
        <v>1.78</v>
      </c>
      <c r="R79" s="198"/>
      <c r="S79" s="198"/>
      <c r="T79" s="198"/>
      <c r="U79" s="198"/>
    </row>
    <row r="80" spans="1:21" s="12" customFormat="1" x14ac:dyDescent="0.25">
      <c r="A80" s="215" t="s">
        <v>1568</v>
      </c>
      <c r="B80" s="64">
        <v>5.38</v>
      </c>
      <c r="C80" s="64">
        <v>17.63</v>
      </c>
      <c r="D80" s="64">
        <v>14.69</v>
      </c>
      <c r="E80" s="64">
        <v>1.0900000000000001</v>
      </c>
      <c r="F80" s="64">
        <v>6.72</v>
      </c>
      <c r="G80" s="64">
        <v>33.729999999999997</v>
      </c>
      <c r="H80" s="64">
        <v>11.53</v>
      </c>
      <c r="I80" s="218" t="s">
        <v>36</v>
      </c>
      <c r="J80" s="64">
        <v>0.21</v>
      </c>
      <c r="K80" s="64">
        <v>39.51</v>
      </c>
      <c r="L80" s="64">
        <v>28.44</v>
      </c>
      <c r="M80" s="64">
        <v>65.72</v>
      </c>
      <c r="N80" s="64">
        <v>74</v>
      </c>
      <c r="O80" s="64">
        <v>0</v>
      </c>
      <c r="P80" s="64">
        <v>1.02</v>
      </c>
      <c r="Q80" s="64">
        <v>1.49</v>
      </c>
      <c r="R80" s="198"/>
      <c r="S80" s="198"/>
      <c r="T80" s="198"/>
      <c r="U80" s="198"/>
    </row>
    <row r="81" spans="1:26" s="12" customFormat="1" x14ac:dyDescent="0.25">
      <c r="A81" s="215" t="s">
        <v>1569</v>
      </c>
      <c r="B81" s="64">
        <v>5.68</v>
      </c>
      <c r="C81" s="64">
        <v>16.899999999999999</v>
      </c>
      <c r="D81" s="64">
        <v>14.53</v>
      </c>
      <c r="E81" s="64">
        <v>1.75</v>
      </c>
      <c r="F81" s="64">
        <v>5.83</v>
      </c>
      <c r="G81" s="64">
        <v>33.590000000000003</v>
      </c>
      <c r="H81" s="64">
        <v>11.53</v>
      </c>
      <c r="I81" s="218" t="s">
        <v>36</v>
      </c>
      <c r="J81" s="64">
        <v>0.26</v>
      </c>
      <c r="K81" s="64">
        <v>21.6</v>
      </c>
      <c r="L81" s="64">
        <v>28.31</v>
      </c>
      <c r="M81" s="64">
        <v>66.06</v>
      </c>
      <c r="N81" s="64">
        <v>57.3</v>
      </c>
      <c r="O81" s="64">
        <v>0</v>
      </c>
      <c r="P81" s="64">
        <v>1.04</v>
      </c>
      <c r="Q81" s="64">
        <v>1.81</v>
      </c>
      <c r="R81" s="198"/>
      <c r="S81" s="198"/>
      <c r="T81" s="198"/>
      <c r="U81" s="198"/>
    </row>
    <row r="82" spans="1:26" s="12" customFormat="1" x14ac:dyDescent="0.25">
      <c r="A82" s="215" t="s">
        <v>1570</v>
      </c>
      <c r="B82" s="64">
        <v>5.89</v>
      </c>
      <c r="C82" s="64">
        <v>17.79</v>
      </c>
      <c r="D82" s="64">
        <v>15.19</v>
      </c>
      <c r="E82" s="64">
        <v>1.39</v>
      </c>
      <c r="F82" s="64">
        <v>5.61</v>
      </c>
      <c r="G82" s="64">
        <v>33.590000000000003</v>
      </c>
      <c r="H82" s="64">
        <v>11.53</v>
      </c>
      <c r="I82" s="218" t="s">
        <v>36</v>
      </c>
      <c r="J82" s="64">
        <v>0.22</v>
      </c>
      <c r="K82" s="64">
        <v>45.45</v>
      </c>
      <c r="L82" s="64">
        <v>28.1</v>
      </c>
      <c r="M82" s="64">
        <v>65.709999999999994</v>
      </c>
      <c r="N82" s="64">
        <v>47</v>
      </c>
      <c r="O82" s="64">
        <v>0</v>
      </c>
      <c r="P82" s="64">
        <v>1.07</v>
      </c>
      <c r="Q82" s="64">
        <v>2.54</v>
      </c>
      <c r="R82" s="198"/>
      <c r="S82" s="198"/>
      <c r="T82" s="198"/>
      <c r="U82" s="198"/>
    </row>
    <row r="83" spans="1:26" s="12" customFormat="1" x14ac:dyDescent="0.25">
      <c r="A83" s="215" t="s">
        <v>1571</v>
      </c>
      <c r="B83" s="64">
        <v>9.14</v>
      </c>
      <c r="C83" s="64">
        <v>23.26</v>
      </c>
      <c r="D83" s="64">
        <v>20.81</v>
      </c>
      <c r="E83" s="64">
        <v>1.1200000000000001</v>
      </c>
      <c r="F83" s="64">
        <v>9.93</v>
      </c>
      <c r="G83" s="64">
        <v>33.590000000000003</v>
      </c>
      <c r="H83" s="64">
        <v>11.53</v>
      </c>
      <c r="I83" s="218" t="s">
        <v>36</v>
      </c>
      <c r="J83" s="64">
        <v>0.25</v>
      </c>
      <c r="K83" s="64">
        <v>46.69</v>
      </c>
      <c r="L83" s="64">
        <v>27.98</v>
      </c>
      <c r="M83" s="64">
        <v>66.78</v>
      </c>
      <c r="N83" s="64">
        <v>42.1</v>
      </c>
      <c r="O83" s="64">
        <v>0</v>
      </c>
      <c r="P83" s="64">
        <v>1.0900000000000001</v>
      </c>
      <c r="Q83" s="64">
        <v>3.27</v>
      </c>
      <c r="R83" s="198"/>
      <c r="S83" s="198"/>
      <c r="T83" s="198"/>
      <c r="U83" s="198"/>
    </row>
    <row r="84" spans="1:26" s="12" customFormat="1" x14ac:dyDescent="0.25">
      <c r="A84" s="215" t="s">
        <v>1572</v>
      </c>
      <c r="B84" s="64">
        <v>9.17</v>
      </c>
      <c r="C84" s="64">
        <v>22.89</v>
      </c>
      <c r="D84" s="64">
        <v>20.63</v>
      </c>
      <c r="E84" s="64">
        <v>1.1200000000000001</v>
      </c>
      <c r="F84" s="64">
        <v>10.85</v>
      </c>
      <c r="G84" s="64">
        <v>36.770000000000003</v>
      </c>
      <c r="H84" s="64">
        <v>9.24</v>
      </c>
      <c r="I84" s="218" t="s">
        <v>36</v>
      </c>
      <c r="J84" s="64">
        <v>0.21</v>
      </c>
      <c r="K84" s="64">
        <v>40.090000000000003</v>
      </c>
      <c r="L84" s="64">
        <v>27.9</v>
      </c>
      <c r="M84" s="64">
        <v>67.180000000000007</v>
      </c>
      <c r="N84" s="64">
        <v>40.9</v>
      </c>
      <c r="O84" s="64">
        <v>0</v>
      </c>
      <c r="P84" s="64">
        <v>1.1200000000000001</v>
      </c>
      <c r="Q84" s="64">
        <v>4.12</v>
      </c>
      <c r="R84" s="198"/>
      <c r="S84" s="198"/>
      <c r="T84" s="198"/>
      <c r="U84" s="198"/>
    </row>
    <row r="85" spans="1:26" s="12" customFormat="1" x14ac:dyDescent="0.25">
      <c r="A85" s="215" t="s">
        <v>1573</v>
      </c>
      <c r="B85" s="64">
        <v>10.34</v>
      </c>
      <c r="C85" s="64">
        <v>26.47</v>
      </c>
      <c r="D85" s="64">
        <v>23.54</v>
      </c>
      <c r="E85" s="64">
        <v>1.93</v>
      </c>
      <c r="F85" s="64">
        <v>15.58</v>
      </c>
      <c r="G85" s="64">
        <v>36.880000000000003</v>
      </c>
      <c r="H85" s="64">
        <v>9.24</v>
      </c>
      <c r="I85" s="218" t="s">
        <v>36</v>
      </c>
      <c r="J85" s="64">
        <v>0.13</v>
      </c>
      <c r="K85" s="64">
        <v>14.47</v>
      </c>
      <c r="L85" s="64">
        <v>27.77</v>
      </c>
      <c r="M85" s="64">
        <v>68.069999999999993</v>
      </c>
      <c r="N85" s="64">
        <v>40.700000000000003</v>
      </c>
      <c r="O85" s="64">
        <v>0</v>
      </c>
      <c r="P85" s="64">
        <v>1.07</v>
      </c>
      <c r="Q85" s="64">
        <v>5.47</v>
      </c>
      <c r="R85" s="198"/>
      <c r="S85" s="198"/>
      <c r="T85" s="198"/>
      <c r="U85" s="198"/>
    </row>
    <row r="86" spans="1:26" s="12" customFormat="1" x14ac:dyDescent="0.25">
      <c r="A86" s="215" t="s">
        <v>1574</v>
      </c>
      <c r="B86" s="64">
        <v>10.07</v>
      </c>
      <c r="C86" s="64">
        <v>25.66</v>
      </c>
      <c r="D86" s="64">
        <v>22.88</v>
      </c>
      <c r="E86" s="64">
        <v>1.96</v>
      </c>
      <c r="F86" s="64">
        <v>13.4</v>
      </c>
      <c r="G86" s="64">
        <v>36.880000000000003</v>
      </c>
      <c r="H86" s="64">
        <v>9.24</v>
      </c>
      <c r="I86" s="218" t="s">
        <v>36</v>
      </c>
      <c r="J86" s="64">
        <v>0.1</v>
      </c>
      <c r="K86" s="64">
        <v>28.32</v>
      </c>
      <c r="L86" s="64">
        <v>27.63</v>
      </c>
      <c r="M86" s="64">
        <v>68.900000000000006</v>
      </c>
      <c r="N86" s="64">
        <v>40.6</v>
      </c>
      <c r="O86" s="64">
        <v>0</v>
      </c>
      <c r="P86" s="64">
        <v>1.1599999999999999</v>
      </c>
      <c r="Q86" s="64">
        <v>5.66</v>
      </c>
      <c r="R86" s="198"/>
      <c r="S86" s="198"/>
      <c r="T86" s="198"/>
      <c r="U86" s="198"/>
    </row>
    <row r="87" spans="1:26" s="12" customFormat="1" x14ac:dyDescent="0.25">
      <c r="A87" s="215" t="s">
        <v>1575</v>
      </c>
      <c r="B87" s="64">
        <v>11.95</v>
      </c>
      <c r="C87" s="64">
        <v>29.17</v>
      </c>
      <c r="D87" s="64">
        <v>26.33</v>
      </c>
      <c r="E87" s="64">
        <v>2.14</v>
      </c>
      <c r="F87" s="64">
        <v>9.8800000000000008</v>
      </c>
      <c r="G87" s="64">
        <v>36.880000000000003</v>
      </c>
      <c r="H87" s="64">
        <v>9.24</v>
      </c>
      <c r="I87" s="218" t="s">
        <v>36</v>
      </c>
      <c r="J87" s="64">
        <v>0.1</v>
      </c>
      <c r="K87" s="64">
        <v>28.03</v>
      </c>
      <c r="L87" s="64">
        <v>27.62</v>
      </c>
      <c r="M87" s="64">
        <v>69.78</v>
      </c>
      <c r="N87" s="64">
        <v>40.6</v>
      </c>
      <c r="O87" s="64">
        <v>0</v>
      </c>
      <c r="P87" s="64">
        <v>1.21</v>
      </c>
      <c r="Q87" s="64">
        <v>7.07</v>
      </c>
      <c r="R87" s="198"/>
      <c r="S87" s="198"/>
      <c r="T87" s="198"/>
      <c r="U87" s="198"/>
    </row>
    <row r="88" spans="1:26" s="12" customFormat="1" x14ac:dyDescent="0.25">
      <c r="A88" s="215" t="s">
        <v>1576</v>
      </c>
      <c r="B88" s="64">
        <v>13.13</v>
      </c>
      <c r="C88" s="64">
        <v>25.56</v>
      </c>
      <c r="D88" s="64">
        <v>25.28</v>
      </c>
      <c r="E88" s="64">
        <v>2.21</v>
      </c>
      <c r="F88" s="64">
        <v>7.44</v>
      </c>
      <c r="G88" s="64">
        <v>43.33</v>
      </c>
      <c r="H88" s="64">
        <v>31.51</v>
      </c>
      <c r="I88" s="218" t="s">
        <v>36</v>
      </c>
      <c r="J88" s="64">
        <v>0.08</v>
      </c>
      <c r="K88" s="64">
        <v>19.63</v>
      </c>
      <c r="L88" s="64">
        <v>27.53</v>
      </c>
      <c r="M88" s="64">
        <v>70.599999999999994</v>
      </c>
      <c r="N88" s="64">
        <v>40.5</v>
      </c>
      <c r="O88" s="64">
        <v>0</v>
      </c>
      <c r="P88" s="64">
        <v>1.26</v>
      </c>
      <c r="Q88" s="64">
        <v>7.41</v>
      </c>
      <c r="R88" s="198"/>
      <c r="S88" s="198"/>
      <c r="T88" s="198"/>
      <c r="U88" s="198"/>
    </row>
    <row r="89" spans="1:26" s="12" customFormat="1" x14ac:dyDescent="0.25">
      <c r="A89" s="215" t="s">
        <v>1577</v>
      </c>
      <c r="B89" s="64">
        <v>15.14</v>
      </c>
      <c r="C89" s="64">
        <v>24.64</v>
      </c>
      <c r="D89" s="64">
        <v>26.39</v>
      </c>
      <c r="E89" s="64">
        <v>2.44</v>
      </c>
      <c r="F89" s="64">
        <v>7.29</v>
      </c>
      <c r="G89" s="64">
        <v>43.56</v>
      </c>
      <c r="H89" s="64">
        <v>31.51</v>
      </c>
      <c r="I89" s="218" t="s">
        <v>36</v>
      </c>
      <c r="J89" s="64">
        <v>7.0000000000000007E-2</v>
      </c>
      <c r="K89" s="64">
        <v>10.039999999999999</v>
      </c>
      <c r="L89" s="64">
        <v>27.46</v>
      </c>
      <c r="M89" s="64">
        <v>71.61</v>
      </c>
      <c r="N89" s="64">
        <v>40.6</v>
      </c>
      <c r="O89" s="64">
        <v>0</v>
      </c>
      <c r="P89" s="64">
        <v>1.32</v>
      </c>
      <c r="Q89" s="64">
        <v>6.31</v>
      </c>
      <c r="R89" s="198"/>
      <c r="S89" s="198"/>
      <c r="T89" s="198"/>
      <c r="U89" s="198"/>
    </row>
    <row r="90" spans="1:26" s="12" customFormat="1" x14ac:dyDescent="0.25">
      <c r="A90" s="215" t="s">
        <v>1578</v>
      </c>
      <c r="B90" s="64">
        <v>10.84</v>
      </c>
      <c r="C90" s="64">
        <v>21.42</v>
      </c>
      <c r="D90" s="64">
        <v>21.16</v>
      </c>
      <c r="E90" s="64">
        <v>2.2999999999999998</v>
      </c>
      <c r="F90" s="64">
        <v>6.69</v>
      </c>
      <c r="G90" s="64">
        <v>43.56</v>
      </c>
      <c r="H90" s="64">
        <v>31.51</v>
      </c>
      <c r="I90" s="218" t="s">
        <v>36</v>
      </c>
      <c r="J90" s="64">
        <v>7.0000000000000007E-2</v>
      </c>
      <c r="K90" s="64">
        <v>23.79</v>
      </c>
      <c r="L90" s="64">
        <v>27.39</v>
      </c>
      <c r="M90" s="64">
        <v>71.430000000000007</v>
      </c>
      <c r="N90" s="64">
        <v>40.6</v>
      </c>
      <c r="O90" s="64">
        <v>0</v>
      </c>
      <c r="P90" s="64">
        <v>1.37</v>
      </c>
      <c r="Q90" s="64">
        <v>5.29</v>
      </c>
      <c r="R90" s="198"/>
      <c r="S90" s="198"/>
      <c r="T90" s="198"/>
      <c r="U90" s="198"/>
    </row>
    <row r="91" spans="1:26" s="12" customFormat="1" x14ac:dyDescent="0.25">
      <c r="A91" s="215" t="s">
        <v>1579</v>
      </c>
      <c r="B91" s="64">
        <v>10.36</v>
      </c>
      <c r="C91" s="64">
        <v>21.29</v>
      </c>
      <c r="D91" s="64">
        <v>20.71</v>
      </c>
      <c r="E91" s="64">
        <v>1.84</v>
      </c>
      <c r="F91" s="64">
        <v>7.23</v>
      </c>
      <c r="G91" s="64">
        <v>43.56</v>
      </c>
      <c r="H91" s="64">
        <v>31.51</v>
      </c>
      <c r="I91" s="218" t="s">
        <v>36</v>
      </c>
      <c r="J91" s="64">
        <v>0.13</v>
      </c>
      <c r="K91" s="64">
        <v>173.62</v>
      </c>
      <c r="L91" s="64">
        <v>27.22</v>
      </c>
      <c r="M91" s="64">
        <v>73.42</v>
      </c>
      <c r="N91" s="64">
        <v>40.700000000000003</v>
      </c>
      <c r="O91" s="64">
        <v>0</v>
      </c>
      <c r="P91" s="64">
        <v>1.38</v>
      </c>
      <c r="Q91" s="64">
        <v>6.83</v>
      </c>
      <c r="R91" s="198"/>
      <c r="S91" s="198"/>
      <c r="T91" s="198"/>
      <c r="U91" s="198"/>
    </row>
    <row r="92" spans="1:26" s="12" customFormat="1" x14ac:dyDescent="0.25">
      <c r="A92" s="215" t="s">
        <v>1580</v>
      </c>
      <c r="B92" s="64">
        <v>8.36</v>
      </c>
      <c r="C92" s="64">
        <v>20.71</v>
      </c>
      <c r="D92" s="64">
        <v>18.78</v>
      </c>
      <c r="E92" s="64">
        <v>2.19</v>
      </c>
      <c r="F92" s="64">
        <v>8.73</v>
      </c>
      <c r="G92" s="64">
        <v>54.93</v>
      </c>
      <c r="H92" s="64">
        <v>36.19</v>
      </c>
      <c r="I92" s="218" t="s">
        <v>36</v>
      </c>
      <c r="J92" s="64">
        <v>0.04</v>
      </c>
      <c r="K92" s="64">
        <v>352.7</v>
      </c>
      <c r="L92" s="64">
        <v>26.87</v>
      </c>
      <c r="M92" s="64">
        <v>76.7</v>
      </c>
      <c r="N92" s="64">
        <v>40.799999999999997</v>
      </c>
      <c r="O92" s="64">
        <v>0</v>
      </c>
      <c r="P92" s="64">
        <v>1.36</v>
      </c>
      <c r="Q92" s="64">
        <v>5.89</v>
      </c>
      <c r="R92" s="198"/>
      <c r="S92" s="198"/>
      <c r="T92" s="198"/>
      <c r="U92" s="198"/>
    </row>
    <row r="93" spans="1:26" s="12" customFormat="1" x14ac:dyDescent="0.25">
      <c r="A93" s="215" t="s">
        <v>1581</v>
      </c>
      <c r="B93" s="64">
        <v>9.81</v>
      </c>
      <c r="C93" s="64">
        <v>18.32</v>
      </c>
      <c r="D93" s="64">
        <v>18.62</v>
      </c>
      <c r="E93" s="64">
        <v>2.5499999999999998</v>
      </c>
      <c r="F93" s="64">
        <v>5.5</v>
      </c>
      <c r="G93" s="64">
        <v>55.33</v>
      </c>
      <c r="H93" s="64">
        <v>36.19</v>
      </c>
      <c r="I93" s="218" t="s">
        <v>36</v>
      </c>
      <c r="J93" s="64">
        <v>0.16</v>
      </c>
      <c r="K93" s="64">
        <v>32.119999999999997</v>
      </c>
      <c r="L93" s="64">
        <v>26.82</v>
      </c>
      <c r="M93" s="64">
        <v>77.790000000000006</v>
      </c>
      <c r="N93" s="64">
        <v>40.4</v>
      </c>
      <c r="O93" s="64">
        <v>0</v>
      </c>
      <c r="P93" s="64">
        <v>1.4</v>
      </c>
      <c r="Q93" s="64">
        <v>6.49</v>
      </c>
      <c r="R93" s="198"/>
      <c r="S93" s="198"/>
      <c r="T93" s="198"/>
      <c r="U93" s="198"/>
    </row>
    <row r="94" spans="1:26" s="12" customFormat="1" x14ac:dyDescent="0.25">
      <c r="A94" s="215" t="s">
        <v>1582</v>
      </c>
      <c r="B94" s="64">
        <v>10.97</v>
      </c>
      <c r="C94" s="64">
        <v>17.309999999999999</v>
      </c>
      <c r="D94" s="64">
        <v>18.989999999999998</v>
      </c>
      <c r="E94" s="64">
        <v>2.33</v>
      </c>
      <c r="F94" s="64">
        <v>8.48</v>
      </c>
      <c r="G94" s="64">
        <v>55.33</v>
      </c>
      <c r="H94" s="64">
        <v>36.19</v>
      </c>
      <c r="I94" s="218" t="s">
        <v>36</v>
      </c>
      <c r="J94" s="64">
        <v>0.09</v>
      </c>
      <c r="K94" s="64">
        <v>35.409999999999997</v>
      </c>
      <c r="L94" s="64">
        <v>26.69</v>
      </c>
      <c r="M94" s="64">
        <v>78.010000000000005</v>
      </c>
      <c r="N94" s="64">
        <v>40.200000000000003</v>
      </c>
      <c r="O94" s="64">
        <v>0</v>
      </c>
      <c r="P94" s="64">
        <v>1.35</v>
      </c>
      <c r="Q94" s="64">
        <v>5.57</v>
      </c>
      <c r="R94" s="198"/>
      <c r="S94" s="198"/>
      <c r="T94" s="198"/>
      <c r="U94" s="198"/>
    </row>
    <row r="95" spans="1:26" s="12" customFormat="1" x14ac:dyDescent="0.25">
      <c r="A95" s="215" t="s">
        <v>1583</v>
      </c>
      <c r="B95" s="64">
        <v>12.49</v>
      </c>
      <c r="C95" s="64">
        <v>24.09</v>
      </c>
      <c r="D95" s="64">
        <v>23.96</v>
      </c>
      <c r="E95" s="64">
        <v>2.2999999999999998</v>
      </c>
      <c r="F95" s="64">
        <v>12.22</v>
      </c>
      <c r="G95" s="64">
        <v>55.33</v>
      </c>
      <c r="H95" s="64">
        <v>36.19</v>
      </c>
      <c r="I95" s="218" t="s">
        <v>36</v>
      </c>
      <c r="J95" s="64">
        <v>0.13</v>
      </c>
      <c r="K95" s="64">
        <v>18.18</v>
      </c>
      <c r="L95" s="64">
        <v>26.67</v>
      </c>
      <c r="M95" s="64">
        <v>77.41</v>
      </c>
      <c r="N95" s="64">
        <v>40.200000000000003</v>
      </c>
      <c r="O95" s="64">
        <v>0</v>
      </c>
      <c r="P95" s="64">
        <v>1.38</v>
      </c>
      <c r="Q95" s="64">
        <v>7.06</v>
      </c>
      <c r="R95" s="198"/>
      <c r="S95" s="198"/>
      <c r="T95" s="198"/>
      <c r="U95" s="198"/>
    </row>
    <row r="96" spans="1:26" s="12" customFormat="1" x14ac:dyDescent="0.25">
      <c r="A96" s="215" t="s">
        <v>1584</v>
      </c>
      <c r="B96" s="64">
        <v>6.13</v>
      </c>
      <c r="C96" s="64">
        <v>22.04</v>
      </c>
      <c r="D96" s="64">
        <v>17.72</v>
      </c>
      <c r="E96" s="64">
        <v>2.21</v>
      </c>
      <c r="F96" s="64">
        <v>15.63</v>
      </c>
      <c r="G96" s="64">
        <v>50.98</v>
      </c>
      <c r="H96" s="64">
        <v>36.880000000000003</v>
      </c>
      <c r="I96" s="218" t="s">
        <v>36</v>
      </c>
      <c r="J96" s="64">
        <v>0.03</v>
      </c>
      <c r="K96" s="64">
        <v>30.38</v>
      </c>
      <c r="L96" s="64">
        <v>26.55</v>
      </c>
      <c r="M96" s="64">
        <v>77.930000000000007</v>
      </c>
      <c r="N96" s="64">
        <v>40.299999999999997</v>
      </c>
      <c r="O96" s="64">
        <v>0</v>
      </c>
      <c r="P96" s="64">
        <v>1.36</v>
      </c>
      <c r="Q96" s="64">
        <v>8.33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1585</v>
      </c>
      <c r="B97" s="64">
        <v>6.27</v>
      </c>
      <c r="C97" s="64">
        <v>25.14</v>
      </c>
      <c r="D97" s="64">
        <v>19.55</v>
      </c>
      <c r="E97" s="64">
        <v>2.37</v>
      </c>
      <c r="F97" s="64">
        <v>13.43</v>
      </c>
      <c r="G97" s="64">
        <v>50.83</v>
      </c>
      <c r="H97" s="64">
        <v>36.880000000000003</v>
      </c>
      <c r="I97" s="218" t="s">
        <v>36</v>
      </c>
      <c r="J97" s="64">
        <v>0.08</v>
      </c>
      <c r="K97" s="64">
        <v>15</v>
      </c>
      <c r="L97" s="64">
        <v>26.45</v>
      </c>
      <c r="M97" s="64">
        <v>78.72</v>
      </c>
      <c r="N97" s="64">
        <v>40.1</v>
      </c>
      <c r="O97" s="64">
        <v>0</v>
      </c>
      <c r="P97" s="64">
        <v>1.35</v>
      </c>
      <c r="Q97" s="64">
        <v>8.8800000000000008</v>
      </c>
      <c r="R97" s="198"/>
      <c r="S97" s="198"/>
      <c r="T97" s="198"/>
      <c r="U97" s="198"/>
    </row>
    <row r="98" spans="1:33" s="12" customFormat="1" x14ac:dyDescent="0.25">
      <c r="A98" s="215" t="s">
        <v>1586</v>
      </c>
      <c r="B98" s="64">
        <v>9.42</v>
      </c>
      <c r="C98" s="64">
        <v>26.23</v>
      </c>
      <c r="D98" s="64">
        <v>22.67</v>
      </c>
      <c r="E98" s="64">
        <v>2.39</v>
      </c>
      <c r="F98" s="64">
        <v>10.79</v>
      </c>
      <c r="G98" s="64">
        <v>50.83</v>
      </c>
      <c r="H98" s="64">
        <v>36.880000000000003</v>
      </c>
      <c r="I98" s="218" t="s">
        <v>36</v>
      </c>
      <c r="J98" s="64">
        <v>0.09</v>
      </c>
      <c r="K98" s="64">
        <v>39.369999999999997</v>
      </c>
      <c r="L98" s="64">
        <v>26.4</v>
      </c>
      <c r="M98" s="64">
        <v>79.64</v>
      </c>
      <c r="N98" s="64">
        <v>40.1</v>
      </c>
      <c r="O98" s="64">
        <v>0</v>
      </c>
      <c r="P98" s="64">
        <v>1.39</v>
      </c>
      <c r="Q98" s="64">
        <v>10.039999999999999</v>
      </c>
      <c r="R98" s="198"/>
      <c r="S98" s="198"/>
      <c r="T98" s="198"/>
      <c r="U98" s="198"/>
    </row>
    <row r="99" spans="1:33" s="12" customFormat="1" x14ac:dyDescent="0.25">
      <c r="A99" s="215" t="s">
        <v>1587</v>
      </c>
      <c r="B99" s="64">
        <v>11.11</v>
      </c>
      <c r="C99" s="64">
        <v>20.05</v>
      </c>
      <c r="D99" s="64">
        <v>20.62</v>
      </c>
      <c r="E99" s="64">
        <v>2.4500000000000002</v>
      </c>
      <c r="F99" s="64">
        <v>6.31</v>
      </c>
      <c r="G99" s="64">
        <v>50.83</v>
      </c>
      <c r="H99" s="64">
        <v>36.880000000000003</v>
      </c>
      <c r="I99" s="218" t="s">
        <v>36</v>
      </c>
      <c r="J99" s="64">
        <v>0.15</v>
      </c>
      <c r="K99" s="64">
        <v>22.24</v>
      </c>
      <c r="L99" s="64">
        <v>26.08</v>
      </c>
      <c r="M99" s="64">
        <v>79.900000000000006</v>
      </c>
      <c r="N99" s="64">
        <v>40.4</v>
      </c>
      <c r="O99" s="64">
        <v>0</v>
      </c>
      <c r="P99" s="64">
        <v>1.35</v>
      </c>
      <c r="Q99" s="64">
        <v>9.3800000000000008</v>
      </c>
      <c r="R99" s="198"/>
      <c r="S99" s="198"/>
      <c r="T99" s="198"/>
      <c r="U99" s="198"/>
    </row>
    <row r="100" spans="1:33" s="12" customFormat="1" x14ac:dyDescent="0.25">
      <c r="A100" s="215" t="s">
        <v>1588</v>
      </c>
      <c r="B100" s="64">
        <v>9.34</v>
      </c>
      <c r="C100" s="64">
        <v>15.73</v>
      </c>
      <c r="D100" s="64">
        <v>16.82</v>
      </c>
      <c r="E100" s="64">
        <v>2.5099999999999998</v>
      </c>
      <c r="F100" s="64">
        <v>4.45</v>
      </c>
      <c r="G100" s="64">
        <v>52.29</v>
      </c>
      <c r="H100" s="64">
        <v>24.49</v>
      </c>
      <c r="I100" s="218" t="s">
        <v>36</v>
      </c>
      <c r="J100" s="64">
        <v>0.23</v>
      </c>
      <c r="K100" s="64">
        <v>34.479999999999997</v>
      </c>
      <c r="L100" s="64">
        <v>25.52</v>
      </c>
      <c r="M100" s="64">
        <v>78.16</v>
      </c>
      <c r="N100" s="64">
        <v>40.700000000000003</v>
      </c>
      <c r="O100" s="64">
        <v>0</v>
      </c>
      <c r="P100" s="64">
        <v>1.3</v>
      </c>
      <c r="Q100" s="64">
        <v>8.83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1589</v>
      </c>
      <c r="B101" s="64">
        <v>7.78</v>
      </c>
      <c r="C101" s="64">
        <v>15.12</v>
      </c>
      <c r="D101" s="64">
        <v>15.23</v>
      </c>
      <c r="E101" s="64">
        <v>2.2599999999999998</v>
      </c>
      <c r="F101" s="64">
        <v>4.71</v>
      </c>
      <c r="G101" s="64">
        <v>52.34</v>
      </c>
      <c r="H101" s="64">
        <v>24.49</v>
      </c>
      <c r="I101" s="218" t="s">
        <v>36</v>
      </c>
      <c r="J101" s="64">
        <v>0.23</v>
      </c>
      <c r="K101" s="64">
        <v>35.590000000000003</v>
      </c>
      <c r="L101" s="64">
        <v>25.18</v>
      </c>
      <c r="M101" s="64">
        <v>79.349999999999994</v>
      </c>
      <c r="N101" s="64">
        <v>40.6</v>
      </c>
      <c r="O101" s="64">
        <v>0</v>
      </c>
      <c r="P101" s="64">
        <v>1.24</v>
      </c>
      <c r="Q101" s="64">
        <v>7.13</v>
      </c>
      <c r="R101" s="198"/>
      <c r="S101" s="198"/>
      <c r="T101" s="198"/>
      <c r="U101" s="198"/>
    </row>
    <row r="102" spans="1:33" s="12" customFormat="1" x14ac:dyDescent="0.25">
      <c r="A102" s="215" t="s">
        <v>1590</v>
      </c>
      <c r="B102" s="64">
        <v>6.37</v>
      </c>
      <c r="C102" s="64">
        <v>16.079999999999998</v>
      </c>
      <c r="D102" s="64">
        <v>14.63</v>
      </c>
      <c r="E102" s="64">
        <v>2.25</v>
      </c>
      <c r="F102" s="64">
        <v>4.01</v>
      </c>
      <c r="G102" s="64">
        <v>52.34</v>
      </c>
      <c r="H102" s="64">
        <v>24.49</v>
      </c>
      <c r="I102" s="218" t="s">
        <v>36</v>
      </c>
      <c r="J102" s="64">
        <v>0.1</v>
      </c>
      <c r="K102" s="64">
        <v>20.260000000000002</v>
      </c>
      <c r="L102" s="64">
        <v>24.88</v>
      </c>
      <c r="M102" s="64">
        <v>80.87</v>
      </c>
      <c r="N102" s="64">
        <v>40.6</v>
      </c>
      <c r="O102" s="64">
        <v>0</v>
      </c>
      <c r="P102" s="64">
        <v>1.2</v>
      </c>
      <c r="Q102" s="64">
        <v>6.68</v>
      </c>
      <c r="R102" s="198"/>
      <c r="S102" s="198"/>
      <c r="T102" s="198"/>
      <c r="U102" s="198"/>
    </row>
    <row r="103" spans="1:33" s="12" customFormat="1" x14ac:dyDescent="0.25">
      <c r="A103" s="215" t="s">
        <v>1591</v>
      </c>
      <c r="B103" s="64">
        <v>5.36</v>
      </c>
      <c r="C103" s="64">
        <v>15.6</v>
      </c>
      <c r="D103" s="64">
        <v>13.55</v>
      </c>
      <c r="E103" s="64">
        <v>2.27</v>
      </c>
      <c r="F103" s="64">
        <v>5.08</v>
      </c>
      <c r="G103" s="64">
        <v>52.34</v>
      </c>
      <c r="H103" s="64">
        <v>24.49</v>
      </c>
      <c r="I103" s="218" t="s">
        <v>36</v>
      </c>
      <c r="J103" s="64">
        <v>0.21</v>
      </c>
      <c r="K103" s="64">
        <v>40.94</v>
      </c>
      <c r="L103" s="64">
        <v>24.66</v>
      </c>
      <c r="M103" s="64">
        <v>82.89</v>
      </c>
      <c r="N103" s="64">
        <v>40.5</v>
      </c>
      <c r="O103" s="64">
        <v>0</v>
      </c>
      <c r="P103" s="64">
        <v>1.17</v>
      </c>
      <c r="Q103" s="64">
        <v>4.8899999999999997</v>
      </c>
      <c r="R103" s="198"/>
      <c r="S103" s="198"/>
      <c r="T103" s="198"/>
      <c r="U103" s="198"/>
    </row>
    <row r="104" spans="1:33" s="12" customFormat="1" x14ac:dyDescent="0.25">
      <c r="A104" s="215" t="s">
        <v>1592</v>
      </c>
      <c r="B104" s="64">
        <v>4.6500000000000004</v>
      </c>
      <c r="C104" s="64">
        <v>15.66</v>
      </c>
      <c r="D104" s="64">
        <v>13.02</v>
      </c>
      <c r="E104" s="64">
        <v>2.21</v>
      </c>
      <c r="F104" s="64">
        <v>4.8</v>
      </c>
      <c r="G104" s="64">
        <v>41.39</v>
      </c>
      <c r="H104" s="64">
        <v>18</v>
      </c>
      <c r="I104" s="218" t="s">
        <v>36</v>
      </c>
      <c r="J104" s="64">
        <v>0.06</v>
      </c>
      <c r="K104" s="64">
        <v>175.97</v>
      </c>
      <c r="L104" s="64">
        <v>24.45</v>
      </c>
      <c r="M104" s="64">
        <v>84.46</v>
      </c>
      <c r="N104" s="64">
        <v>40.299999999999997</v>
      </c>
      <c r="O104" s="64">
        <v>0</v>
      </c>
      <c r="P104" s="64">
        <v>1.1499999999999999</v>
      </c>
      <c r="Q104" s="64">
        <v>5.47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2.77</v>
      </c>
      <c r="C106" s="67">
        <f>MIN(C9:C104)</f>
        <v>9.9600000000000009</v>
      </c>
      <c r="D106" s="67">
        <f t="shared" ref="D106:Q106" si="0">MIN(D9:D104)</f>
        <v>8.9600000000000009</v>
      </c>
      <c r="E106" s="67">
        <f t="shared" si="0"/>
        <v>0.49</v>
      </c>
      <c r="F106" s="67">
        <f t="shared" si="0"/>
        <v>4.01</v>
      </c>
      <c r="G106" s="67">
        <f t="shared" si="0"/>
        <v>19.55</v>
      </c>
      <c r="H106" s="67">
        <f t="shared" si="0"/>
        <v>9.24</v>
      </c>
      <c r="I106" s="67">
        <f t="shared" si="0"/>
        <v>0</v>
      </c>
      <c r="J106" s="67">
        <f t="shared" si="0"/>
        <v>0</v>
      </c>
      <c r="K106" s="67">
        <f t="shared" si="0"/>
        <v>0.39</v>
      </c>
      <c r="L106" s="67">
        <f t="shared" si="0"/>
        <v>23.49</v>
      </c>
      <c r="M106" s="67">
        <f t="shared" si="0"/>
        <v>62.52</v>
      </c>
      <c r="N106" s="67">
        <f t="shared" si="0"/>
        <v>37.6</v>
      </c>
      <c r="O106" s="67">
        <f t="shared" si="0"/>
        <v>0</v>
      </c>
      <c r="P106" s="67">
        <f t="shared" si="0"/>
        <v>0.79</v>
      </c>
      <c r="Q106" s="67">
        <f t="shared" si="0"/>
        <v>0.23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15.14</v>
      </c>
      <c r="C107" s="66">
        <f t="shared" ref="C107:Q107" si="1">MAX(C9:C104)</f>
        <v>29.17</v>
      </c>
      <c r="D107" s="66">
        <f t="shared" si="1"/>
        <v>26.39</v>
      </c>
      <c r="E107" s="66">
        <f t="shared" si="1"/>
        <v>2.88</v>
      </c>
      <c r="F107" s="66">
        <f t="shared" si="1"/>
        <v>19.39</v>
      </c>
      <c r="G107" s="66">
        <f t="shared" si="1"/>
        <v>55.33</v>
      </c>
      <c r="H107" s="66">
        <f t="shared" si="1"/>
        <v>36.880000000000003</v>
      </c>
      <c r="I107" s="66">
        <f t="shared" si="1"/>
        <v>0</v>
      </c>
      <c r="J107" s="66">
        <f t="shared" si="1"/>
        <v>0.66</v>
      </c>
      <c r="K107" s="66">
        <f t="shared" si="1"/>
        <v>354.21</v>
      </c>
      <c r="L107" s="66">
        <f t="shared" si="1"/>
        <v>29.77</v>
      </c>
      <c r="M107" s="66">
        <f t="shared" si="1"/>
        <v>95.47</v>
      </c>
      <c r="N107" s="66">
        <f t="shared" si="1"/>
        <v>999.5</v>
      </c>
      <c r="O107" s="66">
        <f t="shared" si="1"/>
        <v>0</v>
      </c>
      <c r="P107" s="66">
        <f t="shared" si="1"/>
        <v>1.4</v>
      </c>
      <c r="Q107" s="66">
        <f t="shared" si="1"/>
        <v>16.72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5.5187500000000007</v>
      </c>
      <c r="C108" s="67">
        <f t="shared" ref="C108:Q108" si="2">AVERAGE(C9:C104)</f>
        <v>15.613854166666668</v>
      </c>
      <c r="D108" s="67">
        <f t="shared" si="2"/>
        <v>13.688541666666671</v>
      </c>
      <c r="E108" s="67">
        <f t="shared" si="2"/>
        <v>1.843958333333334</v>
      </c>
      <c r="F108" s="67">
        <f t="shared" si="2"/>
        <v>8.1078124999999996</v>
      </c>
      <c r="G108" s="67">
        <f t="shared" si="2"/>
        <v>35.668369565217404</v>
      </c>
      <c r="H108" s="67">
        <f t="shared" si="2"/>
        <v>20.016304347826086</v>
      </c>
      <c r="I108" s="67" t="e">
        <f t="shared" si="2"/>
        <v>#DIV/0!</v>
      </c>
      <c r="J108" s="67">
        <f t="shared" si="2"/>
        <v>0.15927083333333336</v>
      </c>
      <c r="K108" s="67">
        <f t="shared" si="2"/>
        <v>110.0937500000001</v>
      </c>
      <c r="L108" s="67">
        <f t="shared" si="2"/>
        <v>26.580312500000002</v>
      </c>
      <c r="M108" s="67">
        <f t="shared" si="2"/>
        <v>77.472395833333351</v>
      </c>
      <c r="N108" s="67">
        <f t="shared" si="2"/>
        <v>213.69374999999994</v>
      </c>
      <c r="O108" s="67">
        <f t="shared" si="2"/>
        <v>0</v>
      </c>
      <c r="P108" s="67">
        <f t="shared" si="2"/>
        <v>1.038645833333333</v>
      </c>
      <c r="Q108" s="67">
        <f t="shared" si="2"/>
        <v>7.31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2.6753487721475806</v>
      </c>
      <c r="C109" s="67">
        <f t="shared" ref="C109:Q109" si="3">STDEV(C9:C104)</f>
        <v>4.264524251812654</v>
      </c>
      <c r="D109" s="67">
        <f t="shared" si="3"/>
        <v>4.0950072242508435</v>
      </c>
      <c r="E109" s="67">
        <f t="shared" si="3"/>
        <v>0.57008490441829152</v>
      </c>
      <c r="F109" s="67">
        <f t="shared" si="3"/>
        <v>3.6101503695538084</v>
      </c>
      <c r="G109" s="67">
        <f t="shared" si="3"/>
        <v>10.036335883768018</v>
      </c>
      <c r="H109" s="67">
        <f t="shared" si="3"/>
        <v>7.2471635553961828</v>
      </c>
      <c r="I109" s="67" t="e">
        <f t="shared" si="3"/>
        <v>#DIV/0!</v>
      </c>
      <c r="J109" s="67">
        <f t="shared" si="3"/>
        <v>0.11707168107092303</v>
      </c>
      <c r="K109" s="67">
        <f t="shared" si="3"/>
        <v>101.74425724644877</v>
      </c>
      <c r="L109" s="67">
        <f t="shared" si="3"/>
        <v>2.0872749563536313</v>
      </c>
      <c r="M109" s="67">
        <f t="shared" si="3"/>
        <v>11.069120513229535</v>
      </c>
      <c r="N109" s="67">
        <f t="shared" si="3"/>
        <v>231.1111898324904</v>
      </c>
      <c r="O109" s="67">
        <f t="shared" si="3"/>
        <v>0</v>
      </c>
      <c r="P109" s="67">
        <f t="shared" si="3"/>
        <v>0.15565562388046025</v>
      </c>
      <c r="Q109" s="67">
        <f t="shared" si="3"/>
        <v>4.715684691035138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COUNT(I9:I104)+96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9" activePane="bottomRight" state="frozen"/>
      <selection activeCell="B115" sqref="B115:D115"/>
      <selection pane="topRight" activeCell="B115" sqref="B115:D115"/>
      <selection pane="bottomLeft" activeCell="B115" sqref="B115:D115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1593</v>
      </c>
      <c r="B9" s="77">
        <v>4.12</v>
      </c>
      <c r="C9" s="77">
        <v>14.57</v>
      </c>
      <c r="D9" s="77">
        <v>12</v>
      </c>
      <c r="E9" s="77">
        <v>2.35</v>
      </c>
      <c r="F9" s="77">
        <v>5.82</v>
      </c>
      <c r="G9" s="77">
        <v>41.01</v>
      </c>
      <c r="H9" s="77">
        <v>18</v>
      </c>
      <c r="I9" s="9" t="s">
        <v>36</v>
      </c>
      <c r="J9" s="77">
        <v>0.03</v>
      </c>
      <c r="K9" s="77">
        <v>207.28</v>
      </c>
      <c r="L9" s="77">
        <v>24.3</v>
      </c>
      <c r="M9" s="77">
        <v>85.9</v>
      </c>
      <c r="N9" s="77">
        <v>40.299999999999997</v>
      </c>
      <c r="O9" s="77">
        <v>0</v>
      </c>
      <c r="P9" s="77">
        <v>1.0900000000000001</v>
      </c>
      <c r="Q9" s="77">
        <v>3.66</v>
      </c>
    </row>
    <row r="10" spans="1:21" s="12" customFormat="1" x14ac:dyDescent="0.25">
      <c r="A10" s="64" t="s">
        <v>1594</v>
      </c>
      <c r="B10" s="77">
        <v>3.73</v>
      </c>
      <c r="C10" s="77">
        <v>13.84</v>
      </c>
      <c r="D10" s="77">
        <v>11.28</v>
      </c>
      <c r="E10" s="77">
        <v>2.5</v>
      </c>
      <c r="F10" s="77">
        <v>11.04</v>
      </c>
      <c r="G10" s="77">
        <v>41.01</v>
      </c>
      <c r="H10" s="77">
        <v>18</v>
      </c>
      <c r="I10" s="9" t="s">
        <v>36</v>
      </c>
      <c r="J10" s="77">
        <v>0.16</v>
      </c>
      <c r="K10" s="77">
        <v>185.3</v>
      </c>
      <c r="L10" s="77">
        <v>24.19</v>
      </c>
      <c r="M10" s="77">
        <v>87.27</v>
      </c>
      <c r="N10" s="77">
        <v>40.200000000000003</v>
      </c>
      <c r="O10" s="77">
        <v>0</v>
      </c>
      <c r="P10" s="77">
        <v>1.1000000000000001</v>
      </c>
      <c r="Q10" s="77">
        <v>5.03</v>
      </c>
    </row>
    <row r="11" spans="1:21" s="12" customFormat="1" x14ac:dyDescent="0.25">
      <c r="A11" s="64" t="s">
        <v>1595</v>
      </c>
      <c r="B11" s="77">
        <v>3.51</v>
      </c>
      <c r="C11" s="77">
        <v>14.09</v>
      </c>
      <c r="D11" s="77">
        <v>11.24</v>
      </c>
      <c r="E11" s="77">
        <v>2.54</v>
      </c>
      <c r="F11" s="77">
        <v>10.199999999999999</v>
      </c>
      <c r="G11" s="77">
        <v>41.01</v>
      </c>
      <c r="H11" s="77">
        <v>18</v>
      </c>
      <c r="I11" s="9" t="s">
        <v>36</v>
      </c>
      <c r="J11" s="77">
        <v>0.2</v>
      </c>
      <c r="K11" s="77">
        <v>30.89</v>
      </c>
      <c r="L11" s="77">
        <v>24.17</v>
      </c>
      <c r="M11" s="77">
        <v>88.28</v>
      </c>
      <c r="N11" s="77">
        <v>40.200000000000003</v>
      </c>
      <c r="O11" s="77">
        <v>0</v>
      </c>
      <c r="P11" s="77">
        <v>1.07</v>
      </c>
      <c r="Q11" s="77">
        <v>6</v>
      </c>
    </row>
    <row r="12" spans="1:21" s="12" customFormat="1" x14ac:dyDescent="0.25">
      <c r="A12" s="64" t="s">
        <v>1596</v>
      </c>
      <c r="B12" s="77">
        <v>3.7</v>
      </c>
      <c r="C12" s="77">
        <v>13.77</v>
      </c>
      <c r="D12" s="77">
        <v>11.21</v>
      </c>
      <c r="E12" s="77">
        <v>2.5</v>
      </c>
      <c r="F12" s="77">
        <v>8.81</v>
      </c>
      <c r="G12" s="77">
        <v>35.24</v>
      </c>
      <c r="H12" s="77">
        <v>14.21</v>
      </c>
      <c r="I12" s="9" t="s">
        <v>36</v>
      </c>
      <c r="J12" s="77">
        <v>0.21</v>
      </c>
      <c r="K12" s="77">
        <v>42.35</v>
      </c>
      <c r="L12" s="77">
        <v>24.1</v>
      </c>
      <c r="M12" s="77">
        <v>89.31</v>
      </c>
      <c r="N12" s="77">
        <v>40.1</v>
      </c>
      <c r="O12" s="77">
        <v>0</v>
      </c>
      <c r="P12" s="77">
        <v>1.07</v>
      </c>
      <c r="Q12" s="77">
        <v>6.62</v>
      </c>
    </row>
    <row r="13" spans="1:21" s="12" customFormat="1" x14ac:dyDescent="0.25">
      <c r="A13" s="64" t="s">
        <v>1597</v>
      </c>
      <c r="B13" s="77">
        <v>3.55</v>
      </c>
      <c r="C13" s="77">
        <v>13.05</v>
      </c>
      <c r="D13" s="77">
        <v>10.69</v>
      </c>
      <c r="E13" s="77">
        <v>2.62</v>
      </c>
      <c r="F13" s="77">
        <v>8.43</v>
      </c>
      <c r="G13" s="77">
        <v>35.049999999999997</v>
      </c>
      <c r="H13" s="77">
        <v>14.21</v>
      </c>
      <c r="I13" s="9" t="s">
        <v>36</v>
      </c>
      <c r="J13" s="77">
        <v>0.08</v>
      </c>
      <c r="K13" s="77">
        <v>14.44</v>
      </c>
      <c r="L13" s="77">
        <v>23.99</v>
      </c>
      <c r="M13" s="77">
        <v>89.82</v>
      </c>
      <c r="N13" s="77">
        <v>40</v>
      </c>
      <c r="O13" s="77">
        <v>0</v>
      </c>
      <c r="P13" s="77">
        <v>0.96</v>
      </c>
      <c r="Q13" s="77">
        <v>6.01</v>
      </c>
    </row>
    <row r="14" spans="1:21" s="12" customFormat="1" x14ac:dyDescent="0.25">
      <c r="A14" s="64" t="s">
        <v>1598</v>
      </c>
      <c r="B14" s="77">
        <v>3.25</v>
      </c>
      <c r="C14" s="77">
        <v>12.66</v>
      </c>
      <c r="D14" s="77">
        <v>10.24</v>
      </c>
      <c r="E14" s="77">
        <v>3.13</v>
      </c>
      <c r="F14" s="77">
        <v>10.74</v>
      </c>
      <c r="G14" s="77">
        <v>35.049999999999997</v>
      </c>
      <c r="H14" s="77">
        <v>14.21</v>
      </c>
      <c r="I14" s="9" t="s">
        <v>36</v>
      </c>
      <c r="J14" s="77">
        <v>0.1</v>
      </c>
      <c r="K14" s="77">
        <v>23.2</v>
      </c>
      <c r="L14" s="77">
        <v>23.81</v>
      </c>
      <c r="M14" s="77">
        <v>91.05</v>
      </c>
      <c r="N14" s="77">
        <v>40.1</v>
      </c>
      <c r="O14" s="77">
        <v>0</v>
      </c>
      <c r="P14" s="77">
        <v>1.02</v>
      </c>
      <c r="Q14" s="77">
        <v>6.48</v>
      </c>
    </row>
    <row r="15" spans="1:21" s="12" customFormat="1" x14ac:dyDescent="0.25">
      <c r="A15" s="64" t="s">
        <v>1599</v>
      </c>
      <c r="B15" s="77">
        <v>3.31</v>
      </c>
      <c r="C15" s="77">
        <v>13.11</v>
      </c>
      <c r="D15" s="77">
        <v>10.54</v>
      </c>
      <c r="E15" s="77">
        <v>2.6</v>
      </c>
      <c r="F15" s="77">
        <v>5.81</v>
      </c>
      <c r="G15" s="77">
        <v>35.049999999999997</v>
      </c>
      <c r="H15" s="77">
        <v>14.21</v>
      </c>
      <c r="I15" s="9" t="s">
        <v>36</v>
      </c>
      <c r="J15" s="77">
        <v>0.17</v>
      </c>
      <c r="K15" s="77">
        <v>40</v>
      </c>
      <c r="L15" s="77">
        <v>23.8</v>
      </c>
      <c r="M15" s="77">
        <v>91.38</v>
      </c>
      <c r="N15" s="77">
        <v>40</v>
      </c>
      <c r="O15" s="77">
        <v>0</v>
      </c>
      <c r="P15" s="77">
        <v>1</v>
      </c>
      <c r="Q15" s="77">
        <v>6.1</v>
      </c>
    </row>
    <row r="16" spans="1:21" s="12" customFormat="1" x14ac:dyDescent="0.25">
      <c r="A16" s="64" t="s">
        <v>1600</v>
      </c>
      <c r="B16" s="77">
        <v>3.25</v>
      </c>
      <c r="C16" s="77">
        <v>13.04</v>
      </c>
      <c r="D16" s="77">
        <v>10.45</v>
      </c>
      <c r="E16" s="77">
        <v>2.12</v>
      </c>
      <c r="F16" s="77">
        <v>5.28</v>
      </c>
      <c r="G16" s="77">
        <v>33.659999999999997</v>
      </c>
      <c r="H16" s="77">
        <v>11.59</v>
      </c>
      <c r="I16" s="9" t="s">
        <v>36</v>
      </c>
      <c r="J16" s="77">
        <v>0.1</v>
      </c>
      <c r="K16" s="77">
        <v>22.03</v>
      </c>
      <c r="L16" s="77">
        <v>23.73</v>
      </c>
      <c r="M16" s="77">
        <v>91.12</v>
      </c>
      <c r="N16" s="77">
        <v>39.9</v>
      </c>
      <c r="O16" s="77">
        <v>0</v>
      </c>
      <c r="P16" s="77">
        <v>0.98</v>
      </c>
      <c r="Q16" s="77">
        <v>4.66</v>
      </c>
    </row>
    <row r="17" spans="1:17" s="12" customFormat="1" x14ac:dyDescent="0.25">
      <c r="A17" s="64" t="s">
        <v>1601</v>
      </c>
      <c r="B17" s="77">
        <v>3.16</v>
      </c>
      <c r="C17" s="77">
        <v>13.18</v>
      </c>
      <c r="D17" s="77">
        <v>10.45</v>
      </c>
      <c r="E17" s="77">
        <v>2.64</v>
      </c>
      <c r="F17" s="77">
        <v>4.63</v>
      </c>
      <c r="G17" s="77">
        <v>33.590000000000003</v>
      </c>
      <c r="H17" s="77">
        <v>11.53</v>
      </c>
      <c r="I17" s="9" t="s">
        <v>36</v>
      </c>
      <c r="J17" s="77">
        <v>0.19</v>
      </c>
      <c r="K17" s="77">
        <v>30.1</v>
      </c>
      <c r="L17" s="77">
        <v>23.72</v>
      </c>
      <c r="M17" s="77">
        <v>90.7</v>
      </c>
      <c r="N17" s="77">
        <v>39.9</v>
      </c>
      <c r="O17" s="77">
        <v>0</v>
      </c>
      <c r="P17" s="77">
        <v>0.97</v>
      </c>
      <c r="Q17" s="77">
        <v>4.46</v>
      </c>
    </row>
    <row r="18" spans="1:17" s="12" customFormat="1" x14ac:dyDescent="0.25">
      <c r="A18" s="64" t="s">
        <v>1602</v>
      </c>
      <c r="B18" s="77">
        <v>3</v>
      </c>
      <c r="C18" s="77">
        <v>12.48</v>
      </c>
      <c r="D18" s="77">
        <v>9.94</v>
      </c>
      <c r="E18" s="77">
        <v>2.0099999999999998</v>
      </c>
      <c r="F18" s="77">
        <v>4.5599999999999996</v>
      </c>
      <c r="G18" s="77">
        <v>33.590000000000003</v>
      </c>
      <c r="H18" s="77">
        <v>11.53</v>
      </c>
      <c r="I18" s="9" t="s">
        <v>36</v>
      </c>
      <c r="J18" s="77">
        <v>0.15</v>
      </c>
      <c r="K18" s="77">
        <v>26.4</v>
      </c>
      <c r="L18" s="77">
        <v>23.71</v>
      </c>
      <c r="M18" s="77">
        <v>90.48</v>
      </c>
      <c r="N18" s="77">
        <v>39.9</v>
      </c>
      <c r="O18" s="77">
        <v>0</v>
      </c>
      <c r="P18" s="77">
        <v>0.94</v>
      </c>
      <c r="Q18" s="77">
        <v>2.41</v>
      </c>
    </row>
    <row r="19" spans="1:17" s="12" customFormat="1" x14ac:dyDescent="0.25">
      <c r="A19" s="64" t="s">
        <v>1603</v>
      </c>
      <c r="B19" s="77">
        <v>2.93</v>
      </c>
      <c r="C19" s="77">
        <v>12.89</v>
      </c>
      <c r="D19" s="77">
        <v>10.11</v>
      </c>
      <c r="E19" s="77">
        <v>1.82</v>
      </c>
      <c r="F19" s="77">
        <v>4.0199999999999996</v>
      </c>
      <c r="G19" s="77">
        <v>33.590000000000003</v>
      </c>
      <c r="H19" s="77">
        <v>11.53</v>
      </c>
      <c r="I19" s="9" t="s">
        <v>36</v>
      </c>
      <c r="J19" s="77">
        <v>0.15</v>
      </c>
      <c r="K19" s="77">
        <v>44.26</v>
      </c>
      <c r="L19" s="77">
        <v>23.7</v>
      </c>
      <c r="M19" s="77">
        <v>91.04</v>
      </c>
      <c r="N19" s="77">
        <v>39.9</v>
      </c>
      <c r="O19" s="77">
        <v>0</v>
      </c>
      <c r="P19" s="77">
        <v>0.94</v>
      </c>
      <c r="Q19" s="77">
        <v>3.28</v>
      </c>
    </row>
    <row r="20" spans="1:17" s="12" customFormat="1" x14ac:dyDescent="0.25">
      <c r="A20" s="64" t="s">
        <v>1604</v>
      </c>
      <c r="B20" s="77">
        <v>2.84</v>
      </c>
      <c r="C20" s="77">
        <v>12.61</v>
      </c>
      <c r="D20" s="77">
        <v>9.8800000000000008</v>
      </c>
      <c r="E20" s="77">
        <v>2.33</v>
      </c>
      <c r="F20" s="77">
        <v>4.2300000000000004</v>
      </c>
      <c r="G20" s="77">
        <v>27.88</v>
      </c>
      <c r="H20" s="77">
        <v>11.04</v>
      </c>
      <c r="I20" s="9" t="s">
        <v>36</v>
      </c>
      <c r="J20" s="77">
        <v>0.18</v>
      </c>
      <c r="K20" s="77">
        <v>36.049999999999997</v>
      </c>
      <c r="L20" s="77">
        <v>23.73</v>
      </c>
      <c r="M20" s="77">
        <v>90.93</v>
      </c>
      <c r="N20" s="77">
        <v>39.9</v>
      </c>
      <c r="O20" s="77">
        <v>0</v>
      </c>
      <c r="P20" s="77">
        <v>0.92</v>
      </c>
      <c r="Q20" s="77">
        <v>2.7</v>
      </c>
    </row>
    <row r="21" spans="1:17" s="12" customFormat="1" x14ac:dyDescent="0.25">
      <c r="A21" s="64" t="s">
        <v>1605</v>
      </c>
      <c r="B21" s="77">
        <v>2.75</v>
      </c>
      <c r="C21" s="77">
        <v>12.94</v>
      </c>
      <c r="D21" s="77">
        <v>9.99</v>
      </c>
      <c r="E21" s="77">
        <v>2.6</v>
      </c>
      <c r="F21" s="77">
        <v>4.34</v>
      </c>
      <c r="G21" s="77">
        <v>27.68</v>
      </c>
      <c r="H21" s="77">
        <v>11.04</v>
      </c>
      <c r="I21" s="9" t="s">
        <v>36</v>
      </c>
      <c r="J21" s="77">
        <v>0.18</v>
      </c>
      <c r="K21" s="77">
        <v>34.49</v>
      </c>
      <c r="L21" s="77">
        <v>23.73</v>
      </c>
      <c r="M21" s="77">
        <v>90.84</v>
      </c>
      <c r="N21" s="77">
        <v>39.9</v>
      </c>
      <c r="O21" s="77">
        <v>0</v>
      </c>
      <c r="P21" s="77">
        <v>0.89</v>
      </c>
      <c r="Q21" s="77">
        <v>2.48</v>
      </c>
    </row>
    <row r="22" spans="1:17" s="12" customFormat="1" x14ac:dyDescent="0.25">
      <c r="A22" s="64" t="s">
        <v>1606</v>
      </c>
      <c r="B22" s="77">
        <v>2.68</v>
      </c>
      <c r="C22" s="77">
        <v>12.48</v>
      </c>
      <c r="D22" s="77">
        <v>9.68</v>
      </c>
      <c r="E22" s="77">
        <v>2.81</v>
      </c>
      <c r="F22" s="77">
        <v>5.15</v>
      </c>
      <c r="G22" s="77">
        <v>27.68</v>
      </c>
      <c r="H22" s="77">
        <v>11.04</v>
      </c>
      <c r="I22" s="9" t="s">
        <v>36</v>
      </c>
      <c r="J22" s="77">
        <v>0.2</v>
      </c>
      <c r="K22" s="77">
        <v>35.270000000000003</v>
      </c>
      <c r="L22" s="77">
        <v>23.73</v>
      </c>
      <c r="M22" s="77">
        <v>90.81</v>
      </c>
      <c r="N22" s="77">
        <v>39.9</v>
      </c>
      <c r="O22" s="77">
        <v>0</v>
      </c>
      <c r="P22" s="77">
        <v>0.88</v>
      </c>
      <c r="Q22" s="77">
        <v>2.5</v>
      </c>
    </row>
    <row r="23" spans="1:17" s="12" customFormat="1" x14ac:dyDescent="0.25">
      <c r="A23" s="64" t="s">
        <v>1607</v>
      </c>
      <c r="B23" s="77">
        <v>3.54</v>
      </c>
      <c r="C23" s="77">
        <v>13.48</v>
      </c>
      <c r="D23" s="77">
        <v>10.92</v>
      </c>
      <c r="E23" s="77">
        <v>2.71</v>
      </c>
      <c r="F23" s="77">
        <v>6.27</v>
      </c>
      <c r="G23" s="77">
        <v>27.68</v>
      </c>
      <c r="H23" s="77">
        <v>11.04</v>
      </c>
      <c r="I23" s="9" t="s">
        <v>36</v>
      </c>
      <c r="J23" s="77">
        <v>0.13</v>
      </c>
      <c r="K23" s="77">
        <v>33.67</v>
      </c>
      <c r="L23" s="77">
        <v>23.79</v>
      </c>
      <c r="M23" s="77">
        <v>90.12</v>
      </c>
      <c r="N23" s="77">
        <v>40</v>
      </c>
      <c r="O23" s="77">
        <v>0</v>
      </c>
      <c r="P23" s="77">
        <v>0.86</v>
      </c>
      <c r="Q23" s="77">
        <v>3.69</v>
      </c>
    </row>
    <row r="24" spans="1:17" s="12" customFormat="1" x14ac:dyDescent="0.25">
      <c r="A24" s="64" t="s">
        <v>1608</v>
      </c>
      <c r="B24" s="77">
        <v>3.09</v>
      </c>
      <c r="C24" s="77">
        <v>12.36</v>
      </c>
      <c r="D24" s="77">
        <v>9.9499999999999993</v>
      </c>
      <c r="E24" s="77">
        <v>1.96</v>
      </c>
      <c r="F24" s="77">
        <v>6.71</v>
      </c>
      <c r="G24" s="77">
        <v>24.55</v>
      </c>
      <c r="H24" s="77">
        <v>8.51</v>
      </c>
      <c r="I24" s="9" t="s">
        <v>36</v>
      </c>
      <c r="J24" s="77">
        <v>0.18</v>
      </c>
      <c r="K24" s="77">
        <v>39.14</v>
      </c>
      <c r="L24" s="77">
        <v>23.75</v>
      </c>
      <c r="M24" s="77">
        <v>90.54</v>
      </c>
      <c r="N24" s="77">
        <v>39.9</v>
      </c>
      <c r="O24" s="77">
        <v>0</v>
      </c>
      <c r="P24" s="77">
        <v>0.89</v>
      </c>
      <c r="Q24" s="77">
        <v>3.8</v>
      </c>
    </row>
    <row r="25" spans="1:17" s="12" customFormat="1" x14ac:dyDescent="0.25">
      <c r="A25" s="64" t="s">
        <v>1609</v>
      </c>
      <c r="B25" s="77">
        <v>3.01</v>
      </c>
      <c r="C25" s="77">
        <v>12.78</v>
      </c>
      <c r="D25" s="77">
        <v>10.11</v>
      </c>
      <c r="E25" s="77">
        <v>1.91</v>
      </c>
      <c r="F25" s="77">
        <v>9.1</v>
      </c>
      <c r="G25" s="77">
        <v>24.44</v>
      </c>
      <c r="H25" s="77">
        <v>8.51</v>
      </c>
      <c r="I25" s="9" t="s">
        <v>36</v>
      </c>
      <c r="J25" s="77">
        <v>0.17</v>
      </c>
      <c r="K25" s="77">
        <v>30.63</v>
      </c>
      <c r="L25" s="77">
        <v>23.78</v>
      </c>
      <c r="M25" s="77">
        <v>90.24</v>
      </c>
      <c r="N25" s="77">
        <v>39.9</v>
      </c>
      <c r="O25" s="77">
        <v>0</v>
      </c>
      <c r="P25" s="77">
        <v>0.87</v>
      </c>
      <c r="Q25" s="77">
        <v>4.2300000000000004</v>
      </c>
    </row>
    <row r="26" spans="1:17" s="12" customFormat="1" x14ac:dyDescent="0.25">
      <c r="A26" s="64" t="s">
        <v>1610</v>
      </c>
      <c r="B26" s="77">
        <v>3.21</v>
      </c>
      <c r="C26" s="77">
        <v>12.32</v>
      </c>
      <c r="D26" s="77">
        <v>10.02</v>
      </c>
      <c r="E26" s="77">
        <v>2.64</v>
      </c>
      <c r="F26" s="77">
        <v>6.92</v>
      </c>
      <c r="G26" s="77">
        <v>24.44</v>
      </c>
      <c r="H26" s="77">
        <v>8.51</v>
      </c>
      <c r="I26" s="9" t="s">
        <v>36</v>
      </c>
      <c r="J26" s="77">
        <v>0.17</v>
      </c>
      <c r="K26" s="77">
        <v>37.19</v>
      </c>
      <c r="L26" s="77">
        <v>23.74</v>
      </c>
      <c r="M26" s="77">
        <v>90.31</v>
      </c>
      <c r="N26" s="77">
        <v>39.9</v>
      </c>
      <c r="O26" s="77">
        <v>0</v>
      </c>
      <c r="P26" s="77">
        <v>0.9</v>
      </c>
      <c r="Q26" s="77">
        <v>4.82</v>
      </c>
    </row>
    <row r="27" spans="1:17" s="12" customFormat="1" x14ac:dyDescent="0.25">
      <c r="A27" s="64" t="s">
        <v>1611</v>
      </c>
      <c r="B27" s="77">
        <v>3.4</v>
      </c>
      <c r="C27" s="77">
        <v>13.51</v>
      </c>
      <c r="D27" s="77">
        <v>10.82</v>
      </c>
      <c r="E27" s="77">
        <v>2.2999999999999998</v>
      </c>
      <c r="F27" s="77">
        <v>5</v>
      </c>
      <c r="G27" s="77">
        <v>24.44</v>
      </c>
      <c r="H27" s="77">
        <v>8.51</v>
      </c>
      <c r="I27" s="9" t="s">
        <v>36</v>
      </c>
      <c r="J27" s="77">
        <v>0.16</v>
      </c>
      <c r="K27" s="77">
        <v>45</v>
      </c>
      <c r="L27" s="77">
        <v>23.77</v>
      </c>
      <c r="M27" s="77">
        <v>90.09</v>
      </c>
      <c r="N27" s="77">
        <v>39.9</v>
      </c>
      <c r="O27" s="77">
        <v>0</v>
      </c>
      <c r="P27" s="77">
        <v>0.88</v>
      </c>
      <c r="Q27" s="77">
        <v>4.7699999999999996</v>
      </c>
    </row>
    <row r="28" spans="1:17" s="12" customFormat="1" x14ac:dyDescent="0.25">
      <c r="A28" s="64" t="s">
        <v>1612</v>
      </c>
      <c r="B28" s="77">
        <v>3.43</v>
      </c>
      <c r="C28" s="77">
        <v>12.93</v>
      </c>
      <c r="D28" s="77">
        <v>10.53</v>
      </c>
      <c r="E28" s="77">
        <v>2.25</v>
      </c>
      <c r="F28" s="77">
        <v>4.88</v>
      </c>
      <c r="G28" s="77">
        <v>24.94</v>
      </c>
      <c r="H28" s="77">
        <v>10.54</v>
      </c>
      <c r="I28" s="9" t="s">
        <v>36</v>
      </c>
      <c r="J28" s="77">
        <v>0.17</v>
      </c>
      <c r="K28" s="77">
        <v>32.85</v>
      </c>
      <c r="L28" s="77">
        <v>23.7</v>
      </c>
      <c r="M28" s="77">
        <v>89.98</v>
      </c>
      <c r="N28" s="77">
        <v>39.9</v>
      </c>
      <c r="O28" s="77">
        <v>0</v>
      </c>
      <c r="P28" s="77">
        <v>0.86</v>
      </c>
      <c r="Q28" s="77">
        <v>3.2</v>
      </c>
    </row>
    <row r="29" spans="1:17" s="12" customFormat="1" x14ac:dyDescent="0.25">
      <c r="A29" s="64" t="s">
        <v>1613</v>
      </c>
      <c r="B29" s="77">
        <v>3.41</v>
      </c>
      <c r="C29" s="77">
        <v>13</v>
      </c>
      <c r="D29" s="77">
        <v>10.56</v>
      </c>
      <c r="E29" s="77">
        <v>2.33</v>
      </c>
      <c r="F29" s="77">
        <v>4.26</v>
      </c>
      <c r="G29" s="77">
        <v>24.96</v>
      </c>
      <c r="H29" s="77">
        <v>10.54</v>
      </c>
      <c r="I29" s="9" t="s">
        <v>36</v>
      </c>
      <c r="J29" s="77">
        <v>0.1</v>
      </c>
      <c r="K29" s="77">
        <v>26.98</v>
      </c>
      <c r="L29" s="77">
        <v>23.65</v>
      </c>
      <c r="M29" s="77">
        <v>90.31</v>
      </c>
      <c r="N29" s="77">
        <v>40.200000000000003</v>
      </c>
      <c r="O29" s="77">
        <v>0</v>
      </c>
      <c r="P29" s="77">
        <v>0.88</v>
      </c>
      <c r="Q29" s="77">
        <v>2.68</v>
      </c>
    </row>
    <row r="30" spans="1:17" s="12" customFormat="1" x14ac:dyDescent="0.25">
      <c r="A30" s="64" t="s">
        <v>1614</v>
      </c>
      <c r="B30" s="77">
        <v>3.41</v>
      </c>
      <c r="C30" s="77">
        <v>12.99</v>
      </c>
      <c r="D30" s="77">
        <v>10.55</v>
      </c>
      <c r="E30" s="77">
        <v>2.16</v>
      </c>
      <c r="F30" s="77">
        <v>4.18</v>
      </c>
      <c r="G30" s="77">
        <v>24.96</v>
      </c>
      <c r="H30" s="77">
        <v>10.54</v>
      </c>
      <c r="I30" s="9" t="s">
        <v>36</v>
      </c>
      <c r="J30" s="77">
        <v>7.0000000000000007E-2</v>
      </c>
      <c r="K30" s="77">
        <v>5.69</v>
      </c>
      <c r="L30" s="77">
        <v>23.48</v>
      </c>
      <c r="M30" s="77">
        <v>91.17</v>
      </c>
      <c r="N30" s="77">
        <v>44</v>
      </c>
      <c r="O30" s="77">
        <v>0</v>
      </c>
      <c r="P30" s="77">
        <v>0.89</v>
      </c>
      <c r="Q30" s="77">
        <v>2.89</v>
      </c>
    </row>
    <row r="31" spans="1:17" s="12" customFormat="1" x14ac:dyDescent="0.25">
      <c r="A31" s="64" t="s">
        <v>1615</v>
      </c>
      <c r="B31" s="77">
        <v>3.41</v>
      </c>
      <c r="C31" s="77">
        <v>13.34</v>
      </c>
      <c r="D31" s="77">
        <v>10.75</v>
      </c>
      <c r="E31" s="77">
        <v>2.2999999999999998</v>
      </c>
      <c r="F31" s="77">
        <v>5.43</v>
      </c>
      <c r="G31" s="77">
        <v>24.96</v>
      </c>
      <c r="H31" s="77">
        <v>10.54</v>
      </c>
      <c r="I31" s="9" t="s">
        <v>36</v>
      </c>
      <c r="J31" s="77">
        <v>0.1</v>
      </c>
      <c r="K31" s="77">
        <v>34.67</v>
      </c>
      <c r="L31" s="77">
        <v>23.5</v>
      </c>
      <c r="M31" s="77">
        <v>91.35</v>
      </c>
      <c r="N31" s="77">
        <v>59.9</v>
      </c>
      <c r="O31" s="77">
        <v>0</v>
      </c>
      <c r="P31" s="77">
        <v>0.87</v>
      </c>
      <c r="Q31" s="77">
        <v>1.95</v>
      </c>
    </row>
    <row r="32" spans="1:17" s="12" customFormat="1" x14ac:dyDescent="0.25">
      <c r="A32" s="64" t="s">
        <v>1616</v>
      </c>
      <c r="B32" s="77">
        <v>3.53</v>
      </c>
      <c r="C32" s="77">
        <v>13.41</v>
      </c>
      <c r="D32" s="77">
        <v>10.88</v>
      </c>
      <c r="E32" s="77">
        <v>1.83</v>
      </c>
      <c r="F32" s="77">
        <v>4.67</v>
      </c>
      <c r="G32" s="77">
        <v>25.13</v>
      </c>
      <c r="H32" s="77">
        <v>13.97</v>
      </c>
      <c r="I32" s="9" t="s">
        <v>36</v>
      </c>
      <c r="J32" s="77">
        <v>0.04</v>
      </c>
      <c r="K32" s="77">
        <v>43.78</v>
      </c>
      <c r="L32" s="77">
        <v>23.56</v>
      </c>
      <c r="M32" s="77">
        <v>91.34</v>
      </c>
      <c r="N32" s="77">
        <v>89.1</v>
      </c>
      <c r="O32" s="77">
        <v>0</v>
      </c>
      <c r="P32" s="77">
        <v>0.88</v>
      </c>
      <c r="Q32" s="77">
        <v>2.82</v>
      </c>
    </row>
    <row r="33" spans="1:17" s="12" customFormat="1" x14ac:dyDescent="0.25">
      <c r="A33" s="64" t="s">
        <v>1617</v>
      </c>
      <c r="B33" s="77">
        <v>3.64</v>
      </c>
      <c r="C33" s="77">
        <v>13.4</v>
      </c>
      <c r="D33" s="77">
        <v>10.96</v>
      </c>
      <c r="E33" s="77">
        <v>1.97</v>
      </c>
      <c r="F33" s="77">
        <v>4.57</v>
      </c>
      <c r="G33" s="77">
        <v>25.13</v>
      </c>
      <c r="H33" s="77">
        <v>13.97</v>
      </c>
      <c r="I33" s="9" t="s">
        <v>36</v>
      </c>
      <c r="J33" s="77">
        <v>0.16</v>
      </c>
      <c r="K33" s="77">
        <v>42.24</v>
      </c>
      <c r="L33" s="77">
        <v>23.73</v>
      </c>
      <c r="M33" s="77">
        <v>90.49</v>
      </c>
      <c r="N33" s="77">
        <v>116.8</v>
      </c>
      <c r="O33" s="77">
        <v>0</v>
      </c>
      <c r="P33" s="77">
        <v>0.87</v>
      </c>
      <c r="Q33" s="77">
        <v>2.13</v>
      </c>
    </row>
    <row r="34" spans="1:17" s="12" customFormat="1" x14ac:dyDescent="0.25">
      <c r="A34" s="64" t="s">
        <v>1618</v>
      </c>
      <c r="B34" s="77">
        <v>4.3499999999999996</v>
      </c>
      <c r="C34" s="77">
        <v>15.39</v>
      </c>
      <c r="D34" s="77">
        <v>12.63</v>
      </c>
      <c r="E34" s="77">
        <v>2.2599999999999998</v>
      </c>
      <c r="F34" s="77">
        <v>5.53</v>
      </c>
      <c r="G34" s="77">
        <v>25.13</v>
      </c>
      <c r="H34" s="77">
        <v>13.97</v>
      </c>
      <c r="I34" s="9" t="s">
        <v>36</v>
      </c>
      <c r="J34" s="77">
        <v>0.1</v>
      </c>
      <c r="K34" s="77">
        <v>35.369999999999997</v>
      </c>
      <c r="L34" s="77">
        <v>24.08</v>
      </c>
      <c r="M34" s="77">
        <v>88.68</v>
      </c>
      <c r="N34" s="77">
        <v>149.5</v>
      </c>
      <c r="O34" s="77">
        <v>0</v>
      </c>
      <c r="P34" s="77">
        <v>0.91</v>
      </c>
      <c r="Q34" s="77">
        <v>3.61</v>
      </c>
    </row>
    <row r="35" spans="1:17" s="12" customFormat="1" x14ac:dyDescent="0.25">
      <c r="A35" s="64" t="s">
        <v>1619</v>
      </c>
      <c r="B35" s="77">
        <v>5.21</v>
      </c>
      <c r="C35" s="77">
        <v>15.16</v>
      </c>
      <c r="D35" s="77">
        <v>13.19</v>
      </c>
      <c r="E35" s="77">
        <v>2.48</v>
      </c>
      <c r="F35" s="77">
        <v>6.05</v>
      </c>
      <c r="G35" s="77">
        <v>25.13</v>
      </c>
      <c r="H35" s="77">
        <v>13.97</v>
      </c>
      <c r="I35" s="9" t="s">
        <v>36</v>
      </c>
      <c r="J35" s="77">
        <v>0.13</v>
      </c>
      <c r="K35" s="77">
        <v>31.64</v>
      </c>
      <c r="L35" s="77">
        <v>24.16</v>
      </c>
      <c r="M35" s="77">
        <v>88.38</v>
      </c>
      <c r="N35" s="77">
        <v>136</v>
      </c>
      <c r="O35" s="77">
        <v>0</v>
      </c>
      <c r="P35" s="77">
        <v>0.92</v>
      </c>
      <c r="Q35" s="77">
        <v>3.93</v>
      </c>
    </row>
    <row r="36" spans="1:17" s="12" customFormat="1" x14ac:dyDescent="0.25">
      <c r="A36" s="64" t="s">
        <v>1620</v>
      </c>
      <c r="B36" s="77">
        <v>5.12</v>
      </c>
      <c r="C36" s="77">
        <v>14.76</v>
      </c>
      <c r="D36" s="77">
        <v>12.9</v>
      </c>
      <c r="E36" s="77">
        <v>2.5299999999999998</v>
      </c>
      <c r="F36" s="77">
        <v>6.24</v>
      </c>
      <c r="G36" s="77">
        <v>29.28</v>
      </c>
      <c r="H36" s="77">
        <v>10.77</v>
      </c>
      <c r="I36" s="9" t="s">
        <v>36</v>
      </c>
      <c r="J36" s="77">
        <v>0.14000000000000001</v>
      </c>
      <c r="K36" s="77">
        <v>13.99</v>
      </c>
      <c r="L36" s="77">
        <v>24.03</v>
      </c>
      <c r="M36" s="77">
        <v>89.14</v>
      </c>
      <c r="N36" s="77">
        <v>112.9</v>
      </c>
      <c r="O36" s="77">
        <v>0</v>
      </c>
      <c r="P36" s="77">
        <v>0.91</v>
      </c>
      <c r="Q36" s="77">
        <v>5.62</v>
      </c>
    </row>
    <row r="37" spans="1:17" s="12" customFormat="1" x14ac:dyDescent="0.25">
      <c r="A37" s="64" t="s">
        <v>1621</v>
      </c>
      <c r="B37" s="77">
        <v>5.01</v>
      </c>
      <c r="C37" s="77">
        <v>13.6</v>
      </c>
      <c r="D37" s="77">
        <v>12.17</v>
      </c>
      <c r="E37" s="77">
        <v>2.33</v>
      </c>
      <c r="F37" s="77">
        <v>6.75</v>
      </c>
      <c r="G37" s="77">
        <v>29.42</v>
      </c>
      <c r="H37" s="77">
        <v>10.77</v>
      </c>
      <c r="I37" s="9" t="s">
        <v>36</v>
      </c>
      <c r="J37" s="77">
        <v>0.22</v>
      </c>
      <c r="K37" s="77">
        <v>32.89</v>
      </c>
      <c r="L37" s="77">
        <v>24.03</v>
      </c>
      <c r="M37" s="77">
        <v>89.22</v>
      </c>
      <c r="N37" s="77">
        <v>114.3</v>
      </c>
      <c r="O37" s="77">
        <v>0</v>
      </c>
      <c r="P37" s="77">
        <v>0.88</v>
      </c>
      <c r="Q37" s="77">
        <v>4.7300000000000004</v>
      </c>
    </row>
    <row r="38" spans="1:17" s="12" customFormat="1" x14ac:dyDescent="0.25">
      <c r="A38" s="64" t="s">
        <v>1622</v>
      </c>
      <c r="B38" s="77">
        <v>4.91</v>
      </c>
      <c r="C38" s="77">
        <v>14.29</v>
      </c>
      <c r="D38" s="77">
        <v>12.48</v>
      </c>
      <c r="E38" s="77">
        <v>2.72</v>
      </c>
      <c r="F38" s="77">
        <v>4.07</v>
      </c>
      <c r="G38" s="77">
        <v>29.42</v>
      </c>
      <c r="H38" s="77">
        <v>10.77</v>
      </c>
      <c r="I38" s="9" t="s">
        <v>36</v>
      </c>
      <c r="J38" s="77">
        <v>0.18</v>
      </c>
      <c r="K38" s="77">
        <v>31.43</v>
      </c>
      <c r="L38" s="77">
        <v>24.21</v>
      </c>
      <c r="M38" s="77">
        <v>88.58</v>
      </c>
      <c r="N38" s="77">
        <v>133.19999999999999</v>
      </c>
      <c r="O38" s="77">
        <v>0</v>
      </c>
      <c r="P38" s="77">
        <v>0.94</v>
      </c>
      <c r="Q38" s="77">
        <v>5.39</v>
      </c>
    </row>
    <row r="39" spans="1:17" s="12" customFormat="1" x14ac:dyDescent="0.25">
      <c r="A39" s="64" t="s">
        <v>1623</v>
      </c>
      <c r="B39" s="77">
        <v>4.63</v>
      </c>
      <c r="C39" s="77">
        <v>14.73</v>
      </c>
      <c r="D39" s="77">
        <v>12.49</v>
      </c>
      <c r="E39" s="77">
        <v>2.14</v>
      </c>
      <c r="F39" s="77">
        <v>4.29</v>
      </c>
      <c r="G39" s="77">
        <v>29.42</v>
      </c>
      <c r="H39" s="77">
        <v>10.77</v>
      </c>
      <c r="I39" s="9" t="s">
        <v>36</v>
      </c>
      <c r="J39" s="77">
        <v>0.13</v>
      </c>
      <c r="K39" s="77">
        <v>33.81</v>
      </c>
      <c r="L39" s="77">
        <v>24.45</v>
      </c>
      <c r="M39" s="77">
        <v>88.25</v>
      </c>
      <c r="N39" s="77">
        <v>153.80000000000001</v>
      </c>
      <c r="O39" s="77">
        <v>0</v>
      </c>
      <c r="P39" s="77">
        <v>0.95</v>
      </c>
      <c r="Q39" s="77">
        <v>3.93</v>
      </c>
    </row>
    <row r="40" spans="1:17" s="12" customFormat="1" x14ac:dyDescent="0.25">
      <c r="A40" s="64" t="s">
        <v>1624</v>
      </c>
      <c r="B40" s="77">
        <v>4.67</v>
      </c>
      <c r="C40" s="77">
        <v>14.16</v>
      </c>
      <c r="D40" s="77">
        <v>12.21</v>
      </c>
      <c r="E40" s="77">
        <v>1.77</v>
      </c>
      <c r="F40" s="77">
        <v>3.39</v>
      </c>
      <c r="G40" s="77">
        <v>29.3</v>
      </c>
      <c r="H40" s="77">
        <v>11.82</v>
      </c>
      <c r="I40" s="9" t="s">
        <v>36</v>
      </c>
      <c r="J40" s="77">
        <v>0.19</v>
      </c>
      <c r="K40" s="77">
        <v>26.05</v>
      </c>
      <c r="L40" s="77">
        <v>24.54</v>
      </c>
      <c r="M40" s="77">
        <v>87.74</v>
      </c>
      <c r="N40" s="77">
        <v>101.5</v>
      </c>
      <c r="O40" s="77">
        <v>0</v>
      </c>
      <c r="P40" s="77">
        <v>0.97</v>
      </c>
      <c r="Q40" s="77">
        <v>2.85</v>
      </c>
    </row>
    <row r="41" spans="1:17" s="12" customFormat="1" x14ac:dyDescent="0.25">
      <c r="A41" s="64" t="s">
        <v>1625</v>
      </c>
      <c r="B41" s="77">
        <v>4.74</v>
      </c>
      <c r="C41" s="77">
        <v>14.55</v>
      </c>
      <c r="D41" s="77">
        <v>12.47</v>
      </c>
      <c r="E41" s="77">
        <v>1.99</v>
      </c>
      <c r="F41" s="77">
        <v>3.35</v>
      </c>
      <c r="G41" s="77">
        <v>29.3</v>
      </c>
      <c r="H41" s="77">
        <v>11.82</v>
      </c>
      <c r="I41" s="9" t="s">
        <v>36</v>
      </c>
      <c r="J41" s="77">
        <v>0.23</v>
      </c>
      <c r="K41" s="77">
        <v>41.18</v>
      </c>
      <c r="L41" s="77">
        <v>24.59</v>
      </c>
      <c r="M41" s="77">
        <v>87.42</v>
      </c>
      <c r="N41" s="77">
        <v>237.9</v>
      </c>
      <c r="O41" s="77">
        <v>0</v>
      </c>
      <c r="P41" s="77">
        <v>0.99</v>
      </c>
      <c r="Q41" s="77">
        <v>2.67</v>
      </c>
    </row>
    <row r="42" spans="1:17" s="12" customFormat="1" x14ac:dyDescent="0.25">
      <c r="A42" s="64" t="s">
        <v>1626</v>
      </c>
      <c r="B42" s="77">
        <v>4.6500000000000004</v>
      </c>
      <c r="C42" s="77">
        <v>14.78</v>
      </c>
      <c r="D42" s="77">
        <v>12.53</v>
      </c>
      <c r="E42" s="77">
        <v>2.0499999999999998</v>
      </c>
      <c r="F42" s="77">
        <v>3.38</v>
      </c>
      <c r="G42" s="77">
        <v>29.3</v>
      </c>
      <c r="H42" s="77">
        <v>11.82</v>
      </c>
      <c r="I42" s="9" t="s">
        <v>36</v>
      </c>
      <c r="J42" s="77">
        <v>0.21</v>
      </c>
      <c r="K42" s="77">
        <v>37.39</v>
      </c>
      <c r="L42" s="77">
        <v>25.52</v>
      </c>
      <c r="M42" s="77">
        <v>83.49</v>
      </c>
      <c r="N42" s="77">
        <v>359.8</v>
      </c>
      <c r="O42" s="77">
        <v>0</v>
      </c>
      <c r="P42" s="77">
        <v>1</v>
      </c>
      <c r="Q42" s="77">
        <v>2.9</v>
      </c>
    </row>
    <row r="43" spans="1:17" s="12" customFormat="1" x14ac:dyDescent="0.25">
      <c r="A43" s="64" t="s">
        <v>1627</v>
      </c>
      <c r="B43" s="77">
        <v>4.38</v>
      </c>
      <c r="C43" s="77">
        <v>15.06</v>
      </c>
      <c r="D43" s="77">
        <v>12.47</v>
      </c>
      <c r="E43" s="77">
        <v>1.86</v>
      </c>
      <c r="F43" s="77">
        <v>4.08</v>
      </c>
      <c r="G43" s="77">
        <v>29.3</v>
      </c>
      <c r="H43" s="77">
        <v>11.82</v>
      </c>
      <c r="I43" s="9" t="s">
        <v>36</v>
      </c>
      <c r="J43" s="77">
        <v>0.15</v>
      </c>
      <c r="K43" s="77">
        <v>38.65</v>
      </c>
      <c r="L43" s="77">
        <v>25.79</v>
      </c>
      <c r="M43" s="77">
        <v>82.44</v>
      </c>
      <c r="N43" s="77">
        <v>293.60000000000002</v>
      </c>
      <c r="O43" s="77">
        <v>0</v>
      </c>
      <c r="P43" s="77">
        <v>1.01</v>
      </c>
      <c r="Q43" s="77">
        <v>1.82</v>
      </c>
    </row>
    <row r="44" spans="1:17" s="12" customFormat="1" x14ac:dyDescent="0.25">
      <c r="A44" s="64" t="s">
        <v>1628</v>
      </c>
      <c r="B44" s="77">
        <v>4.0199999999999996</v>
      </c>
      <c r="C44" s="77">
        <v>15.15</v>
      </c>
      <c r="D44" s="77">
        <v>12.23</v>
      </c>
      <c r="E44" s="77">
        <v>1.85</v>
      </c>
      <c r="F44" s="77">
        <v>4.16</v>
      </c>
      <c r="G44" s="77">
        <v>34.65</v>
      </c>
      <c r="H44" s="77">
        <v>11.8</v>
      </c>
      <c r="I44" s="9" t="s">
        <v>36</v>
      </c>
      <c r="J44" s="77">
        <v>0.04</v>
      </c>
      <c r="K44" s="77">
        <v>103.84</v>
      </c>
      <c r="L44" s="77">
        <v>25.84</v>
      </c>
      <c r="M44" s="77">
        <v>82.29</v>
      </c>
      <c r="N44" s="77">
        <v>342.8</v>
      </c>
      <c r="O44" s="77">
        <v>0</v>
      </c>
      <c r="P44" s="77">
        <v>1.02</v>
      </c>
      <c r="Q44" s="77">
        <v>1.86</v>
      </c>
    </row>
    <row r="45" spans="1:17" s="12" customFormat="1" x14ac:dyDescent="0.25">
      <c r="A45" s="64" t="s">
        <v>1629</v>
      </c>
      <c r="B45" s="77">
        <v>3.71</v>
      </c>
      <c r="C45" s="77">
        <v>15.38</v>
      </c>
      <c r="D45" s="77">
        <v>12.11</v>
      </c>
      <c r="E45" s="77">
        <v>2.21</v>
      </c>
      <c r="F45" s="77">
        <v>4.6500000000000004</v>
      </c>
      <c r="G45" s="77">
        <v>34.83</v>
      </c>
      <c r="H45" s="77">
        <v>11.8</v>
      </c>
      <c r="I45" s="9" t="s">
        <v>36</v>
      </c>
      <c r="J45" s="77">
        <v>0.12</v>
      </c>
      <c r="K45" s="77">
        <v>46.9</v>
      </c>
      <c r="L45" s="77">
        <v>25.9</v>
      </c>
      <c r="M45" s="77">
        <v>82.04</v>
      </c>
      <c r="N45" s="77">
        <v>245.4</v>
      </c>
      <c r="O45" s="77">
        <v>0</v>
      </c>
      <c r="P45" s="77">
        <v>1</v>
      </c>
      <c r="Q45" s="77">
        <v>1.69</v>
      </c>
    </row>
    <row r="46" spans="1:17" s="12" customFormat="1" x14ac:dyDescent="0.25">
      <c r="A46" s="64" t="s">
        <v>1630</v>
      </c>
      <c r="B46" s="77">
        <v>3.48</v>
      </c>
      <c r="C46" s="77">
        <v>15.41</v>
      </c>
      <c r="D46" s="77">
        <v>11.94</v>
      </c>
      <c r="E46" s="77">
        <v>2.0499999999999998</v>
      </c>
      <c r="F46" s="77">
        <v>5.87</v>
      </c>
      <c r="G46" s="77">
        <v>34.83</v>
      </c>
      <c r="H46" s="77">
        <v>11.8</v>
      </c>
      <c r="I46" s="9" t="s">
        <v>36</v>
      </c>
      <c r="J46" s="77">
        <v>0.04</v>
      </c>
      <c r="K46" s="77">
        <v>14.16</v>
      </c>
      <c r="L46" s="77">
        <v>25.21</v>
      </c>
      <c r="M46" s="77">
        <v>84.98</v>
      </c>
      <c r="N46" s="77">
        <v>131</v>
      </c>
      <c r="O46" s="77">
        <v>0</v>
      </c>
      <c r="P46" s="77">
        <v>1.01</v>
      </c>
      <c r="Q46" s="77">
        <v>3.16</v>
      </c>
    </row>
    <row r="47" spans="1:17" s="12" customFormat="1" x14ac:dyDescent="0.25">
      <c r="A47" s="64" t="s">
        <v>1631</v>
      </c>
      <c r="B47" s="77">
        <v>3.4</v>
      </c>
      <c r="C47" s="77">
        <v>14.14</v>
      </c>
      <c r="D47" s="77">
        <v>11.18</v>
      </c>
      <c r="E47" s="77">
        <v>2.09</v>
      </c>
      <c r="F47" s="77">
        <v>5.62</v>
      </c>
      <c r="G47" s="77">
        <v>34.83</v>
      </c>
      <c r="H47" s="77">
        <v>11.8</v>
      </c>
      <c r="I47" s="9" t="s">
        <v>36</v>
      </c>
      <c r="J47" s="77">
        <v>0.22</v>
      </c>
      <c r="K47" s="77">
        <v>20.79</v>
      </c>
      <c r="L47" s="77">
        <v>24.8</v>
      </c>
      <c r="M47" s="77">
        <v>85.44</v>
      </c>
      <c r="N47" s="77">
        <v>175.8</v>
      </c>
      <c r="O47" s="77">
        <v>0</v>
      </c>
      <c r="P47" s="77">
        <v>1.01</v>
      </c>
      <c r="Q47" s="77">
        <v>2.02</v>
      </c>
    </row>
    <row r="48" spans="1:17" s="12" customFormat="1" x14ac:dyDescent="0.25">
      <c r="A48" s="64" t="s">
        <v>1632</v>
      </c>
      <c r="B48" s="77">
        <v>3.47</v>
      </c>
      <c r="C48" s="77">
        <v>14.83</v>
      </c>
      <c r="D48" s="77">
        <v>11.61</v>
      </c>
      <c r="E48" s="77">
        <v>2.02</v>
      </c>
      <c r="F48" s="77">
        <v>6.89</v>
      </c>
      <c r="G48" s="77">
        <v>36.909999999999997</v>
      </c>
      <c r="H48" s="77">
        <v>10.58</v>
      </c>
      <c r="I48" s="9" t="s">
        <v>36</v>
      </c>
      <c r="J48" s="77">
        <v>0.09</v>
      </c>
      <c r="K48" s="77">
        <v>357.45</v>
      </c>
      <c r="L48" s="77">
        <v>25.09</v>
      </c>
      <c r="M48" s="77">
        <v>84.94</v>
      </c>
      <c r="N48" s="77">
        <v>266.60000000000002</v>
      </c>
      <c r="O48" s="77">
        <v>0</v>
      </c>
      <c r="P48" s="77">
        <v>1.01</v>
      </c>
      <c r="Q48" s="77">
        <v>3.2</v>
      </c>
    </row>
    <row r="49" spans="1:17" s="12" customFormat="1" x14ac:dyDescent="0.25">
      <c r="A49" s="64" t="s">
        <v>1633</v>
      </c>
      <c r="B49" s="77">
        <v>3.81</v>
      </c>
      <c r="C49" s="77">
        <v>13.79</v>
      </c>
      <c r="D49" s="77">
        <v>11.31</v>
      </c>
      <c r="E49" s="77">
        <v>2.1800000000000002</v>
      </c>
      <c r="F49" s="77">
        <v>7.34</v>
      </c>
      <c r="G49" s="77">
        <v>36.979999999999997</v>
      </c>
      <c r="H49" s="77">
        <v>10.58</v>
      </c>
      <c r="I49" s="9" t="s">
        <v>36</v>
      </c>
      <c r="J49" s="77">
        <v>0.09</v>
      </c>
      <c r="K49" s="77">
        <v>221.46</v>
      </c>
      <c r="L49" s="77">
        <v>25.37</v>
      </c>
      <c r="M49" s="77">
        <v>84.11</v>
      </c>
      <c r="N49" s="77">
        <v>292.2</v>
      </c>
      <c r="O49" s="77">
        <v>0</v>
      </c>
      <c r="P49" s="77">
        <v>1.01</v>
      </c>
      <c r="Q49" s="77">
        <v>2.0099999999999998</v>
      </c>
    </row>
    <row r="50" spans="1:17" s="12" customFormat="1" x14ac:dyDescent="0.25">
      <c r="A50" s="64" t="s">
        <v>1634</v>
      </c>
      <c r="B50" s="77">
        <v>4.0999999999999996</v>
      </c>
      <c r="C50" s="77">
        <v>15.12</v>
      </c>
      <c r="D50" s="77">
        <v>12.27</v>
      </c>
      <c r="E50" s="77">
        <v>2.23</v>
      </c>
      <c r="F50" s="77">
        <v>5.19</v>
      </c>
      <c r="G50" s="77">
        <v>36.979999999999997</v>
      </c>
      <c r="H50" s="77">
        <v>10.58</v>
      </c>
      <c r="I50" s="9" t="s">
        <v>36</v>
      </c>
      <c r="J50" s="77">
        <v>7.0000000000000007E-2</v>
      </c>
      <c r="K50" s="77">
        <v>15.34</v>
      </c>
      <c r="L50" s="77">
        <v>25.72</v>
      </c>
      <c r="M50" s="77">
        <v>82.48</v>
      </c>
      <c r="N50" s="77">
        <v>290.60000000000002</v>
      </c>
      <c r="O50" s="77">
        <v>0</v>
      </c>
      <c r="P50" s="77">
        <v>1.02</v>
      </c>
      <c r="Q50" s="77">
        <v>2.72</v>
      </c>
    </row>
    <row r="51" spans="1:17" s="12" customFormat="1" x14ac:dyDescent="0.25">
      <c r="A51" s="64" t="s">
        <v>1635</v>
      </c>
      <c r="B51" s="77">
        <v>3.57</v>
      </c>
      <c r="C51" s="77">
        <v>14.51</v>
      </c>
      <c r="D51" s="77">
        <v>11.52</v>
      </c>
      <c r="E51" s="77">
        <v>2.33</v>
      </c>
      <c r="F51" s="77">
        <v>3.84</v>
      </c>
      <c r="G51" s="77">
        <v>36.979999999999997</v>
      </c>
      <c r="H51" s="77">
        <v>10.58</v>
      </c>
      <c r="I51" s="9" t="s">
        <v>36</v>
      </c>
      <c r="J51" s="77">
        <v>0.22</v>
      </c>
      <c r="K51" s="77">
        <v>20.6</v>
      </c>
      <c r="L51" s="77">
        <v>26.28</v>
      </c>
      <c r="M51" s="77">
        <v>80.010000000000005</v>
      </c>
      <c r="N51" s="77">
        <v>580.20000000000005</v>
      </c>
      <c r="O51" s="77">
        <v>0</v>
      </c>
      <c r="P51" s="77">
        <v>1.01</v>
      </c>
      <c r="Q51" s="77">
        <v>1.57</v>
      </c>
    </row>
    <row r="52" spans="1:17" s="12" customFormat="1" x14ac:dyDescent="0.25">
      <c r="A52" s="64" t="s">
        <v>1636</v>
      </c>
      <c r="B52" s="77">
        <v>3.04</v>
      </c>
      <c r="C52" s="77">
        <v>15.08</v>
      </c>
      <c r="D52" s="77">
        <v>11.41</v>
      </c>
      <c r="E52" s="77">
        <v>2.19</v>
      </c>
      <c r="F52" s="77">
        <v>6.66</v>
      </c>
      <c r="G52" s="77">
        <v>24.68</v>
      </c>
      <c r="H52" s="77">
        <v>12.62</v>
      </c>
      <c r="I52" s="9" t="s">
        <v>36</v>
      </c>
      <c r="J52" s="77">
        <v>0.21</v>
      </c>
      <c r="K52" s="77">
        <v>20.399999999999999</v>
      </c>
      <c r="L52" s="77">
        <v>27.06</v>
      </c>
      <c r="M52" s="77">
        <v>76.989999999999995</v>
      </c>
      <c r="N52" s="77">
        <v>581.9</v>
      </c>
      <c r="O52" s="77">
        <v>0</v>
      </c>
      <c r="P52" s="77">
        <v>1.07</v>
      </c>
      <c r="Q52" s="77">
        <v>0.62</v>
      </c>
    </row>
    <row r="53" spans="1:17" s="12" customFormat="1" x14ac:dyDescent="0.25">
      <c r="A53" s="64" t="s">
        <v>1637</v>
      </c>
      <c r="B53" s="77">
        <v>2.97</v>
      </c>
      <c r="C53" s="77">
        <v>16.739999999999998</v>
      </c>
      <c r="D53" s="77">
        <v>12.27</v>
      </c>
      <c r="E53" s="77">
        <v>1.63</v>
      </c>
      <c r="F53" s="77">
        <v>6.97</v>
      </c>
      <c r="G53" s="77">
        <v>24.11</v>
      </c>
      <c r="H53" s="77">
        <v>12.62</v>
      </c>
      <c r="I53" s="9" t="s">
        <v>36</v>
      </c>
      <c r="J53" s="77">
        <v>0.31</v>
      </c>
      <c r="K53" s="77">
        <v>7.13</v>
      </c>
      <c r="L53" s="77">
        <v>28.7</v>
      </c>
      <c r="M53" s="77">
        <v>71.05</v>
      </c>
      <c r="N53" s="77">
        <v>711.2</v>
      </c>
      <c r="O53" s="77">
        <v>0</v>
      </c>
      <c r="P53" s="77">
        <v>1.1100000000000001</v>
      </c>
      <c r="Q53" s="77">
        <v>0.37</v>
      </c>
    </row>
    <row r="54" spans="1:17" s="12" customFormat="1" x14ac:dyDescent="0.25">
      <c r="A54" s="64" t="s">
        <v>1638</v>
      </c>
      <c r="B54" s="77">
        <v>3.65</v>
      </c>
      <c r="C54" s="77">
        <v>18.920000000000002</v>
      </c>
      <c r="D54" s="77">
        <v>14.02</v>
      </c>
      <c r="E54" s="77">
        <v>1.65</v>
      </c>
      <c r="F54" s="77">
        <v>6.34</v>
      </c>
      <c r="G54" s="77">
        <v>24.11</v>
      </c>
      <c r="H54" s="77">
        <v>12.62</v>
      </c>
      <c r="I54" s="9" t="s">
        <v>36</v>
      </c>
      <c r="J54" s="77">
        <v>0.34</v>
      </c>
      <c r="K54" s="77">
        <v>16.329999999999998</v>
      </c>
      <c r="L54" s="77">
        <v>28.08</v>
      </c>
      <c r="M54" s="77">
        <v>72.48</v>
      </c>
      <c r="N54" s="77">
        <v>354.9</v>
      </c>
      <c r="O54" s="77">
        <v>0</v>
      </c>
      <c r="P54" s="77">
        <v>1.25</v>
      </c>
      <c r="Q54" s="77">
        <v>0.85</v>
      </c>
    </row>
    <row r="55" spans="1:17" s="12" customFormat="1" x14ac:dyDescent="0.25">
      <c r="A55" s="64" t="s">
        <v>1639</v>
      </c>
      <c r="B55" s="77">
        <v>4.0199999999999996</v>
      </c>
      <c r="C55" s="77">
        <v>21.1</v>
      </c>
      <c r="D55" s="77">
        <v>15.52</v>
      </c>
      <c r="E55" s="77">
        <v>1.73</v>
      </c>
      <c r="F55" s="77">
        <v>6.14</v>
      </c>
      <c r="G55" s="77">
        <v>24.11</v>
      </c>
      <c r="H55" s="77">
        <v>12.62</v>
      </c>
      <c r="I55" s="9" t="s">
        <v>36</v>
      </c>
      <c r="J55" s="77">
        <v>0.44</v>
      </c>
      <c r="K55" s="77">
        <v>359.41</v>
      </c>
      <c r="L55" s="77">
        <v>27.75</v>
      </c>
      <c r="M55" s="77">
        <v>73.209999999999994</v>
      </c>
      <c r="N55" s="77">
        <v>820.9</v>
      </c>
      <c r="O55" s="77">
        <v>0</v>
      </c>
      <c r="P55" s="77">
        <v>1.42</v>
      </c>
      <c r="Q55" s="77">
        <v>2.54</v>
      </c>
    </row>
    <row r="56" spans="1:17" s="12" customFormat="1" x14ac:dyDescent="0.25">
      <c r="A56" s="64" t="s">
        <v>1640</v>
      </c>
      <c r="B56" s="77">
        <v>3.79</v>
      </c>
      <c r="C56" s="77">
        <v>22.6</v>
      </c>
      <c r="D56" s="77">
        <v>16.16</v>
      </c>
      <c r="E56" s="77">
        <v>1.61</v>
      </c>
      <c r="F56" s="77">
        <v>6.61</v>
      </c>
      <c r="G56" s="77">
        <v>24.61</v>
      </c>
      <c r="H56" s="77">
        <v>13.67</v>
      </c>
      <c r="I56" s="9" t="s">
        <v>36</v>
      </c>
      <c r="J56" s="77">
        <v>0.34</v>
      </c>
      <c r="K56" s="77">
        <v>25.28</v>
      </c>
      <c r="L56" s="77">
        <v>29.89</v>
      </c>
      <c r="M56" s="77">
        <v>63.27</v>
      </c>
      <c r="N56" s="77">
        <v>972.6</v>
      </c>
      <c r="O56" s="77">
        <v>0</v>
      </c>
      <c r="P56" s="77">
        <v>1.54</v>
      </c>
      <c r="Q56" s="77">
        <v>2.78</v>
      </c>
    </row>
    <row r="57" spans="1:17" s="12" customFormat="1" x14ac:dyDescent="0.25">
      <c r="A57" s="64" t="s">
        <v>1641</v>
      </c>
      <c r="B57" s="77">
        <v>4.5199999999999996</v>
      </c>
      <c r="C57" s="77">
        <v>23.8</v>
      </c>
      <c r="D57" s="77">
        <v>17.41</v>
      </c>
      <c r="E57" s="77">
        <v>1.69</v>
      </c>
      <c r="F57" s="77">
        <v>6.44</v>
      </c>
      <c r="G57" s="77">
        <v>24.63</v>
      </c>
      <c r="H57" s="77">
        <v>13.67</v>
      </c>
      <c r="I57" s="9" t="s">
        <v>36</v>
      </c>
      <c r="J57" s="77">
        <v>0.49</v>
      </c>
      <c r="K57" s="77">
        <v>2.54</v>
      </c>
      <c r="L57" s="77">
        <v>29.71</v>
      </c>
      <c r="M57" s="77">
        <v>64.47</v>
      </c>
      <c r="N57" s="77">
        <v>578.20000000000005</v>
      </c>
      <c r="O57" s="77">
        <v>0</v>
      </c>
      <c r="P57" s="77">
        <v>1.56</v>
      </c>
      <c r="Q57" s="77">
        <v>3.3</v>
      </c>
    </row>
    <row r="58" spans="1:17" s="12" customFormat="1" x14ac:dyDescent="0.25">
      <c r="A58" s="64" t="s">
        <v>1642</v>
      </c>
      <c r="B58" s="77">
        <v>5.04</v>
      </c>
      <c r="C58" s="77">
        <v>23.52</v>
      </c>
      <c r="D58" s="77">
        <v>17.670000000000002</v>
      </c>
      <c r="E58" s="77">
        <v>1.63</v>
      </c>
      <c r="F58" s="77">
        <v>5.71</v>
      </c>
      <c r="G58" s="77">
        <v>24.63</v>
      </c>
      <c r="H58" s="77">
        <v>13.67</v>
      </c>
      <c r="I58" s="9" t="s">
        <v>36</v>
      </c>
      <c r="J58" s="77">
        <v>0.38</v>
      </c>
      <c r="K58" s="77">
        <v>31.49</v>
      </c>
      <c r="L58" s="77">
        <v>28.65</v>
      </c>
      <c r="M58" s="77">
        <v>68.05</v>
      </c>
      <c r="N58" s="77">
        <v>789</v>
      </c>
      <c r="O58" s="77">
        <v>0</v>
      </c>
      <c r="P58" s="77">
        <v>1.61</v>
      </c>
      <c r="Q58" s="77">
        <v>3.89</v>
      </c>
    </row>
    <row r="59" spans="1:17" s="12" customFormat="1" x14ac:dyDescent="0.25">
      <c r="A59" s="64" t="s">
        <v>1643</v>
      </c>
      <c r="B59" s="77">
        <v>4.62</v>
      </c>
      <c r="C59" s="77">
        <v>22.44</v>
      </c>
      <c r="D59" s="77">
        <v>16.739999999999998</v>
      </c>
      <c r="E59" s="77">
        <v>1.94</v>
      </c>
      <c r="F59" s="77">
        <v>6.55</v>
      </c>
      <c r="G59" s="77">
        <v>24.63</v>
      </c>
      <c r="H59" s="77">
        <v>13.67</v>
      </c>
      <c r="I59" s="9" t="s">
        <v>36</v>
      </c>
      <c r="J59" s="77">
        <v>0.44</v>
      </c>
      <c r="K59" s="77">
        <v>11.07</v>
      </c>
      <c r="L59" s="77">
        <v>28.98</v>
      </c>
      <c r="M59" s="77">
        <v>68.59</v>
      </c>
      <c r="N59" s="77">
        <v>885</v>
      </c>
      <c r="O59" s="77">
        <v>0</v>
      </c>
      <c r="P59" s="77">
        <v>1.76</v>
      </c>
      <c r="Q59" s="77">
        <v>2.9</v>
      </c>
    </row>
    <row r="60" spans="1:17" s="12" customFormat="1" x14ac:dyDescent="0.25">
      <c r="A60" s="64" t="s">
        <v>1644</v>
      </c>
      <c r="B60" s="77">
        <v>4.4000000000000004</v>
      </c>
      <c r="C60" s="77">
        <v>22.35</v>
      </c>
      <c r="D60" s="77">
        <v>16.510000000000002</v>
      </c>
      <c r="E60" s="77">
        <v>2.2799999999999998</v>
      </c>
      <c r="F60" s="77">
        <v>6.37</v>
      </c>
      <c r="G60" s="77">
        <v>53.86</v>
      </c>
      <c r="H60" s="77">
        <v>18.579999999999998</v>
      </c>
      <c r="I60" s="9" t="s">
        <v>36</v>
      </c>
      <c r="J60" s="77">
        <v>0.32</v>
      </c>
      <c r="K60" s="77">
        <v>25.72</v>
      </c>
      <c r="L60" s="77">
        <v>28.36</v>
      </c>
      <c r="M60" s="77">
        <v>71.09</v>
      </c>
      <c r="N60" s="77">
        <v>691.9</v>
      </c>
      <c r="O60" s="77">
        <v>0</v>
      </c>
      <c r="P60" s="77">
        <v>1.72</v>
      </c>
      <c r="Q60" s="77">
        <v>3.74</v>
      </c>
    </row>
    <row r="61" spans="1:17" s="12" customFormat="1" x14ac:dyDescent="0.25">
      <c r="A61" s="64" t="s">
        <v>1645</v>
      </c>
      <c r="B61" s="77">
        <v>4.12</v>
      </c>
      <c r="C61" s="77">
        <v>22.14</v>
      </c>
      <c r="D61" s="77">
        <v>16.170000000000002</v>
      </c>
      <c r="E61" s="77">
        <v>2.25</v>
      </c>
      <c r="F61" s="77">
        <v>4.92</v>
      </c>
      <c r="G61" s="77">
        <v>54.87</v>
      </c>
      <c r="H61" s="77">
        <v>18.579999999999998</v>
      </c>
      <c r="I61" s="9" t="s">
        <v>36</v>
      </c>
      <c r="J61" s="77">
        <v>0.26</v>
      </c>
      <c r="K61" s="77">
        <v>38.01</v>
      </c>
      <c r="L61" s="77">
        <v>27.93</v>
      </c>
      <c r="M61" s="77">
        <v>73.099999999999994</v>
      </c>
      <c r="N61" s="77">
        <v>528</v>
      </c>
      <c r="O61" s="77">
        <v>0</v>
      </c>
      <c r="P61" s="77">
        <v>1.59</v>
      </c>
      <c r="Q61" s="77">
        <v>4.41</v>
      </c>
    </row>
    <row r="62" spans="1:17" s="12" customFormat="1" x14ac:dyDescent="0.25">
      <c r="A62" s="64" t="s">
        <v>1646</v>
      </c>
      <c r="B62" s="77">
        <v>3.5</v>
      </c>
      <c r="C62" s="77">
        <v>20.03</v>
      </c>
      <c r="D62" s="77">
        <v>14.51</v>
      </c>
      <c r="E62" s="77">
        <v>2.31</v>
      </c>
      <c r="F62" s="77">
        <v>5.71</v>
      </c>
      <c r="G62" s="77">
        <v>54.87</v>
      </c>
      <c r="H62" s="77">
        <v>18.579999999999998</v>
      </c>
      <c r="I62" s="9" t="s">
        <v>36</v>
      </c>
      <c r="J62" s="77">
        <v>0.59</v>
      </c>
      <c r="K62" s="77">
        <v>6.11</v>
      </c>
      <c r="L62" s="77">
        <v>27.79</v>
      </c>
      <c r="M62" s="77">
        <v>71.08</v>
      </c>
      <c r="N62" s="77">
        <v>197.6</v>
      </c>
      <c r="O62" s="77">
        <v>0</v>
      </c>
      <c r="P62" s="77">
        <v>1.5</v>
      </c>
      <c r="Q62" s="77">
        <v>2.99</v>
      </c>
    </row>
    <row r="63" spans="1:17" s="12" customFormat="1" x14ac:dyDescent="0.25">
      <c r="A63" s="64" t="s">
        <v>1647</v>
      </c>
      <c r="B63" s="77">
        <v>3.46</v>
      </c>
      <c r="C63" s="77">
        <v>18.88</v>
      </c>
      <c r="D63" s="77">
        <v>13.84</v>
      </c>
      <c r="E63" s="77">
        <v>1.28</v>
      </c>
      <c r="F63" s="77">
        <v>5.82</v>
      </c>
      <c r="G63" s="77">
        <v>54.87</v>
      </c>
      <c r="H63" s="77">
        <v>18.579999999999998</v>
      </c>
      <c r="I63" s="9" t="s">
        <v>36</v>
      </c>
      <c r="J63" s="77">
        <v>0.78</v>
      </c>
      <c r="K63" s="77">
        <v>342.04</v>
      </c>
      <c r="L63" s="77">
        <v>24.83</v>
      </c>
      <c r="M63" s="77">
        <v>91.02</v>
      </c>
      <c r="N63" s="77">
        <v>135.80000000000001</v>
      </c>
      <c r="O63" s="77">
        <v>0.8</v>
      </c>
      <c r="P63" s="77">
        <v>1.39</v>
      </c>
      <c r="Q63" s="77">
        <v>1.69</v>
      </c>
    </row>
    <row r="64" spans="1:17" s="12" customFormat="1" x14ac:dyDescent="0.25">
      <c r="A64" s="64" t="s">
        <v>1648</v>
      </c>
      <c r="B64" s="77">
        <v>3.8</v>
      </c>
      <c r="C64" s="77">
        <v>17.940000000000001</v>
      </c>
      <c r="D64" s="77">
        <v>13.6</v>
      </c>
      <c r="E64" s="77">
        <v>1.88</v>
      </c>
      <c r="F64" s="77">
        <v>4.68</v>
      </c>
      <c r="G64" s="77">
        <v>51.04</v>
      </c>
      <c r="H64" s="77">
        <v>17.739999999999998</v>
      </c>
      <c r="I64" s="9" t="s">
        <v>36</v>
      </c>
      <c r="J64" s="77">
        <v>0.6</v>
      </c>
      <c r="K64" s="77">
        <v>342.07</v>
      </c>
      <c r="L64" s="77">
        <v>24.01</v>
      </c>
      <c r="M64" s="77">
        <v>96.85</v>
      </c>
      <c r="N64" s="77">
        <v>152.69999999999999</v>
      </c>
      <c r="O64" s="77">
        <v>0.8</v>
      </c>
      <c r="P64" s="77">
        <v>1.44</v>
      </c>
      <c r="Q64" s="77">
        <v>2.14</v>
      </c>
    </row>
    <row r="65" spans="1:17" s="12" customFormat="1" x14ac:dyDescent="0.25">
      <c r="A65" s="64" t="s">
        <v>1649</v>
      </c>
      <c r="B65" s="77">
        <v>5.01</v>
      </c>
      <c r="C65" s="77">
        <v>18.53</v>
      </c>
      <c r="D65" s="77">
        <v>14.89</v>
      </c>
      <c r="E65" s="77">
        <v>1.46</v>
      </c>
      <c r="F65" s="77">
        <v>4.3099999999999996</v>
      </c>
      <c r="G65" s="77">
        <v>50.91</v>
      </c>
      <c r="H65" s="77">
        <v>17.71</v>
      </c>
      <c r="I65" s="9" t="s">
        <v>36</v>
      </c>
      <c r="J65" s="77">
        <v>0.2</v>
      </c>
      <c r="K65" s="77">
        <v>156.86000000000001</v>
      </c>
      <c r="L65" s="77">
        <v>23.22</v>
      </c>
      <c r="M65" s="77">
        <v>95.75</v>
      </c>
      <c r="N65" s="77">
        <v>75.099999999999994</v>
      </c>
      <c r="O65" s="77">
        <v>0.4</v>
      </c>
      <c r="P65" s="77">
        <v>1.4</v>
      </c>
      <c r="Q65" s="77">
        <v>1.1000000000000001</v>
      </c>
    </row>
    <row r="66" spans="1:17" s="12" customFormat="1" x14ac:dyDescent="0.25">
      <c r="A66" s="64" t="s">
        <v>1650</v>
      </c>
      <c r="B66" s="77">
        <v>4.95</v>
      </c>
      <c r="C66" s="77">
        <v>17.2</v>
      </c>
      <c r="D66" s="77">
        <v>14.11</v>
      </c>
      <c r="E66" s="77">
        <v>1.57</v>
      </c>
      <c r="F66" s="77">
        <v>5.27</v>
      </c>
      <c r="G66" s="77">
        <v>50.91</v>
      </c>
      <c r="H66" s="77">
        <v>17.71</v>
      </c>
      <c r="I66" s="9" t="s">
        <v>36</v>
      </c>
      <c r="J66" s="77">
        <v>0.18</v>
      </c>
      <c r="K66" s="77">
        <v>150.62</v>
      </c>
      <c r="L66" s="77">
        <v>22.92</v>
      </c>
      <c r="M66" s="77">
        <v>95.75</v>
      </c>
      <c r="N66" s="77">
        <v>55.3</v>
      </c>
      <c r="O66" s="77">
        <v>0.6</v>
      </c>
      <c r="P66" s="77">
        <v>1.36</v>
      </c>
      <c r="Q66" s="77">
        <v>0.83</v>
      </c>
    </row>
    <row r="67" spans="1:17" s="12" customFormat="1" x14ac:dyDescent="0.25">
      <c r="A67" s="64" t="s">
        <v>1651</v>
      </c>
      <c r="B67" s="77">
        <v>4.6900000000000004</v>
      </c>
      <c r="C67" s="77">
        <v>18.16</v>
      </c>
      <c r="D67" s="77">
        <v>14.43</v>
      </c>
      <c r="E67" s="77">
        <v>2</v>
      </c>
      <c r="F67" s="77">
        <v>6.28</v>
      </c>
      <c r="G67" s="77">
        <v>50.91</v>
      </c>
      <c r="H67" s="77">
        <v>17.71</v>
      </c>
      <c r="I67" s="9" t="s">
        <v>36</v>
      </c>
      <c r="J67" s="77">
        <v>0.22</v>
      </c>
      <c r="K67" s="77">
        <v>110.22</v>
      </c>
      <c r="L67" s="77">
        <v>22.84</v>
      </c>
      <c r="M67" s="77">
        <v>95.07</v>
      </c>
      <c r="N67" s="77">
        <v>63.5</v>
      </c>
      <c r="O67" s="77">
        <v>0.6</v>
      </c>
      <c r="P67" s="77">
        <v>1.33</v>
      </c>
      <c r="Q67" s="77">
        <v>0.83</v>
      </c>
    </row>
    <row r="68" spans="1:17" s="12" customFormat="1" x14ac:dyDescent="0.25">
      <c r="A68" s="64" t="s">
        <v>1652</v>
      </c>
      <c r="B68" s="77">
        <v>5.0999999999999996</v>
      </c>
      <c r="C68" s="77">
        <v>17.989999999999998</v>
      </c>
      <c r="D68" s="77">
        <v>14.66</v>
      </c>
      <c r="E68" s="77">
        <v>1.73</v>
      </c>
      <c r="F68" s="77">
        <v>5.48</v>
      </c>
      <c r="G68" s="77">
        <v>34.28</v>
      </c>
      <c r="H68" s="77">
        <v>13.47</v>
      </c>
      <c r="I68" s="9" t="s">
        <v>36</v>
      </c>
      <c r="J68" s="77">
        <v>0.25</v>
      </c>
      <c r="K68" s="77">
        <v>173.23</v>
      </c>
      <c r="L68" s="77">
        <v>22.81</v>
      </c>
      <c r="M68" s="77">
        <v>97.18</v>
      </c>
      <c r="N68" s="77">
        <v>56.9</v>
      </c>
      <c r="O68" s="77">
        <v>0.2</v>
      </c>
      <c r="P68" s="77">
        <v>1.34</v>
      </c>
      <c r="Q68" s="77">
        <v>1.92</v>
      </c>
    </row>
    <row r="69" spans="1:17" s="12" customFormat="1" x14ac:dyDescent="0.25">
      <c r="A69" s="64" t="s">
        <v>1653</v>
      </c>
      <c r="B69" s="77">
        <v>12.63</v>
      </c>
      <c r="C69" s="77">
        <v>29.44</v>
      </c>
      <c r="D69" s="77">
        <v>27.02</v>
      </c>
      <c r="E69" s="77">
        <v>1.89</v>
      </c>
      <c r="F69" s="77">
        <v>9.11</v>
      </c>
      <c r="G69" s="77">
        <v>33.700000000000003</v>
      </c>
      <c r="H69" s="77">
        <v>13.47</v>
      </c>
      <c r="I69" s="9" t="s">
        <v>36</v>
      </c>
      <c r="J69" s="77">
        <v>0.02</v>
      </c>
      <c r="K69" s="77">
        <v>231.04</v>
      </c>
      <c r="L69" s="77">
        <v>23.02</v>
      </c>
      <c r="M69" s="77">
        <v>97.18</v>
      </c>
      <c r="N69" s="77">
        <v>55.1</v>
      </c>
      <c r="O69" s="77">
        <v>0.4</v>
      </c>
      <c r="P69" s="77">
        <v>1.33</v>
      </c>
      <c r="Q69" s="77">
        <v>4.2</v>
      </c>
    </row>
    <row r="70" spans="1:17" s="12" customFormat="1" x14ac:dyDescent="0.25">
      <c r="A70" s="64" t="s">
        <v>1654</v>
      </c>
      <c r="B70" s="77">
        <v>6.71</v>
      </c>
      <c r="C70" s="77">
        <v>26.04</v>
      </c>
      <c r="D70" s="77">
        <v>20.399999999999999</v>
      </c>
      <c r="E70" s="77">
        <v>2.31</v>
      </c>
      <c r="F70" s="77">
        <v>6.86</v>
      </c>
      <c r="G70" s="77">
        <v>33.700000000000003</v>
      </c>
      <c r="H70" s="77">
        <v>13.47</v>
      </c>
      <c r="I70" s="9" t="s">
        <v>36</v>
      </c>
      <c r="J70" s="77">
        <v>0.16</v>
      </c>
      <c r="K70" s="77">
        <v>215.81</v>
      </c>
      <c r="L70" s="77">
        <v>23</v>
      </c>
      <c r="M70" s="77">
        <v>97.19</v>
      </c>
      <c r="N70" s="77">
        <v>48.7</v>
      </c>
      <c r="O70" s="77">
        <v>0.2</v>
      </c>
      <c r="P70" s="77">
        <v>1.35</v>
      </c>
      <c r="Q70" s="77">
        <v>4.92</v>
      </c>
    </row>
    <row r="71" spans="1:17" s="12" customFormat="1" x14ac:dyDescent="0.25">
      <c r="A71" s="64" t="s">
        <v>1655</v>
      </c>
      <c r="B71" s="77">
        <v>6.57</v>
      </c>
      <c r="C71" s="77">
        <v>20.98</v>
      </c>
      <c r="D71" s="77">
        <v>17.5</v>
      </c>
      <c r="E71" s="77">
        <v>2.17</v>
      </c>
      <c r="F71" s="77">
        <v>5.22</v>
      </c>
      <c r="G71" s="77">
        <v>33.700000000000003</v>
      </c>
      <c r="H71" s="77">
        <v>13.47</v>
      </c>
      <c r="I71" s="9" t="s">
        <v>36</v>
      </c>
      <c r="J71" s="77">
        <v>0.05</v>
      </c>
      <c r="K71" s="77">
        <v>207.74</v>
      </c>
      <c r="L71" s="77">
        <v>22.88</v>
      </c>
      <c r="M71" s="77">
        <v>97.21</v>
      </c>
      <c r="N71" s="77">
        <v>51.7</v>
      </c>
      <c r="O71" s="77">
        <v>0.4</v>
      </c>
      <c r="P71" s="77">
        <v>1.38</v>
      </c>
      <c r="Q71" s="77">
        <v>6.23</v>
      </c>
    </row>
    <row r="72" spans="1:17" s="12" customFormat="1" x14ac:dyDescent="0.25">
      <c r="A72" s="64" t="s">
        <v>1656</v>
      </c>
      <c r="B72" s="77">
        <v>6.65</v>
      </c>
      <c r="C72" s="77">
        <v>18.559999999999999</v>
      </c>
      <c r="D72" s="77">
        <v>16.22</v>
      </c>
      <c r="E72" s="77">
        <v>1.04</v>
      </c>
      <c r="F72" s="77">
        <v>8.92</v>
      </c>
      <c r="G72" s="77">
        <v>29.13</v>
      </c>
      <c r="H72" s="77">
        <v>13.5</v>
      </c>
      <c r="I72" s="9" t="s">
        <v>36</v>
      </c>
      <c r="J72" s="77">
        <v>0.01</v>
      </c>
      <c r="K72" s="77">
        <v>100.23</v>
      </c>
      <c r="L72" s="77">
        <v>22.75</v>
      </c>
      <c r="M72" s="77">
        <v>97.21</v>
      </c>
      <c r="N72" s="77">
        <v>46.9</v>
      </c>
      <c r="O72" s="77">
        <v>1.2</v>
      </c>
      <c r="P72" s="77">
        <v>1.4</v>
      </c>
      <c r="Q72" s="77">
        <v>6.45</v>
      </c>
    </row>
    <row r="73" spans="1:17" s="12" customFormat="1" x14ac:dyDescent="0.25">
      <c r="A73" s="64" t="s">
        <v>1657</v>
      </c>
      <c r="B73" s="77">
        <v>5.86</v>
      </c>
      <c r="C73" s="77">
        <v>16.29</v>
      </c>
      <c r="D73" s="77">
        <v>14.33</v>
      </c>
      <c r="E73" s="77">
        <v>1.74</v>
      </c>
      <c r="F73" s="77">
        <v>8.61</v>
      </c>
      <c r="G73" s="77">
        <v>28.97</v>
      </c>
      <c r="H73" s="77">
        <v>13.5</v>
      </c>
      <c r="I73" s="9" t="s">
        <v>36</v>
      </c>
      <c r="J73" s="77">
        <v>0.03</v>
      </c>
      <c r="K73" s="77">
        <v>259.45999999999998</v>
      </c>
      <c r="L73" s="77">
        <v>22.51</v>
      </c>
      <c r="M73" s="77">
        <v>97.23</v>
      </c>
      <c r="N73" s="77">
        <v>49.7</v>
      </c>
      <c r="O73" s="77">
        <v>0.8</v>
      </c>
      <c r="P73" s="77">
        <v>1.39</v>
      </c>
      <c r="Q73" s="77">
        <v>7.19</v>
      </c>
    </row>
    <row r="74" spans="1:17" s="12" customFormat="1" x14ac:dyDescent="0.25">
      <c r="A74" s="64" t="s">
        <v>1658</v>
      </c>
      <c r="B74" s="77">
        <v>6.57</v>
      </c>
      <c r="C74" s="77">
        <v>14.77</v>
      </c>
      <c r="D74" s="77">
        <v>14.06</v>
      </c>
      <c r="E74" s="77">
        <v>1.38</v>
      </c>
      <c r="F74" s="77">
        <v>3.89</v>
      </c>
      <c r="G74" s="77">
        <v>28.97</v>
      </c>
      <c r="H74" s="77">
        <v>13.5</v>
      </c>
      <c r="I74" s="9" t="s">
        <v>36</v>
      </c>
      <c r="J74" s="77">
        <v>0.02</v>
      </c>
      <c r="K74" s="77">
        <v>26.52</v>
      </c>
      <c r="L74" s="77">
        <v>22.48</v>
      </c>
      <c r="M74" s="77">
        <v>97.23</v>
      </c>
      <c r="N74" s="77">
        <v>48.5</v>
      </c>
      <c r="O74" s="77">
        <v>0.4</v>
      </c>
      <c r="P74" s="77">
        <v>1.38</v>
      </c>
      <c r="Q74" s="77">
        <v>6.85</v>
      </c>
    </row>
    <row r="75" spans="1:17" s="12" customFormat="1" x14ac:dyDescent="0.25">
      <c r="A75" s="64" t="s">
        <v>1659</v>
      </c>
      <c r="B75" s="77">
        <v>7.08</v>
      </c>
      <c r="C75" s="77">
        <v>14.45</v>
      </c>
      <c r="D75" s="77">
        <v>14.29</v>
      </c>
      <c r="E75" s="77">
        <v>1.23</v>
      </c>
      <c r="F75" s="77">
        <v>3.31</v>
      </c>
      <c r="G75" s="77">
        <v>28.97</v>
      </c>
      <c r="H75" s="77">
        <v>13.5</v>
      </c>
      <c r="I75" s="9" t="s">
        <v>36</v>
      </c>
      <c r="J75" s="77">
        <v>7.0000000000000007E-2</v>
      </c>
      <c r="K75" s="77">
        <v>33.58</v>
      </c>
      <c r="L75" s="77">
        <v>22.59</v>
      </c>
      <c r="M75" s="77">
        <v>97.23</v>
      </c>
      <c r="N75" s="77">
        <v>46.2</v>
      </c>
      <c r="O75" s="77">
        <v>0.6</v>
      </c>
      <c r="P75" s="77">
        <v>1.34</v>
      </c>
      <c r="Q75" s="77">
        <v>5.01</v>
      </c>
    </row>
    <row r="76" spans="1:17" s="12" customFormat="1" x14ac:dyDescent="0.25">
      <c r="A76" s="64" t="s">
        <v>1660</v>
      </c>
      <c r="B76" s="77">
        <v>6.64</v>
      </c>
      <c r="C76" s="77">
        <v>14.45</v>
      </c>
      <c r="D76" s="77">
        <v>13.95</v>
      </c>
      <c r="E76" s="77">
        <v>1.61</v>
      </c>
      <c r="F76" s="77">
        <v>2.08</v>
      </c>
      <c r="G76" s="77">
        <v>22.76</v>
      </c>
      <c r="H76" s="77">
        <v>12.01</v>
      </c>
      <c r="I76" s="9" t="s">
        <v>36</v>
      </c>
      <c r="J76" s="77">
        <v>0.15</v>
      </c>
      <c r="K76" s="77">
        <v>31.4</v>
      </c>
      <c r="L76" s="77">
        <v>22.66</v>
      </c>
      <c r="M76" s="77">
        <v>97.23</v>
      </c>
      <c r="N76" s="77">
        <v>44.3</v>
      </c>
      <c r="O76" s="77">
        <v>0.6</v>
      </c>
      <c r="P76" s="77">
        <v>1.35</v>
      </c>
      <c r="Q76" s="77">
        <v>5.74</v>
      </c>
    </row>
    <row r="77" spans="1:17" s="12" customFormat="1" x14ac:dyDescent="0.25">
      <c r="A77" s="64" t="s">
        <v>1661</v>
      </c>
      <c r="B77" s="77">
        <v>6.63</v>
      </c>
      <c r="C77" s="77">
        <v>15.06</v>
      </c>
      <c r="D77" s="77">
        <v>14.27</v>
      </c>
      <c r="E77" s="77">
        <v>1.26</v>
      </c>
      <c r="F77" s="77">
        <v>2.79</v>
      </c>
      <c r="G77" s="77">
        <v>22.55</v>
      </c>
      <c r="H77" s="77">
        <v>12.01</v>
      </c>
      <c r="I77" s="9" t="s">
        <v>36</v>
      </c>
      <c r="J77" s="77">
        <v>0.41</v>
      </c>
      <c r="K77" s="77">
        <v>5.31</v>
      </c>
      <c r="L77" s="77">
        <v>22.68</v>
      </c>
      <c r="M77" s="77">
        <v>97.23</v>
      </c>
      <c r="N77" s="77">
        <v>40.5</v>
      </c>
      <c r="O77" s="77">
        <v>0.4</v>
      </c>
      <c r="P77" s="77">
        <v>1.32</v>
      </c>
      <c r="Q77" s="77">
        <v>4.95</v>
      </c>
    </row>
    <row r="78" spans="1:17" s="12" customFormat="1" x14ac:dyDescent="0.25">
      <c r="A78" s="64" t="s">
        <v>1662</v>
      </c>
      <c r="B78" s="77">
        <v>7.28</v>
      </c>
      <c r="C78" s="77">
        <v>14.91</v>
      </c>
      <c r="D78" s="77">
        <v>14.71</v>
      </c>
      <c r="E78" s="77">
        <v>1.43</v>
      </c>
      <c r="F78" s="77">
        <v>4.76</v>
      </c>
      <c r="G78" s="77">
        <v>22.55</v>
      </c>
      <c r="H78" s="77">
        <v>12.01</v>
      </c>
      <c r="I78" s="9" t="s">
        <v>36</v>
      </c>
      <c r="J78" s="77">
        <v>1.38</v>
      </c>
      <c r="K78" s="77">
        <v>3.28</v>
      </c>
      <c r="L78" s="77">
        <v>22.27</v>
      </c>
      <c r="M78" s="77">
        <v>97.23</v>
      </c>
      <c r="N78" s="77">
        <v>40.299999999999997</v>
      </c>
      <c r="O78" s="77">
        <v>1.6</v>
      </c>
      <c r="P78" s="77">
        <v>1.35</v>
      </c>
      <c r="Q78" s="77">
        <v>5.31</v>
      </c>
    </row>
    <row r="79" spans="1:17" s="12" customFormat="1" x14ac:dyDescent="0.25">
      <c r="A79" s="64" t="s">
        <v>1663</v>
      </c>
      <c r="B79" s="77">
        <v>7.93</v>
      </c>
      <c r="C79" s="77">
        <v>14.88</v>
      </c>
      <c r="D79" s="77">
        <v>15.22</v>
      </c>
      <c r="E79" s="77">
        <v>1.55</v>
      </c>
      <c r="F79" s="77">
        <v>3.3</v>
      </c>
      <c r="G79" s="77">
        <v>22.55</v>
      </c>
      <c r="H79" s="77">
        <v>12.01</v>
      </c>
      <c r="I79" s="9" t="s">
        <v>36</v>
      </c>
      <c r="J79" s="77">
        <v>1.29</v>
      </c>
      <c r="K79" s="77">
        <v>334.34</v>
      </c>
      <c r="L79" s="77">
        <v>21.39</v>
      </c>
      <c r="M79" s="77">
        <v>97.23</v>
      </c>
      <c r="N79" s="77">
        <v>39.9</v>
      </c>
      <c r="O79" s="77">
        <v>5.8</v>
      </c>
      <c r="P79" s="77">
        <v>1.38</v>
      </c>
      <c r="Q79" s="77">
        <v>5.03</v>
      </c>
    </row>
    <row r="80" spans="1:17" s="12" customFormat="1" x14ac:dyDescent="0.25">
      <c r="A80" s="64" t="s">
        <v>1664</v>
      </c>
      <c r="B80" s="77">
        <v>7.47</v>
      </c>
      <c r="C80" s="77">
        <v>15.7</v>
      </c>
      <c r="D80" s="77">
        <v>15.3</v>
      </c>
      <c r="E80" s="77">
        <v>1.22</v>
      </c>
      <c r="F80" s="77">
        <v>3.82</v>
      </c>
      <c r="G80" s="77">
        <v>16.010000000000002</v>
      </c>
      <c r="H80" s="77">
        <v>9.7799999999999994</v>
      </c>
      <c r="I80" s="9" t="s">
        <v>36</v>
      </c>
      <c r="J80" s="77">
        <v>0.75</v>
      </c>
      <c r="K80" s="77">
        <v>336.94</v>
      </c>
      <c r="L80" s="77">
        <v>20.82</v>
      </c>
      <c r="M80" s="77">
        <v>97.23</v>
      </c>
      <c r="N80" s="77">
        <v>38.9</v>
      </c>
      <c r="O80" s="77">
        <v>1.4</v>
      </c>
      <c r="P80" s="77">
        <v>1.34</v>
      </c>
      <c r="Q80" s="77">
        <v>4.93</v>
      </c>
    </row>
    <row r="81" spans="1:17" s="12" customFormat="1" x14ac:dyDescent="0.25">
      <c r="A81" s="64" t="s">
        <v>1665</v>
      </c>
      <c r="B81" s="77">
        <v>7.02</v>
      </c>
      <c r="C81" s="77">
        <v>15.53</v>
      </c>
      <c r="D81" s="77">
        <v>14.85</v>
      </c>
      <c r="E81" s="77">
        <v>1.8</v>
      </c>
      <c r="F81" s="77">
        <v>3.65</v>
      </c>
      <c r="G81" s="77">
        <v>15.78</v>
      </c>
      <c r="H81" s="77">
        <v>9.7799999999999994</v>
      </c>
      <c r="I81" s="9" t="s">
        <v>36</v>
      </c>
      <c r="J81" s="77">
        <v>1.34</v>
      </c>
      <c r="K81" s="77">
        <v>341.59</v>
      </c>
      <c r="L81" s="77">
        <v>20.68</v>
      </c>
      <c r="M81" s="77">
        <v>97.23</v>
      </c>
      <c r="N81" s="77">
        <v>38.5</v>
      </c>
      <c r="O81" s="77">
        <v>3</v>
      </c>
      <c r="P81" s="77">
        <v>1.32</v>
      </c>
      <c r="Q81" s="77">
        <v>6.01</v>
      </c>
    </row>
    <row r="82" spans="1:17" s="12" customFormat="1" x14ac:dyDescent="0.25">
      <c r="A82" s="64" t="s">
        <v>1666</v>
      </c>
      <c r="B82" s="77">
        <v>6.85</v>
      </c>
      <c r="C82" s="77">
        <v>15.47</v>
      </c>
      <c r="D82" s="77">
        <v>14.68</v>
      </c>
      <c r="E82" s="77">
        <v>1.64</v>
      </c>
      <c r="F82" s="77">
        <v>4.67</v>
      </c>
      <c r="G82" s="77">
        <v>15.78</v>
      </c>
      <c r="H82" s="77">
        <v>9.7799999999999994</v>
      </c>
      <c r="I82" s="9" t="s">
        <v>36</v>
      </c>
      <c r="J82" s="77">
        <v>1.02</v>
      </c>
      <c r="K82" s="77">
        <v>344.98</v>
      </c>
      <c r="L82" s="77">
        <v>20.69</v>
      </c>
      <c r="M82" s="77">
        <v>97.23</v>
      </c>
      <c r="N82" s="77">
        <v>38</v>
      </c>
      <c r="O82" s="77">
        <v>0.6</v>
      </c>
      <c r="P82" s="77">
        <v>1.29</v>
      </c>
      <c r="Q82" s="77">
        <v>5.6</v>
      </c>
    </row>
    <row r="83" spans="1:17" s="12" customFormat="1" x14ac:dyDescent="0.25">
      <c r="A83" s="64" t="s">
        <v>1667</v>
      </c>
      <c r="B83" s="77">
        <v>7.27</v>
      </c>
      <c r="C83" s="77">
        <v>15.51</v>
      </c>
      <c r="D83" s="77">
        <v>15.04</v>
      </c>
      <c r="E83" s="77">
        <v>1.41</v>
      </c>
      <c r="F83" s="77">
        <v>4.63</v>
      </c>
      <c r="G83" s="77">
        <v>15.78</v>
      </c>
      <c r="H83" s="77">
        <v>9.7799999999999994</v>
      </c>
      <c r="I83" s="9" t="s">
        <v>36</v>
      </c>
      <c r="J83" s="77">
        <v>0.51</v>
      </c>
      <c r="K83" s="77">
        <v>341.86</v>
      </c>
      <c r="L83" s="77">
        <v>20.8</v>
      </c>
      <c r="M83" s="77">
        <v>97.23</v>
      </c>
      <c r="N83" s="77">
        <v>37.4</v>
      </c>
      <c r="O83" s="77">
        <v>0.8</v>
      </c>
      <c r="P83" s="77">
        <v>1.27</v>
      </c>
      <c r="Q83" s="77">
        <v>5.95</v>
      </c>
    </row>
    <row r="84" spans="1:17" s="12" customFormat="1" x14ac:dyDescent="0.25">
      <c r="A84" s="64" t="s">
        <v>1668</v>
      </c>
      <c r="B84" s="77">
        <v>7.97</v>
      </c>
      <c r="C84" s="77">
        <v>17.760000000000002</v>
      </c>
      <c r="D84" s="77">
        <v>16.84</v>
      </c>
      <c r="E84" s="77">
        <v>1.71</v>
      </c>
      <c r="F84" s="77">
        <v>5.71</v>
      </c>
      <c r="G84" s="77">
        <v>14.36</v>
      </c>
      <c r="H84" s="77">
        <v>11.88</v>
      </c>
      <c r="I84" s="9" t="s">
        <v>36</v>
      </c>
      <c r="J84" s="77">
        <v>0.24</v>
      </c>
      <c r="K84" s="77">
        <v>327.56</v>
      </c>
      <c r="L84" s="77">
        <v>20.94</v>
      </c>
      <c r="M84" s="77">
        <v>97.23</v>
      </c>
      <c r="N84" s="77">
        <v>37.4</v>
      </c>
      <c r="O84" s="77">
        <v>0.8</v>
      </c>
      <c r="P84" s="77">
        <v>1.28</v>
      </c>
      <c r="Q84" s="77">
        <v>5.9</v>
      </c>
    </row>
    <row r="85" spans="1:17" s="12" customFormat="1" x14ac:dyDescent="0.25">
      <c r="A85" s="64" t="s">
        <v>1669</v>
      </c>
      <c r="B85" s="77">
        <v>8.7899999999999991</v>
      </c>
      <c r="C85" s="77">
        <v>20.14</v>
      </c>
      <c r="D85" s="77">
        <v>18.809999999999999</v>
      </c>
      <c r="E85" s="77">
        <v>1.35</v>
      </c>
      <c r="F85" s="77">
        <v>5.12</v>
      </c>
      <c r="G85" s="77">
        <v>14.32</v>
      </c>
      <c r="H85" s="77">
        <v>11.88</v>
      </c>
      <c r="I85" s="9" t="s">
        <v>36</v>
      </c>
      <c r="J85" s="77">
        <v>0.1</v>
      </c>
      <c r="K85" s="77">
        <v>6.69</v>
      </c>
      <c r="L85" s="77">
        <v>21</v>
      </c>
      <c r="M85" s="77">
        <v>97.23</v>
      </c>
      <c r="N85" s="77">
        <v>37.200000000000003</v>
      </c>
      <c r="O85" s="77">
        <v>0.4</v>
      </c>
      <c r="P85" s="77">
        <v>0.99</v>
      </c>
      <c r="Q85" s="77">
        <v>6.63</v>
      </c>
    </row>
    <row r="86" spans="1:17" s="12" customFormat="1" x14ac:dyDescent="0.25">
      <c r="A86" s="64" t="s">
        <v>1670</v>
      </c>
      <c r="B86" s="77">
        <v>8.44</v>
      </c>
      <c r="C86" s="77">
        <v>16.600000000000001</v>
      </c>
      <c r="D86" s="77">
        <v>16.57</v>
      </c>
      <c r="E86" s="77">
        <v>1.55</v>
      </c>
      <c r="F86" s="77">
        <v>3.44</v>
      </c>
      <c r="G86" s="77">
        <v>14.32</v>
      </c>
      <c r="H86" s="77">
        <v>11.88</v>
      </c>
      <c r="I86" s="9" t="s">
        <v>36</v>
      </c>
      <c r="J86" s="77">
        <v>0.12</v>
      </c>
      <c r="K86" s="77">
        <v>48.3</v>
      </c>
      <c r="L86" s="77">
        <v>20.9</v>
      </c>
      <c r="M86" s="77">
        <v>97.23</v>
      </c>
      <c r="N86" s="77">
        <v>37.6</v>
      </c>
      <c r="O86" s="77">
        <v>0.6</v>
      </c>
      <c r="P86" s="77">
        <v>1.31</v>
      </c>
      <c r="Q86" s="77">
        <v>6.2</v>
      </c>
    </row>
    <row r="87" spans="1:17" s="12" customFormat="1" x14ac:dyDescent="0.25">
      <c r="A87" s="64" t="s">
        <v>1671</v>
      </c>
      <c r="B87" s="77">
        <v>8.1</v>
      </c>
      <c r="C87" s="77">
        <v>15.01</v>
      </c>
      <c r="D87" s="77">
        <v>15.43</v>
      </c>
      <c r="E87" s="77">
        <v>1.54</v>
      </c>
      <c r="F87" s="77">
        <v>3.76</v>
      </c>
      <c r="G87" s="77">
        <v>14.32</v>
      </c>
      <c r="H87" s="77">
        <v>11.88</v>
      </c>
      <c r="I87" s="9" t="s">
        <v>36</v>
      </c>
      <c r="J87" s="77">
        <v>0.1</v>
      </c>
      <c r="K87" s="77">
        <v>31.8</v>
      </c>
      <c r="L87" s="77">
        <v>20.71</v>
      </c>
      <c r="M87" s="77">
        <v>97.23</v>
      </c>
      <c r="N87" s="77">
        <v>37.700000000000003</v>
      </c>
      <c r="O87" s="77">
        <v>0.2</v>
      </c>
      <c r="P87" s="77">
        <v>1.31</v>
      </c>
      <c r="Q87" s="77">
        <v>4.99</v>
      </c>
    </row>
    <row r="88" spans="1:17" s="12" customFormat="1" x14ac:dyDescent="0.25">
      <c r="A88" s="64" t="s">
        <v>1672</v>
      </c>
      <c r="B88" s="77">
        <v>7.7</v>
      </c>
      <c r="C88" s="77">
        <v>15.45</v>
      </c>
      <c r="D88" s="77">
        <v>15.35</v>
      </c>
      <c r="E88" s="77">
        <v>2.2599999999999998</v>
      </c>
      <c r="F88" s="77">
        <v>3.46</v>
      </c>
      <c r="G88" s="77">
        <v>10.58</v>
      </c>
      <c r="H88" s="77">
        <v>9.27</v>
      </c>
      <c r="I88" s="9" t="s">
        <v>36</v>
      </c>
      <c r="J88" s="77">
        <v>0.13</v>
      </c>
      <c r="K88" s="77">
        <v>31.3</v>
      </c>
      <c r="L88" s="77">
        <v>20.77</v>
      </c>
      <c r="M88" s="77">
        <v>97.23</v>
      </c>
      <c r="N88" s="77">
        <v>37.4</v>
      </c>
      <c r="O88" s="77">
        <v>0.4</v>
      </c>
      <c r="P88" s="77">
        <v>1.29</v>
      </c>
      <c r="Q88" s="77">
        <v>4.83</v>
      </c>
    </row>
    <row r="89" spans="1:17" s="12" customFormat="1" x14ac:dyDescent="0.25">
      <c r="A89" s="64" t="s">
        <v>1673</v>
      </c>
      <c r="B89" s="77">
        <v>7.27</v>
      </c>
      <c r="C89" s="77">
        <v>15.24</v>
      </c>
      <c r="D89" s="77">
        <v>14.88</v>
      </c>
      <c r="E89" s="77">
        <v>2.15</v>
      </c>
      <c r="F89" s="77">
        <v>3.48</v>
      </c>
      <c r="G89" s="77">
        <v>10.46</v>
      </c>
      <c r="H89" s="77">
        <v>9.27</v>
      </c>
      <c r="I89" s="9" t="s">
        <v>36</v>
      </c>
      <c r="J89" s="77">
        <v>0.02</v>
      </c>
      <c r="K89" s="77">
        <v>215.62</v>
      </c>
      <c r="L89" s="77">
        <v>20.84</v>
      </c>
      <c r="M89" s="77">
        <v>97.23</v>
      </c>
      <c r="N89" s="77">
        <v>37.4</v>
      </c>
      <c r="O89" s="77">
        <v>0</v>
      </c>
      <c r="P89" s="77">
        <v>1.3</v>
      </c>
      <c r="Q89" s="77">
        <v>4.8499999999999996</v>
      </c>
    </row>
    <row r="90" spans="1:17" s="12" customFormat="1" x14ac:dyDescent="0.25">
      <c r="A90" s="64" t="s">
        <v>1674</v>
      </c>
      <c r="B90" s="77">
        <v>6.84</v>
      </c>
      <c r="C90" s="77">
        <v>14.76</v>
      </c>
      <c r="D90" s="77">
        <v>14.27</v>
      </c>
      <c r="E90" s="77">
        <v>2.1800000000000002</v>
      </c>
      <c r="F90" s="77">
        <v>3.83</v>
      </c>
      <c r="G90" s="77">
        <v>10.46</v>
      </c>
      <c r="H90" s="77">
        <v>9.27</v>
      </c>
      <c r="I90" s="9" t="s">
        <v>36</v>
      </c>
      <c r="J90" s="77">
        <v>0.09</v>
      </c>
      <c r="K90" s="77">
        <v>26.76</v>
      </c>
      <c r="L90" s="77">
        <v>20.9</v>
      </c>
      <c r="M90" s="77">
        <v>97.23</v>
      </c>
      <c r="N90" s="77">
        <v>37.299999999999997</v>
      </c>
      <c r="O90" s="77">
        <v>0</v>
      </c>
      <c r="P90" s="77">
        <v>1.29</v>
      </c>
      <c r="Q90" s="77">
        <v>3.97</v>
      </c>
    </row>
    <row r="91" spans="1:17" s="12" customFormat="1" x14ac:dyDescent="0.25">
      <c r="A91" s="64" t="s">
        <v>1675</v>
      </c>
      <c r="B91" s="77">
        <v>6.67</v>
      </c>
      <c r="C91" s="77">
        <v>15.54</v>
      </c>
      <c r="D91" s="77">
        <v>14.57</v>
      </c>
      <c r="E91" s="77">
        <v>2.1800000000000002</v>
      </c>
      <c r="F91" s="77">
        <v>3.3</v>
      </c>
      <c r="G91" s="77">
        <v>10.46</v>
      </c>
      <c r="H91" s="77">
        <v>9.27</v>
      </c>
      <c r="I91" s="9" t="s">
        <v>36</v>
      </c>
      <c r="J91" s="77">
        <v>0.14000000000000001</v>
      </c>
      <c r="K91" s="77">
        <v>189.56</v>
      </c>
      <c r="L91" s="77">
        <v>20.97</v>
      </c>
      <c r="M91" s="77">
        <v>97.23</v>
      </c>
      <c r="N91" s="77">
        <v>37.200000000000003</v>
      </c>
      <c r="O91" s="77">
        <v>0.2</v>
      </c>
      <c r="P91" s="77">
        <v>1.32</v>
      </c>
      <c r="Q91" s="77">
        <v>4.25</v>
      </c>
    </row>
    <row r="92" spans="1:17" s="12" customFormat="1" x14ac:dyDescent="0.25">
      <c r="A92" s="64" t="s">
        <v>1676</v>
      </c>
      <c r="B92" s="77">
        <v>6.48</v>
      </c>
      <c r="C92" s="77">
        <v>14.66</v>
      </c>
      <c r="D92" s="77">
        <v>13.93</v>
      </c>
      <c r="E92" s="77">
        <v>2.35</v>
      </c>
      <c r="F92" s="77">
        <v>4.1100000000000003</v>
      </c>
      <c r="G92" s="213" t="s">
        <v>42</v>
      </c>
      <c r="H92" s="213" t="s">
        <v>42</v>
      </c>
      <c r="I92" s="9" t="s">
        <v>36</v>
      </c>
      <c r="J92" s="77">
        <v>0.23</v>
      </c>
      <c r="K92" s="77">
        <v>214.6</v>
      </c>
      <c r="L92" s="77">
        <v>20.97</v>
      </c>
      <c r="M92" s="77">
        <v>97.23</v>
      </c>
      <c r="N92" s="77">
        <v>37.4</v>
      </c>
      <c r="O92" s="77">
        <v>0</v>
      </c>
      <c r="P92" s="77">
        <v>1.33</v>
      </c>
      <c r="Q92" s="77">
        <v>4.24</v>
      </c>
    </row>
    <row r="93" spans="1:17" s="12" customFormat="1" x14ac:dyDescent="0.25">
      <c r="A93" s="64" t="s">
        <v>1677</v>
      </c>
      <c r="B93" s="77">
        <v>5.93</v>
      </c>
      <c r="C93" s="77">
        <v>16.84</v>
      </c>
      <c r="D93" s="77">
        <v>14.7</v>
      </c>
      <c r="E93" s="77">
        <v>2.4900000000000002</v>
      </c>
      <c r="F93" s="77">
        <v>5.9</v>
      </c>
      <c r="G93" s="213" t="s">
        <v>42</v>
      </c>
      <c r="H93" s="213" t="s">
        <v>42</v>
      </c>
      <c r="I93" s="9" t="s">
        <v>36</v>
      </c>
      <c r="J93" s="77">
        <v>0.1</v>
      </c>
      <c r="K93" s="77">
        <v>226.05</v>
      </c>
      <c r="L93" s="77">
        <v>21.05</v>
      </c>
      <c r="M93" s="77">
        <v>97.23</v>
      </c>
      <c r="N93" s="77">
        <v>37.299999999999997</v>
      </c>
      <c r="O93" s="77">
        <v>0</v>
      </c>
      <c r="P93" s="77">
        <v>1.35</v>
      </c>
      <c r="Q93" s="77">
        <v>5.58</v>
      </c>
    </row>
    <row r="94" spans="1:17" s="12" customFormat="1" x14ac:dyDescent="0.25">
      <c r="A94" s="64" t="s">
        <v>1678</v>
      </c>
      <c r="B94" s="77">
        <v>6.65</v>
      </c>
      <c r="C94" s="77">
        <v>14.71</v>
      </c>
      <c r="D94" s="77">
        <v>14.1</v>
      </c>
      <c r="E94" s="77">
        <v>2.85</v>
      </c>
      <c r="F94" s="77">
        <v>5.09</v>
      </c>
      <c r="G94" s="213" t="s">
        <v>42</v>
      </c>
      <c r="H94" s="213" t="s">
        <v>42</v>
      </c>
      <c r="I94" s="9" t="s">
        <v>36</v>
      </c>
      <c r="J94" s="77">
        <v>0.17</v>
      </c>
      <c r="K94" s="77">
        <v>30.74</v>
      </c>
      <c r="L94" s="77">
        <v>21.13</v>
      </c>
      <c r="M94" s="77">
        <v>97.23</v>
      </c>
      <c r="N94" s="77">
        <v>37.4</v>
      </c>
      <c r="O94" s="77">
        <v>0</v>
      </c>
      <c r="P94" s="77">
        <v>1.36</v>
      </c>
      <c r="Q94" s="77">
        <v>5.72</v>
      </c>
    </row>
    <row r="95" spans="1:17" s="12" customFormat="1" x14ac:dyDescent="0.25">
      <c r="A95" s="64" t="s">
        <v>1679</v>
      </c>
      <c r="B95" s="77">
        <v>7.88</v>
      </c>
      <c r="C95" s="77">
        <v>17.100000000000001</v>
      </c>
      <c r="D95" s="77">
        <v>16.399999999999999</v>
      </c>
      <c r="E95" s="77">
        <v>2.54</v>
      </c>
      <c r="F95" s="77">
        <v>5.29</v>
      </c>
      <c r="G95" s="213" t="s">
        <v>42</v>
      </c>
      <c r="H95" s="213" t="s">
        <v>42</v>
      </c>
      <c r="I95" s="9" t="s">
        <v>36</v>
      </c>
      <c r="J95" s="77">
        <v>0.18</v>
      </c>
      <c r="K95" s="77">
        <v>26</v>
      </c>
      <c r="L95" s="77">
        <v>21.27</v>
      </c>
      <c r="M95" s="77">
        <v>97.23</v>
      </c>
      <c r="N95" s="77">
        <v>37.4</v>
      </c>
      <c r="O95" s="77">
        <v>0</v>
      </c>
      <c r="P95" s="77">
        <v>1.35</v>
      </c>
      <c r="Q95" s="77">
        <v>6.27</v>
      </c>
    </row>
    <row r="96" spans="1:17" s="12" customFormat="1" x14ac:dyDescent="0.25">
      <c r="A96" s="64" t="s">
        <v>1680</v>
      </c>
      <c r="B96" s="77">
        <v>7.15</v>
      </c>
      <c r="C96" s="77">
        <v>13.93</v>
      </c>
      <c r="D96" s="77">
        <v>14.07</v>
      </c>
      <c r="E96" s="77">
        <v>2.46</v>
      </c>
      <c r="F96" s="77">
        <v>4.79</v>
      </c>
      <c r="G96" s="213" t="s">
        <v>42</v>
      </c>
      <c r="H96" s="213" t="s">
        <v>42</v>
      </c>
      <c r="I96" s="9" t="s">
        <v>36</v>
      </c>
      <c r="J96" s="77">
        <v>0.25</v>
      </c>
      <c r="K96" s="77">
        <v>35.69</v>
      </c>
      <c r="L96" s="77">
        <v>21.27</v>
      </c>
      <c r="M96" s="77">
        <v>97.23</v>
      </c>
      <c r="N96" s="77">
        <v>37.6</v>
      </c>
      <c r="O96" s="77">
        <v>0</v>
      </c>
      <c r="P96" s="77">
        <v>1.34</v>
      </c>
      <c r="Q96" s="77">
        <v>6.09</v>
      </c>
    </row>
    <row r="97" spans="1:22" s="12" customFormat="1" x14ac:dyDescent="0.25">
      <c r="A97" s="64" t="s">
        <v>1681</v>
      </c>
      <c r="B97" s="77">
        <v>6.91</v>
      </c>
      <c r="C97" s="77">
        <v>16</v>
      </c>
      <c r="D97" s="77">
        <v>15.02</v>
      </c>
      <c r="E97" s="77">
        <v>2.85</v>
      </c>
      <c r="F97" s="77">
        <v>3.41</v>
      </c>
      <c r="G97" s="213" t="s">
        <v>42</v>
      </c>
      <c r="H97" s="213" t="s">
        <v>42</v>
      </c>
      <c r="I97" s="9" t="s">
        <v>36</v>
      </c>
      <c r="J97" s="77">
        <v>0.26</v>
      </c>
      <c r="K97" s="77">
        <v>39.299999999999997</v>
      </c>
      <c r="L97" s="77">
        <v>21.28</v>
      </c>
      <c r="M97" s="77">
        <v>97.23</v>
      </c>
      <c r="N97" s="77">
        <v>37.5</v>
      </c>
      <c r="O97" s="77">
        <v>0</v>
      </c>
      <c r="P97" s="77">
        <v>1.3</v>
      </c>
      <c r="Q97" s="77">
        <v>6.91</v>
      </c>
    </row>
    <row r="98" spans="1:22" s="12" customFormat="1" x14ac:dyDescent="0.25">
      <c r="A98" s="64" t="s">
        <v>1682</v>
      </c>
      <c r="B98" s="77">
        <v>6.23</v>
      </c>
      <c r="C98" s="77">
        <v>15.5</v>
      </c>
      <c r="D98" s="77">
        <v>14.19</v>
      </c>
      <c r="E98" s="77">
        <v>2.3199999999999998</v>
      </c>
      <c r="F98" s="77">
        <v>3.62</v>
      </c>
      <c r="G98" s="213" t="s">
        <v>42</v>
      </c>
      <c r="H98" s="213" t="s">
        <v>42</v>
      </c>
      <c r="I98" s="9" t="s">
        <v>36</v>
      </c>
      <c r="J98" s="77">
        <v>0.28000000000000003</v>
      </c>
      <c r="K98" s="77">
        <v>27.76</v>
      </c>
      <c r="L98" s="77">
        <v>21.36</v>
      </c>
      <c r="M98" s="77">
        <v>97.23</v>
      </c>
      <c r="N98" s="77">
        <v>37.200000000000003</v>
      </c>
      <c r="O98" s="77">
        <v>0</v>
      </c>
      <c r="P98" s="77">
        <v>1.29</v>
      </c>
      <c r="Q98" s="77">
        <v>4.8</v>
      </c>
    </row>
    <row r="99" spans="1:22" s="12" customFormat="1" x14ac:dyDescent="0.25">
      <c r="A99" s="64" t="s">
        <v>1683</v>
      </c>
      <c r="B99" s="77">
        <v>5.58</v>
      </c>
      <c r="C99" s="77">
        <v>15.65</v>
      </c>
      <c r="D99" s="77">
        <v>13.76</v>
      </c>
      <c r="E99" s="77">
        <v>2.02</v>
      </c>
      <c r="F99" s="77">
        <v>4.4000000000000004</v>
      </c>
      <c r="G99" s="213" t="s">
        <v>42</v>
      </c>
      <c r="H99" s="213" t="s">
        <v>42</v>
      </c>
      <c r="I99" s="9" t="s">
        <v>36</v>
      </c>
      <c r="J99" s="77">
        <v>0.21</v>
      </c>
      <c r="K99" s="77">
        <v>38.49</v>
      </c>
      <c r="L99" s="77">
        <v>21.43</v>
      </c>
      <c r="M99" s="77">
        <v>97.23</v>
      </c>
      <c r="N99" s="77">
        <v>37.200000000000003</v>
      </c>
      <c r="O99" s="77">
        <v>0</v>
      </c>
      <c r="P99" s="77">
        <v>1.26</v>
      </c>
      <c r="Q99" s="77">
        <v>4.6900000000000004</v>
      </c>
    </row>
    <row r="100" spans="1:22" s="12" customFormat="1" x14ac:dyDescent="0.25">
      <c r="A100" s="64" t="s">
        <v>1684</v>
      </c>
      <c r="B100" s="77">
        <v>5.21</v>
      </c>
      <c r="C100" s="77">
        <v>14.99</v>
      </c>
      <c r="D100" s="77">
        <v>13.1</v>
      </c>
      <c r="E100" s="77">
        <v>2.36</v>
      </c>
      <c r="F100" s="77">
        <v>4.1399999999999997</v>
      </c>
      <c r="G100" s="213" t="s">
        <v>42</v>
      </c>
      <c r="H100" s="213" t="s">
        <v>42</v>
      </c>
      <c r="I100" s="9" t="s">
        <v>36</v>
      </c>
      <c r="J100" s="77">
        <v>0.25</v>
      </c>
      <c r="K100" s="77">
        <v>26.88</v>
      </c>
      <c r="L100" s="77">
        <v>21.46</v>
      </c>
      <c r="M100" s="77">
        <v>97.23</v>
      </c>
      <c r="N100" s="77">
        <v>37.299999999999997</v>
      </c>
      <c r="O100" s="77">
        <v>0.2</v>
      </c>
      <c r="P100" s="77">
        <v>1.23</v>
      </c>
      <c r="Q100" s="77">
        <v>3.82</v>
      </c>
    </row>
    <row r="101" spans="1:22" s="12" customFormat="1" x14ac:dyDescent="0.25">
      <c r="A101" s="64" t="s">
        <v>1685</v>
      </c>
      <c r="B101" s="77">
        <v>4.88</v>
      </c>
      <c r="C101" s="77">
        <v>15.14</v>
      </c>
      <c r="D101" s="77">
        <v>12.92</v>
      </c>
      <c r="E101" s="77">
        <v>2.63</v>
      </c>
      <c r="F101" s="77">
        <v>3.73</v>
      </c>
      <c r="G101" s="213" t="s">
        <v>42</v>
      </c>
      <c r="H101" s="213" t="s">
        <v>42</v>
      </c>
      <c r="I101" s="9" t="s">
        <v>36</v>
      </c>
      <c r="J101" s="77">
        <v>0.2</v>
      </c>
      <c r="K101" s="77">
        <v>28.5</v>
      </c>
      <c r="L101" s="77">
        <v>21.51</v>
      </c>
      <c r="M101" s="77">
        <v>97.23</v>
      </c>
      <c r="N101" s="77">
        <v>37.200000000000003</v>
      </c>
      <c r="O101" s="77">
        <v>0</v>
      </c>
      <c r="P101" s="77">
        <v>1.2</v>
      </c>
      <c r="Q101" s="77">
        <v>3.27</v>
      </c>
    </row>
    <row r="102" spans="1:22" s="12" customFormat="1" x14ac:dyDescent="0.25">
      <c r="A102" s="64" t="s">
        <v>1686</v>
      </c>
      <c r="B102" s="77">
        <v>4.6900000000000004</v>
      </c>
      <c r="C102" s="77">
        <v>15.03</v>
      </c>
      <c r="D102" s="77">
        <v>12.7</v>
      </c>
      <c r="E102" s="77">
        <v>2.04</v>
      </c>
      <c r="F102" s="77">
        <v>3.52</v>
      </c>
      <c r="G102" s="213" t="s">
        <v>42</v>
      </c>
      <c r="H102" s="213" t="s">
        <v>42</v>
      </c>
      <c r="I102" s="9" t="s">
        <v>36</v>
      </c>
      <c r="J102" s="77">
        <v>0.19</v>
      </c>
      <c r="K102" s="77">
        <v>27.38</v>
      </c>
      <c r="L102" s="77">
        <v>21.55</v>
      </c>
      <c r="M102" s="77">
        <v>97.23</v>
      </c>
      <c r="N102" s="77">
        <v>37.299999999999997</v>
      </c>
      <c r="O102" s="77">
        <v>0</v>
      </c>
      <c r="P102" s="77">
        <v>1.2</v>
      </c>
      <c r="Q102" s="77">
        <v>3.29</v>
      </c>
    </row>
    <row r="103" spans="1:22" s="12" customFormat="1" x14ac:dyDescent="0.25">
      <c r="A103" s="64" t="s">
        <v>1687</v>
      </c>
      <c r="B103" s="77">
        <v>4.96</v>
      </c>
      <c r="C103" s="77">
        <v>15.84</v>
      </c>
      <c r="D103" s="77">
        <v>13.36</v>
      </c>
      <c r="E103" s="77">
        <v>2.2200000000000002</v>
      </c>
      <c r="F103" s="77">
        <v>3.61</v>
      </c>
      <c r="G103" s="213" t="s">
        <v>42</v>
      </c>
      <c r="H103" s="213" t="s">
        <v>42</v>
      </c>
      <c r="I103" s="9" t="s">
        <v>36</v>
      </c>
      <c r="J103" s="77">
        <v>0.1</v>
      </c>
      <c r="K103" s="77">
        <v>5.96</v>
      </c>
      <c r="L103" s="77">
        <v>21.52</v>
      </c>
      <c r="M103" s="77">
        <v>97.23</v>
      </c>
      <c r="N103" s="77">
        <v>37.299999999999997</v>
      </c>
      <c r="O103" s="77">
        <v>0</v>
      </c>
      <c r="P103" s="77">
        <v>1.21</v>
      </c>
      <c r="Q103" s="77">
        <v>3.2</v>
      </c>
    </row>
    <row r="104" spans="1:22" s="12" customFormat="1" x14ac:dyDescent="0.25">
      <c r="A104" s="64" t="s">
        <v>1688</v>
      </c>
      <c r="B104" s="77">
        <v>4.7300000000000004</v>
      </c>
      <c r="C104" s="77">
        <v>17.760000000000002</v>
      </c>
      <c r="D104" s="77">
        <v>14.24</v>
      </c>
      <c r="E104" s="77">
        <v>1.82</v>
      </c>
      <c r="F104" s="77">
        <v>7.14</v>
      </c>
      <c r="G104" s="213" t="s">
        <v>42</v>
      </c>
      <c r="H104" s="213" t="s">
        <v>42</v>
      </c>
      <c r="I104" s="9" t="s">
        <v>36</v>
      </c>
      <c r="J104" s="77">
        <v>7.0000000000000007E-2</v>
      </c>
      <c r="K104" s="77">
        <v>13.27</v>
      </c>
      <c r="L104" s="77">
        <v>21.48</v>
      </c>
      <c r="M104" s="77">
        <v>97.23</v>
      </c>
      <c r="N104" s="77">
        <v>37.200000000000003</v>
      </c>
      <c r="O104" s="77">
        <v>0</v>
      </c>
      <c r="P104" s="77">
        <v>1.22</v>
      </c>
      <c r="Q104" s="77">
        <v>3.86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2.68</v>
      </c>
      <c r="C106" s="67">
        <f>MIN(C9:C104)</f>
        <v>12.32</v>
      </c>
      <c r="D106" s="67">
        <f t="shared" ref="D106:Q106" si="0">MIN(D9:D104)</f>
        <v>9.68</v>
      </c>
      <c r="E106" s="67">
        <f t="shared" si="0"/>
        <v>1.04</v>
      </c>
      <c r="F106" s="67">
        <f t="shared" si="0"/>
        <v>2.08</v>
      </c>
      <c r="G106" s="67">
        <f t="shared" si="0"/>
        <v>10.46</v>
      </c>
      <c r="H106" s="67">
        <f t="shared" si="0"/>
        <v>8.51</v>
      </c>
      <c r="I106" s="67">
        <f t="shared" si="0"/>
        <v>0</v>
      </c>
      <c r="J106" s="67">
        <f t="shared" si="0"/>
        <v>0.01</v>
      </c>
      <c r="K106" s="67">
        <f t="shared" si="0"/>
        <v>2.54</v>
      </c>
      <c r="L106" s="67">
        <f t="shared" si="0"/>
        <v>20.68</v>
      </c>
      <c r="M106" s="67">
        <f t="shared" si="0"/>
        <v>63.27</v>
      </c>
      <c r="N106" s="67">
        <f t="shared" si="0"/>
        <v>37.200000000000003</v>
      </c>
      <c r="O106" s="67">
        <f t="shared" si="0"/>
        <v>0</v>
      </c>
      <c r="P106" s="67">
        <f t="shared" si="0"/>
        <v>0.86</v>
      </c>
      <c r="Q106" s="67">
        <f t="shared" si="0"/>
        <v>0.37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12.63</v>
      </c>
      <c r="C107" s="66">
        <f t="shared" ref="C107:Q107" si="1">MAX(C9:C104)</f>
        <v>29.44</v>
      </c>
      <c r="D107" s="66">
        <f t="shared" si="1"/>
        <v>27.02</v>
      </c>
      <c r="E107" s="66">
        <f t="shared" si="1"/>
        <v>3.13</v>
      </c>
      <c r="F107" s="66">
        <f t="shared" si="1"/>
        <v>11.04</v>
      </c>
      <c r="G107" s="66">
        <f t="shared" si="1"/>
        <v>54.87</v>
      </c>
      <c r="H107" s="66">
        <f t="shared" si="1"/>
        <v>18.579999999999998</v>
      </c>
      <c r="I107" s="66">
        <f t="shared" si="1"/>
        <v>0</v>
      </c>
      <c r="J107" s="66">
        <f t="shared" si="1"/>
        <v>1.38</v>
      </c>
      <c r="K107" s="66">
        <f t="shared" si="1"/>
        <v>359.41</v>
      </c>
      <c r="L107" s="66">
        <f t="shared" si="1"/>
        <v>29.89</v>
      </c>
      <c r="M107" s="66">
        <f t="shared" si="1"/>
        <v>97.23</v>
      </c>
      <c r="N107" s="66">
        <f t="shared" si="1"/>
        <v>972.6</v>
      </c>
      <c r="O107" s="66">
        <f t="shared" si="1"/>
        <v>5.8</v>
      </c>
      <c r="P107" s="66">
        <f t="shared" si="1"/>
        <v>1.76</v>
      </c>
      <c r="Q107" s="66">
        <f t="shared" si="1"/>
        <v>7.19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4.9894791666666665</v>
      </c>
      <c r="C108" s="67">
        <f t="shared" ref="C108:Q108" si="2">AVERAGE(C9:C104)</f>
        <v>15.897395833333336</v>
      </c>
      <c r="D108" s="67">
        <f t="shared" si="2"/>
        <v>13.421145833333332</v>
      </c>
      <c r="E108" s="67">
        <f t="shared" si="2"/>
        <v>2.066666666666666</v>
      </c>
      <c r="F108" s="67">
        <f t="shared" si="2"/>
        <v>5.3382291666666672</v>
      </c>
      <c r="G108" s="67">
        <f t="shared" si="2"/>
        <v>29.52915662650604</v>
      </c>
      <c r="H108" s="67">
        <f t="shared" si="2"/>
        <v>12.567831325301206</v>
      </c>
      <c r="I108" s="9" t="s">
        <v>36</v>
      </c>
      <c r="J108" s="67">
        <f t="shared" si="2"/>
        <v>0.24072916666666677</v>
      </c>
      <c r="K108" s="67">
        <f t="shared" si="2"/>
        <v>88.72562499999998</v>
      </c>
      <c r="L108" s="67">
        <f t="shared" si="2"/>
        <v>23.682604166666678</v>
      </c>
      <c r="M108" s="67">
        <f t="shared" si="2"/>
        <v>89.996354166666535</v>
      </c>
      <c r="N108" s="67">
        <f t="shared" si="2"/>
        <v>149.65</v>
      </c>
      <c r="O108" s="67">
        <f t="shared" si="2"/>
        <v>0.25416666666666665</v>
      </c>
      <c r="P108" s="67">
        <f t="shared" si="2"/>
        <v>1.1704166666666664</v>
      </c>
      <c r="Q108" s="67">
        <f t="shared" si="2"/>
        <v>3.9549999999999996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1.8018554003504084</v>
      </c>
      <c r="C109" s="67">
        <f t="shared" ref="C109:Q109" si="3">STDEV(C9:C104)</f>
        <v>3.1983253001965108</v>
      </c>
      <c r="D109" s="67">
        <f t="shared" si="3"/>
        <v>2.6865590866156821</v>
      </c>
      <c r="E109" s="67">
        <f t="shared" si="3"/>
        <v>0.43071951226478722</v>
      </c>
      <c r="F109" s="67">
        <f t="shared" si="3"/>
        <v>1.7693459956133437</v>
      </c>
      <c r="G109" s="67">
        <f t="shared" si="3"/>
        <v>10.561420729079586</v>
      </c>
      <c r="H109" s="67">
        <f t="shared" si="3"/>
        <v>2.6511258759678262</v>
      </c>
      <c r="I109" s="9" t="s">
        <v>36</v>
      </c>
      <c r="J109" s="67">
        <f t="shared" si="3"/>
        <v>0.2589502890382292</v>
      </c>
      <c r="K109" s="67">
        <f t="shared" si="3"/>
        <v>108.08507347954641</v>
      </c>
      <c r="L109" s="67">
        <f t="shared" si="3"/>
        <v>2.2646060397673762</v>
      </c>
      <c r="M109" s="67">
        <f t="shared" si="3"/>
        <v>8.6117959640180235</v>
      </c>
      <c r="N109" s="67">
        <f t="shared" si="3"/>
        <v>213.94664509491238</v>
      </c>
      <c r="O109" s="67">
        <f t="shared" si="3"/>
        <v>0.71875867653039094</v>
      </c>
      <c r="P109" s="67">
        <f t="shared" si="3"/>
        <v>0.2246724711624592</v>
      </c>
      <c r="Q109" s="67">
        <f t="shared" si="3"/>
        <v>1.6783670008295821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COUNT(G9:G104)+13</f>
        <v>96</v>
      </c>
      <c r="H110" s="66">
        <f>COUNT(H9:H104)+13</f>
        <v>96</v>
      </c>
      <c r="I110" s="66"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9" activePane="bottomRight" state="frozen"/>
      <selection activeCell="B115" sqref="B115:D115"/>
      <selection pane="topRight" activeCell="B115" sqref="B115:D115"/>
      <selection pane="bottomLeft" activeCell="B115" sqref="B115:D115"/>
      <selection pane="bottomRight" activeCell="B115" sqref="B115:D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1689</v>
      </c>
      <c r="B9" s="77">
        <v>4.68</v>
      </c>
      <c r="C9" s="77">
        <v>18.329999999999998</v>
      </c>
      <c r="D9" s="77">
        <v>14.52</v>
      </c>
      <c r="E9" s="77">
        <v>2.06</v>
      </c>
      <c r="F9" s="77">
        <v>7.92</v>
      </c>
      <c r="G9" s="77">
        <v>8.1300000000000008</v>
      </c>
      <c r="H9" s="77">
        <v>6.91</v>
      </c>
      <c r="I9" s="9" t="s">
        <v>36</v>
      </c>
      <c r="J9" s="77">
        <v>0.21</v>
      </c>
      <c r="K9" s="77">
        <v>358.72</v>
      </c>
      <c r="L9" s="77">
        <v>21.64</v>
      </c>
      <c r="M9" s="77">
        <v>97.23</v>
      </c>
      <c r="N9" s="77">
        <v>37.200000000000003</v>
      </c>
      <c r="O9" s="77">
        <v>0</v>
      </c>
      <c r="P9" s="77">
        <v>1.24</v>
      </c>
      <c r="Q9" s="77">
        <v>5.35</v>
      </c>
    </row>
    <row r="10" spans="1:21" s="12" customFormat="1" x14ac:dyDescent="0.25">
      <c r="A10" s="64" t="s">
        <v>1690</v>
      </c>
      <c r="B10" s="77">
        <v>5.54</v>
      </c>
      <c r="C10" s="77">
        <v>15.5</v>
      </c>
      <c r="D10" s="77">
        <v>13.64</v>
      </c>
      <c r="E10" s="77">
        <v>2.16</v>
      </c>
      <c r="F10" s="77">
        <v>6.52</v>
      </c>
      <c r="G10" s="77">
        <v>8.1300000000000008</v>
      </c>
      <c r="H10" s="77">
        <v>6.91</v>
      </c>
      <c r="I10" s="9" t="s">
        <v>36</v>
      </c>
      <c r="J10" s="77">
        <v>0.23</v>
      </c>
      <c r="K10" s="77">
        <v>6.61</v>
      </c>
      <c r="L10" s="77">
        <v>21.7</v>
      </c>
      <c r="M10" s="77">
        <v>97.23</v>
      </c>
      <c r="N10" s="77">
        <v>37.200000000000003</v>
      </c>
      <c r="O10" s="77">
        <v>0</v>
      </c>
      <c r="P10" s="77">
        <v>1.24</v>
      </c>
      <c r="Q10" s="77">
        <v>5.81</v>
      </c>
    </row>
    <row r="11" spans="1:21" s="12" customFormat="1" x14ac:dyDescent="0.25">
      <c r="A11" s="64" t="s">
        <v>1691</v>
      </c>
      <c r="B11" s="77">
        <v>5.47</v>
      </c>
      <c r="C11" s="77">
        <v>14.56</v>
      </c>
      <c r="D11" s="77">
        <v>13.07</v>
      </c>
      <c r="E11" s="77">
        <v>2.17</v>
      </c>
      <c r="F11" s="77">
        <v>6.63</v>
      </c>
      <c r="G11" s="77">
        <v>8.1300000000000008</v>
      </c>
      <c r="H11" s="77">
        <v>6.91</v>
      </c>
      <c r="I11" s="9" t="s">
        <v>36</v>
      </c>
      <c r="J11" s="77">
        <v>0.23</v>
      </c>
      <c r="K11" s="77">
        <v>25.86</v>
      </c>
      <c r="L11" s="77">
        <v>21.83</v>
      </c>
      <c r="M11" s="77">
        <v>97.23</v>
      </c>
      <c r="N11" s="77">
        <v>37.1</v>
      </c>
      <c r="O11" s="77">
        <v>0</v>
      </c>
      <c r="P11" s="77">
        <v>1.24</v>
      </c>
      <c r="Q11" s="77">
        <v>5.52</v>
      </c>
    </row>
    <row r="12" spans="1:21" s="12" customFormat="1" x14ac:dyDescent="0.25">
      <c r="A12" s="64" t="s">
        <v>1692</v>
      </c>
      <c r="B12" s="77">
        <v>5.8</v>
      </c>
      <c r="C12" s="77">
        <v>13.57</v>
      </c>
      <c r="D12" s="77">
        <v>12.78</v>
      </c>
      <c r="E12" s="77">
        <v>1.92</v>
      </c>
      <c r="F12" s="77">
        <v>5.36</v>
      </c>
      <c r="G12" s="77">
        <v>10.93</v>
      </c>
      <c r="H12" s="77">
        <v>7.72</v>
      </c>
      <c r="I12" s="9" t="s">
        <v>36</v>
      </c>
      <c r="J12" s="77">
        <v>0.21</v>
      </c>
      <c r="K12" s="77">
        <v>23.65</v>
      </c>
      <c r="L12" s="77">
        <v>21.83</v>
      </c>
      <c r="M12" s="77">
        <v>97.23</v>
      </c>
      <c r="N12" s="77">
        <v>37.200000000000003</v>
      </c>
      <c r="O12" s="77">
        <v>0</v>
      </c>
      <c r="P12" s="77">
        <v>1.23</v>
      </c>
      <c r="Q12" s="77">
        <v>6.28</v>
      </c>
    </row>
    <row r="13" spans="1:21" s="12" customFormat="1" x14ac:dyDescent="0.25">
      <c r="A13" s="64" t="s">
        <v>1693</v>
      </c>
      <c r="B13" s="77">
        <v>5.87</v>
      </c>
      <c r="C13" s="77">
        <v>14.81</v>
      </c>
      <c r="D13" s="77">
        <v>13.53</v>
      </c>
      <c r="E13" s="77">
        <v>2.0499999999999998</v>
      </c>
      <c r="F13" s="77">
        <v>2.91</v>
      </c>
      <c r="G13" s="77">
        <v>11.03</v>
      </c>
      <c r="H13" s="77">
        <v>7.72</v>
      </c>
      <c r="I13" s="9" t="s">
        <v>36</v>
      </c>
      <c r="J13" s="77">
        <v>0.17</v>
      </c>
      <c r="K13" s="77">
        <v>25.05</v>
      </c>
      <c r="L13" s="77">
        <v>21.91</v>
      </c>
      <c r="M13" s="77">
        <v>97.23</v>
      </c>
      <c r="N13" s="77">
        <v>37.200000000000003</v>
      </c>
      <c r="O13" s="77">
        <v>0</v>
      </c>
      <c r="P13" s="77">
        <v>0.95</v>
      </c>
      <c r="Q13" s="77">
        <v>6.06</v>
      </c>
    </row>
    <row r="14" spans="1:21" s="12" customFormat="1" x14ac:dyDescent="0.25">
      <c r="A14" s="64" t="s">
        <v>1694</v>
      </c>
      <c r="B14" s="77">
        <v>5.63</v>
      </c>
      <c r="C14" s="77">
        <v>13.53</v>
      </c>
      <c r="D14" s="77">
        <v>12.62</v>
      </c>
      <c r="E14" s="77">
        <v>2.06</v>
      </c>
      <c r="F14" s="77">
        <v>3.48</v>
      </c>
      <c r="G14" s="77">
        <v>11.03</v>
      </c>
      <c r="H14" s="77">
        <v>7.72</v>
      </c>
      <c r="I14" s="9" t="s">
        <v>36</v>
      </c>
      <c r="J14" s="77">
        <v>0.13</v>
      </c>
      <c r="K14" s="77">
        <v>36.71</v>
      </c>
      <c r="L14" s="77">
        <v>21.86</v>
      </c>
      <c r="M14" s="77">
        <v>97.23</v>
      </c>
      <c r="N14" s="77">
        <v>37.299999999999997</v>
      </c>
      <c r="O14" s="77">
        <v>0</v>
      </c>
      <c r="P14" s="77">
        <v>1.2</v>
      </c>
      <c r="Q14" s="77">
        <v>3.66</v>
      </c>
    </row>
    <row r="15" spans="1:21" s="12" customFormat="1" x14ac:dyDescent="0.25">
      <c r="A15" s="64" t="s">
        <v>1695</v>
      </c>
      <c r="B15" s="77">
        <v>5.49</v>
      </c>
      <c r="C15" s="77">
        <v>13.56</v>
      </c>
      <c r="D15" s="77">
        <v>12.53</v>
      </c>
      <c r="E15" s="77">
        <v>2.0499999999999998</v>
      </c>
      <c r="F15" s="77">
        <v>3.28</v>
      </c>
      <c r="G15" s="77">
        <v>11.03</v>
      </c>
      <c r="H15" s="77">
        <v>7.72</v>
      </c>
      <c r="I15" s="9" t="s">
        <v>36</v>
      </c>
      <c r="J15" s="77">
        <v>0.13</v>
      </c>
      <c r="K15" s="77">
        <v>22.23</v>
      </c>
      <c r="L15" s="77">
        <v>21.76</v>
      </c>
      <c r="M15" s="77">
        <v>97.23</v>
      </c>
      <c r="N15" s="77">
        <v>37.4</v>
      </c>
      <c r="O15" s="77">
        <v>0</v>
      </c>
      <c r="P15" s="77">
        <v>1.18</v>
      </c>
      <c r="Q15" s="77">
        <v>4</v>
      </c>
    </row>
    <row r="16" spans="1:21" s="12" customFormat="1" x14ac:dyDescent="0.25">
      <c r="A16" s="64" t="s">
        <v>1696</v>
      </c>
      <c r="B16" s="77">
        <v>5.34</v>
      </c>
      <c r="C16" s="77">
        <v>13.15</v>
      </c>
      <c r="D16" s="77">
        <v>12.18</v>
      </c>
      <c r="E16" s="77">
        <v>2.06</v>
      </c>
      <c r="F16" s="77">
        <v>3.95</v>
      </c>
      <c r="G16" s="77">
        <v>13.22</v>
      </c>
      <c r="H16" s="77">
        <v>6.55</v>
      </c>
      <c r="I16" s="9" t="s">
        <v>36</v>
      </c>
      <c r="J16" s="77">
        <v>0.05</v>
      </c>
      <c r="K16" s="77">
        <v>31.95</v>
      </c>
      <c r="L16" s="77">
        <v>21.71</v>
      </c>
      <c r="M16" s="77">
        <v>97.23</v>
      </c>
      <c r="N16" s="77">
        <v>37.299999999999997</v>
      </c>
      <c r="O16" s="77">
        <v>0</v>
      </c>
      <c r="P16" s="77">
        <v>1.2</v>
      </c>
      <c r="Q16" s="77">
        <v>3.46</v>
      </c>
    </row>
    <row r="17" spans="1:17" s="12" customFormat="1" x14ac:dyDescent="0.25">
      <c r="A17" s="64" t="s">
        <v>1697</v>
      </c>
      <c r="B17" s="77">
        <v>5.25</v>
      </c>
      <c r="C17" s="77">
        <v>13.84</v>
      </c>
      <c r="D17" s="77">
        <v>12.49</v>
      </c>
      <c r="E17" s="77">
        <v>2.16</v>
      </c>
      <c r="F17" s="77">
        <v>3.36</v>
      </c>
      <c r="G17" s="77">
        <v>13.29</v>
      </c>
      <c r="H17" s="77">
        <v>6.55</v>
      </c>
      <c r="I17" s="9" t="s">
        <v>36</v>
      </c>
      <c r="J17" s="77">
        <v>0.1</v>
      </c>
      <c r="K17" s="77">
        <v>37.44</v>
      </c>
      <c r="L17" s="77">
        <v>21.71</v>
      </c>
      <c r="M17" s="77">
        <v>97.23</v>
      </c>
      <c r="N17" s="77">
        <v>37.299999999999997</v>
      </c>
      <c r="O17" s="77">
        <v>0</v>
      </c>
      <c r="P17" s="77">
        <v>1.22</v>
      </c>
      <c r="Q17" s="77">
        <v>3.56</v>
      </c>
    </row>
    <row r="18" spans="1:17" s="12" customFormat="1" x14ac:dyDescent="0.25">
      <c r="A18" s="64" t="s">
        <v>1698</v>
      </c>
      <c r="B18" s="77">
        <v>5.04</v>
      </c>
      <c r="C18" s="77">
        <v>13.25</v>
      </c>
      <c r="D18" s="77">
        <v>12</v>
      </c>
      <c r="E18" s="77">
        <v>1.73</v>
      </c>
      <c r="F18" s="77">
        <v>3.56</v>
      </c>
      <c r="G18" s="77">
        <v>13.29</v>
      </c>
      <c r="H18" s="77">
        <v>6.55</v>
      </c>
      <c r="I18" s="9" t="s">
        <v>36</v>
      </c>
      <c r="J18" s="77">
        <v>0.14000000000000001</v>
      </c>
      <c r="K18" s="77">
        <v>37.97</v>
      </c>
      <c r="L18" s="77">
        <v>21.71</v>
      </c>
      <c r="M18" s="77">
        <v>97.23</v>
      </c>
      <c r="N18" s="77">
        <v>37.4</v>
      </c>
      <c r="O18" s="77">
        <v>0</v>
      </c>
      <c r="P18" s="77">
        <v>1.22</v>
      </c>
      <c r="Q18" s="77">
        <v>3.25</v>
      </c>
    </row>
    <row r="19" spans="1:17" s="12" customFormat="1" x14ac:dyDescent="0.25">
      <c r="A19" s="64" t="s">
        <v>1699</v>
      </c>
      <c r="B19" s="77">
        <v>4.75</v>
      </c>
      <c r="C19" s="77">
        <v>13.48</v>
      </c>
      <c r="D19" s="77">
        <v>11.9</v>
      </c>
      <c r="E19" s="77">
        <v>1.95</v>
      </c>
      <c r="F19" s="77">
        <v>3.58</v>
      </c>
      <c r="G19" s="77">
        <v>13.29</v>
      </c>
      <c r="H19" s="77">
        <v>6.55</v>
      </c>
      <c r="I19" s="9" t="s">
        <v>36</v>
      </c>
      <c r="J19" s="77">
        <v>0.15</v>
      </c>
      <c r="K19" s="77">
        <v>32.58</v>
      </c>
      <c r="L19" s="77">
        <v>21.68</v>
      </c>
      <c r="M19" s="77">
        <v>97.23</v>
      </c>
      <c r="N19" s="77">
        <v>37.5</v>
      </c>
      <c r="O19" s="77">
        <v>0</v>
      </c>
      <c r="P19" s="77">
        <v>1.19</v>
      </c>
      <c r="Q19" s="77">
        <v>3.59</v>
      </c>
    </row>
    <row r="20" spans="1:17" s="12" customFormat="1" x14ac:dyDescent="0.25">
      <c r="A20" s="64" t="s">
        <v>1700</v>
      </c>
      <c r="B20" s="77">
        <v>4.26</v>
      </c>
      <c r="C20" s="77">
        <v>13.1</v>
      </c>
      <c r="D20" s="77">
        <v>11.29</v>
      </c>
      <c r="E20" s="77">
        <v>2.23</v>
      </c>
      <c r="F20" s="77">
        <v>6.84</v>
      </c>
      <c r="G20" s="77">
        <v>11.01</v>
      </c>
      <c r="H20" s="77">
        <v>10.84</v>
      </c>
      <c r="I20" s="9" t="s">
        <v>36</v>
      </c>
      <c r="J20" s="77">
        <v>0.14000000000000001</v>
      </c>
      <c r="K20" s="77">
        <v>26.34</v>
      </c>
      <c r="L20" s="77">
        <v>21.75</v>
      </c>
      <c r="M20" s="77">
        <v>97.23</v>
      </c>
      <c r="N20" s="77">
        <v>37.4</v>
      </c>
      <c r="O20" s="77">
        <v>0</v>
      </c>
      <c r="P20" s="77">
        <v>1.17</v>
      </c>
      <c r="Q20" s="77">
        <v>4.78</v>
      </c>
    </row>
    <row r="21" spans="1:17" s="12" customFormat="1" x14ac:dyDescent="0.25">
      <c r="A21" s="64" t="s">
        <v>1701</v>
      </c>
      <c r="B21" s="77">
        <v>4.38</v>
      </c>
      <c r="C21" s="77">
        <v>12.58</v>
      </c>
      <c r="D21" s="77">
        <v>11.11</v>
      </c>
      <c r="E21" s="77">
        <v>2.29</v>
      </c>
      <c r="F21" s="77">
        <v>5.2</v>
      </c>
      <c r="G21" s="77">
        <v>10.93</v>
      </c>
      <c r="H21" s="77">
        <v>10.84</v>
      </c>
      <c r="I21" s="9" t="s">
        <v>36</v>
      </c>
      <c r="J21" s="77">
        <v>0.16</v>
      </c>
      <c r="K21" s="77">
        <v>42.5</v>
      </c>
      <c r="L21" s="77">
        <v>21.77</v>
      </c>
      <c r="M21" s="77">
        <v>97.23</v>
      </c>
      <c r="N21" s="77">
        <v>37.6</v>
      </c>
      <c r="O21" s="77">
        <v>0</v>
      </c>
      <c r="P21" s="77">
        <v>1.18</v>
      </c>
      <c r="Q21" s="77">
        <v>4.76</v>
      </c>
    </row>
    <row r="22" spans="1:17" s="12" customFormat="1" x14ac:dyDescent="0.25">
      <c r="A22" s="64" t="s">
        <v>1702</v>
      </c>
      <c r="B22" s="77">
        <v>4.1500000000000004</v>
      </c>
      <c r="C22" s="77">
        <v>12.86</v>
      </c>
      <c r="D22" s="77">
        <v>11.07</v>
      </c>
      <c r="E22" s="77">
        <v>2.06</v>
      </c>
      <c r="F22" s="77">
        <v>4.91</v>
      </c>
      <c r="G22" s="77">
        <v>10.93</v>
      </c>
      <c r="H22" s="77">
        <v>10.84</v>
      </c>
      <c r="I22" s="9" t="s">
        <v>36</v>
      </c>
      <c r="J22" s="77">
        <v>0.15</v>
      </c>
      <c r="K22" s="77">
        <v>32.770000000000003</v>
      </c>
      <c r="L22" s="77">
        <v>21.76</v>
      </c>
      <c r="M22" s="77">
        <v>97.23</v>
      </c>
      <c r="N22" s="77">
        <v>37.6</v>
      </c>
      <c r="O22" s="77">
        <v>0</v>
      </c>
      <c r="P22" s="77">
        <v>1.1499999999999999</v>
      </c>
      <c r="Q22" s="77">
        <v>4.53</v>
      </c>
    </row>
    <row r="23" spans="1:17" s="12" customFormat="1" x14ac:dyDescent="0.25">
      <c r="A23" s="64" t="s">
        <v>1703</v>
      </c>
      <c r="B23" s="77">
        <v>4.12</v>
      </c>
      <c r="C23" s="77">
        <v>12.88</v>
      </c>
      <c r="D23" s="77">
        <v>11.06</v>
      </c>
      <c r="E23" s="77">
        <v>1.67</v>
      </c>
      <c r="F23" s="77">
        <v>4.96</v>
      </c>
      <c r="G23" s="77">
        <v>10.93</v>
      </c>
      <c r="H23" s="77">
        <v>10.84</v>
      </c>
      <c r="I23" s="9" t="s">
        <v>36</v>
      </c>
      <c r="J23" s="77">
        <v>0.17</v>
      </c>
      <c r="K23" s="77">
        <v>37.74</v>
      </c>
      <c r="L23" s="77">
        <v>21.74</v>
      </c>
      <c r="M23" s="77">
        <v>97.23</v>
      </c>
      <c r="N23" s="77">
        <v>37.4</v>
      </c>
      <c r="O23" s="77">
        <v>0</v>
      </c>
      <c r="P23" s="77">
        <v>1.1100000000000001</v>
      </c>
      <c r="Q23" s="77">
        <v>4.96</v>
      </c>
    </row>
    <row r="24" spans="1:17" s="12" customFormat="1" x14ac:dyDescent="0.25">
      <c r="A24" s="64" t="s">
        <v>1704</v>
      </c>
      <c r="B24" s="77">
        <v>4</v>
      </c>
      <c r="C24" s="77">
        <v>12.3</v>
      </c>
      <c r="D24" s="77">
        <v>10.65</v>
      </c>
      <c r="E24" s="77">
        <v>2.88</v>
      </c>
      <c r="F24" s="77">
        <v>4.8</v>
      </c>
      <c r="G24" s="77">
        <v>10.62</v>
      </c>
      <c r="H24" s="77">
        <v>8.58</v>
      </c>
      <c r="I24" s="9" t="s">
        <v>36</v>
      </c>
      <c r="J24" s="77">
        <v>0.2</v>
      </c>
      <c r="K24" s="77">
        <v>43.23</v>
      </c>
      <c r="L24" s="77">
        <v>21.73</v>
      </c>
      <c r="M24" s="77">
        <v>97.23</v>
      </c>
      <c r="N24" s="77">
        <v>37.4</v>
      </c>
      <c r="O24" s="77">
        <v>0</v>
      </c>
      <c r="P24" s="77">
        <v>1.1200000000000001</v>
      </c>
      <c r="Q24" s="77">
        <v>4.17</v>
      </c>
    </row>
    <row r="25" spans="1:17" s="12" customFormat="1" x14ac:dyDescent="0.25">
      <c r="A25" s="64" t="s">
        <v>1705</v>
      </c>
      <c r="B25" s="77">
        <v>3.85</v>
      </c>
      <c r="C25" s="77">
        <v>13.26</v>
      </c>
      <c r="D25" s="77">
        <v>11.05</v>
      </c>
      <c r="E25" s="77">
        <v>2.79</v>
      </c>
      <c r="F25" s="77">
        <v>3.56</v>
      </c>
      <c r="G25" s="77">
        <v>10.61</v>
      </c>
      <c r="H25" s="77">
        <v>8.58</v>
      </c>
      <c r="I25" s="9" t="s">
        <v>36</v>
      </c>
      <c r="J25" s="77">
        <v>0.11</v>
      </c>
      <c r="K25" s="77">
        <v>35.909999999999997</v>
      </c>
      <c r="L25" s="77">
        <v>21.78</v>
      </c>
      <c r="M25" s="77">
        <v>97.23</v>
      </c>
      <c r="N25" s="77">
        <v>37.5</v>
      </c>
      <c r="O25" s="77">
        <v>0</v>
      </c>
      <c r="P25" s="77">
        <v>1.1100000000000001</v>
      </c>
      <c r="Q25" s="77">
        <v>3.67</v>
      </c>
    </row>
    <row r="26" spans="1:17" s="12" customFormat="1" x14ac:dyDescent="0.25">
      <c r="A26" s="64" t="s">
        <v>1706</v>
      </c>
      <c r="B26" s="77">
        <v>3.7</v>
      </c>
      <c r="C26" s="77">
        <v>12.63</v>
      </c>
      <c r="D26" s="77">
        <v>10.58</v>
      </c>
      <c r="E26" s="77">
        <v>2.93</v>
      </c>
      <c r="F26" s="77">
        <v>3.95</v>
      </c>
      <c r="G26" s="77">
        <v>10.61</v>
      </c>
      <c r="H26" s="77">
        <v>8.58</v>
      </c>
      <c r="I26" s="9" t="s">
        <v>36</v>
      </c>
      <c r="J26" s="77">
        <v>0.14000000000000001</v>
      </c>
      <c r="K26" s="77">
        <v>42.08</v>
      </c>
      <c r="L26" s="77">
        <v>21.8</v>
      </c>
      <c r="M26" s="77">
        <v>97.23</v>
      </c>
      <c r="N26" s="77">
        <v>37.6</v>
      </c>
      <c r="O26" s="77">
        <v>0</v>
      </c>
      <c r="P26" s="77">
        <v>1.0900000000000001</v>
      </c>
      <c r="Q26" s="77">
        <v>2.66</v>
      </c>
    </row>
    <row r="27" spans="1:17" s="12" customFormat="1" x14ac:dyDescent="0.25">
      <c r="A27" s="64" t="s">
        <v>1707</v>
      </c>
      <c r="B27" s="77">
        <v>3.69</v>
      </c>
      <c r="C27" s="77">
        <v>13.06</v>
      </c>
      <c r="D27" s="77">
        <v>10.81</v>
      </c>
      <c r="E27" s="77">
        <v>2.5499999999999998</v>
      </c>
      <c r="F27" s="77">
        <v>3.75</v>
      </c>
      <c r="G27" s="77">
        <v>10.61</v>
      </c>
      <c r="H27" s="77">
        <v>8.58</v>
      </c>
      <c r="I27" s="9" t="s">
        <v>36</v>
      </c>
      <c r="J27" s="77">
        <v>0.16</v>
      </c>
      <c r="K27" s="77">
        <v>31.03</v>
      </c>
      <c r="L27" s="77">
        <v>21.82</v>
      </c>
      <c r="M27" s="77">
        <v>97.23</v>
      </c>
      <c r="N27" s="77">
        <v>37.6</v>
      </c>
      <c r="O27" s="77">
        <v>0</v>
      </c>
      <c r="P27" s="77">
        <v>1.1000000000000001</v>
      </c>
      <c r="Q27" s="77">
        <v>2.4</v>
      </c>
    </row>
    <row r="28" spans="1:17" s="12" customFormat="1" x14ac:dyDescent="0.25">
      <c r="A28" s="64" t="s">
        <v>1708</v>
      </c>
      <c r="B28" s="77">
        <v>3.77</v>
      </c>
      <c r="C28" s="77">
        <v>13.25</v>
      </c>
      <c r="D28" s="77">
        <v>10.98</v>
      </c>
      <c r="E28" s="77">
        <v>2.95</v>
      </c>
      <c r="F28" s="77">
        <v>3.24</v>
      </c>
      <c r="G28" s="77">
        <v>8.65</v>
      </c>
      <c r="H28" s="77">
        <v>7.04</v>
      </c>
      <c r="I28" s="9" t="s">
        <v>36</v>
      </c>
      <c r="J28" s="77">
        <v>0.17</v>
      </c>
      <c r="K28" s="77">
        <v>38.950000000000003</v>
      </c>
      <c r="L28" s="77">
        <v>21.86</v>
      </c>
      <c r="M28" s="77">
        <v>97.23</v>
      </c>
      <c r="N28" s="77">
        <v>37.700000000000003</v>
      </c>
      <c r="O28" s="77">
        <v>0</v>
      </c>
      <c r="P28" s="77">
        <v>1.0900000000000001</v>
      </c>
      <c r="Q28" s="77">
        <v>2.93</v>
      </c>
    </row>
    <row r="29" spans="1:17" s="12" customFormat="1" x14ac:dyDescent="0.25">
      <c r="A29" s="64" t="s">
        <v>1709</v>
      </c>
      <c r="B29" s="77">
        <v>3.7</v>
      </c>
      <c r="C29" s="77">
        <v>13.3</v>
      </c>
      <c r="D29" s="77">
        <v>10.96</v>
      </c>
      <c r="E29" s="77">
        <v>2.34</v>
      </c>
      <c r="F29" s="77">
        <v>4.03</v>
      </c>
      <c r="G29" s="77">
        <v>8.58</v>
      </c>
      <c r="H29" s="77">
        <v>7.04</v>
      </c>
      <c r="I29" s="9" t="s">
        <v>36</v>
      </c>
      <c r="J29" s="77">
        <v>0.22</v>
      </c>
      <c r="K29" s="77">
        <v>45.81</v>
      </c>
      <c r="L29" s="77">
        <v>21.86</v>
      </c>
      <c r="M29" s="77">
        <v>97.23</v>
      </c>
      <c r="N29" s="77">
        <v>38</v>
      </c>
      <c r="O29" s="77">
        <v>0</v>
      </c>
      <c r="P29" s="77">
        <v>1.07</v>
      </c>
      <c r="Q29" s="77">
        <v>1.95</v>
      </c>
    </row>
    <row r="30" spans="1:17" s="12" customFormat="1" x14ac:dyDescent="0.25">
      <c r="A30" s="64" t="s">
        <v>1710</v>
      </c>
      <c r="B30" s="77">
        <v>3.5</v>
      </c>
      <c r="C30" s="77">
        <v>13.71</v>
      </c>
      <c r="D30" s="77">
        <v>11.02</v>
      </c>
      <c r="E30" s="77">
        <v>2.2400000000000002</v>
      </c>
      <c r="F30" s="77">
        <v>3.82</v>
      </c>
      <c r="G30" s="77">
        <v>8.58</v>
      </c>
      <c r="H30" s="77">
        <v>7.04</v>
      </c>
      <c r="I30" s="9" t="s">
        <v>36</v>
      </c>
      <c r="J30" s="77">
        <v>0.26</v>
      </c>
      <c r="K30" s="77">
        <v>35.93</v>
      </c>
      <c r="L30" s="77">
        <v>21.9</v>
      </c>
      <c r="M30" s="77">
        <v>97.23</v>
      </c>
      <c r="N30" s="77">
        <v>38.700000000000003</v>
      </c>
      <c r="O30" s="77">
        <v>0</v>
      </c>
      <c r="P30" s="77">
        <v>1.05</v>
      </c>
      <c r="Q30" s="77">
        <v>1.93</v>
      </c>
    </row>
    <row r="31" spans="1:17" s="12" customFormat="1" x14ac:dyDescent="0.25">
      <c r="A31" s="64" t="s">
        <v>1711</v>
      </c>
      <c r="B31" s="77">
        <v>3.45</v>
      </c>
      <c r="C31" s="77">
        <v>13.43</v>
      </c>
      <c r="D31" s="77">
        <v>10.82</v>
      </c>
      <c r="E31" s="77">
        <v>2.8</v>
      </c>
      <c r="F31" s="77">
        <v>4.41</v>
      </c>
      <c r="G31" s="77">
        <v>8.58</v>
      </c>
      <c r="H31" s="77">
        <v>7.04</v>
      </c>
      <c r="I31" s="9" t="s">
        <v>36</v>
      </c>
      <c r="J31" s="77">
        <v>0.21</v>
      </c>
      <c r="K31" s="77">
        <v>33.56</v>
      </c>
      <c r="L31" s="77">
        <v>21.93</v>
      </c>
      <c r="M31" s="77">
        <v>97.23</v>
      </c>
      <c r="N31" s="77">
        <v>41</v>
      </c>
      <c r="O31" s="77">
        <v>0</v>
      </c>
      <c r="P31" s="77">
        <v>1.04</v>
      </c>
      <c r="Q31" s="77">
        <v>1.97</v>
      </c>
    </row>
    <row r="32" spans="1:17" s="12" customFormat="1" x14ac:dyDescent="0.25">
      <c r="A32" s="64" t="s">
        <v>1712</v>
      </c>
      <c r="B32" s="77">
        <v>3.62</v>
      </c>
      <c r="C32" s="77">
        <v>13.75</v>
      </c>
      <c r="D32" s="77">
        <v>11.13</v>
      </c>
      <c r="E32" s="77">
        <v>2.5299999999999998</v>
      </c>
      <c r="F32" s="77">
        <v>6.82</v>
      </c>
      <c r="G32" s="77">
        <v>11.98</v>
      </c>
      <c r="H32" s="77">
        <v>8.69</v>
      </c>
      <c r="I32" s="9" t="s">
        <v>36</v>
      </c>
      <c r="J32" s="77">
        <v>0.14000000000000001</v>
      </c>
      <c r="K32" s="77">
        <v>36.76</v>
      </c>
      <c r="L32" s="77">
        <v>22</v>
      </c>
      <c r="M32" s="77">
        <v>97.23</v>
      </c>
      <c r="N32" s="77">
        <v>56.3</v>
      </c>
      <c r="O32" s="77">
        <v>0</v>
      </c>
      <c r="P32" s="77">
        <v>1.06</v>
      </c>
      <c r="Q32" s="77">
        <v>2.8</v>
      </c>
    </row>
    <row r="33" spans="1:17" s="12" customFormat="1" x14ac:dyDescent="0.25">
      <c r="A33" s="64" t="s">
        <v>1713</v>
      </c>
      <c r="B33" s="77">
        <v>3.96</v>
      </c>
      <c r="C33" s="77">
        <v>13.42</v>
      </c>
      <c r="D33" s="77">
        <v>11.23</v>
      </c>
      <c r="E33" s="77">
        <v>2.65</v>
      </c>
      <c r="F33" s="77">
        <v>5.58</v>
      </c>
      <c r="G33" s="77">
        <v>12.09</v>
      </c>
      <c r="H33" s="77">
        <v>8.69</v>
      </c>
      <c r="I33" s="9" t="s">
        <v>36</v>
      </c>
      <c r="J33" s="77">
        <v>0.17</v>
      </c>
      <c r="K33" s="77">
        <v>38.25</v>
      </c>
      <c r="L33" s="77">
        <v>22.01</v>
      </c>
      <c r="M33" s="77">
        <v>97.23</v>
      </c>
      <c r="N33" s="77">
        <v>66.5</v>
      </c>
      <c r="O33" s="77">
        <v>0</v>
      </c>
      <c r="P33" s="77">
        <v>1.06</v>
      </c>
      <c r="Q33" s="77">
        <v>3.4</v>
      </c>
    </row>
    <row r="34" spans="1:17" s="12" customFormat="1" x14ac:dyDescent="0.25">
      <c r="A34" s="64" t="s">
        <v>1714</v>
      </c>
      <c r="B34" s="77">
        <v>4.3</v>
      </c>
      <c r="C34" s="77">
        <v>13.32</v>
      </c>
      <c r="D34" s="77">
        <v>11.44</v>
      </c>
      <c r="E34" s="77">
        <v>2.64</v>
      </c>
      <c r="F34" s="77">
        <v>5.4</v>
      </c>
      <c r="G34" s="77">
        <v>12.09</v>
      </c>
      <c r="H34" s="77">
        <v>8.69</v>
      </c>
      <c r="I34" s="9" t="s">
        <v>36</v>
      </c>
      <c r="J34" s="77">
        <v>0.16</v>
      </c>
      <c r="K34" s="77">
        <v>32.130000000000003</v>
      </c>
      <c r="L34" s="77">
        <v>22.11</v>
      </c>
      <c r="M34" s="77">
        <v>97.23</v>
      </c>
      <c r="N34" s="77">
        <v>90.1</v>
      </c>
      <c r="O34" s="77">
        <v>0</v>
      </c>
      <c r="P34" s="77">
        <v>1.07</v>
      </c>
      <c r="Q34" s="77">
        <v>3.23</v>
      </c>
    </row>
    <row r="35" spans="1:17" s="12" customFormat="1" x14ac:dyDescent="0.25">
      <c r="A35" s="64" t="s">
        <v>1715</v>
      </c>
      <c r="B35" s="77">
        <v>4.6100000000000003</v>
      </c>
      <c r="C35" s="77">
        <v>14.02</v>
      </c>
      <c r="D35" s="77">
        <v>12.08</v>
      </c>
      <c r="E35" s="77">
        <v>3.05</v>
      </c>
      <c r="F35" s="77">
        <v>4.05</v>
      </c>
      <c r="G35" s="77">
        <v>12.09</v>
      </c>
      <c r="H35" s="77">
        <v>8.69</v>
      </c>
      <c r="I35" s="9" t="s">
        <v>36</v>
      </c>
      <c r="J35" s="77">
        <v>0.21</v>
      </c>
      <c r="K35" s="77">
        <v>31.48</v>
      </c>
      <c r="L35" s="77">
        <v>22.27</v>
      </c>
      <c r="M35" s="77">
        <v>97.21</v>
      </c>
      <c r="N35" s="77">
        <v>106.8</v>
      </c>
      <c r="O35" s="77">
        <v>0</v>
      </c>
      <c r="P35" s="77">
        <v>1.05</v>
      </c>
      <c r="Q35" s="77">
        <v>4.08</v>
      </c>
    </row>
    <row r="36" spans="1:17" s="12" customFormat="1" x14ac:dyDescent="0.25">
      <c r="A36" s="64" t="s">
        <v>1716</v>
      </c>
      <c r="B36" s="77">
        <v>4.8</v>
      </c>
      <c r="C36" s="77">
        <v>13.57</v>
      </c>
      <c r="D36" s="77">
        <v>11.98</v>
      </c>
      <c r="E36" s="77">
        <v>2.73</v>
      </c>
      <c r="F36" s="77">
        <v>4.4800000000000004</v>
      </c>
      <c r="G36" s="77">
        <v>13.09</v>
      </c>
      <c r="H36" s="77">
        <v>8.2200000000000006</v>
      </c>
      <c r="I36" s="9" t="s">
        <v>36</v>
      </c>
      <c r="J36" s="77">
        <v>0.2</v>
      </c>
      <c r="K36" s="77">
        <v>38.799999999999997</v>
      </c>
      <c r="L36" s="77">
        <v>22.29</v>
      </c>
      <c r="M36" s="77">
        <v>97.2</v>
      </c>
      <c r="N36" s="77">
        <v>107.9</v>
      </c>
      <c r="O36" s="77">
        <v>0</v>
      </c>
      <c r="P36" s="77">
        <v>1.06</v>
      </c>
      <c r="Q36" s="77">
        <v>3.13</v>
      </c>
    </row>
    <row r="37" spans="1:17" s="12" customFormat="1" x14ac:dyDescent="0.25">
      <c r="A37" s="64" t="s">
        <v>1717</v>
      </c>
      <c r="B37" s="77">
        <v>4.71</v>
      </c>
      <c r="C37" s="77">
        <v>14.5</v>
      </c>
      <c r="D37" s="77">
        <v>12.43</v>
      </c>
      <c r="E37" s="77">
        <v>2.71</v>
      </c>
      <c r="F37" s="77">
        <v>3.38</v>
      </c>
      <c r="G37" s="77">
        <v>13.12</v>
      </c>
      <c r="H37" s="77">
        <v>8.2200000000000006</v>
      </c>
      <c r="I37" s="9" t="s">
        <v>36</v>
      </c>
      <c r="J37" s="77">
        <v>0.2</v>
      </c>
      <c r="K37" s="77">
        <v>36.979999999999997</v>
      </c>
      <c r="L37" s="77">
        <v>22.38</v>
      </c>
      <c r="M37" s="77">
        <v>97.19</v>
      </c>
      <c r="N37" s="77">
        <v>108.3</v>
      </c>
      <c r="O37" s="77">
        <v>0</v>
      </c>
      <c r="P37" s="77">
        <v>0.78</v>
      </c>
      <c r="Q37" s="77">
        <v>2.63</v>
      </c>
    </row>
    <row r="38" spans="1:17" s="12" customFormat="1" x14ac:dyDescent="0.25">
      <c r="A38" s="64" t="s">
        <v>1718</v>
      </c>
      <c r="B38" s="77">
        <v>4.66</v>
      </c>
      <c r="C38" s="77">
        <v>14.09</v>
      </c>
      <c r="D38" s="77">
        <v>12.16</v>
      </c>
      <c r="E38" s="77">
        <v>2.72</v>
      </c>
      <c r="F38" s="77">
        <v>3.86</v>
      </c>
      <c r="G38" s="77">
        <v>13.12</v>
      </c>
      <c r="H38" s="77">
        <v>8.2200000000000006</v>
      </c>
      <c r="I38" s="9" t="s">
        <v>36</v>
      </c>
      <c r="J38" s="77">
        <v>0.17</v>
      </c>
      <c r="K38" s="77">
        <v>30.22</v>
      </c>
      <c r="L38" s="77">
        <v>22.43</v>
      </c>
      <c r="M38" s="77">
        <v>97.18</v>
      </c>
      <c r="N38" s="77">
        <v>72.3</v>
      </c>
      <c r="O38" s="77">
        <v>0</v>
      </c>
      <c r="P38" s="77">
        <v>1.08</v>
      </c>
      <c r="Q38" s="77">
        <v>2.16</v>
      </c>
    </row>
    <row r="39" spans="1:17" s="12" customFormat="1" x14ac:dyDescent="0.25">
      <c r="A39" s="64" t="s">
        <v>1719</v>
      </c>
      <c r="B39" s="77">
        <v>4.8</v>
      </c>
      <c r="C39" s="77">
        <v>14.11</v>
      </c>
      <c r="D39" s="77">
        <v>12.29</v>
      </c>
      <c r="E39" s="77">
        <v>2.42</v>
      </c>
      <c r="F39" s="77">
        <v>3.88</v>
      </c>
      <c r="G39" s="77">
        <v>13.12</v>
      </c>
      <c r="H39" s="77">
        <v>8.2200000000000006</v>
      </c>
      <c r="I39" s="9" t="s">
        <v>36</v>
      </c>
      <c r="J39" s="77">
        <v>0.14000000000000001</v>
      </c>
      <c r="K39" s="77">
        <v>26.85</v>
      </c>
      <c r="L39" s="77">
        <v>22.39</v>
      </c>
      <c r="M39" s="77">
        <v>97.2</v>
      </c>
      <c r="N39" s="77">
        <v>76.3</v>
      </c>
      <c r="O39" s="77">
        <v>0</v>
      </c>
      <c r="P39" s="77">
        <v>1.07</v>
      </c>
      <c r="Q39" s="77">
        <v>1.72</v>
      </c>
    </row>
    <row r="40" spans="1:17" s="12" customFormat="1" x14ac:dyDescent="0.25">
      <c r="A40" s="64" t="s">
        <v>1720</v>
      </c>
      <c r="B40" s="77">
        <v>5.0999999999999996</v>
      </c>
      <c r="C40" s="77">
        <v>14.41</v>
      </c>
      <c r="D40" s="77">
        <v>12.69</v>
      </c>
      <c r="E40" s="77">
        <v>3</v>
      </c>
      <c r="F40" s="77">
        <v>3.28</v>
      </c>
      <c r="G40" s="77">
        <v>12.4</v>
      </c>
      <c r="H40" s="77">
        <v>8.0299999999999994</v>
      </c>
      <c r="I40" s="9" t="s">
        <v>36</v>
      </c>
      <c r="J40" s="77">
        <v>0.14000000000000001</v>
      </c>
      <c r="K40" s="77">
        <v>34.869999999999997</v>
      </c>
      <c r="L40" s="77">
        <v>22.41</v>
      </c>
      <c r="M40" s="77">
        <v>97.19</v>
      </c>
      <c r="N40" s="77">
        <v>71.3</v>
      </c>
      <c r="O40" s="77">
        <v>0</v>
      </c>
      <c r="P40" s="77">
        <v>1.1100000000000001</v>
      </c>
      <c r="Q40" s="77">
        <v>2.44</v>
      </c>
    </row>
    <row r="41" spans="1:17" s="12" customFormat="1" x14ac:dyDescent="0.25">
      <c r="A41" s="64" t="s">
        <v>1721</v>
      </c>
      <c r="B41" s="77">
        <v>5.69</v>
      </c>
      <c r="C41" s="77">
        <v>14.01</v>
      </c>
      <c r="D41" s="77">
        <v>12.95</v>
      </c>
      <c r="E41" s="77">
        <v>3.1</v>
      </c>
      <c r="F41" s="77">
        <v>3.58</v>
      </c>
      <c r="G41" s="77">
        <v>12.37</v>
      </c>
      <c r="H41" s="77">
        <v>8.0299999999999994</v>
      </c>
      <c r="I41" s="9" t="s">
        <v>36</v>
      </c>
      <c r="J41" s="77">
        <v>0.16</v>
      </c>
      <c r="K41" s="77">
        <v>33.21</v>
      </c>
      <c r="L41" s="77">
        <v>22.4</v>
      </c>
      <c r="M41" s="77">
        <v>97.21</v>
      </c>
      <c r="N41" s="77">
        <v>100.5</v>
      </c>
      <c r="O41" s="77">
        <v>0</v>
      </c>
      <c r="P41" s="77">
        <v>1.1100000000000001</v>
      </c>
      <c r="Q41" s="77">
        <v>1.39</v>
      </c>
    </row>
    <row r="42" spans="1:17" s="12" customFormat="1" x14ac:dyDescent="0.25">
      <c r="A42" s="64" t="s">
        <v>1722</v>
      </c>
      <c r="B42" s="77">
        <v>6.39</v>
      </c>
      <c r="C42" s="77">
        <v>14.71</v>
      </c>
      <c r="D42" s="77">
        <v>13.89</v>
      </c>
      <c r="E42" s="77">
        <v>3.06</v>
      </c>
      <c r="F42" s="77">
        <v>2.8</v>
      </c>
      <c r="G42" s="77">
        <v>12.37</v>
      </c>
      <c r="H42" s="77">
        <v>8.0299999999999994</v>
      </c>
      <c r="I42" s="9" t="s">
        <v>36</v>
      </c>
      <c r="J42" s="77">
        <v>0.16</v>
      </c>
      <c r="K42" s="77">
        <v>44.79</v>
      </c>
      <c r="L42" s="77">
        <v>22.65</v>
      </c>
      <c r="M42" s="77">
        <v>97.19</v>
      </c>
      <c r="N42" s="77">
        <v>153.30000000000001</v>
      </c>
      <c r="O42" s="77">
        <v>0</v>
      </c>
      <c r="P42" s="77">
        <v>1.1200000000000001</v>
      </c>
      <c r="Q42" s="77">
        <v>2.77</v>
      </c>
    </row>
    <row r="43" spans="1:17" s="12" customFormat="1" x14ac:dyDescent="0.25">
      <c r="A43" s="64" t="s">
        <v>1723</v>
      </c>
      <c r="B43" s="77">
        <v>6.8</v>
      </c>
      <c r="C43" s="77">
        <v>14.92</v>
      </c>
      <c r="D43" s="77">
        <v>14.33</v>
      </c>
      <c r="E43" s="77">
        <v>3.41</v>
      </c>
      <c r="F43" s="77">
        <v>4.29</v>
      </c>
      <c r="G43" s="77">
        <v>12.37</v>
      </c>
      <c r="H43" s="77">
        <v>8.0299999999999994</v>
      </c>
      <c r="I43" s="9" t="s">
        <v>36</v>
      </c>
      <c r="J43" s="77">
        <v>0.24</v>
      </c>
      <c r="K43" s="77">
        <v>36.72</v>
      </c>
      <c r="L43" s="77">
        <v>23.12</v>
      </c>
      <c r="M43" s="77">
        <v>97.1</v>
      </c>
      <c r="N43" s="77">
        <v>271.8</v>
      </c>
      <c r="O43" s="77">
        <v>0</v>
      </c>
      <c r="P43" s="77">
        <v>1.1399999999999999</v>
      </c>
      <c r="Q43" s="77">
        <v>2.63</v>
      </c>
    </row>
    <row r="44" spans="1:17" s="12" customFormat="1" x14ac:dyDescent="0.25">
      <c r="A44" s="64" t="s">
        <v>1724</v>
      </c>
      <c r="B44" s="77">
        <v>6.86</v>
      </c>
      <c r="C44" s="77">
        <v>15.65</v>
      </c>
      <c r="D44" s="77">
        <v>14.78</v>
      </c>
      <c r="E44" s="77">
        <v>3.85</v>
      </c>
      <c r="F44" s="77">
        <v>4.8600000000000003</v>
      </c>
      <c r="G44" s="77">
        <v>18.489999999999998</v>
      </c>
      <c r="H44" s="77">
        <v>17.18</v>
      </c>
      <c r="I44" s="9" t="s">
        <v>36</v>
      </c>
      <c r="J44" s="77">
        <v>0.2</v>
      </c>
      <c r="K44" s="77">
        <v>24.34</v>
      </c>
      <c r="L44" s="77">
        <v>23.62</v>
      </c>
      <c r="M44" s="77">
        <v>96.2</v>
      </c>
      <c r="N44" s="77">
        <v>325.89999999999998</v>
      </c>
      <c r="O44" s="77">
        <v>0</v>
      </c>
      <c r="P44" s="77">
        <v>1.1499999999999999</v>
      </c>
      <c r="Q44" s="77">
        <v>4.22</v>
      </c>
    </row>
    <row r="45" spans="1:17" s="12" customFormat="1" x14ac:dyDescent="0.25">
      <c r="A45" s="64" t="s">
        <v>1725</v>
      </c>
      <c r="B45" s="77">
        <v>6.9</v>
      </c>
      <c r="C45" s="77">
        <v>15.19</v>
      </c>
      <c r="D45" s="77">
        <v>14.56</v>
      </c>
      <c r="E45" s="77">
        <v>3.53</v>
      </c>
      <c r="F45" s="77">
        <v>4.0999999999999996</v>
      </c>
      <c r="G45" s="77">
        <v>18.7</v>
      </c>
      <c r="H45" s="77">
        <v>17.18</v>
      </c>
      <c r="I45" s="9" t="s">
        <v>36</v>
      </c>
      <c r="J45" s="77">
        <v>0.21</v>
      </c>
      <c r="K45" s="77">
        <v>27.52</v>
      </c>
      <c r="L45" s="77">
        <v>23.68</v>
      </c>
      <c r="M45" s="77">
        <v>95.97</v>
      </c>
      <c r="N45" s="77">
        <v>297.7</v>
      </c>
      <c r="O45" s="77">
        <v>0</v>
      </c>
      <c r="P45" s="77">
        <v>1.17</v>
      </c>
      <c r="Q45" s="77">
        <v>4.49</v>
      </c>
    </row>
    <row r="46" spans="1:17" s="12" customFormat="1" x14ac:dyDescent="0.25">
      <c r="A46" s="64" t="s">
        <v>1726</v>
      </c>
      <c r="B46" s="77">
        <v>7.28</v>
      </c>
      <c r="C46" s="77">
        <v>15.47</v>
      </c>
      <c r="D46" s="77">
        <v>15.02</v>
      </c>
      <c r="E46" s="77">
        <v>3.48</v>
      </c>
      <c r="F46" s="77">
        <v>5.03</v>
      </c>
      <c r="G46" s="77">
        <v>18.7</v>
      </c>
      <c r="H46" s="77">
        <v>17.18</v>
      </c>
      <c r="I46" s="9" t="s">
        <v>36</v>
      </c>
      <c r="J46" s="77">
        <v>0.18</v>
      </c>
      <c r="K46" s="77">
        <v>31.36</v>
      </c>
      <c r="L46" s="77">
        <v>24.4</v>
      </c>
      <c r="M46" s="77">
        <v>93.14</v>
      </c>
      <c r="N46" s="77">
        <v>303.5</v>
      </c>
      <c r="O46" s="77">
        <v>0</v>
      </c>
      <c r="P46" s="77">
        <v>1.22</v>
      </c>
      <c r="Q46" s="77">
        <v>4.0199999999999996</v>
      </c>
    </row>
    <row r="47" spans="1:17" s="12" customFormat="1" x14ac:dyDescent="0.25">
      <c r="A47" s="64" t="s">
        <v>1727</v>
      </c>
      <c r="B47" s="77">
        <v>7.7</v>
      </c>
      <c r="C47" s="77">
        <v>16.12</v>
      </c>
      <c r="D47" s="77">
        <v>15.71</v>
      </c>
      <c r="E47" s="77">
        <v>3.57</v>
      </c>
      <c r="F47" s="77">
        <v>4.09</v>
      </c>
      <c r="G47" s="77">
        <v>18.7</v>
      </c>
      <c r="H47" s="77">
        <v>17.18</v>
      </c>
      <c r="I47" s="9" t="s">
        <v>36</v>
      </c>
      <c r="J47" s="77">
        <v>0.17</v>
      </c>
      <c r="K47" s="77">
        <v>32.909999999999997</v>
      </c>
      <c r="L47" s="77">
        <v>24.54</v>
      </c>
      <c r="M47" s="77">
        <v>92.39</v>
      </c>
      <c r="N47" s="77">
        <v>248.2</v>
      </c>
      <c r="O47" s="77">
        <v>0</v>
      </c>
      <c r="P47" s="77">
        <v>1.31</v>
      </c>
      <c r="Q47" s="77">
        <v>4.9400000000000004</v>
      </c>
    </row>
    <row r="48" spans="1:17" s="12" customFormat="1" x14ac:dyDescent="0.25">
      <c r="A48" s="64" t="s">
        <v>1728</v>
      </c>
      <c r="B48" s="77">
        <v>7.78</v>
      </c>
      <c r="C48" s="77">
        <v>16.239999999999998</v>
      </c>
      <c r="D48" s="77">
        <v>15.85</v>
      </c>
      <c r="E48" s="77">
        <v>3.59</v>
      </c>
      <c r="F48" s="77">
        <v>3.37</v>
      </c>
      <c r="G48" s="77">
        <v>21.49</v>
      </c>
      <c r="H48" s="77">
        <v>16.920000000000002</v>
      </c>
      <c r="I48" s="9" t="s">
        <v>36</v>
      </c>
      <c r="J48" s="77">
        <v>0.02</v>
      </c>
      <c r="K48" s="77">
        <v>67.67</v>
      </c>
      <c r="L48" s="77">
        <v>24.29</v>
      </c>
      <c r="M48" s="77">
        <v>93.13</v>
      </c>
      <c r="N48" s="77">
        <v>257.5</v>
      </c>
      <c r="O48" s="77">
        <v>0</v>
      </c>
      <c r="P48" s="77">
        <v>1.34</v>
      </c>
      <c r="Q48" s="77">
        <v>5.21</v>
      </c>
    </row>
    <row r="49" spans="1:17" s="12" customFormat="1" x14ac:dyDescent="0.25">
      <c r="A49" s="64" t="s">
        <v>1729</v>
      </c>
      <c r="B49" s="77">
        <v>7.51</v>
      </c>
      <c r="C49" s="77">
        <v>15.9</v>
      </c>
      <c r="D49" s="77">
        <v>15.44</v>
      </c>
      <c r="E49" s="77">
        <v>3.62</v>
      </c>
      <c r="F49" s="77">
        <v>3.63</v>
      </c>
      <c r="G49" s="77">
        <v>21.59</v>
      </c>
      <c r="H49" s="77">
        <v>16.920000000000002</v>
      </c>
      <c r="I49" s="9" t="s">
        <v>36</v>
      </c>
      <c r="J49" s="77">
        <v>0.11</v>
      </c>
      <c r="K49" s="77">
        <v>29.07</v>
      </c>
      <c r="L49" s="77">
        <v>24.4</v>
      </c>
      <c r="M49" s="77">
        <v>93.26</v>
      </c>
      <c r="N49" s="77">
        <v>266</v>
      </c>
      <c r="O49" s="77">
        <v>0</v>
      </c>
      <c r="P49" s="77">
        <v>1.38</v>
      </c>
      <c r="Q49" s="77">
        <v>3.45</v>
      </c>
    </row>
    <row r="50" spans="1:17" s="12" customFormat="1" x14ac:dyDescent="0.25">
      <c r="A50" s="64" t="s">
        <v>1730</v>
      </c>
      <c r="B50" s="77">
        <v>7.39</v>
      </c>
      <c r="C50" s="77">
        <v>15.78</v>
      </c>
      <c r="D50" s="77">
        <v>15.28</v>
      </c>
      <c r="E50" s="77">
        <v>3.07</v>
      </c>
      <c r="F50" s="77">
        <v>4.03</v>
      </c>
      <c r="G50" s="77">
        <v>21.59</v>
      </c>
      <c r="H50" s="77">
        <v>16.920000000000002</v>
      </c>
      <c r="I50" s="9" t="s">
        <v>36</v>
      </c>
      <c r="J50" s="77">
        <v>0.15</v>
      </c>
      <c r="K50" s="77">
        <v>13.26</v>
      </c>
      <c r="L50" s="77">
        <v>25.39</v>
      </c>
      <c r="M50" s="77">
        <v>88.59</v>
      </c>
      <c r="N50" s="77">
        <v>327.7</v>
      </c>
      <c r="O50" s="77">
        <v>0</v>
      </c>
      <c r="P50" s="77">
        <v>1.43</v>
      </c>
      <c r="Q50" s="77">
        <v>3.45</v>
      </c>
    </row>
    <row r="51" spans="1:17" s="12" customFormat="1" x14ac:dyDescent="0.25">
      <c r="A51" s="64" t="s">
        <v>1731</v>
      </c>
      <c r="B51" s="77">
        <v>7.22</v>
      </c>
      <c r="C51" s="77">
        <v>16.489999999999998</v>
      </c>
      <c r="D51" s="77">
        <v>15.54</v>
      </c>
      <c r="E51" s="77">
        <v>3.29</v>
      </c>
      <c r="F51" s="77">
        <v>3.83</v>
      </c>
      <c r="G51" s="77">
        <v>21.59</v>
      </c>
      <c r="H51" s="77">
        <v>16.920000000000002</v>
      </c>
      <c r="I51" s="9" t="s">
        <v>36</v>
      </c>
      <c r="J51" s="77">
        <v>0.23</v>
      </c>
      <c r="K51" s="77">
        <v>31.68</v>
      </c>
      <c r="L51" s="77">
        <v>25.74</v>
      </c>
      <c r="M51" s="77">
        <v>87.11</v>
      </c>
      <c r="N51" s="77">
        <v>526.29999999999995</v>
      </c>
      <c r="O51" s="77">
        <v>0</v>
      </c>
      <c r="P51" s="77">
        <v>1.45</v>
      </c>
      <c r="Q51" s="77">
        <v>2.87</v>
      </c>
    </row>
    <row r="52" spans="1:17" s="12" customFormat="1" x14ac:dyDescent="0.25">
      <c r="A52" s="64" t="s">
        <v>1732</v>
      </c>
      <c r="B52" s="77">
        <v>6.55</v>
      </c>
      <c r="C52" s="77">
        <v>17.059999999999999</v>
      </c>
      <c r="D52" s="77">
        <v>15.31</v>
      </c>
      <c r="E52" s="77">
        <v>3.61</v>
      </c>
      <c r="F52" s="77">
        <v>4.1399999999999997</v>
      </c>
      <c r="G52" s="77">
        <v>34.79</v>
      </c>
      <c r="H52" s="77">
        <v>25.26</v>
      </c>
      <c r="I52" s="9" t="s">
        <v>36</v>
      </c>
      <c r="J52" s="77">
        <v>0.27</v>
      </c>
      <c r="K52" s="77">
        <v>33.950000000000003</v>
      </c>
      <c r="L52" s="77">
        <v>25.85</v>
      </c>
      <c r="M52" s="77">
        <v>85.04</v>
      </c>
      <c r="N52" s="77">
        <v>594.1</v>
      </c>
      <c r="O52" s="77">
        <v>0</v>
      </c>
      <c r="P52" s="77">
        <v>1.48</v>
      </c>
      <c r="Q52" s="77">
        <v>3.01</v>
      </c>
    </row>
    <row r="53" spans="1:17" s="12" customFormat="1" x14ac:dyDescent="0.25">
      <c r="A53" s="64" t="s">
        <v>1733</v>
      </c>
      <c r="B53" s="77">
        <v>5.37</v>
      </c>
      <c r="C53" s="77">
        <v>18.420000000000002</v>
      </c>
      <c r="D53" s="77">
        <v>15.12</v>
      </c>
      <c r="E53" s="77">
        <v>3.16</v>
      </c>
      <c r="F53" s="77">
        <v>4.29</v>
      </c>
      <c r="G53" s="77">
        <v>35.24</v>
      </c>
      <c r="H53" s="77">
        <v>25.26</v>
      </c>
      <c r="I53" s="9" t="s">
        <v>36</v>
      </c>
      <c r="J53" s="77">
        <v>0.33</v>
      </c>
      <c r="K53" s="77">
        <v>13.6</v>
      </c>
      <c r="L53" s="77">
        <v>26.39</v>
      </c>
      <c r="M53" s="77">
        <v>83.25</v>
      </c>
      <c r="N53" s="77">
        <v>552.5</v>
      </c>
      <c r="O53" s="77">
        <v>0</v>
      </c>
      <c r="P53" s="77">
        <v>1.5</v>
      </c>
      <c r="Q53" s="77">
        <v>2.4900000000000002</v>
      </c>
    </row>
    <row r="54" spans="1:17" s="12" customFormat="1" x14ac:dyDescent="0.25">
      <c r="A54" s="64" t="s">
        <v>1734</v>
      </c>
      <c r="B54" s="77">
        <v>4.3499999999999996</v>
      </c>
      <c r="C54" s="77">
        <v>18.809999999999999</v>
      </c>
      <c r="D54" s="77">
        <v>14.52</v>
      </c>
      <c r="E54" s="77">
        <v>3.3</v>
      </c>
      <c r="F54" s="77">
        <v>4.4800000000000004</v>
      </c>
      <c r="G54" s="77">
        <v>35.24</v>
      </c>
      <c r="H54" s="77">
        <v>25.26</v>
      </c>
      <c r="I54" s="9" t="s">
        <v>36</v>
      </c>
      <c r="J54" s="77">
        <v>0.31</v>
      </c>
      <c r="K54" s="77">
        <v>27.82</v>
      </c>
      <c r="L54" s="77">
        <v>26.82</v>
      </c>
      <c r="M54" s="77">
        <v>80.66</v>
      </c>
      <c r="N54" s="77">
        <v>412.8</v>
      </c>
      <c r="O54" s="77">
        <v>0</v>
      </c>
      <c r="P54" s="77">
        <v>1.57</v>
      </c>
      <c r="Q54" s="77">
        <v>2.3199999999999998</v>
      </c>
    </row>
    <row r="55" spans="1:17" s="12" customFormat="1" x14ac:dyDescent="0.25">
      <c r="A55" s="64" t="s">
        <v>1735</v>
      </c>
      <c r="B55" s="77">
        <v>4.05</v>
      </c>
      <c r="C55" s="77">
        <v>20.079999999999998</v>
      </c>
      <c r="D55" s="77">
        <v>14.98</v>
      </c>
      <c r="E55" s="77">
        <v>2.91</v>
      </c>
      <c r="F55" s="77">
        <v>5.23</v>
      </c>
      <c r="G55" s="77">
        <v>35.24</v>
      </c>
      <c r="H55" s="77">
        <v>25.26</v>
      </c>
      <c r="I55" s="9" t="s">
        <v>36</v>
      </c>
      <c r="J55" s="77">
        <v>0.34</v>
      </c>
      <c r="K55" s="77">
        <v>24.69</v>
      </c>
      <c r="L55" s="77">
        <v>26.63</v>
      </c>
      <c r="M55" s="77">
        <v>81.06</v>
      </c>
      <c r="N55" s="77">
        <v>313.3</v>
      </c>
      <c r="O55" s="77">
        <v>0</v>
      </c>
      <c r="P55" s="77">
        <v>1.6</v>
      </c>
      <c r="Q55" s="77">
        <v>3.25</v>
      </c>
    </row>
    <row r="56" spans="1:17" s="12" customFormat="1" x14ac:dyDescent="0.25">
      <c r="A56" s="64" t="s">
        <v>1736</v>
      </c>
      <c r="B56" s="77">
        <v>4.3499999999999996</v>
      </c>
      <c r="C56" s="77">
        <v>19.940000000000001</v>
      </c>
      <c r="D56" s="77">
        <v>15.14</v>
      </c>
      <c r="E56" s="77">
        <v>1.71</v>
      </c>
      <c r="F56" s="77">
        <v>5.74</v>
      </c>
      <c r="G56" s="77">
        <v>39.94</v>
      </c>
      <c r="H56" s="77">
        <v>20.71</v>
      </c>
      <c r="I56" s="9" t="s">
        <v>36</v>
      </c>
      <c r="J56" s="77">
        <v>0.24</v>
      </c>
      <c r="K56" s="77">
        <v>16.079999999999998</v>
      </c>
      <c r="L56" s="77">
        <v>26.78</v>
      </c>
      <c r="M56" s="77">
        <v>80.41</v>
      </c>
      <c r="N56" s="77">
        <v>724.5</v>
      </c>
      <c r="O56" s="77">
        <v>0</v>
      </c>
      <c r="P56" s="77">
        <v>1.67</v>
      </c>
      <c r="Q56" s="77">
        <v>2.92</v>
      </c>
    </row>
    <row r="57" spans="1:17" s="12" customFormat="1" x14ac:dyDescent="0.25">
      <c r="A57" s="64" t="s">
        <v>1737</v>
      </c>
      <c r="B57" s="77">
        <v>4.4800000000000004</v>
      </c>
      <c r="C57" s="77">
        <v>19.55</v>
      </c>
      <c r="D57" s="77">
        <v>15.03</v>
      </c>
      <c r="E57" s="77">
        <v>2.1800000000000002</v>
      </c>
      <c r="F57" s="77">
        <v>5.2</v>
      </c>
      <c r="G57" s="77">
        <v>40.11</v>
      </c>
      <c r="H57" s="77">
        <v>20.71</v>
      </c>
      <c r="I57" s="9" t="s">
        <v>36</v>
      </c>
      <c r="J57" s="77">
        <v>0.18</v>
      </c>
      <c r="K57" s="77">
        <v>21.14</v>
      </c>
      <c r="L57" s="77">
        <v>27.15</v>
      </c>
      <c r="M57" s="77">
        <v>77.849999999999994</v>
      </c>
      <c r="N57" s="77">
        <v>643.6</v>
      </c>
      <c r="O57" s="77">
        <v>0</v>
      </c>
      <c r="P57" s="77">
        <v>1.69</v>
      </c>
      <c r="Q57" s="77">
        <v>3.59</v>
      </c>
    </row>
    <row r="58" spans="1:17" s="12" customFormat="1" x14ac:dyDescent="0.25">
      <c r="A58" s="64" t="s">
        <v>1738</v>
      </c>
      <c r="B58" s="77">
        <v>4.13</v>
      </c>
      <c r="C58" s="77">
        <v>18.420000000000002</v>
      </c>
      <c r="D58" s="77">
        <v>14.12</v>
      </c>
      <c r="E58" s="77">
        <v>2.33</v>
      </c>
      <c r="F58" s="77">
        <v>6.19</v>
      </c>
      <c r="G58" s="77">
        <v>40.11</v>
      </c>
      <c r="H58" s="77">
        <v>20.71</v>
      </c>
      <c r="I58" s="9" t="s">
        <v>36</v>
      </c>
      <c r="J58" s="77">
        <v>0.28999999999999998</v>
      </c>
      <c r="K58" s="77">
        <v>34.75</v>
      </c>
      <c r="L58" s="77">
        <v>26.93</v>
      </c>
      <c r="M58" s="77">
        <v>78.31</v>
      </c>
      <c r="N58" s="77">
        <v>468.8</v>
      </c>
      <c r="O58" s="77">
        <v>0</v>
      </c>
      <c r="P58" s="77">
        <v>1.68</v>
      </c>
      <c r="Q58" s="77">
        <v>2.29</v>
      </c>
    </row>
    <row r="59" spans="1:17" s="12" customFormat="1" x14ac:dyDescent="0.25">
      <c r="A59" s="64" t="s">
        <v>1739</v>
      </c>
      <c r="B59" s="77">
        <v>3.76</v>
      </c>
      <c r="C59" s="77">
        <v>19.149999999999999</v>
      </c>
      <c r="D59" s="77">
        <v>14.23</v>
      </c>
      <c r="E59" s="77">
        <v>2.12</v>
      </c>
      <c r="F59" s="77">
        <v>5.23</v>
      </c>
      <c r="G59" s="77">
        <v>40.11</v>
      </c>
      <c r="H59" s="77">
        <v>20.71</v>
      </c>
      <c r="I59" s="9" t="s">
        <v>36</v>
      </c>
      <c r="J59" s="77">
        <v>0.34</v>
      </c>
      <c r="K59" s="77">
        <v>10.6</v>
      </c>
      <c r="L59" s="77">
        <v>27.45</v>
      </c>
      <c r="M59" s="77">
        <v>75.3</v>
      </c>
      <c r="N59" s="77">
        <v>458</v>
      </c>
      <c r="O59" s="77">
        <v>0</v>
      </c>
      <c r="P59" s="77">
        <v>1.63</v>
      </c>
      <c r="Q59" s="77">
        <v>3.32</v>
      </c>
    </row>
    <row r="60" spans="1:17" s="12" customFormat="1" x14ac:dyDescent="0.25">
      <c r="A60" s="64" t="s">
        <v>1740</v>
      </c>
      <c r="B60" s="77">
        <v>3.33</v>
      </c>
      <c r="C60" s="77">
        <v>18.87</v>
      </c>
      <c r="D60" s="77">
        <v>13.73</v>
      </c>
      <c r="E60" s="77">
        <v>2.29</v>
      </c>
      <c r="F60" s="77">
        <v>4.6900000000000004</v>
      </c>
      <c r="G60" s="77">
        <v>37.19</v>
      </c>
      <c r="H60" s="77">
        <v>19.079999999999998</v>
      </c>
      <c r="I60" s="9" t="s">
        <v>36</v>
      </c>
      <c r="J60" s="77">
        <v>0.28999999999999998</v>
      </c>
      <c r="K60" s="77">
        <v>31.9</v>
      </c>
      <c r="L60" s="77">
        <v>27.39</v>
      </c>
      <c r="M60" s="77">
        <v>76.56</v>
      </c>
      <c r="N60" s="77">
        <v>277.2</v>
      </c>
      <c r="O60" s="77">
        <v>0</v>
      </c>
      <c r="P60" s="77">
        <v>1.64</v>
      </c>
      <c r="Q60" s="77">
        <v>2.38</v>
      </c>
    </row>
    <row r="61" spans="1:17" s="12" customFormat="1" x14ac:dyDescent="0.25">
      <c r="A61" s="64" t="s">
        <v>1741</v>
      </c>
      <c r="B61" s="77">
        <v>3.21</v>
      </c>
      <c r="C61" s="77">
        <v>18.32</v>
      </c>
      <c r="D61" s="77">
        <v>13.34</v>
      </c>
      <c r="E61" s="77">
        <v>2.0099999999999998</v>
      </c>
      <c r="F61" s="77">
        <v>4.91</v>
      </c>
      <c r="G61" s="77">
        <v>37.090000000000003</v>
      </c>
      <c r="H61" s="77">
        <v>19.079999999999998</v>
      </c>
      <c r="I61" s="9" t="s">
        <v>36</v>
      </c>
      <c r="J61" s="77">
        <v>0.33</v>
      </c>
      <c r="K61" s="77">
        <v>33.340000000000003</v>
      </c>
      <c r="L61" s="77">
        <v>26.35</v>
      </c>
      <c r="M61" s="77">
        <v>80.260000000000005</v>
      </c>
      <c r="N61" s="77">
        <v>309.7</v>
      </c>
      <c r="O61" s="77">
        <v>0</v>
      </c>
      <c r="P61" s="77">
        <v>1.05</v>
      </c>
      <c r="Q61" s="77">
        <v>0.22</v>
      </c>
    </row>
    <row r="62" spans="1:17" s="12" customFormat="1" x14ac:dyDescent="0.25">
      <c r="A62" s="64" t="s">
        <v>1742</v>
      </c>
      <c r="B62" s="77">
        <v>3.33</v>
      </c>
      <c r="C62" s="77">
        <v>18.71</v>
      </c>
      <c r="D62" s="77">
        <v>13.64</v>
      </c>
      <c r="E62" s="77">
        <v>2.36</v>
      </c>
      <c r="F62" s="77">
        <v>4.8</v>
      </c>
      <c r="G62" s="77">
        <v>37.090000000000003</v>
      </c>
      <c r="H62" s="77">
        <v>19.079999999999998</v>
      </c>
      <c r="I62" s="9" t="s">
        <v>36</v>
      </c>
      <c r="J62" s="77">
        <v>0.28000000000000003</v>
      </c>
      <c r="K62" s="77">
        <v>27.41</v>
      </c>
      <c r="L62" s="77">
        <v>26.21</v>
      </c>
      <c r="M62" s="77">
        <v>79.790000000000006</v>
      </c>
      <c r="N62" s="77">
        <v>368.5</v>
      </c>
      <c r="O62" s="77">
        <v>0</v>
      </c>
      <c r="P62" s="77">
        <v>1.47</v>
      </c>
      <c r="Q62" s="77">
        <v>0.54</v>
      </c>
    </row>
    <row r="63" spans="1:17" s="12" customFormat="1" x14ac:dyDescent="0.25">
      <c r="A63" s="64" t="s">
        <v>1743</v>
      </c>
      <c r="B63" s="77">
        <v>3.48</v>
      </c>
      <c r="C63" s="77">
        <v>19.5</v>
      </c>
      <c r="D63" s="77">
        <v>14.2</v>
      </c>
      <c r="E63" s="77">
        <v>0.59</v>
      </c>
      <c r="F63" s="77">
        <v>4.7300000000000004</v>
      </c>
      <c r="G63" s="77">
        <v>37.090000000000003</v>
      </c>
      <c r="H63" s="77">
        <v>19.079999999999998</v>
      </c>
      <c r="I63" s="9" t="s">
        <v>36</v>
      </c>
      <c r="J63" s="77">
        <v>0.31</v>
      </c>
      <c r="K63" s="77">
        <v>33.090000000000003</v>
      </c>
      <c r="L63" s="77">
        <v>26.13</v>
      </c>
      <c r="M63" s="77">
        <v>79.92</v>
      </c>
      <c r="N63" s="77">
        <v>279.89999999999998</v>
      </c>
      <c r="O63" s="77">
        <v>0</v>
      </c>
      <c r="P63" s="77">
        <v>1.48</v>
      </c>
      <c r="Q63" s="77">
        <v>0.39</v>
      </c>
    </row>
    <row r="64" spans="1:17" s="12" customFormat="1" x14ac:dyDescent="0.25">
      <c r="A64" s="64" t="s">
        <v>1744</v>
      </c>
      <c r="B64" s="77">
        <v>3.5</v>
      </c>
      <c r="C64" s="77">
        <v>19.87</v>
      </c>
      <c r="D64" s="77">
        <v>14.42</v>
      </c>
      <c r="E64" s="77">
        <v>1.71</v>
      </c>
      <c r="F64" s="77">
        <v>4.5</v>
      </c>
      <c r="G64" s="77">
        <v>39.9</v>
      </c>
      <c r="H64" s="77">
        <v>15.26</v>
      </c>
      <c r="I64" s="9" t="s">
        <v>36</v>
      </c>
      <c r="J64" s="77">
        <v>0.2</v>
      </c>
      <c r="K64" s="77">
        <v>28.45</v>
      </c>
      <c r="L64" s="77">
        <v>26.14</v>
      </c>
      <c r="M64" s="77">
        <v>79.19</v>
      </c>
      <c r="N64" s="77">
        <v>258</v>
      </c>
      <c r="O64" s="77">
        <v>0</v>
      </c>
      <c r="P64" s="77">
        <v>1.6</v>
      </c>
      <c r="Q64" s="77">
        <v>1.22</v>
      </c>
    </row>
    <row r="65" spans="1:17" s="12" customFormat="1" x14ac:dyDescent="0.25">
      <c r="A65" s="64" t="s">
        <v>1745</v>
      </c>
      <c r="B65" s="77">
        <v>3.73</v>
      </c>
      <c r="C65" s="77">
        <v>19.920000000000002</v>
      </c>
      <c r="D65" s="77">
        <v>14.63</v>
      </c>
      <c r="E65" s="77">
        <v>1.65</v>
      </c>
      <c r="F65" s="77">
        <v>4.72</v>
      </c>
      <c r="G65" s="77">
        <v>40</v>
      </c>
      <c r="H65" s="77">
        <v>15.26</v>
      </c>
      <c r="I65" s="9" t="s">
        <v>36</v>
      </c>
      <c r="J65" s="77">
        <v>0.3</v>
      </c>
      <c r="K65" s="77">
        <v>37.159999999999997</v>
      </c>
      <c r="L65" s="77">
        <v>26.19</v>
      </c>
      <c r="M65" s="77">
        <v>77.92</v>
      </c>
      <c r="N65" s="77">
        <v>255.3</v>
      </c>
      <c r="O65" s="77">
        <v>0</v>
      </c>
      <c r="P65" s="77">
        <v>1.6</v>
      </c>
      <c r="Q65" s="77">
        <v>0.28000000000000003</v>
      </c>
    </row>
    <row r="66" spans="1:17" s="12" customFormat="1" x14ac:dyDescent="0.25">
      <c r="A66" s="64" t="s">
        <v>1746</v>
      </c>
      <c r="B66" s="77">
        <v>4.05</v>
      </c>
      <c r="C66" s="77">
        <v>19.5</v>
      </c>
      <c r="D66" s="77">
        <v>14.65</v>
      </c>
      <c r="E66" s="77">
        <v>2.19</v>
      </c>
      <c r="F66" s="77">
        <v>4.58</v>
      </c>
      <c r="G66" s="77">
        <v>40</v>
      </c>
      <c r="H66" s="77">
        <v>15.26</v>
      </c>
      <c r="I66" s="9" t="s">
        <v>36</v>
      </c>
      <c r="J66" s="77">
        <v>0.3</v>
      </c>
      <c r="K66" s="77">
        <v>39.19</v>
      </c>
      <c r="L66" s="77">
        <v>25.92</v>
      </c>
      <c r="M66" s="77">
        <v>79.34</v>
      </c>
      <c r="N66" s="77">
        <v>233.4</v>
      </c>
      <c r="O66" s="77">
        <v>0</v>
      </c>
      <c r="P66" s="77">
        <v>1.58</v>
      </c>
      <c r="Q66" s="77">
        <v>1.1100000000000001</v>
      </c>
    </row>
    <row r="67" spans="1:17" s="12" customFormat="1" x14ac:dyDescent="0.25">
      <c r="A67" s="64" t="s">
        <v>1747</v>
      </c>
      <c r="B67" s="77">
        <v>4.8499999999999996</v>
      </c>
      <c r="C67" s="77">
        <v>21.81</v>
      </c>
      <c r="D67" s="77">
        <v>16.579999999999998</v>
      </c>
      <c r="E67" s="77">
        <v>1.86</v>
      </c>
      <c r="F67" s="77">
        <v>9.32</v>
      </c>
      <c r="G67" s="77">
        <v>40</v>
      </c>
      <c r="H67" s="77">
        <v>15.26</v>
      </c>
      <c r="I67" s="9" t="s">
        <v>36</v>
      </c>
      <c r="J67" s="77">
        <v>0.19</v>
      </c>
      <c r="K67" s="77">
        <v>23.05</v>
      </c>
      <c r="L67" s="77">
        <v>25.69</v>
      </c>
      <c r="M67" s="77">
        <v>82.81</v>
      </c>
      <c r="N67" s="77">
        <v>170.7</v>
      </c>
      <c r="O67" s="77">
        <v>0.2</v>
      </c>
      <c r="P67" s="77">
        <v>1.55</v>
      </c>
      <c r="Q67" s="77">
        <v>2.97</v>
      </c>
    </row>
    <row r="68" spans="1:17" s="12" customFormat="1" x14ac:dyDescent="0.25">
      <c r="A68" s="64" t="s">
        <v>1748</v>
      </c>
      <c r="B68" s="77">
        <v>5.57</v>
      </c>
      <c r="C68" s="77">
        <v>22.05</v>
      </c>
      <c r="D68" s="77">
        <v>17.29</v>
      </c>
      <c r="E68" s="77">
        <v>2.11</v>
      </c>
      <c r="F68" s="77">
        <v>5.73</v>
      </c>
      <c r="G68" s="77">
        <v>32.270000000000003</v>
      </c>
      <c r="H68" s="77">
        <v>18.22</v>
      </c>
      <c r="I68" s="9" t="s">
        <v>36</v>
      </c>
      <c r="J68" s="77">
        <v>0.27</v>
      </c>
      <c r="K68" s="77">
        <v>40.909999999999997</v>
      </c>
      <c r="L68" s="77">
        <v>25.46</v>
      </c>
      <c r="M68" s="77">
        <v>82.95</v>
      </c>
      <c r="N68" s="77">
        <v>268.8</v>
      </c>
      <c r="O68" s="77">
        <v>0</v>
      </c>
      <c r="P68" s="77">
        <v>1.55</v>
      </c>
      <c r="Q68" s="77">
        <v>2.42</v>
      </c>
    </row>
    <row r="69" spans="1:17" s="12" customFormat="1" x14ac:dyDescent="0.25">
      <c r="A69" s="64" t="s">
        <v>1749</v>
      </c>
      <c r="B69" s="77">
        <v>5.0599999999999996</v>
      </c>
      <c r="C69" s="77">
        <v>20.45</v>
      </c>
      <c r="D69" s="77">
        <v>15.99</v>
      </c>
      <c r="E69" s="77">
        <v>2.4300000000000002</v>
      </c>
      <c r="F69" s="77">
        <v>5.23</v>
      </c>
      <c r="G69" s="77">
        <v>32.01</v>
      </c>
      <c r="H69" s="77">
        <v>18.22</v>
      </c>
      <c r="I69" s="9" t="s">
        <v>36</v>
      </c>
      <c r="J69" s="77">
        <v>0.28999999999999998</v>
      </c>
      <c r="K69" s="77">
        <v>21.82</v>
      </c>
      <c r="L69" s="77">
        <v>26.2</v>
      </c>
      <c r="M69" s="77">
        <v>80.17</v>
      </c>
      <c r="N69" s="77">
        <v>321.5</v>
      </c>
      <c r="O69" s="77">
        <v>0</v>
      </c>
      <c r="P69" s="77">
        <v>1.53</v>
      </c>
      <c r="Q69" s="77">
        <v>3.11</v>
      </c>
    </row>
    <row r="70" spans="1:17" s="12" customFormat="1" x14ac:dyDescent="0.25">
      <c r="A70" s="64" t="s">
        <v>1750</v>
      </c>
      <c r="B70" s="77">
        <v>5.23</v>
      </c>
      <c r="C70" s="77">
        <v>18.53</v>
      </c>
      <c r="D70" s="77">
        <v>15.07</v>
      </c>
      <c r="E70" s="77">
        <v>2.33</v>
      </c>
      <c r="F70" s="77">
        <v>5.73</v>
      </c>
      <c r="G70" s="77">
        <v>32.01</v>
      </c>
      <c r="H70" s="77">
        <v>18.22</v>
      </c>
      <c r="I70" s="9" t="s">
        <v>36</v>
      </c>
      <c r="J70" s="77">
        <v>0.4</v>
      </c>
      <c r="K70" s="77">
        <v>0.28999999999999998</v>
      </c>
      <c r="L70" s="77">
        <v>26.86</v>
      </c>
      <c r="M70" s="77">
        <v>76.72</v>
      </c>
      <c r="N70" s="77">
        <v>257.8</v>
      </c>
      <c r="O70" s="77">
        <v>0</v>
      </c>
      <c r="P70" s="77">
        <v>1.56</v>
      </c>
      <c r="Q70" s="77">
        <v>2.29</v>
      </c>
    </row>
    <row r="71" spans="1:17" s="12" customFormat="1" x14ac:dyDescent="0.25">
      <c r="A71" s="64" t="s">
        <v>1751</v>
      </c>
      <c r="B71" s="77">
        <v>5.0999999999999996</v>
      </c>
      <c r="C71" s="77">
        <v>18.399999999999999</v>
      </c>
      <c r="D71" s="77">
        <v>14.89</v>
      </c>
      <c r="E71" s="77">
        <v>2.1</v>
      </c>
      <c r="F71" s="77">
        <v>4.26</v>
      </c>
      <c r="G71" s="77">
        <v>32.01</v>
      </c>
      <c r="H71" s="77">
        <v>18.22</v>
      </c>
      <c r="I71" s="9" t="s">
        <v>36</v>
      </c>
      <c r="J71" s="77">
        <v>0.36</v>
      </c>
      <c r="K71" s="77">
        <v>8.32</v>
      </c>
      <c r="L71" s="77">
        <v>27.03</v>
      </c>
      <c r="M71" s="77">
        <v>74.900000000000006</v>
      </c>
      <c r="N71" s="77">
        <v>233.7</v>
      </c>
      <c r="O71" s="77">
        <v>0</v>
      </c>
      <c r="P71" s="77">
        <v>1.54</v>
      </c>
      <c r="Q71" s="77">
        <v>3.32</v>
      </c>
    </row>
    <row r="72" spans="1:17" s="12" customFormat="1" x14ac:dyDescent="0.25">
      <c r="A72" s="64" t="s">
        <v>1752</v>
      </c>
      <c r="B72" s="77">
        <v>4.8099999999999996</v>
      </c>
      <c r="C72" s="77">
        <v>18.11</v>
      </c>
      <c r="D72" s="77">
        <v>14.5</v>
      </c>
      <c r="E72" s="77">
        <v>1.34</v>
      </c>
      <c r="F72" s="77">
        <v>4.93</v>
      </c>
      <c r="G72" s="77">
        <v>33.08</v>
      </c>
      <c r="H72" s="77">
        <v>13.82</v>
      </c>
      <c r="I72" s="9" t="s">
        <v>36</v>
      </c>
      <c r="J72" s="77">
        <v>0.32</v>
      </c>
      <c r="K72" s="77">
        <v>32.04</v>
      </c>
      <c r="L72" s="77">
        <v>26.64</v>
      </c>
      <c r="M72" s="77">
        <v>77.849999999999994</v>
      </c>
      <c r="N72" s="77">
        <v>149.9</v>
      </c>
      <c r="O72" s="77">
        <v>0</v>
      </c>
      <c r="P72" s="77">
        <v>1.55</v>
      </c>
      <c r="Q72" s="77">
        <v>1.74</v>
      </c>
    </row>
    <row r="73" spans="1:17" s="12" customFormat="1" x14ac:dyDescent="0.25">
      <c r="A73" s="64" t="s">
        <v>1753</v>
      </c>
      <c r="B73" s="77">
        <v>4.4000000000000004</v>
      </c>
      <c r="C73" s="77">
        <v>17.3</v>
      </c>
      <c r="D73" s="77">
        <v>13.72</v>
      </c>
      <c r="E73" s="77">
        <v>1.39</v>
      </c>
      <c r="F73" s="77">
        <v>5.29</v>
      </c>
      <c r="G73" s="77">
        <v>33.119999999999997</v>
      </c>
      <c r="H73" s="77">
        <v>13.82</v>
      </c>
      <c r="I73" s="9" t="s">
        <v>36</v>
      </c>
      <c r="J73" s="77">
        <v>0.15</v>
      </c>
      <c r="K73" s="77">
        <v>29.44</v>
      </c>
      <c r="L73" s="77">
        <v>26.02</v>
      </c>
      <c r="M73" s="77">
        <v>80.900000000000006</v>
      </c>
      <c r="N73" s="77">
        <v>182.9</v>
      </c>
      <c r="O73" s="77">
        <v>0</v>
      </c>
      <c r="P73" s="77">
        <v>1.51</v>
      </c>
      <c r="Q73" s="77">
        <v>0.08</v>
      </c>
    </row>
    <row r="74" spans="1:17" s="12" customFormat="1" x14ac:dyDescent="0.25">
      <c r="A74" s="64" t="s">
        <v>1754</v>
      </c>
      <c r="B74" s="77">
        <v>3.96</v>
      </c>
      <c r="C74" s="77">
        <v>17.510000000000002</v>
      </c>
      <c r="D74" s="77">
        <v>13.48</v>
      </c>
      <c r="E74" s="77">
        <v>1.36</v>
      </c>
      <c r="F74" s="77">
        <v>4.3600000000000003</v>
      </c>
      <c r="G74" s="77">
        <v>33.119999999999997</v>
      </c>
      <c r="H74" s="77">
        <v>13.82</v>
      </c>
      <c r="I74" s="9" t="s">
        <v>36</v>
      </c>
      <c r="J74" s="77">
        <v>0.21</v>
      </c>
      <c r="K74" s="77">
        <v>29.71</v>
      </c>
      <c r="L74" s="77">
        <v>25.85</v>
      </c>
      <c r="M74" s="77">
        <v>81.93</v>
      </c>
      <c r="N74" s="77">
        <v>169.1</v>
      </c>
      <c r="O74" s="77">
        <v>0</v>
      </c>
      <c r="P74" s="77">
        <v>1.46</v>
      </c>
      <c r="Q74" s="77">
        <v>0.31</v>
      </c>
    </row>
    <row r="75" spans="1:17" s="12" customFormat="1" x14ac:dyDescent="0.25">
      <c r="A75" s="64" t="s">
        <v>1755</v>
      </c>
      <c r="B75" s="77">
        <v>3.81</v>
      </c>
      <c r="C75" s="77">
        <v>17.11</v>
      </c>
      <c r="D75" s="77">
        <v>13.15</v>
      </c>
      <c r="E75" s="77">
        <v>1.42</v>
      </c>
      <c r="F75" s="77">
        <v>4.72</v>
      </c>
      <c r="G75" s="77">
        <v>33.119999999999997</v>
      </c>
      <c r="H75" s="77">
        <v>13.82</v>
      </c>
      <c r="I75" s="9" t="s">
        <v>36</v>
      </c>
      <c r="J75" s="77">
        <v>0.27</v>
      </c>
      <c r="K75" s="77">
        <v>43.66</v>
      </c>
      <c r="L75" s="77">
        <v>25.69</v>
      </c>
      <c r="M75" s="77">
        <v>81.8</v>
      </c>
      <c r="N75" s="77">
        <v>174.8</v>
      </c>
      <c r="O75" s="77">
        <v>0</v>
      </c>
      <c r="P75" s="77">
        <v>1.42</v>
      </c>
      <c r="Q75" s="77">
        <v>0.4</v>
      </c>
    </row>
    <row r="76" spans="1:17" s="12" customFormat="1" x14ac:dyDescent="0.25">
      <c r="A76" s="64" t="s">
        <v>1756</v>
      </c>
      <c r="B76" s="77">
        <v>3.53</v>
      </c>
      <c r="C76" s="77">
        <v>17.68</v>
      </c>
      <c r="D76" s="77">
        <v>13.23</v>
      </c>
      <c r="E76" s="77">
        <v>1.45</v>
      </c>
      <c r="F76" s="77">
        <v>4.82</v>
      </c>
      <c r="G76" s="77">
        <v>29.63</v>
      </c>
      <c r="H76" s="77">
        <v>11.69</v>
      </c>
      <c r="I76" s="9" t="s">
        <v>36</v>
      </c>
      <c r="J76" s="77">
        <v>0.18</v>
      </c>
      <c r="K76" s="77">
        <v>41.97</v>
      </c>
      <c r="L76" s="77">
        <v>25.64</v>
      </c>
      <c r="M76" s="77">
        <v>82.12</v>
      </c>
      <c r="N76" s="77">
        <v>144.69999999999999</v>
      </c>
      <c r="O76" s="77">
        <v>0</v>
      </c>
      <c r="P76" s="77">
        <v>1.37</v>
      </c>
      <c r="Q76" s="77">
        <v>0.46</v>
      </c>
    </row>
    <row r="77" spans="1:17" s="12" customFormat="1" x14ac:dyDescent="0.25">
      <c r="A77" s="64" t="s">
        <v>1757</v>
      </c>
      <c r="B77" s="77">
        <v>3.23</v>
      </c>
      <c r="C77" s="77">
        <v>17.41</v>
      </c>
      <c r="D77" s="77">
        <v>12.85</v>
      </c>
      <c r="E77" s="77">
        <v>1.65</v>
      </c>
      <c r="F77" s="77">
        <v>5.01</v>
      </c>
      <c r="G77" s="77">
        <v>29.5</v>
      </c>
      <c r="H77" s="77">
        <v>11.62</v>
      </c>
      <c r="I77" s="9" t="s">
        <v>36</v>
      </c>
      <c r="J77" s="77">
        <v>0.23</v>
      </c>
      <c r="K77" s="77">
        <v>37.6</v>
      </c>
      <c r="L77" s="77">
        <v>25.55</v>
      </c>
      <c r="M77" s="77">
        <v>81.89</v>
      </c>
      <c r="N77" s="77">
        <v>149.5</v>
      </c>
      <c r="O77" s="77">
        <v>0</v>
      </c>
      <c r="P77" s="77">
        <v>1.36</v>
      </c>
      <c r="Q77" s="77">
        <v>0.08</v>
      </c>
    </row>
    <row r="78" spans="1:17" s="12" customFormat="1" x14ac:dyDescent="0.25">
      <c r="A78" s="64" t="s">
        <v>1758</v>
      </c>
      <c r="B78" s="77">
        <v>3.06</v>
      </c>
      <c r="C78" s="77">
        <v>19.440000000000001</v>
      </c>
      <c r="D78" s="77">
        <v>13.82</v>
      </c>
      <c r="E78" s="77">
        <v>1.46</v>
      </c>
      <c r="F78" s="77">
        <v>6.29</v>
      </c>
      <c r="G78" s="77">
        <v>29.5</v>
      </c>
      <c r="H78" s="77">
        <v>11.62</v>
      </c>
      <c r="I78" s="9" t="s">
        <v>36</v>
      </c>
      <c r="J78" s="77">
        <v>0.08</v>
      </c>
      <c r="K78" s="77">
        <v>51.26</v>
      </c>
      <c r="L78" s="77">
        <v>25.51</v>
      </c>
      <c r="M78" s="77">
        <v>82.08</v>
      </c>
      <c r="N78" s="77">
        <v>127.8</v>
      </c>
      <c r="O78" s="77">
        <v>0.2</v>
      </c>
      <c r="P78" s="77">
        <v>1.3</v>
      </c>
      <c r="Q78" s="77">
        <v>0.1</v>
      </c>
    </row>
    <row r="79" spans="1:17" s="12" customFormat="1" x14ac:dyDescent="0.25">
      <c r="A79" s="64" t="s">
        <v>1759</v>
      </c>
      <c r="B79" s="77">
        <v>3.24</v>
      </c>
      <c r="C79" s="77">
        <v>19.04</v>
      </c>
      <c r="D79" s="77">
        <v>13.75</v>
      </c>
      <c r="E79" s="77">
        <v>1.42</v>
      </c>
      <c r="F79" s="77">
        <v>7.19</v>
      </c>
      <c r="G79" s="77">
        <v>29.5</v>
      </c>
      <c r="H79" s="77">
        <v>11.62</v>
      </c>
      <c r="I79" s="9" t="s">
        <v>36</v>
      </c>
      <c r="J79" s="77">
        <v>0.22</v>
      </c>
      <c r="K79" s="77">
        <v>29.83</v>
      </c>
      <c r="L79" s="77">
        <v>25.37</v>
      </c>
      <c r="M79" s="77">
        <v>83.27</v>
      </c>
      <c r="N79" s="77">
        <v>111.8</v>
      </c>
      <c r="O79" s="77">
        <v>0</v>
      </c>
      <c r="P79" s="77">
        <v>1.28</v>
      </c>
      <c r="Q79" s="77">
        <v>1.1100000000000001</v>
      </c>
    </row>
    <row r="80" spans="1:17" s="12" customFormat="1" x14ac:dyDescent="0.25">
      <c r="A80" s="64" t="s">
        <v>1760</v>
      </c>
      <c r="B80" s="77">
        <v>3.25</v>
      </c>
      <c r="C80" s="77">
        <v>17.88</v>
      </c>
      <c r="D80" s="77">
        <v>13.12</v>
      </c>
      <c r="E80" s="77">
        <v>1.29</v>
      </c>
      <c r="F80" s="77">
        <v>6.06</v>
      </c>
      <c r="G80" s="77">
        <v>30.02</v>
      </c>
      <c r="H80" s="77">
        <v>11.65</v>
      </c>
      <c r="I80" s="9" t="s">
        <v>36</v>
      </c>
      <c r="J80" s="77">
        <v>0.35</v>
      </c>
      <c r="K80" s="77">
        <v>51.15</v>
      </c>
      <c r="L80" s="77">
        <v>25.36</v>
      </c>
      <c r="M80" s="77">
        <v>83.37</v>
      </c>
      <c r="N80" s="77">
        <v>91.7</v>
      </c>
      <c r="O80" s="77">
        <v>0</v>
      </c>
      <c r="P80" s="77">
        <v>1.25</v>
      </c>
      <c r="Q80" s="77">
        <v>1.62</v>
      </c>
    </row>
    <row r="81" spans="1:17" s="12" customFormat="1" x14ac:dyDescent="0.25">
      <c r="A81" s="64" t="s">
        <v>1761</v>
      </c>
      <c r="B81" s="77">
        <v>3.5</v>
      </c>
      <c r="C81" s="77">
        <v>17.43</v>
      </c>
      <c r="D81" s="77">
        <v>13.07</v>
      </c>
      <c r="E81" s="77">
        <v>1.6</v>
      </c>
      <c r="F81" s="77">
        <v>5.83</v>
      </c>
      <c r="G81" s="77">
        <v>30.04</v>
      </c>
      <c r="H81" s="77">
        <v>11.65</v>
      </c>
      <c r="I81" s="9" t="s">
        <v>36</v>
      </c>
      <c r="J81" s="77">
        <v>0.35</v>
      </c>
      <c r="K81" s="77">
        <v>43.32</v>
      </c>
      <c r="L81" s="77">
        <v>25.17</v>
      </c>
      <c r="M81" s="77">
        <v>83.71</v>
      </c>
      <c r="N81" s="77">
        <v>63.3</v>
      </c>
      <c r="O81" s="77">
        <v>0</v>
      </c>
      <c r="P81" s="77">
        <v>1.25</v>
      </c>
      <c r="Q81" s="77">
        <v>1.3</v>
      </c>
    </row>
    <row r="82" spans="1:17" s="12" customFormat="1" x14ac:dyDescent="0.25">
      <c r="A82" s="64" t="s">
        <v>1762</v>
      </c>
      <c r="B82" s="77">
        <v>4.01</v>
      </c>
      <c r="C82" s="77">
        <v>19.02</v>
      </c>
      <c r="D82" s="77">
        <v>14.36</v>
      </c>
      <c r="E82" s="77">
        <v>1.43</v>
      </c>
      <c r="F82" s="77">
        <v>5.65</v>
      </c>
      <c r="G82" s="77">
        <v>30.04</v>
      </c>
      <c r="H82" s="77">
        <v>11.65</v>
      </c>
      <c r="I82" s="9" t="s">
        <v>36</v>
      </c>
      <c r="J82" s="77">
        <v>0.34</v>
      </c>
      <c r="K82" s="77">
        <v>45.49</v>
      </c>
      <c r="L82" s="77">
        <v>25.04</v>
      </c>
      <c r="M82" s="77">
        <v>84.86</v>
      </c>
      <c r="N82" s="77">
        <v>48.7</v>
      </c>
      <c r="O82" s="77">
        <v>0</v>
      </c>
      <c r="P82" s="77">
        <v>1.22</v>
      </c>
      <c r="Q82" s="77">
        <v>2.2400000000000002</v>
      </c>
    </row>
    <row r="83" spans="1:17" s="12" customFormat="1" x14ac:dyDescent="0.25">
      <c r="A83" s="64" t="s">
        <v>1763</v>
      </c>
      <c r="B83" s="77">
        <v>3.62</v>
      </c>
      <c r="C83" s="77">
        <v>18.34</v>
      </c>
      <c r="D83" s="77">
        <v>13.67</v>
      </c>
      <c r="E83" s="77">
        <v>1.68</v>
      </c>
      <c r="F83" s="77">
        <v>5.41</v>
      </c>
      <c r="G83" s="77">
        <v>30.04</v>
      </c>
      <c r="H83" s="77">
        <v>11.65</v>
      </c>
      <c r="I83" s="9" t="s">
        <v>36</v>
      </c>
      <c r="J83" s="77">
        <v>0.28999999999999998</v>
      </c>
      <c r="K83" s="77">
        <v>40.299999999999997</v>
      </c>
      <c r="L83" s="77">
        <v>24.82</v>
      </c>
      <c r="M83" s="77">
        <v>85.82</v>
      </c>
      <c r="N83" s="77">
        <v>39.200000000000003</v>
      </c>
      <c r="O83" s="77">
        <v>0</v>
      </c>
      <c r="P83" s="77">
        <v>1.22</v>
      </c>
      <c r="Q83" s="77">
        <v>1.44</v>
      </c>
    </row>
    <row r="84" spans="1:17" s="12" customFormat="1" x14ac:dyDescent="0.25">
      <c r="A84" s="64" t="s">
        <v>1764</v>
      </c>
      <c r="B84" s="77">
        <v>3.16</v>
      </c>
      <c r="C84" s="77">
        <v>18.170000000000002</v>
      </c>
      <c r="D84" s="77">
        <v>13.2</v>
      </c>
      <c r="E84" s="77">
        <v>1.47</v>
      </c>
      <c r="F84" s="77">
        <v>5.25</v>
      </c>
      <c r="G84" s="77">
        <v>30.95</v>
      </c>
      <c r="H84" s="77">
        <v>14.58</v>
      </c>
      <c r="I84" s="9" t="s">
        <v>36</v>
      </c>
      <c r="J84" s="77">
        <v>0.27</v>
      </c>
      <c r="K84" s="77">
        <v>39.97</v>
      </c>
      <c r="L84" s="77">
        <v>24.71</v>
      </c>
      <c r="M84" s="77">
        <v>86.6</v>
      </c>
      <c r="N84" s="77">
        <v>37.4</v>
      </c>
      <c r="O84" s="77">
        <v>0</v>
      </c>
      <c r="P84" s="77">
        <v>1.19</v>
      </c>
      <c r="Q84" s="77">
        <v>0.37</v>
      </c>
    </row>
    <row r="85" spans="1:17" s="12" customFormat="1" x14ac:dyDescent="0.25">
      <c r="A85" s="64" t="s">
        <v>1765</v>
      </c>
      <c r="B85" s="77">
        <v>2.95</v>
      </c>
      <c r="C85" s="77">
        <v>17.82</v>
      </c>
      <c r="D85" s="77">
        <v>12.85</v>
      </c>
      <c r="E85" s="77">
        <v>0.85</v>
      </c>
      <c r="F85" s="77">
        <v>5.09</v>
      </c>
      <c r="G85" s="77">
        <v>30.98</v>
      </c>
      <c r="H85" s="77">
        <v>14.58</v>
      </c>
      <c r="I85" s="9" t="s">
        <v>36</v>
      </c>
      <c r="J85" s="77">
        <v>0.26</v>
      </c>
      <c r="K85" s="77">
        <v>35.29</v>
      </c>
      <c r="L85" s="77">
        <v>24.39</v>
      </c>
      <c r="M85" s="77">
        <v>88.01</v>
      </c>
      <c r="N85" s="77">
        <v>37</v>
      </c>
      <c r="O85" s="77">
        <v>0</v>
      </c>
      <c r="P85" s="77">
        <v>0.77</v>
      </c>
      <c r="Q85" s="77">
        <v>0.19</v>
      </c>
    </row>
    <row r="86" spans="1:17" s="12" customFormat="1" x14ac:dyDescent="0.25">
      <c r="A86" s="64" t="s">
        <v>1766</v>
      </c>
      <c r="B86" s="77">
        <v>2.77</v>
      </c>
      <c r="C86" s="77">
        <v>17.41</v>
      </c>
      <c r="D86" s="77">
        <v>12.48</v>
      </c>
      <c r="E86" s="77">
        <v>0.91</v>
      </c>
      <c r="F86" s="77">
        <v>5.0599999999999996</v>
      </c>
      <c r="G86" s="77">
        <v>30.98</v>
      </c>
      <c r="H86" s="77">
        <v>14.58</v>
      </c>
      <c r="I86" s="9" t="s">
        <v>36</v>
      </c>
      <c r="J86" s="77">
        <v>0.27</v>
      </c>
      <c r="K86" s="77">
        <v>34.380000000000003</v>
      </c>
      <c r="L86" s="77">
        <v>24.06</v>
      </c>
      <c r="M86" s="77">
        <v>90.83</v>
      </c>
      <c r="N86" s="77">
        <v>36.1</v>
      </c>
      <c r="O86" s="77">
        <v>0</v>
      </c>
      <c r="P86" s="77">
        <v>1.19</v>
      </c>
      <c r="Q86" s="77">
        <v>0</v>
      </c>
    </row>
    <row r="87" spans="1:17" s="12" customFormat="1" x14ac:dyDescent="0.25">
      <c r="A87" s="64" t="s">
        <v>1767</v>
      </c>
      <c r="B87" s="77">
        <v>2.95</v>
      </c>
      <c r="C87" s="77">
        <v>17.3</v>
      </c>
      <c r="D87" s="77">
        <v>12.56</v>
      </c>
      <c r="E87" s="77">
        <v>1.05</v>
      </c>
      <c r="F87" s="77">
        <v>4.34</v>
      </c>
      <c r="G87" s="77">
        <v>30.98</v>
      </c>
      <c r="H87" s="77">
        <v>14.58</v>
      </c>
      <c r="I87" s="9" t="s">
        <v>36</v>
      </c>
      <c r="J87" s="77">
        <v>0.3</v>
      </c>
      <c r="K87" s="77">
        <v>42.79</v>
      </c>
      <c r="L87" s="77">
        <v>23.9</v>
      </c>
      <c r="M87" s="77">
        <v>93.16</v>
      </c>
      <c r="N87" s="77">
        <v>36.299999999999997</v>
      </c>
      <c r="O87" s="77">
        <v>0</v>
      </c>
      <c r="P87" s="77">
        <v>1.19</v>
      </c>
      <c r="Q87" s="77">
        <v>0.05</v>
      </c>
    </row>
    <row r="88" spans="1:17" s="12" customFormat="1" x14ac:dyDescent="0.25">
      <c r="A88" s="64" t="s">
        <v>1768</v>
      </c>
      <c r="B88" s="77">
        <v>3.18</v>
      </c>
      <c r="C88" s="77">
        <v>17.170000000000002</v>
      </c>
      <c r="D88" s="77">
        <v>12.67</v>
      </c>
      <c r="E88" s="77">
        <v>0.97</v>
      </c>
      <c r="F88" s="77">
        <v>4.41</v>
      </c>
      <c r="G88" s="77">
        <v>28.02</v>
      </c>
      <c r="H88" s="77">
        <v>11.44</v>
      </c>
      <c r="I88" s="9" t="s">
        <v>36</v>
      </c>
      <c r="J88" s="77">
        <v>0.25</v>
      </c>
      <c r="K88" s="77">
        <v>31.31</v>
      </c>
      <c r="L88" s="77">
        <v>23.74</v>
      </c>
      <c r="M88" s="77">
        <v>94.53</v>
      </c>
      <c r="N88" s="77">
        <v>36.299999999999997</v>
      </c>
      <c r="O88" s="77">
        <v>0</v>
      </c>
      <c r="P88" s="77">
        <v>1.21</v>
      </c>
      <c r="Q88" s="77">
        <v>0</v>
      </c>
    </row>
    <row r="89" spans="1:17" s="12" customFormat="1" x14ac:dyDescent="0.25">
      <c r="A89" s="64" t="s">
        <v>1769</v>
      </c>
      <c r="B89" s="77">
        <v>3.36</v>
      </c>
      <c r="C89" s="77">
        <v>17.16</v>
      </c>
      <c r="D89" s="77">
        <v>12.81</v>
      </c>
      <c r="E89" s="77">
        <v>0.78</v>
      </c>
      <c r="F89" s="77">
        <v>3.73</v>
      </c>
      <c r="G89" s="77">
        <v>27.91</v>
      </c>
      <c r="H89" s="77">
        <v>11.44</v>
      </c>
      <c r="I89" s="9" t="s">
        <v>36</v>
      </c>
      <c r="J89" s="77">
        <v>0.28000000000000003</v>
      </c>
      <c r="K89" s="77">
        <v>28.26</v>
      </c>
      <c r="L89" s="77">
        <v>23.5</v>
      </c>
      <c r="M89" s="77">
        <v>95.9</v>
      </c>
      <c r="N89" s="77">
        <v>36.799999999999997</v>
      </c>
      <c r="O89" s="77">
        <v>0.4</v>
      </c>
      <c r="P89" s="77">
        <v>1.22</v>
      </c>
      <c r="Q89" s="77">
        <v>0</v>
      </c>
    </row>
    <row r="90" spans="1:17" s="12" customFormat="1" x14ac:dyDescent="0.25">
      <c r="A90" s="64" t="s">
        <v>1770</v>
      </c>
      <c r="B90" s="77">
        <v>3.51</v>
      </c>
      <c r="C90" s="77">
        <v>16.16</v>
      </c>
      <c r="D90" s="77">
        <v>12.38</v>
      </c>
      <c r="E90" s="77">
        <v>0.74</v>
      </c>
      <c r="F90" s="77">
        <v>5.0999999999999996</v>
      </c>
      <c r="G90" s="77">
        <v>27.91</v>
      </c>
      <c r="H90" s="77">
        <v>11.44</v>
      </c>
      <c r="I90" s="9" t="s">
        <v>36</v>
      </c>
      <c r="J90" s="77">
        <v>0.19</v>
      </c>
      <c r="K90" s="77">
        <v>29.46</v>
      </c>
      <c r="L90" s="77">
        <v>23.08</v>
      </c>
      <c r="M90" s="77">
        <v>97.18</v>
      </c>
      <c r="N90" s="77">
        <v>37.5</v>
      </c>
      <c r="O90" s="77">
        <v>0.6</v>
      </c>
      <c r="P90" s="77">
        <v>1.2</v>
      </c>
      <c r="Q90" s="77">
        <v>0.4</v>
      </c>
    </row>
    <row r="91" spans="1:17" s="12" customFormat="1" x14ac:dyDescent="0.25">
      <c r="A91" s="64" t="s">
        <v>1771</v>
      </c>
      <c r="B91" s="77">
        <v>3.57</v>
      </c>
      <c r="C91" s="77">
        <v>16.68</v>
      </c>
      <c r="D91" s="77">
        <v>12.71</v>
      </c>
      <c r="E91" s="77">
        <v>1.07</v>
      </c>
      <c r="F91" s="77">
        <v>5.97</v>
      </c>
      <c r="G91" s="77">
        <v>27.91</v>
      </c>
      <c r="H91" s="77">
        <v>11.44</v>
      </c>
      <c r="I91" s="9" t="s">
        <v>36</v>
      </c>
      <c r="J91" s="77">
        <v>0.28000000000000003</v>
      </c>
      <c r="K91" s="77">
        <v>37.6</v>
      </c>
      <c r="L91" s="77">
        <v>22.87</v>
      </c>
      <c r="M91" s="77">
        <v>97.18</v>
      </c>
      <c r="N91" s="77">
        <v>37.1</v>
      </c>
      <c r="O91" s="77">
        <v>0.2</v>
      </c>
      <c r="P91" s="77">
        <v>1.18</v>
      </c>
      <c r="Q91" s="77">
        <v>0.92</v>
      </c>
    </row>
    <row r="92" spans="1:17" s="12" customFormat="1" x14ac:dyDescent="0.25">
      <c r="A92" s="64" t="s">
        <v>1772</v>
      </c>
      <c r="B92" s="77">
        <v>3.56</v>
      </c>
      <c r="C92" s="77">
        <v>15.48</v>
      </c>
      <c r="D92" s="77">
        <v>12.04</v>
      </c>
      <c r="E92" s="77">
        <v>0.62</v>
      </c>
      <c r="F92" s="77">
        <v>5.43</v>
      </c>
      <c r="G92" s="77">
        <v>20.41</v>
      </c>
      <c r="H92" s="77">
        <v>13.08</v>
      </c>
      <c r="I92" s="9" t="s">
        <v>36</v>
      </c>
      <c r="J92" s="77">
        <v>0.18</v>
      </c>
      <c r="K92" s="77">
        <v>34.29</v>
      </c>
      <c r="L92" s="77">
        <v>22.81</v>
      </c>
      <c r="M92" s="77">
        <v>97.21</v>
      </c>
      <c r="N92" s="77">
        <v>37.1</v>
      </c>
      <c r="O92" s="77">
        <v>0</v>
      </c>
      <c r="P92" s="77">
        <v>1.18</v>
      </c>
      <c r="Q92" s="77">
        <v>1.02</v>
      </c>
    </row>
    <row r="93" spans="1:17" s="12" customFormat="1" x14ac:dyDescent="0.25">
      <c r="A93" s="64" t="s">
        <v>1773</v>
      </c>
      <c r="B93" s="77">
        <v>3.93</v>
      </c>
      <c r="C93" s="77">
        <v>16.82</v>
      </c>
      <c r="D93" s="77">
        <v>13.09</v>
      </c>
      <c r="E93" s="77">
        <v>1.2</v>
      </c>
      <c r="F93" s="77">
        <v>8.64</v>
      </c>
      <c r="G93" s="77">
        <v>20.149999999999999</v>
      </c>
      <c r="H93" s="77">
        <v>13.08</v>
      </c>
      <c r="I93" s="9" t="s">
        <v>36</v>
      </c>
      <c r="J93" s="77">
        <v>0.14000000000000001</v>
      </c>
      <c r="K93" s="77">
        <v>27.58</v>
      </c>
      <c r="L93" s="77">
        <v>22.88</v>
      </c>
      <c r="M93" s="77">
        <v>97.21</v>
      </c>
      <c r="N93" s="77">
        <v>36.9</v>
      </c>
      <c r="O93" s="77">
        <v>0</v>
      </c>
      <c r="P93" s="77">
        <v>1.1599999999999999</v>
      </c>
      <c r="Q93" s="77">
        <v>1.39</v>
      </c>
    </row>
    <row r="94" spans="1:17" s="12" customFormat="1" x14ac:dyDescent="0.25">
      <c r="A94" s="64" t="s">
        <v>1774</v>
      </c>
      <c r="B94" s="77">
        <v>4.13</v>
      </c>
      <c r="C94" s="77">
        <v>15.01</v>
      </c>
      <c r="D94" s="77">
        <v>12.24</v>
      </c>
      <c r="E94" s="77">
        <v>1.18</v>
      </c>
      <c r="F94" s="77">
        <v>5.47</v>
      </c>
      <c r="G94" s="77">
        <v>20.149999999999999</v>
      </c>
      <c r="H94" s="77">
        <v>13.08</v>
      </c>
      <c r="I94" s="9" t="s">
        <v>36</v>
      </c>
      <c r="J94" s="77">
        <v>0.23</v>
      </c>
      <c r="K94" s="77">
        <v>30.07</v>
      </c>
      <c r="L94" s="77">
        <v>22.92</v>
      </c>
      <c r="M94" s="77">
        <v>97.2</v>
      </c>
      <c r="N94" s="77">
        <v>37</v>
      </c>
      <c r="O94" s="77">
        <v>0</v>
      </c>
      <c r="P94" s="77">
        <v>1.1599999999999999</v>
      </c>
      <c r="Q94" s="77">
        <v>1.47</v>
      </c>
    </row>
    <row r="95" spans="1:17" s="12" customFormat="1" x14ac:dyDescent="0.25">
      <c r="A95" s="64" t="s">
        <v>1775</v>
      </c>
      <c r="B95" s="77">
        <v>4.25</v>
      </c>
      <c r="C95" s="77">
        <v>16.03</v>
      </c>
      <c r="D95" s="77">
        <v>12.9</v>
      </c>
      <c r="E95" s="77">
        <v>0.74</v>
      </c>
      <c r="F95" s="77">
        <v>3.42</v>
      </c>
      <c r="G95" s="77">
        <v>20.149999999999999</v>
      </c>
      <c r="H95" s="77">
        <v>13.08</v>
      </c>
      <c r="I95" s="9" t="s">
        <v>36</v>
      </c>
      <c r="J95" s="77">
        <v>0.25</v>
      </c>
      <c r="K95" s="77">
        <v>39.729999999999997</v>
      </c>
      <c r="L95" s="77">
        <v>22.96</v>
      </c>
      <c r="M95" s="77">
        <v>97.18</v>
      </c>
      <c r="N95" s="77">
        <v>37.200000000000003</v>
      </c>
      <c r="O95" s="77">
        <v>0</v>
      </c>
      <c r="P95" s="77">
        <v>1.1299999999999999</v>
      </c>
      <c r="Q95" s="77">
        <v>1.68</v>
      </c>
    </row>
    <row r="96" spans="1:17" s="12" customFormat="1" x14ac:dyDescent="0.25">
      <c r="A96" s="64" t="s">
        <v>1776</v>
      </c>
      <c r="B96" s="77">
        <v>4.33</v>
      </c>
      <c r="C96" s="77">
        <v>15.53</v>
      </c>
      <c r="D96" s="77">
        <v>12.68</v>
      </c>
      <c r="E96" s="77">
        <v>0.98</v>
      </c>
      <c r="F96" s="77">
        <v>4.17</v>
      </c>
      <c r="G96" s="77">
        <v>17.190000000000001</v>
      </c>
      <c r="H96" s="77">
        <v>10.14</v>
      </c>
      <c r="I96" s="9" t="s">
        <v>36</v>
      </c>
      <c r="J96" s="77">
        <v>0.17</v>
      </c>
      <c r="K96" s="77">
        <v>39.29</v>
      </c>
      <c r="L96" s="77">
        <v>22.72</v>
      </c>
      <c r="M96" s="77">
        <v>97.18</v>
      </c>
      <c r="N96" s="77">
        <v>37.200000000000003</v>
      </c>
      <c r="O96" s="77">
        <v>0.2</v>
      </c>
      <c r="P96" s="77">
        <v>1.1000000000000001</v>
      </c>
      <c r="Q96" s="77">
        <v>0.34</v>
      </c>
    </row>
    <row r="97" spans="1:22" s="12" customFormat="1" x14ac:dyDescent="0.25">
      <c r="A97" s="64" t="s">
        <v>1777</v>
      </c>
      <c r="B97" s="77">
        <v>4.1399999999999997</v>
      </c>
      <c r="C97" s="77">
        <v>16.02</v>
      </c>
      <c r="D97" s="77">
        <v>12.81</v>
      </c>
      <c r="E97" s="77">
        <v>1.42</v>
      </c>
      <c r="F97" s="77">
        <v>4.05</v>
      </c>
      <c r="G97" s="77">
        <v>17.079999999999998</v>
      </c>
      <c r="H97" s="77">
        <v>10.039999999999999</v>
      </c>
      <c r="I97" s="9" t="s">
        <v>36</v>
      </c>
      <c r="J97" s="77">
        <v>0.21</v>
      </c>
      <c r="K97" s="77">
        <v>40.96</v>
      </c>
      <c r="L97" s="77">
        <v>22.52</v>
      </c>
      <c r="M97" s="77">
        <v>97.2</v>
      </c>
      <c r="N97" s="77">
        <v>37.1</v>
      </c>
      <c r="O97" s="77">
        <v>0.2</v>
      </c>
      <c r="P97" s="77">
        <v>1.0900000000000001</v>
      </c>
      <c r="Q97" s="77">
        <v>0.24</v>
      </c>
    </row>
    <row r="98" spans="1:22" s="12" customFormat="1" x14ac:dyDescent="0.25">
      <c r="A98" s="64" t="s">
        <v>1778</v>
      </c>
      <c r="B98" s="77">
        <v>3.8</v>
      </c>
      <c r="C98" s="77">
        <v>15.6</v>
      </c>
      <c r="D98" s="77">
        <v>12.3</v>
      </c>
      <c r="E98" s="77">
        <v>1</v>
      </c>
      <c r="F98" s="77">
        <v>4.25</v>
      </c>
      <c r="G98" s="77">
        <v>17.079999999999998</v>
      </c>
      <c r="H98" s="77">
        <v>10.039999999999999</v>
      </c>
      <c r="I98" s="9" t="s">
        <v>36</v>
      </c>
      <c r="J98" s="77">
        <v>0.22</v>
      </c>
      <c r="K98" s="77">
        <v>38.31</v>
      </c>
      <c r="L98" s="77">
        <v>22.33</v>
      </c>
      <c r="M98" s="77">
        <v>97.23</v>
      </c>
      <c r="N98" s="77">
        <v>37.200000000000003</v>
      </c>
      <c r="O98" s="77">
        <v>0.2</v>
      </c>
      <c r="P98" s="77">
        <v>1.08</v>
      </c>
      <c r="Q98" s="77">
        <v>0.17</v>
      </c>
    </row>
    <row r="99" spans="1:22" s="12" customFormat="1" x14ac:dyDescent="0.25">
      <c r="A99" s="64" t="s">
        <v>1779</v>
      </c>
      <c r="B99" s="77">
        <v>3.53</v>
      </c>
      <c r="C99" s="77">
        <v>16.2</v>
      </c>
      <c r="D99" s="77">
        <v>12.42</v>
      </c>
      <c r="E99" s="77">
        <v>0.91</v>
      </c>
      <c r="F99" s="77">
        <v>3.86</v>
      </c>
      <c r="G99" s="77">
        <v>17.079999999999998</v>
      </c>
      <c r="H99" s="77">
        <v>10.039999999999999</v>
      </c>
      <c r="I99" s="9" t="s">
        <v>36</v>
      </c>
      <c r="J99" s="77">
        <v>0.25</v>
      </c>
      <c r="K99" s="77">
        <v>42.58</v>
      </c>
      <c r="L99" s="77">
        <v>22.28</v>
      </c>
      <c r="M99" s="77">
        <v>97.23</v>
      </c>
      <c r="N99" s="77">
        <v>37.1</v>
      </c>
      <c r="O99" s="77">
        <v>0.2</v>
      </c>
      <c r="P99" s="77">
        <v>1.07</v>
      </c>
      <c r="Q99" s="77">
        <v>0.15</v>
      </c>
    </row>
    <row r="100" spans="1:22" s="12" customFormat="1" x14ac:dyDescent="0.25">
      <c r="A100" s="64" t="s">
        <v>1780</v>
      </c>
      <c r="B100" s="77">
        <v>3.37</v>
      </c>
      <c r="C100" s="77">
        <v>15.72</v>
      </c>
      <c r="D100" s="77">
        <v>12.02</v>
      </c>
      <c r="E100" s="77">
        <v>0.56000000000000005</v>
      </c>
      <c r="F100" s="77">
        <v>4.21</v>
      </c>
      <c r="G100" s="77">
        <v>18.13</v>
      </c>
      <c r="H100" s="77">
        <v>12.14</v>
      </c>
      <c r="I100" s="9" t="s">
        <v>36</v>
      </c>
      <c r="J100" s="77">
        <v>0.19</v>
      </c>
      <c r="K100" s="77">
        <v>25.95</v>
      </c>
      <c r="L100" s="77">
        <v>22.25</v>
      </c>
      <c r="M100" s="77">
        <v>97.23</v>
      </c>
      <c r="N100" s="77">
        <v>37.1</v>
      </c>
      <c r="O100" s="77">
        <v>0</v>
      </c>
      <c r="P100" s="77">
        <v>1.01</v>
      </c>
      <c r="Q100" s="77">
        <v>0.24</v>
      </c>
    </row>
    <row r="101" spans="1:22" s="12" customFormat="1" x14ac:dyDescent="0.25">
      <c r="A101" s="64" t="s">
        <v>1781</v>
      </c>
      <c r="B101" s="77">
        <v>3.1</v>
      </c>
      <c r="C101" s="77">
        <v>15.48</v>
      </c>
      <c r="D101" s="77">
        <v>11.67</v>
      </c>
      <c r="E101" s="77">
        <v>0.66</v>
      </c>
      <c r="F101" s="77">
        <v>4.49</v>
      </c>
      <c r="G101" s="77">
        <v>18.170000000000002</v>
      </c>
      <c r="H101" s="77">
        <v>12.14</v>
      </c>
      <c r="I101" s="9" t="s">
        <v>36</v>
      </c>
      <c r="J101" s="77">
        <v>0.26</v>
      </c>
      <c r="K101" s="77">
        <v>33.39</v>
      </c>
      <c r="L101" s="77">
        <v>22.24</v>
      </c>
      <c r="M101" s="77">
        <v>97.23</v>
      </c>
      <c r="N101" s="77">
        <v>37.200000000000003</v>
      </c>
      <c r="O101" s="77">
        <v>0</v>
      </c>
      <c r="P101" s="77">
        <v>1.01</v>
      </c>
      <c r="Q101" s="77">
        <v>0.01</v>
      </c>
    </row>
    <row r="102" spans="1:22" s="12" customFormat="1" x14ac:dyDescent="0.25">
      <c r="A102" s="64" t="s">
        <v>1782</v>
      </c>
      <c r="B102" s="77">
        <v>2.93</v>
      </c>
      <c r="C102" s="77">
        <v>15.03</v>
      </c>
      <c r="D102" s="77">
        <v>11.29</v>
      </c>
      <c r="E102" s="77">
        <v>0.93</v>
      </c>
      <c r="F102" s="77">
        <v>5.1100000000000003</v>
      </c>
      <c r="G102" s="77">
        <v>18.170000000000002</v>
      </c>
      <c r="H102" s="77">
        <v>12.14</v>
      </c>
      <c r="I102" s="9" t="s">
        <v>36</v>
      </c>
      <c r="J102" s="77">
        <v>0.22</v>
      </c>
      <c r="K102" s="77">
        <v>35.68</v>
      </c>
      <c r="L102" s="77">
        <v>22.31</v>
      </c>
      <c r="M102" s="77">
        <v>97.22</v>
      </c>
      <c r="N102" s="77">
        <v>36.9</v>
      </c>
      <c r="O102" s="77">
        <v>0</v>
      </c>
      <c r="P102" s="77">
        <v>0.99</v>
      </c>
      <c r="Q102" s="77">
        <v>0.51</v>
      </c>
    </row>
    <row r="103" spans="1:22" s="12" customFormat="1" x14ac:dyDescent="0.25">
      <c r="A103" s="64" t="s">
        <v>1783</v>
      </c>
      <c r="B103" s="77">
        <v>3.09</v>
      </c>
      <c r="C103" s="77">
        <v>14.11</v>
      </c>
      <c r="D103" s="77">
        <v>10.91</v>
      </c>
      <c r="E103" s="77">
        <v>0.45</v>
      </c>
      <c r="F103" s="77">
        <v>5.56</v>
      </c>
      <c r="G103" s="77">
        <v>18.170000000000002</v>
      </c>
      <c r="H103" s="77">
        <v>12.14</v>
      </c>
      <c r="I103" s="9" t="s">
        <v>36</v>
      </c>
      <c r="J103" s="77">
        <v>0.28000000000000003</v>
      </c>
      <c r="K103" s="77">
        <v>36.17</v>
      </c>
      <c r="L103" s="77">
        <v>22.31</v>
      </c>
      <c r="M103" s="77">
        <v>97.23</v>
      </c>
      <c r="N103" s="77">
        <v>37</v>
      </c>
      <c r="O103" s="77">
        <v>1</v>
      </c>
      <c r="P103" s="77">
        <v>0.98</v>
      </c>
      <c r="Q103" s="77">
        <v>0.44</v>
      </c>
    </row>
    <row r="104" spans="1:22" s="12" customFormat="1" x14ac:dyDescent="0.25">
      <c r="A104" s="64" t="s">
        <v>1784</v>
      </c>
      <c r="B104" s="77">
        <v>3.19</v>
      </c>
      <c r="C104" s="77">
        <v>14.32</v>
      </c>
      <c r="D104" s="77">
        <v>11.1</v>
      </c>
      <c r="E104" s="77">
        <v>1.66</v>
      </c>
      <c r="F104" s="77">
        <v>5.5</v>
      </c>
      <c r="G104" s="77">
        <v>13.43</v>
      </c>
      <c r="H104" s="77">
        <v>9.65</v>
      </c>
      <c r="I104" s="9" t="s">
        <v>36</v>
      </c>
      <c r="J104" s="77">
        <v>0.28000000000000003</v>
      </c>
      <c r="K104" s="77">
        <v>31.68</v>
      </c>
      <c r="L104" s="77">
        <v>21.98</v>
      </c>
      <c r="M104" s="77">
        <v>97.23</v>
      </c>
      <c r="N104" s="77">
        <v>37.299999999999997</v>
      </c>
      <c r="O104" s="77">
        <v>3.6</v>
      </c>
      <c r="P104" s="77">
        <v>0.97</v>
      </c>
      <c r="Q104" s="77">
        <v>0.83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2.77</v>
      </c>
      <c r="C106" s="67">
        <f>MIN(C9:C104)</f>
        <v>12.3</v>
      </c>
      <c r="D106" s="67">
        <f t="shared" ref="D106:Q106" si="0">MIN(D9:D104)</f>
        <v>10.58</v>
      </c>
      <c r="E106" s="67">
        <f t="shared" si="0"/>
        <v>0.45</v>
      </c>
      <c r="F106" s="67">
        <f t="shared" si="0"/>
        <v>2.8</v>
      </c>
      <c r="G106" s="67">
        <f t="shared" si="0"/>
        <v>8.1300000000000008</v>
      </c>
      <c r="H106" s="67">
        <f t="shared" si="0"/>
        <v>6.55</v>
      </c>
      <c r="I106" s="67">
        <f t="shared" si="0"/>
        <v>0</v>
      </c>
      <c r="J106" s="67">
        <f t="shared" si="0"/>
        <v>0.02</v>
      </c>
      <c r="K106" s="67">
        <f t="shared" si="0"/>
        <v>0.28999999999999998</v>
      </c>
      <c r="L106" s="67">
        <f t="shared" si="0"/>
        <v>21.64</v>
      </c>
      <c r="M106" s="67">
        <f t="shared" si="0"/>
        <v>74.900000000000006</v>
      </c>
      <c r="N106" s="67">
        <f t="shared" si="0"/>
        <v>36.1</v>
      </c>
      <c r="O106" s="67">
        <f t="shared" si="0"/>
        <v>0</v>
      </c>
      <c r="P106" s="67">
        <f t="shared" si="0"/>
        <v>0.77</v>
      </c>
      <c r="Q106" s="67">
        <f t="shared" si="0"/>
        <v>0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7.78</v>
      </c>
      <c r="C107" s="66">
        <f t="shared" ref="C107:Q107" si="1">MAX(C9:C104)</f>
        <v>22.05</v>
      </c>
      <c r="D107" s="66">
        <f t="shared" si="1"/>
        <v>17.29</v>
      </c>
      <c r="E107" s="66">
        <f t="shared" si="1"/>
        <v>3.85</v>
      </c>
      <c r="F107" s="66">
        <f t="shared" si="1"/>
        <v>9.32</v>
      </c>
      <c r="G107" s="66">
        <f t="shared" si="1"/>
        <v>40.11</v>
      </c>
      <c r="H107" s="66">
        <f t="shared" si="1"/>
        <v>25.26</v>
      </c>
      <c r="I107" s="66">
        <f t="shared" si="1"/>
        <v>0</v>
      </c>
      <c r="J107" s="66">
        <f t="shared" si="1"/>
        <v>0.4</v>
      </c>
      <c r="K107" s="66">
        <f t="shared" si="1"/>
        <v>358.72</v>
      </c>
      <c r="L107" s="66">
        <f t="shared" si="1"/>
        <v>27.45</v>
      </c>
      <c r="M107" s="66">
        <f t="shared" si="1"/>
        <v>97.23</v>
      </c>
      <c r="N107" s="66">
        <f t="shared" si="1"/>
        <v>724.5</v>
      </c>
      <c r="O107" s="66">
        <f t="shared" si="1"/>
        <v>3.6</v>
      </c>
      <c r="P107" s="66">
        <f t="shared" si="1"/>
        <v>1.69</v>
      </c>
      <c r="Q107" s="66">
        <f t="shared" si="1"/>
        <v>6.28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4.4605208333333328</v>
      </c>
      <c r="C108" s="67">
        <f t="shared" ref="C108:Q108" si="2">AVERAGE(C9:C104)</f>
        <v>16.171458333333334</v>
      </c>
      <c r="D108" s="67">
        <f t="shared" si="2"/>
        <v>13.147604166666669</v>
      </c>
      <c r="E108" s="67">
        <f t="shared" si="2"/>
        <v>2.0490625000000002</v>
      </c>
      <c r="F108" s="67">
        <f t="shared" si="2"/>
        <v>4.7992708333333356</v>
      </c>
      <c r="G108" s="67">
        <f t="shared" si="2"/>
        <v>22.211979166666666</v>
      </c>
      <c r="H108" s="67">
        <f t="shared" si="2"/>
        <v>12.679479166666679</v>
      </c>
      <c r="I108" s="9" t="s">
        <v>36</v>
      </c>
      <c r="J108" s="67">
        <f t="shared" si="2"/>
        <v>0.21864583333333346</v>
      </c>
      <c r="K108" s="67">
        <f t="shared" si="2"/>
        <v>36.266249999999992</v>
      </c>
      <c r="L108" s="67">
        <f t="shared" si="2"/>
        <v>23.797395833333329</v>
      </c>
      <c r="M108" s="67">
        <f t="shared" si="2"/>
        <v>90.954374999999985</v>
      </c>
      <c r="N108" s="67">
        <f t="shared" si="2"/>
        <v>149.29270833333337</v>
      </c>
      <c r="O108" s="67">
        <f t="shared" si="2"/>
        <v>7.2916666666666671E-2</v>
      </c>
      <c r="P108" s="67">
        <f t="shared" si="2"/>
        <v>1.2478124999999998</v>
      </c>
      <c r="Q108" s="67">
        <f t="shared" si="2"/>
        <v>2.3022916666666671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1.2352722860220051</v>
      </c>
      <c r="C109" s="67">
        <f t="shared" ref="C109:Q109" si="3">STDEV(C9:C104)</f>
        <v>2.3880293479491961</v>
      </c>
      <c r="D109" s="67">
        <f t="shared" si="3"/>
        <v>1.5306969481023176</v>
      </c>
      <c r="E109" s="67">
        <f t="shared" si="3"/>
        <v>0.85776954103437131</v>
      </c>
      <c r="F109" s="67">
        <f t="shared" si="3"/>
        <v>1.1647554473763861</v>
      </c>
      <c r="G109" s="67">
        <f t="shared" si="3"/>
        <v>10.51532391770685</v>
      </c>
      <c r="H109" s="67">
        <f t="shared" si="3"/>
        <v>4.8299208601539716</v>
      </c>
      <c r="I109" s="9" t="s">
        <v>36</v>
      </c>
      <c r="J109" s="67">
        <f t="shared" si="3"/>
        <v>7.3436256521760251E-2</v>
      </c>
      <c r="K109" s="67">
        <f t="shared" si="3"/>
        <v>34.643388865774412</v>
      </c>
      <c r="L109" s="67">
        <f t="shared" si="3"/>
        <v>1.896698652529909</v>
      </c>
      <c r="M109" s="67">
        <f t="shared" si="3"/>
        <v>7.7689278285528678</v>
      </c>
      <c r="N109" s="67">
        <f t="shared" si="3"/>
        <v>157.73478223023383</v>
      </c>
      <c r="O109" s="67">
        <f t="shared" si="3"/>
        <v>0.38729267232299625</v>
      </c>
      <c r="P109" s="67">
        <f t="shared" si="3"/>
        <v>0.20876682094221041</v>
      </c>
      <c r="Q109" s="67">
        <f t="shared" si="3"/>
        <v>1.6800748599653867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102" activePane="bottomRight" state="frozen"/>
      <selection activeCell="B115" sqref="B115:D115"/>
      <selection pane="topRight" activeCell="B115" sqref="B115:D115"/>
      <selection pane="bottomLeft" activeCell="B115" sqref="B115:D115"/>
      <selection pane="bottomRight" activeCell="B110" sqref="B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1785</v>
      </c>
      <c r="B9" s="77">
        <v>3.21</v>
      </c>
      <c r="C9" s="77">
        <v>13.21</v>
      </c>
      <c r="D9" s="77">
        <v>10.51</v>
      </c>
      <c r="E9" s="77">
        <v>2.19</v>
      </c>
      <c r="F9" s="77">
        <v>4.72</v>
      </c>
      <c r="G9" s="77">
        <v>13.27</v>
      </c>
      <c r="H9" s="77">
        <v>9.65</v>
      </c>
      <c r="I9" s="210" t="s">
        <v>36</v>
      </c>
      <c r="J9" s="77">
        <v>0.21</v>
      </c>
      <c r="K9" s="77">
        <v>21.22</v>
      </c>
      <c r="L9" s="77">
        <v>21.75</v>
      </c>
      <c r="M9" s="77">
        <v>97.23</v>
      </c>
      <c r="N9" s="77">
        <v>37.299999999999997</v>
      </c>
      <c r="O9" s="77">
        <v>4</v>
      </c>
      <c r="P9" s="77">
        <v>0.96</v>
      </c>
      <c r="Q9" s="77">
        <v>0.66</v>
      </c>
    </row>
    <row r="10" spans="1:21" s="12" customFormat="1" x14ac:dyDescent="0.25">
      <c r="A10" s="64" t="s">
        <v>1786</v>
      </c>
      <c r="B10" s="77">
        <v>3.11</v>
      </c>
      <c r="C10" s="77">
        <v>13.76</v>
      </c>
      <c r="D10" s="77">
        <v>10.73</v>
      </c>
      <c r="E10" s="77">
        <v>2.11</v>
      </c>
      <c r="F10" s="77">
        <v>5.56</v>
      </c>
      <c r="G10" s="77">
        <v>13.27</v>
      </c>
      <c r="H10" s="77">
        <v>9.65</v>
      </c>
      <c r="I10" s="210" t="s">
        <v>36</v>
      </c>
      <c r="J10" s="77">
        <v>0.21</v>
      </c>
      <c r="K10" s="77">
        <v>40.78</v>
      </c>
      <c r="L10" s="77">
        <v>21.73</v>
      </c>
      <c r="M10" s="77">
        <v>97.23</v>
      </c>
      <c r="N10" s="77">
        <v>37.200000000000003</v>
      </c>
      <c r="O10" s="77">
        <v>1</v>
      </c>
      <c r="P10" s="77">
        <v>0.92</v>
      </c>
      <c r="Q10" s="77">
        <v>0.38</v>
      </c>
    </row>
    <row r="11" spans="1:21" s="12" customFormat="1" x14ac:dyDescent="0.25">
      <c r="A11" s="64" t="s">
        <v>1787</v>
      </c>
      <c r="B11" s="77">
        <v>3.06</v>
      </c>
      <c r="C11" s="77">
        <v>14.36</v>
      </c>
      <c r="D11" s="77">
        <v>11.03</v>
      </c>
      <c r="E11" s="77">
        <v>2.23</v>
      </c>
      <c r="F11" s="77">
        <v>4.1100000000000003</v>
      </c>
      <c r="G11" s="77">
        <v>13.27</v>
      </c>
      <c r="H11" s="77">
        <v>9.65</v>
      </c>
      <c r="I11" s="210" t="s">
        <v>36</v>
      </c>
      <c r="J11" s="77">
        <v>0.3</v>
      </c>
      <c r="K11" s="77">
        <v>34.1</v>
      </c>
      <c r="L11" s="77">
        <v>21.71</v>
      </c>
      <c r="M11" s="77">
        <v>97.23</v>
      </c>
      <c r="N11" s="77">
        <v>37.200000000000003</v>
      </c>
      <c r="O11" s="77">
        <v>1.2</v>
      </c>
      <c r="P11" s="77">
        <v>0.92</v>
      </c>
      <c r="Q11" s="77">
        <v>0.22</v>
      </c>
    </row>
    <row r="12" spans="1:21" s="12" customFormat="1" x14ac:dyDescent="0.25">
      <c r="A12" s="64" t="s">
        <v>1788</v>
      </c>
      <c r="B12" s="77">
        <v>2.88</v>
      </c>
      <c r="C12" s="77">
        <v>13.59</v>
      </c>
      <c r="D12" s="77">
        <v>10.46</v>
      </c>
      <c r="E12" s="77">
        <v>2.14</v>
      </c>
      <c r="F12" s="77">
        <v>4.22</v>
      </c>
      <c r="G12" s="77">
        <v>10.87</v>
      </c>
      <c r="H12" s="77">
        <v>7.83</v>
      </c>
      <c r="I12" s="210" t="s">
        <v>36</v>
      </c>
      <c r="J12" s="77">
        <v>0.21</v>
      </c>
      <c r="K12" s="77">
        <v>37.21</v>
      </c>
      <c r="L12" s="77">
        <v>21.7</v>
      </c>
      <c r="M12" s="77">
        <v>97.23</v>
      </c>
      <c r="N12" s="77">
        <v>37.200000000000003</v>
      </c>
      <c r="O12" s="77">
        <v>0.4</v>
      </c>
      <c r="P12" s="77">
        <v>0.9</v>
      </c>
      <c r="Q12" s="77">
        <v>0.01</v>
      </c>
    </row>
    <row r="13" spans="1:21" s="12" customFormat="1" x14ac:dyDescent="0.25">
      <c r="A13" s="64" t="s">
        <v>1789</v>
      </c>
      <c r="B13" s="77">
        <v>2.68</v>
      </c>
      <c r="C13" s="77">
        <v>13.79</v>
      </c>
      <c r="D13" s="77">
        <v>10.41</v>
      </c>
      <c r="E13" s="77">
        <v>2.06</v>
      </c>
      <c r="F13" s="77">
        <v>4.01</v>
      </c>
      <c r="G13" s="77">
        <v>10.78</v>
      </c>
      <c r="H13" s="77">
        <v>7.83</v>
      </c>
      <c r="I13" s="210" t="s">
        <v>36</v>
      </c>
      <c r="J13" s="77">
        <v>0.28999999999999998</v>
      </c>
      <c r="K13" s="77">
        <v>34.82</v>
      </c>
      <c r="L13" s="77">
        <v>21.73</v>
      </c>
      <c r="M13" s="77">
        <v>97.23</v>
      </c>
      <c r="N13" s="77">
        <v>37.299999999999997</v>
      </c>
      <c r="O13" s="77">
        <v>0.6</v>
      </c>
      <c r="P13" s="77">
        <v>0.68</v>
      </c>
      <c r="Q13" s="213" t="s">
        <v>42</v>
      </c>
    </row>
    <row r="14" spans="1:21" s="12" customFormat="1" x14ac:dyDescent="0.25">
      <c r="A14" s="64" t="s">
        <v>1790</v>
      </c>
      <c r="B14" s="77">
        <v>2.61</v>
      </c>
      <c r="C14" s="77">
        <v>13.47</v>
      </c>
      <c r="D14" s="77">
        <v>10.17</v>
      </c>
      <c r="E14" s="77">
        <v>2.4300000000000002</v>
      </c>
      <c r="F14" s="77">
        <v>3.85</v>
      </c>
      <c r="G14" s="77">
        <v>10.78</v>
      </c>
      <c r="H14" s="77">
        <v>7.83</v>
      </c>
      <c r="I14" s="210" t="s">
        <v>36</v>
      </c>
      <c r="J14" s="77">
        <v>0.26</v>
      </c>
      <c r="K14" s="77">
        <v>44.16</v>
      </c>
      <c r="L14" s="77">
        <v>21.75</v>
      </c>
      <c r="M14" s="77">
        <v>97.23</v>
      </c>
      <c r="N14" s="77">
        <v>37.200000000000003</v>
      </c>
      <c r="O14" s="77">
        <v>0.2</v>
      </c>
      <c r="P14" s="77">
        <v>0.97</v>
      </c>
      <c r="Q14" s="213" t="s">
        <v>42</v>
      </c>
    </row>
    <row r="15" spans="1:21" s="12" customFormat="1" x14ac:dyDescent="0.25">
      <c r="A15" s="64" t="s">
        <v>1791</v>
      </c>
      <c r="B15" s="77">
        <v>2.58</v>
      </c>
      <c r="C15" s="77">
        <v>13.07</v>
      </c>
      <c r="D15" s="77">
        <v>9.93</v>
      </c>
      <c r="E15" s="77">
        <v>1.95</v>
      </c>
      <c r="F15" s="77">
        <v>4.09</v>
      </c>
      <c r="G15" s="77">
        <v>10.78</v>
      </c>
      <c r="H15" s="77">
        <v>7.83</v>
      </c>
      <c r="I15" s="210" t="s">
        <v>36</v>
      </c>
      <c r="J15" s="77">
        <v>0.3</v>
      </c>
      <c r="K15" s="77">
        <v>38.82</v>
      </c>
      <c r="L15" s="77">
        <v>21.77</v>
      </c>
      <c r="M15" s="77">
        <v>97.23</v>
      </c>
      <c r="N15" s="77">
        <v>37.200000000000003</v>
      </c>
      <c r="O15" s="77">
        <v>0.4</v>
      </c>
      <c r="P15" s="77">
        <v>0.95</v>
      </c>
      <c r="Q15" s="213" t="s">
        <v>42</v>
      </c>
    </row>
    <row r="16" spans="1:21" s="12" customFormat="1" x14ac:dyDescent="0.25">
      <c r="A16" s="64" t="s">
        <v>1792</v>
      </c>
      <c r="B16" s="77">
        <v>2.52</v>
      </c>
      <c r="C16" s="77">
        <v>13.17</v>
      </c>
      <c r="D16" s="77">
        <v>9.93</v>
      </c>
      <c r="E16" s="77">
        <v>1.68</v>
      </c>
      <c r="F16" s="77">
        <v>4.1399999999999997</v>
      </c>
      <c r="G16" s="77">
        <v>8.61</v>
      </c>
      <c r="H16" s="77">
        <v>6.16</v>
      </c>
      <c r="I16" s="210" t="s">
        <v>36</v>
      </c>
      <c r="J16" s="77">
        <v>0.34</v>
      </c>
      <c r="K16" s="77">
        <v>46.39</v>
      </c>
      <c r="L16" s="77">
        <v>21.75</v>
      </c>
      <c r="M16" s="77">
        <v>97.23</v>
      </c>
      <c r="N16" s="77">
        <v>37.299999999999997</v>
      </c>
      <c r="O16" s="77">
        <v>0.4</v>
      </c>
      <c r="P16" s="77">
        <v>0.94</v>
      </c>
      <c r="Q16" s="213" t="s">
        <v>42</v>
      </c>
    </row>
    <row r="17" spans="1:17" s="12" customFormat="1" x14ac:dyDescent="0.25">
      <c r="A17" s="64" t="s">
        <v>1793</v>
      </c>
      <c r="B17" s="77">
        <v>2.46</v>
      </c>
      <c r="C17" s="77">
        <v>13.24</v>
      </c>
      <c r="D17" s="77">
        <v>9.92</v>
      </c>
      <c r="E17" s="77">
        <v>2.02</v>
      </c>
      <c r="F17" s="77">
        <v>4.32</v>
      </c>
      <c r="G17" s="77">
        <v>8.5299999999999994</v>
      </c>
      <c r="H17" s="77">
        <v>6.16</v>
      </c>
      <c r="I17" s="210" t="s">
        <v>36</v>
      </c>
      <c r="J17" s="77">
        <v>0.35</v>
      </c>
      <c r="K17" s="77">
        <v>34.65</v>
      </c>
      <c r="L17" s="77">
        <v>21.74</v>
      </c>
      <c r="M17" s="77">
        <v>97.23</v>
      </c>
      <c r="N17" s="77">
        <v>37.200000000000003</v>
      </c>
      <c r="O17" s="77">
        <v>0.4</v>
      </c>
      <c r="P17" s="77">
        <v>0.93</v>
      </c>
      <c r="Q17" s="77">
        <v>0.01</v>
      </c>
    </row>
    <row r="18" spans="1:17" s="12" customFormat="1" x14ac:dyDescent="0.25">
      <c r="A18" s="64" t="s">
        <v>1794</v>
      </c>
      <c r="B18" s="77">
        <v>2.4700000000000002</v>
      </c>
      <c r="C18" s="77">
        <v>13.85</v>
      </c>
      <c r="D18" s="77">
        <v>10.28</v>
      </c>
      <c r="E18" s="77">
        <v>2.41</v>
      </c>
      <c r="F18" s="77">
        <v>3.96</v>
      </c>
      <c r="G18" s="77">
        <v>8.5299999999999994</v>
      </c>
      <c r="H18" s="77">
        <v>6.16</v>
      </c>
      <c r="I18" s="210" t="s">
        <v>36</v>
      </c>
      <c r="J18" s="77">
        <v>0.28000000000000003</v>
      </c>
      <c r="K18" s="77">
        <v>43.86</v>
      </c>
      <c r="L18" s="77">
        <v>21.79</v>
      </c>
      <c r="M18" s="77">
        <v>97.23</v>
      </c>
      <c r="N18" s="77">
        <v>37.1</v>
      </c>
      <c r="O18" s="77">
        <v>0.4</v>
      </c>
      <c r="P18" s="77">
        <v>0.91</v>
      </c>
      <c r="Q18" s="77">
        <v>0.67</v>
      </c>
    </row>
    <row r="19" spans="1:17" s="12" customFormat="1" x14ac:dyDescent="0.25">
      <c r="A19" s="64" t="s">
        <v>1795</v>
      </c>
      <c r="B19" s="77">
        <v>2.64</v>
      </c>
      <c r="C19" s="77">
        <v>13.01</v>
      </c>
      <c r="D19" s="77">
        <v>9.94</v>
      </c>
      <c r="E19" s="77">
        <v>2.0099999999999998</v>
      </c>
      <c r="F19" s="77">
        <v>4.2300000000000004</v>
      </c>
      <c r="G19" s="77">
        <v>8.5299999999999994</v>
      </c>
      <c r="H19" s="77">
        <v>6.16</v>
      </c>
      <c r="I19" s="210" t="s">
        <v>36</v>
      </c>
      <c r="J19" s="77">
        <v>0.28000000000000003</v>
      </c>
      <c r="K19" s="77">
        <v>37.1</v>
      </c>
      <c r="L19" s="77">
        <v>21.79</v>
      </c>
      <c r="M19" s="77">
        <v>97.23</v>
      </c>
      <c r="N19" s="77">
        <v>37.200000000000003</v>
      </c>
      <c r="O19" s="77">
        <v>1.6</v>
      </c>
      <c r="P19" s="77">
        <v>0.93</v>
      </c>
      <c r="Q19" s="77">
        <v>0.17</v>
      </c>
    </row>
    <row r="20" spans="1:17" s="12" customFormat="1" x14ac:dyDescent="0.25">
      <c r="A20" s="64" t="s">
        <v>1796</v>
      </c>
      <c r="B20" s="77">
        <v>2.91</v>
      </c>
      <c r="C20" s="77">
        <v>14.09</v>
      </c>
      <c r="D20" s="77">
        <v>10.76</v>
      </c>
      <c r="E20" s="77">
        <v>2.14</v>
      </c>
      <c r="F20" s="77">
        <v>3.45</v>
      </c>
      <c r="G20" s="77">
        <v>12.24</v>
      </c>
      <c r="H20" s="77">
        <v>7.06</v>
      </c>
      <c r="I20" s="210" t="s">
        <v>36</v>
      </c>
      <c r="J20" s="77">
        <v>0.34</v>
      </c>
      <c r="K20" s="77">
        <v>37.24</v>
      </c>
      <c r="L20" s="77">
        <v>21.75</v>
      </c>
      <c r="M20" s="77">
        <v>97.23</v>
      </c>
      <c r="N20" s="77">
        <v>37.200000000000003</v>
      </c>
      <c r="O20" s="77">
        <v>0.8</v>
      </c>
      <c r="P20" s="77">
        <v>0.99</v>
      </c>
      <c r="Q20" s="77">
        <v>0.41</v>
      </c>
    </row>
    <row r="21" spans="1:17" s="12" customFormat="1" x14ac:dyDescent="0.25">
      <c r="A21" s="64" t="s">
        <v>1797</v>
      </c>
      <c r="B21" s="77">
        <v>3.15</v>
      </c>
      <c r="C21" s="77">
        <v>14.47</v>
      </c>
      <c r="D21" s="77">
        <v>11.16</v>
      </c>
      <c r="E21" s="77">
        <v>2.11</v>
      </c>
      <c r="F21" s="77">
        <v>3.09</v>
      </c>
      <c r="G21" s="77">
        <v>12.37</v>
      </c>
      <c r="H21" s="77">
        <v>7.06</v>
      </c>
      <c r="I21" s="210" t="s">
        <v>36</v>
      </c>
      <c r="J21" s="77">
        <v>0.31</v>
      </c>
      <c r="K21" s="77">
        <v>20.7</v>
      </c>
      <c r="L21" s="77">
        <v>21.78</v>
      </c>
      <c r="M21" s="77">
        <v>97.23</v>
      </c>
      <c r="N21" s="77">
        <v>37.1</v>
      </c>
      <c r="O21" s="77">
        <v>0.4</v>
      </c>
      <c r="P21" s="77">
        <v>1.07</v>
      </c>
      <c r="Q21" s="77">
        <v>0.95</v>
      </c>
    </row>
    <row r="22" spans="1:17" s="12" customFormat="1" x14ac:dyDescent="0.25">
      <c r="A22" s="64" t="s">
        <v>1798</v>
      </c>
      <c r="B22" s="77">
        <v>3.45</v>
      </c>
      <c r="C22" s="77">
        <v>14.3</v>
      </c>
      <c r="D22" s="77">
        <v>11.3</v>
      </c>
      <c r="E22" s="77">
        <v>2.25</v>
      </c>
      <c r="F22" s="77">
        <v>3.32</v>
      </c>
      <c r="G22" s="77">
        <v>12.37</v>
      </c>
      <c r="H22" s="77">
        <v>7.06</v>
      </c>
      <c r="I22" s="210" t="s">
        <v>36</v>
      </c>
      <c r="J22" s="77">
        <v>0.54</v>
      </c>
      <c r="K22" s="77">
        <v>354.09</v>
      </c>
      <c r="L22" s="77">
        <v>21.77</v>
      </c>
      <c r="M22" s="77">
        <v>97.23</v>
      </c>
      <c r="N22" s="77">
        <v>37.4</v>
      </c>
      <c r="O22" s="77">
        <v>7.8</v>
      </c>
      <c r="P22" s="77">
        <v>1.18</v>
      </c>
      <c r="Q22" s="77">
        <v>0.24</v>
      </c>
    </row>
    <row r="23" spans="1:17" s="12" customFormat="1" x14ac:dyDescent="0.25">
      <c r="A23" s="64" t="s">
        <v>1799</v>
      </c>
      <c r="B23" s="77">
        <v>3.63</v>
      </c>
      <c r="C23" s="77">
        <v>15.14</v>
      </c>
      <c r="D23" s="77">
        <v>11.91</v>
      </c>
      <c r="E23" s="77">
        <v>1.71</v>
      </c>
      <c r="F23" s="77">
        <v>3.31</v>
      </c>
      <c r="G23" s="77">
        <v>12.37</v>
      </c>
      <c r="H23" s="77">
        <v>7.06</v>
      </c>
      <c r="I23" s="210" t="s">
        <v>36</v>
      </c>
      <c r="J23" s="77">
        <v>0.39</v>
      </c>
      <c r="K23" s="77">
        <v>48.43</v>
      </c>
      <c r="L23" s="77">
        <v>21.54</v>
      </c>
      <c r="M23" s="77">
        <v>97.23</v>
      </c>
      <c r="N23" s="77">
        <v>37.299999999999997</v>
      </c>
      <c r="O23" s="77">
        <v>3</v>
      </c>
      <c r="P23" s="77">
        <v>1.32</v>
      </c>
      <c r="Q23" s="77">
        <v>0.15</v>
      </c>
    </row>
    <row r="24" spans="1:17" s="12" customFormat="1" x14ac:dyDescent="0.25">
      <c r="A24" s="64" t="s">
        <v>1800</v>
      </c>
      <c r="B24" s="77">
        <v>3.42</v>
      </c>
      <c r="C24" s="77">
        <v>15.14</v>
      </c>
      <c r="D24" s="77">
        <v>11.75</v>
      </c>
      <c r="E24" s="77">
        <v>1.41</v>
      </c>
      <c r="F24" s="77">
        <v>3.74</v>
      </c>
      <c r="G24" s="77">
        <v>11.77</v>
      </c>
      <c r="H24" s="77">
        <v>8.27</v>
      </c>
      <c r="I24" s="210" t="s">
        <v>36</v>
      </c>
      <c r="J24" s="77">
        <v>0.3</v>
      </c>
      <c r="K24" s="77">
        <v>43.54</v>
      </c>
      <c r="L24" s="77">
        <v>21.52</v>
      </c>
      <c r="M24" s="77">
        <v>97.23</v>
      </c>
      <c r="N24" s="77">
        <v>37.200000000000003</v>
      </c>
      <c r="O24" s="77">
        <v>0.6</v>
      </c>
      <c r="P24" s="77">
        <v>1.38</v>
      </c>
      <c r="Q24" s="213" t="s">
        <v>42</v>
      </c>
    </row>
    <row r="25" spans="1:17" s="12" customFormat="1" x14ac:dyDescent="0.25">
      <c r="A25" s="64" t="s">
        <v>1801</v>
      </c>
      <c r="B25" s="77">
        <v>3.25</v>
      </c>
      <c r="C25" s="77">
        <v>15.47</v>
      </c>
      <c r="D25" s="77">
        <v>11.79</v>
      </c>
      <c r="E25" s="77">
        <v>2.14</v>
      </c>
      <c r="F25" s="77">
        <v>3.83</v>
      </c>
      <c r="G25" s="77">
        <v>11.75</v>
      </c>
      <c r="H25" s="77">
        <v>8.27</v>
      </c>
      <c r="I25" s="210" t="s">
        <v>36</v>
      </c>
      <c r="J25" s="77">
        <v>0.31</v>
      </c>
      <c r="K25" s="77">
        <v>40.33</v>
      </c>
      <c r="L25" s="77">
        <v>21.48</v>
      </c>
      <c r="M25" s="77">
        <v>97.23</v>
      </c>
      <c r="N25" s="77">
        <v>37.299999999999997</v>
      </c>
      <c r="O25" s="77">
        <v>1.6</v>
      </c>
      <c r="P25" s="77">
        <v>1.57</v>
      </c>
      <c r="Q25" s="213" t="s">
        <v>42</v>
      </c>
    </row>
    <row r="26" spans="1:17" s="12" customFormat="1" x14ac:dyDescent="0.25">
      <c r="A26" s="64" t="s">
        <v>1802</v>
      </c>
      <c r="B26" s="77">
        <v>3.37</v>
      </c>
      <c r="C26" s="77">
        <v>16.18</v>
      </c>
      <c r="D26" s="77">
        <v>12.28</v>
      </c>
      <c r="E26" s="77">
        <v>1.25</v>
      </c>
      <c r="F26" s="77">
        <v>3.22</v>
      </c>
      <c r="G26" s="77">
        <v>11.75</v>
      </c>
      <c r="H26" s="77">
        <v>8.27</v>
      </c>
      <c r="I26" s="210" t="s">
        <v>36</v>
      </c>
      <c r="J26" s="77">
        <v>0.26</v>
      </c>
      <c r="K26" s="77">
        <v>40.950000000000003</v>
      </c>
      <c r="L26" s="77">
        <v>21.47</v>
      </c>
      <c r="M26" s="77">
        <v>97.23</v>
      </c>
      <c r="N26" s="77">
        <v>37.200000000000003</v>
      </c>
      <c r="O26" s="77">
        <v>2.6</v>
      </c>
      <c r="P26" s="77">
        <v>1.67</v>
      </c>
      <c r="Q26" s="213" t="s">
        <v>42</v>
      </c>
    </row>
    <row r="27" spans="1:17" s="12" customFormat="1" x14ac:dyDescent="0.25">
      <c r="A27" s="64" t="s">
        <v>1803</v>
      </c>
      <c r="B27" s="77">
        <v>3.74</v>
      </c>
      <c r="C27" s="77">
        <v>16.25</v>
      </c>
      <c r="D27" s="77">
        <v>12.61</v>
      </c>
      <c r="E27" s="77">
        <v>1.61</v>
      </c>
      <c r="F27" s="77">
        <v>3.28</v>
      </c>
      <c r="G27" s="77">
        <v>11.75</v>
      </c>
      <c r="H27" s="77">
        <v>8.27</v>
      </c>
      <c r="I27" s="210" t="s">
        <v>36</v>
      </c>
      <c r="J27" s="77">
        <v>0.21</v>
      </c>
      <c r="K27" s="77">
        <v>43.94</v>
      </c>
      <c r="L27" s="77">
        <v>21.45</v>
      </c>
      <c r="M27" s="77">
        <v>97.23</v>
      </c>
      <c r="N27" s="77">
        <v>37.200000000000003</v>
      </c>
      <c r="O27" s="77">
        <v>2.2000000000000002</v>
      </c>
      <c r="P27" s="77">
        <v>1.73</v>
      </c>
      <c r="Q27" s="77">
        <v>0.01</v>
      </c>
    </row>
    <row r="28" spans="1:17" s="12" customFormat="1" x14ac:dyDescent="0.25">
      <c r="A28" s="64" t="s">
        <v>1804</v>
      </c>
      <c r="B28" s="77">
        <v>3.86</v>
      </c>
      <c r="C28" s="77">
        <v>15.66</v>
      </c>
      <c r="D28" s="77">
        <v>12.38</v>
      </c>
      <c r="E28" s="77">
        <v>1.88</v>
      </c>
      <c r="F28" s="77">
        <v>3.48</v>
      </c>
      <c r="G28" s="77">
        <v>13.1</v>
      </c>
      <c r="H28" s="77">
        <v>10.38</v>
      </c>
      <c r="I28" s="210" t="s">
        <v>36</v>
      </c>
      <c r="J28" s="77">
        <v>0.33</v>
      </c>
      <c r="K28" s="77">
        <v>39.22</v>
      </c>
      <c r="L28" s="77">
        <v>21.45</v>
      </c>
      <c r="M28" s="77">
        <v>97.23</v>
      </c>
      <c r="N28" s="77">
        <v>37.299999999999997</v>
      </c>
      <c r="O28" s="77">
        <v>3.6</v>
      </c>
      <c r="P28" s="77">
        <v>1.67</v>
      </c>
      <c r="Q28" s="213" t="s">
        <v>42</v>
      </c>
    </row>
    <row r="29" spans="1:17" s="12" customFormat="1" x14ac:dyDescent="0.25">
      <c r="A29" s="64" t="s">
        <v>1805</v>
      </c>
      <c r="B29" s="77">
        <v>3.82</v>
      </c>
      <c r="C29" s="77">
        <v>15</v>
      </c>
      <c r="D29" s="77">
        <v>11.98</v>
      </c>
      <c r="E29" s="77">
        <v>1.82</v>
      </c>
      <c r="F29" s="77">
        <v>3.72</v>
      </c>
      <c r="G29" s="77">
        <v>13.14</v>
      </c>
      <c r="H29" s="77">
        <v>10.38</v>
      </c>
      <c r="I29" s="210" t="s">
        <v>36</v>
      </c>
      <c r="J29" s="77">
        <v>0.39</v>
      </c>
      <c r="K29" s="77">
        <v>357.99</v>
      </c>
      <c r="L29" s="77">
        <v>21.46</v>
      </c>
      <c r="M29" s="77">
        <v>97.23</v>
      </c>
      <c r="N29" s="77">
        <v>37.200000000000003</v>
      </c>
      <c r="O29" s="77">
        <v>2.2000000000000002</v>
      </c>
      <c r="P29" s="77">
        <v>1.59</v>
      </c>
      <c r="Q29" s="77">
        <v>0.68</v>
      </c>
    </row>
    <row r="30" spans="1:17" s="12" customFormat="1" x14ac:dyDescent="0.25">
      <c r="A30" s="64" t="s">
        <v>1806</v>
      </c>
      <c r="B30" s="77">
        <v>4.13</v>
      </c>
      <c r="C30" s="77">
        <v>14.88</v>
      </c>
      <c r="D30" s="77">
        <v>12.17</v>
      </c>
      <c r="E30" s="77">
        <v>1.77</v>
      </c>
      <c r="F30" s="77">
        <v>3.49</v>
      </c>
      <c r="G30" s="77">
        <v>13.14</v>
      </c>
      <c r="H30" s="77">
        <v>10.38</v>
      </c>
      <c r="I30" s="210" t="s">
        <v>36</v>
      </c>
      <c r="J30" s="77">
        <v>0.51</v>
      </c>
      <c r="K30" s="77">
        <v>334.32</v>
      </c>
      <c r="L30" s="77">
        <v>21.53</v>
      </c>
      <c r="M30" s="77">
        <v>97.23</v>
      </c>
      <c r="N30" s="77">
        <v>37.4</v>
      </c>
      <c r="O30" s="77">
        <v>4.4000000000000004</v>
      </c>
      <c r="P30" s="77">
        <v>1.53</v>
      </c>
      <c r="Q30" s="77">
        <v>0.97</v>
      </c>
    </row>
    <row r="31" spans="1:17" s="12" customFormat="1" x14ac:dyDescent="0.25">
      <c r="A31" s="64" t="s">
        <v>1807</v>
      </c>
      <c r="B31" s="77">
        <v>4.51</v>
      </c>
      <c r="C31" s="77">
        <v>14.06</v>
      </c>
      <c r="D31" s="77">
        <v>12.03</v>
      </c>
      <c r="E31" s="77">
        <v>1.98</v>
      </c>
      <c r="F31" s="77">
        <v>3.08</v>
      </c>
      <c r="G31" s="77">
        <v>13.14</v>
      </c>
      <c r="H31" s="77">
        <v>10.38</v>
      </c>
      <c r="I31" s="210" t="s">
        <v>36</v>
      </c>
      <c r="J31" s="77">
        <v>0.83</v>
      </c>
      <c r="K31" s="77">
        <v>337.63</v>
      </c>
      <c r="L31" s="77">
        <v>21.44</v>
      </c>
      <c r="M31" s="77">
        <v>97.23</v>
      </c>
      <c r="N31" s="77">
        <v>40</v>
      </c>
      <c r="O31" s="77">
        <v>2.4</v>
      </c>
      <c r="P31" s="77">
        <v>1.59</v>
      </c>
      <c r="Q31" s="77">
        <v>0.92</v>
      </c>
    </row>
    <row r="32" spans="1:17" s="12" customFormat="1" x14ac:dyDescent="0.25">
      <c r="A32" s="64" t="s">
        <v>1808</v>
      </c>
      <c r="B32" s="77">
        <v>4.96</v>
      </c>
      <c r="C32" s="77">
        <v>14.33</v>
      </c>
      <c r="D32" s="77">
        <v>12.53</v>
      </c>
      <c r="E32" s="77">
        <v>1.73</v>
      </c>
      <c r="F32" s="77">
        <v>3.02</v>
      </c>
      <c r="G32" s="77">
        <v>17.309999999999999</v>
      </c>
      <c r="H32" s="77">
        <v>9.99</v>
      </c>
      <c r="I32" s="210" t="s">
        <v>36</v>
      </c>
      <c r="J32" s="77">
        <v>0.57999999999999996</v>
      </c>
      <c r="K32" s="77">
        <v>351.12</v>
      </c>
      <c r="L32" s="77">
        <v>21.4</v>
      </c>
      <c r="M32" s="77">
        <v>97.23</v>
      </c>
      <c r="N32" s="77">
        <v>49.5</v>
      </c>
      <c r="O32" s="77">
        <v>1.6</v>
      </c>
      <c r="P32" s="77">
        <v>1.68</v>
      </c>
      <c r="Q32" s="77">
        <v>1</v>
      </c>
    </row>
    <row r="33" spans="1:17" s="12" customFormat="1" x14ac:dyDescent="0.25">
      <c r="A33" s="64" t="s">
        <v>1809</v>
      </c>
      <c r="B33" s="77">
        <v>5.26</v>
      </c>
      <c r="C33" s="77">
        <v>14.31</v>
      </c>
      <c r="D33" s="77">
        <v>12.76</v>
      </c>
      <c r="E33" s="77">
        <v>1.78</v>
      </c>
      <c r="F33" s="77">
        <v>2.88</v>
      </c>
      <c r="G33" s="77">
        <v>17.46</v>
      </c>
      <c r="H33" s="77">
        <v>9.99</v>
      </c>
      <c r="I33" s="210" t="s">
        <v>36</v>
      </c>
      <c r="J33" s="77">
        <v>0.27</v>
      </c>
      <c r="K33" s="77">
        <v>35.64</v>
      </c>
      <c r="L33" s="77">
        <v>21.37</v>
      </c>
      <c r="M33" s="77">
        <v>97.23</v>
      </c>
      <c r="N33" s="77">
        <v>51.3</v>
      </c>
      <c r="O33" s="77">
        <v>1.6</v>
      </c>
      <c r="P33" s="77">
        <v>1.62</v>
      </c>
      <c r="Q33" s="77">
        <v>1.4</v>
      </c>
    </row>
    <row r="34" spans="1:17" s="12" customFormat="1" x14ac:dyDescent="0.25">
      <c r="A34" s="64" t="s">
        <v>1810</v>
      </c>
      <c r="B34" s="77">
        <v>5.55</v>
      </c>
      <c r="C34" s="77">
        <v>14.25</v>
      </c>
      <c r="D34" s="77">
        <v>12.96</v>
      </c>
      <c r="E34" s="77">
        <v>1.89</v>
      </c>
      <c r="F34" s="77">
        <v>3.28</v>
      </c>
      <c r="G34" s="77">
        <v>17.46</v>
      </c>
      <c r="H34" s="77">
        <v>9.99</v>
      </c>
      <c r="I34" s="210" t="s">
        <v>36</v>
      </c>
      <c r="J34" s="77">
        <v>0.38</v>
      </c>
      <c r="K34" s="77">
        <v>4.66</v>
      </c>
      <c r="L34" s="77">
        <v>21.39</v>
      </c>
      <c r="M34" s="77">
        <v>97.23</v>
      </c>
      <c r="N34" s="77">
        <v>49.8</v>
      </c>
      <c r="O34" s="77">
        <v>2.2000000000000002</v>
      </c>
      <c r="P34" s="77">
        <v>1.58</v>
      </c>
      <c r="Q34" s="77">
        <v>0.41</v>
      </c>
    </row>
    <row r="35" spans="1:17" s="12" customFormat="1" x14ac:dyDescent="0.25">
      <c r="A35" s="64" t="s">
        <v>1811</v>
      </c>
      <c r="B35" s="77">
        <v>5.86</v>
      </c>
      <c r="C35" s="77">
        <v>13.79</v>
      </c>
      <c r="D35" s="77">
        <v>12.96</v>
      </c>
      <c r="E35" s="77">
        <v>1.53</v>
      </c>
      <c r="F35" s="77">
        <v>3.57</v>
      </c>
      <c r="G35" s="77">
        <v>17.46</v>
      </c>
      <c r="H35" s="77">
        <v>9.99</v>
      </c>
      <c r="I35" s="210" t="s">
        <v>36</v>
      </c>
      <c r="J35" s="77">
        <v>0.32</v>
      </c>
      <c r="K35" s="77">
        <v>27.45</v>
      </c>
      <c r="L35" s="77">
        <v>21.38</v>
      </c>
      <c r="M35" s="77">
        <v>97.23</v>
      </c>
      <c r="N35" s="77">
        <v>51.1</v>
      </c>
      <c r="O35" s="77">
        <v>2.6</v>
      </c>
      <c r="P35" s="77">
        <v>1.54</v>
      </c>
      <c r="Q35" s="213" t="s">
        <v>42</v>
      </c>
    </row>
    <row r="36" spans="1:17" s="12" customFormat="1" x14ac:dyDescent="0.25">
      <c r="A36" s="64" t="s">
        <v>1812</v>
      </c>
      <c r="B36" s="77">
        <v>6.01</v>
      </c>
      <c r="C36" s="77">
        <v>14.25</v>
      </c>
      <c r="D36" s="77">
        <v>13.33</v>
      </c>
      <c r="E36" s="77">
        <v>1.71</v>
      </c>
      <c r="F36" s="77">
        <v>3.42</v>
      </c>
      <c r="G36" s="77">
        <v>12.5</v>
      </c>
      <c r="H36" s="77">
        <v>10.26</v>
      </c>
      <c r="I36" s="210" t="s">
        <v>36</v>
      </c>
      <c r="J36" s="77">
        <v>0.33</v>
      </c>
      <c r="K36" s="77">
        <v>38.08</v>
      </c>
      <c r="L36" s="77">
        <v>21.33</v>
      </c>
      <c r="M36" s="77">
        <v>97.23</v>
      </c>
      <c r="N36" s="77">
        <v>48.3</v>
      </c>
      <c r="O36" s="77">
        <v>3.2</v>
      </c>
      <c r="P36" s="77">
        <v>1.45</v>
      </c>
      <c r="Q36" s="77">
        <v>0.14000000000000001</v>
      </c>
    </row>
    <row r="37" spans="1:17" s="12" customFormat="1" x14ac:dyDescent="0.25">
      <c r="A37" s="64" t="s">
        <v>1813</v>
      </c>
      <c r="B37" s="77">
        <v>6.04</v>
      </c>
      <c r="C37" s="77">
        <v>14.19</v>
      </c>
      <c r="D37" s="77">
        <v>13.32</v>
      </c>
      <c r="E37" s="77">
        <v>1.57</v>
      </c>
      <c r="F37" s="77">
        <v>3.46</v>
      </c>
      <c r="G37" s="77">
        <v>12.33</v>
      </c>
      <c r="H37" s="77">
        <v>10.26</v>
      </c>
      <c r="I37" s="210" t="s">
        <v>36</v>
      </c>
      <c r="J37" s="77">
        <v>0.32</v>
      </c>
      <c r="K37" s="77">
        <v>29.43</v>
      </c>
      <c r="L37" s="77">
        <v>21.37</v>
      </c>
      <c r="M37" s="77">
        <v>97.23</v>
      </c>
      <c r="N37" s="77">
        <v>69.8</v>
      </c>
      <c r="O37" s="77">
        <v>0.8</v>
      </c>
      <c r="P37" s="77">
        <v>0.94</v>
      </c>
      <c r="Q37" s="77">
        <v>0.12</v>
      </c>
    </row>
    <row r="38" spans="1:17" s="12" customFormat="1" x14ac:dyDescent="0.25">
      <c r="A38" s="64" t="s">
        <v>1814</v>
      </c>
      <c r="B38" s="77">
        <v>6.18</v>
      </c>
      <c r="C38" s="77">
        <v>14.1</v>
      </c>
      <c r="D38" s="77">
        <v>13.38</v>
      </c>
      <c r="E38" s="77">
        <v>1.46</v>
      </c>
      <c r="F38" s="77">
        <v>3.39</v>
      </c>
      <c r="G38" s="77">
        <v>12.33</v>
      </c>
      <c r="H38" s="77">
        <v>10.26</v>
      </c>
      <c r="I38" s="210" t="s">
        <v>36</v>
      </c>
      <c r="J38" s="77">
        <v>0.24</v>
      </c>
      <c r="K38" s="77">
        <v>42.25</v>
      </c>
      <c r="L38" s="77">
        <v>21.37</v>
      </c>
      <c r="M38" s="77">
        <v>96.97</v>
      </c>
      <c r="N38" s="77">
        <v>85.9</v>
      </c>
      <c r="O38" s="77">
        <v>0.8</v>
      </c>
      <c r="P38" s="77">
        <v>1.34</v>
      </c>
      <c r="Q38" s="213" t="s">
        <v>42</v>
      </c>
    </row>
    <row r="39" spans="1:17" s="12" customFormat="1" x14ac:dyDescent="0.25">
      <c r="A39" s="64" t="s">
        <v>1815</v>
      </c>
      <c r="B39" s="77">
        <v>6.76</v>
      </c>
      <c r="C39" s="77">
        <v>14.48</v>
      </c>
      <c r="D39" s="77">
        <v>14.06</v>
      </c>
      <c r="E39" s="77">
        <v>1.69</v>
      </c>
      <c r="F39" s="77">
        <v>3.2</v>
      </c>
      <c r="G39" s="77">
        <v>12.33</v>
      </c>
      <c r="H39" s="77">
        <v>10.26</v>
      </c>
      <c r="I39" s="210" t="s">
        <v>36</v>
      </c>
      <c r="J39" s="77">
        <v>0.32</v>
      </c>
      <c r="K39" s="77">
        <v>37.86</v>
      </c>
      <c r="L39" s="77">
        <v>21.54</v>
      </c>
      <c r="M39" s="77">
        <v>96.74</v>
      </c>
      <c r="N39" s="77">
        <v>96.8</v>
      </c>
      <c r="O39" s="77">
        <v>0.6</v>
      </c>
      <c r="P39" s="77">
        <v>1.37</v>
      </c>
      <c r="Q39" s="77">
        <v>0.03</v>
      </c>
    </row>
    <row r="40" spans="1:17" s="12" customFormat="1" x14ac:dyDescent="0.25">
      <c r="A40" s="64" t="s">
        <v>1816</v>
      </c>
      <c r="B40" s="77">
        <v>7.65</v>
      </c>
      <c r="C40" s="77">
        <v>14.82</v>
      </c>
      <c r="D40" s="77">
        <v>14.96</v>
      </c>
      <c r="E40" s="77">
        <v>1.77</v>
      </c>
      <c r="F40" s="77">
        <v>3.1</v>
      </c>
      <c r="G40" s="77">
        <v>12.9</v>
      </c>
      <c r="H40" s="77">
        <v>8</v>
      </c>
      <c r="I40" s="210" t="s">
        <v>36</v>
      </c>
      <c r="J40" s="77">
        <v>0.27</v>
      </c>
      <c r="K40" s="77">
        <v>39.369999999999997</v>
      </c>
      <c r="L40" s="77">
        <v>21.55</v>
      </c>
      <c r="M40" s="77">
        <v>97.21</v>
      </c>
      <c r="N40" s="77">
        <v>98.8</v>
      </c>
      <c r="O40" s="77">
        <v>0.2</v>
      </c>
      <c r="P40" s="77">
        <v>1.55</v>
      </c>
      <c r="Q40" s="77">
        <v>0.95</v>
      </c>
    </row>
    <row r="41" spans="1:17" s="12" customFormat="1" x14ac:dyDescent="0.25">
      <c r="A41" s="64" t="s">
        <v>1817</v>
      </c>
      <c r="B41" s="77">
        <v>8.85</v>
      </c>
      <c r="C41" s="77">
        <v>15.07</v>
      </c>
      <c r="D41" s="77">
        <v>16.059999999999999</v>
      </c>
      <c r="E41" s="77">
        <v>2.27</v>
      </c>
      <c r="F41" s="77">
        <v>3.6</v>
      </c>
      <c r="G41" s="77">
        <v>12.92</v>
      </c>
      <c r="H41" s="77">
        <v>8</v>
      </c>
      <c r="I41" s="210" t="s">
        <v>36</v>
      </c>
      <c r="J41" s="77">
        <v>0.23</v>
      </c>
      <c r="K41" s="77">
        <v>35.380000000000003</v>
      </c>
      <c r="L41" s="77">
        <v>21.58</v>
      </c>
      <c r="M41" s="77">
        <v>96.75</v>
      </c>
      <c r="N41" s="77">
        <v>84.5</v>
      </c>
      <c r="O41" s="77">
        <v>0.8</v>
      </c>
      <c r="P41" s="77">
        <v>1.66</v>
      </c>
      <c r="Q41" s="77">
        <v>2.16</v>
      </c>
    </row>
    <row r="42" spans="1:17" s="12" customFormat="1" x14ac:dyDescent="0.25">
      <c r="A42" s="64" t="s">
        <v>1818</v>
      </c>
      <c r="B42" s="77">
        <v>10.01</v>
      </c>
      <c r="C42" s="77">
        <v>15.82</v>
      </c>
      <c r="D42" s="77">
        <v>17.41</v>
      </c>
      <c r="E42" s="77">
        <v>2.31</v>
      </c>
      <c r="F42" s="77">
        <v>3.01</v>
      </c>
      <c r="G42" s="77">
        <v>12.92</v>
      </c>
      <c r="H42" s="77">
        <v>8</v>
      </c>
      <c r="I42" s="210" t="s">
        <v>36</v>
      </c>
      <c r="J42" s="77">
        <v>0.25</v>
      </c>
      <c r="K42" s="77">
        <v>42.44</v>
      </c>
      <c r="L42" s="77">
        <v>21.64</v>
      </c>
      <c r="M42" s="77">
        <v>96.74</v>
      </c>
      <c r="N42" s="77">
        <v>115.9</v>
      </c>
      <c r="O42" s="77">
        <v>0.4</v>
      </c>
      <c r="P42" s="77">
        <v>1.77</v>
      </c>
      <c r="Q42" s="77">
        <v>3.31</v>
      </c>
    </row>
    <row r="43" spans="1:17" s="12" customFormat="1" x14ac:dyDescent="0.25">
      <c r="A43" s="64" t="s">
        <v>1819</v>
      </c>
      <c r="B43" s="77">
        <v>10.74</v>
      </c>
      <c r="C43" s="77">
        <v>14.68</v>
      </c>
      <c r="D43" s="77">
        <v>17.36</v>
      </c>
      <c r="E43" s="77">
        <v>2.25</v>
      </c>
      <c r="F43" s="77">
        <v>3.7</v>
      </c>
      <c r="G43" s="77">
        <v>12.92</v>
      </c>
      <c r="H43" s="77">
        <v>8</v>
      </c>
      <c r="I43" s="210" t="s">
        <v>36</v>
      </c>
      <c r="J43" s="77">
        <v>0.25</v>
      </c>
      <c r="K43" s="77">
        <v>27.58</v>
      </c>
      <c r="L43" s="77">
        <v>21.74</v>
      </c>
      <c r="M43" s="77">
        <v>96.74</v>
      </c>
      <c r="N43" s="77">
        <v>80.900000000000006</v>
      </c>
      <c r="O43" s="77">
        <v>0.2</v>
      </c>
      <c r="P43" s="77">
        <v>1.81</v>
      </c>
      <c r="Q43" s="77">
        <v>3.4</v>
      </c>
    </row>
    <row r="44" spans="1:17" s="12" customFormat="1" x14ac:dyDescent="0.25">
      <c r="A44" s="64" t="s">
        <v>1820</v>
      </c>
      <c r="B44" s="77">
        <v>11.48</v>
      </c>
      <c r="C44" s="77">
        <v>15.42</v>
      </c>
      <c r="D44" s="77">
        <v>18.36</v>
      </c>
      <c r="E44" s="77">
        <v>2.2799999999999998</v>
      </c>
      <c r="F44" s="77">
        <v>3.28</v>
      </c>
      <c r="G44" s="77">
        <v>15.55</v>
      </c>
      <c r="H44" s="77">
        <v>13.23</v>
      </c>
      <c r="I44" s="210" t="s">
        <v>36</v>
      </c>
      <c r="J44" s="77">
        <v>0.42</v>
      </c>
      <c r="K44" s="77">
        <v>5.71</v>
      </c>
      <c r="L44" s="77">
        <v>21.71</v>
      </c>
      <c r="M44" s="77">
        <v>97.2</v>
      </c>
      <c r="N44" s="77">
        <v>95.4</v>
      </c>
      <c r="O44" s="77">
        <v>0.4</v>
      </c>
      <c r="P44" s="77">
        <v>1.84</v>
      </c>
      <c r="Q44" s="77">
        <v>3.57</v>
      </c>
    </row>
    <row r="45" spans="1:17" s="12" customFormat="1" x14ac:dyDescent="0.25">
      <c r="A45" s="64" t="s">
        <v>1821</v>
      </c>
      <c r="B45" s="77">
        <v>11.55</v>
      </c>
      <c r="C45" s="77">
        <v>13.78</v>
      </c>
      <c r="D45" s="77">
        <v>17.510000000000002</v>
      </c>
      <c r="E45" s="77">
        <v>2.63</v>
      </c>
      <c r="F45" s="77">
        <v>3.93</v>
      </c>
      <c r="G45" s="77">
        <v>15.64</v>
      </c>
      <c r="H45" s="77">
        <v>13.23</v>
      </c>
      <c r="I45" s="210" t="s">
        <v>36</v>
      </c>
      <c r="J45" s="77">
        <v>0.32</v>
      </c>
      <c r="K45" s="77">
        <v>35.9</v>
      </c>
      <c r="L45" s="77">
        <v>21.58</v>
      </c>
      <c r="M45" s="77">
        <v>96.76</v>
      </c>
      <c r="N45" s="77">
        <v>87.1</v>
      </c>
      <c r="O45" s="77">
        <v>0.2</v>
      </c>
      <c r="P45" s="77">
        <v>1.88</v>
      </c>
      <c r="Q45" s="77">
        <v>3.95</v>
      </c>
    </row>
    <row r="46" spans="1:17" s="12" customFormat="1" x14ac:dyDescent="0.25">
      <c r="A46" s="64" t="s">
        <v>1822</v>
      </c>
      <c r="B46" s="77">
        <v>11.17</v>
      </c>
      <c r="C46" s="77">
        <v>16.27</v>
      </c>
      <c r="D46" s="77">
        <v>18.579999999999998</v>
      </c>
      <c r="E46" s="77">
        <v>2.66</v>
      </c>
      <c r="F46" s="77">
        <v>1.76</v>
      </c>
      <c r="G46" s="77">
        <v>15.64</v>
      </c>
      <c r="H46" s="77">
        <v>13.23</v>
      </c>
      <c r="I46" s="210" t="s">
        <v>36</v>
      </c>
      <c r="J46" s="77">
        <v>0.35</v>
      </c>
      <c r="K46" s="77">
        <v>36.06</v>
      </c>
      <c r="L46" s="77">
        <v>21.61</v>
      </c>
      <c r="M46" s="77">
        <v>96.74</v>
      </c>
      <c r="N46" s="77">
        <v>87.9</v>
      </c>
      <c r="O46" s="77">
        <v>0.8</v>
      </c>
      <c r="P46" s="77">
        <v>1.86</v>
      </c>
      <c r="Q46" s="77">
        <v>3.62</v>
      </c>
    </row>
    <row r="47" spans="1:17" s="12" customFormat="1" x14ac:dyDescent="0.25">
      <c r="A47" s="64" t="s">
        <v>1823</v>
      </c>
      <c r="B47" s="77">
        <v>10.51</v>
      </c>
      <c r="C47" s="77">
        <v>15.35</v>
      </c>
      <c r="D47" s="77">
        <v>17.55</v>
      </c>
      <c r="E47" s="77">
        <v>2.74</v>
      </c>
      <c r="F47" s="77">
        <v>3.29</v>
      </c>
      <c r="G47" s="77">
        <v>15.64</v>
      </c>
      <c r="H47" s="77">
        <v>13.23</v>
      </c>
      <c r="I47" s="210" t="s">
        <v>36</v>
      </c>
      <c r="J47" s="77">
        <v>0.36</v>
      </c>
      <c r="K47" s="77">
        <v>24.61</v>
      </c>
      <c r="L47" s="77">
        <v>21.71</v>
      </c>
      <c r="M47" s="77">
        <v>96.74</v>
      </c>
      <c r="N47" s="77">
        <v>88.7</v>
      </c>
      <c r="O47" s="77">
        <v>0.2</v>
      </c>
      <c r="P47" s="77">
        <v>1.93</v>
      </c>
      <c r="Q47" s="77">
        <v>1.98</v>
      </c>
    </row>
    <row r="48" spans="1:17" s="12" customFormat="1" x14ac:dyDescent="0.25">
      <c r="A48" s="64" t="s">
        <v>1824</v>
      </c>
      <c r="B48" s="77">
        <v>10.1</v>
      </c>
      <c r="C48" s="77">
        <v>15.73</v>
      </c>
      <c r="D48" s="77">
        <v>17.43</v>
      </c>
      <c r="E48" s="77">
        <v>2.31</v>
      </c>
      <c r="F48" s="77">
        <v>3.13</v>
      </c>
      <c r="G48" s="77">
        <v>13.74</v>
      </c>
      <c r="H48" s="77">
        <v>9.9700000000000006</v>
      </c>
      <c r="I48" s="210" t="s">
        <v>36</v>
      </c>
      <c r="J48" s="77">
        <v>0.37</v>
      </c>
      <c r="K48" s="77">
        <v>16.71</v>
      </c>
      <c r="L48" s="77">
        <v>21.88</v>
      </c>
      <c r="M48" s="77">
        <v>97.19</v>
      </c>
      <c r="N48" s="77">
        <v>157.30000000000001</v>
      </c>
      <c r="O48" s="77">
        <v>0</v>
      </c>
      <c r="P48" s="77">
        <v>1.89</v>
      </c>
      <c r="Q48" s="77">
        <v>1.34</v>
      </c>
    </row>
    <row r="49" spans="1:17" s="12" customFormat="1" x14ac:dyDescent="0.25">
      <c r="A49" s="64" t="s">
        <v>1825</v>
      </c>
      <c r="B49" s="77">
        <v>9.98</v>
      </c>
      <c r="C49" s="77">
        <v>15.56</v>
      </c>
      <c r="D49" s="77">
        <v>17.239999999999998</v>
      </c>
      <c r="E49" s="77">
        <v>2.11</v>
      </c>
      <c r="F49" s="77">
        <v>3.44</v>
      </c>
      <c r="G49" s="77">
        <v>13.68</v>
      </c>
      <c r="H49" s="77">
        <v>9.9700000000000006</v>
      </c>
      <c r="I49" s="210" t="s">
        <v>36</v>
      </c>
      <c r="J49" s="77">
        <v>0.3</v>
      </c>
      <c r="K49" s="77">
        <v>33.82</v>
      </c>
      <c r="L49" s="77">
        <v>22.19</v>
      </c>
      <c r="M49" s="77">
        <v>96.78</v>
      </c>
      <c r="N49" s="77">
        <v>177.9</v>
      </c>
      <c r="O49" s="77">
        <v>0</v>
      </c>
      <c r="P49" s="77">
        <v>1.88</v>
      </c>
      <c r="Q49" s="77">
        <v>1.88</v>
      </c>
    </row>
    <row r="50" spans="1:17" s="12" customFormat="1" x14ac:dyDescent="0.25">
      <c r="A50" s="64" t="s">
        <v>1826</v>
      </c>
      <c r="B50" s="77">
        <v>10.31</v>
      </c>
      <c r="C50" s="77">
        <v>16.22</v>
      </c>
      <c r="D50" s="77">
        <v>17.87</v>
      </c>
      <c r="E50" s="77">
        <v>2.09</v>
      </c>
      <c r="F50" s="77">
        <v>3.22</v>
      </c>
      <c r="G50" s="77">
        <v>13.68</v>
      </c>
      <c r="H50" s="77">
        <v>9.9700000000000006</v>
      </c>
      <c r="I50" s="210" t="s">
        <v>36</v>
      </c>
      <c r="J50" s="77">
        <v>0.38</v>
      </c>
      <c r="K50" s="77">
        <v>14.45</v>
      </c>
      <c r="L50" s="77">
        <v>22.34</v>
      </c>
      <c r="M50" s="77">
        <v>96.74</v>
      </c>
      <c r="N50" s="77">
        <v>145.1</v>
      </c>
      <c r="O50" s="77">
        <v>0</v>
      </c>
      <c r="P50" s="77">
        <v>1.88</v>
      </c>
      <c r="Q50" s="77">
        <v>1.45</v>
      </c>
    </row>
    <row r="51" spans="1:17" s="12" customFormat="1" x14ac:dyDescent="0.25">
      <c r="A51" s="64" t="s">
        <v>1827</v>
      </c>
      <c r="B51" s="77">
        <v>10.210000000000001</v>
      </c>
      <c r="C51" s="77">
        <v>15.83</v>
      </c>
      <c r="D51" s="77">
        <v>17.57</v>
      </c>
      <c r="E51" s="77">
        <v>2.35</v>
      </c>
      <c r="F51" s="77">
        <v>3.38</v>
      </c>
      <c r="G51" s="77">
        <v>13.68</v>
      </c>
      <c r="H51" s="77">
        <v>9.9700000000000006</v>
      </c>
      <c r="I51" s="210" t="s">
        <v>36</v>
      </c>
      <c r="J51" s="77">
        <v>0.45</v>
      </c>
      <c r="K51" s="77">
        <v>357.45</v>
      </c>
      <c r="L51" s="77">
        <v>22.42</v>
      </c>
      <c r="M51" s="77">
        <v>96.75</v>
      </c>
      <c r="N51" s="77">
        <v>152.30000000000001</v>
      </c>
      <c r="O51" s="77">
        <v>0</v>
      </c>
      <c r="P51" s="77">
        <v>1.82</v>
      </c>
      <c r="Q51" s="77">
        <v>1.81</v>
      </c>
    </row>
    <row r="52" spans="1:17" s="12" customFormat="1" x14ac:dyDescent="0.25">
      <c r="A52" s="64" t="s">
        <v>1828</v>
      </c>
      <c r="B52" s="77">
        <v>10.199999999999999</v>
      </c>
      <c r="C52" s="77">
        <v>16.36</v>
      </c>
      <c r="D52" s="77">
        <v>17.86</v>
      </c>
      <c r="E52" s="77">
        <v>2.0299999999999998</v>
      </c>
      <c r="F52" s="77">
        <v>3.31</v>
      </c>
      <c r="G52" s="77">
        <v>19.170000000000002</v>
      </c>
      <c r="H52" s="77">
        <v>11.62</v>
      </c>
      <c r="I52" s="210" t="s">
        <v>36</v>
      </c>
      <c r="J52" s="77">
        <v>0.46</v>
      </c>
      <c r="K52" s="77">
        <v>359.37</v>
      </c>
      <c r="L52" s="77">
        <v>22.85</v>
      </c>
      <c r="M52" s="77">
        <v>97.16</v>
      </c>
      <c r="N52" s="77">
        <v>292.60000000000002</v>
      </c>
      <c r="O52" s="77">
        <v>0</v>
      </c>
      <c r="P52" s="77">
        <v>1.8</v>
      </c>
      <c r="Q52" s="77">
        <v>1.34</v>
      </c>
    </row>
    <row r="53" spans="1:17" s="12" customFormat="1" x14ac:dyDescent="0.25">
      <c r="A53" s="64" t="s">
        <v>1829</v>
      </c>
      <c r="B53" s="77">
        <v>10.39</v>
      </c>
      <c r="C53" s="77">
        <v>16.27</v>
      </c>
      <c r="D53" s="77">
        <v>17.96</v>
      </c>
      <c r="E53" s="77">
        <v>2.31</v>
      </c>
      <c r="F53" s="77">
        <v>3.48</v>
      </c>
      <c r="G53" s="77">
        <v>19.36</v>
      </c>
      <c r="H53" s="77">
        <v>11.62</v>
      </c>
      <c r="I53" s="210" t="s">
        <v>36</v>
      </c>
      <c r="J53" s="77">
        <v>0.52</v>
      </c>
      <c r="K53" s="77">
        <v>357.4</v>
      </c>
      <c r="L53" s="77">
        <v>23.65</v>
      </c>
      <c r="M53" s="77">
        <v>96.76</v>
      </c>
      <c r="N53" s="77">
        <v>383.2</v>
      </c>
      <c r="O53" s="77">
        <v>0</v>
      </c>
      <c r="P53" s="77">
        <v>1.78</v>
      </c>
      <c r="Q53" s="77">
        <v>2.42</v>
      </c>
    </row>
    <row r="54" spans="1:17" s="12" customFormat="1" x14ac:dyDescent="0.25">
      <c r="A54" s="64" t="s">
        <v>1830</v>
      </c>
      <c r="B54" s="77">
        <v>10.1</v>
      </c>
      <c r="C54" s="77">
        <v>15.91</v>
      </c>
      <c r="D54" s="77">
        <v>17.53</v>
      </c>
      <c r="E54" s="77">
        <v>2.44</v>
      </c>
      <c r="F54" s="77">
        <v>3.83</v>
      </c>
      <c r="G54" s="77">
        <v>19.36</v>
      </c>
      <c r="H54" s="77">
        <v>11.62</v>
      </c>
      <c r="I54" s="210" t="s">
        <v>36</v>
      </c>
      <c r="J54" s="77">
        <v>0.45</v>
      </c>
      <c r="K54" s="77">
        <v>20.65</v>
      </c>
      <c r="L54" s="77">
        <v>24.79</v>
      </c>
      <c r="M54" s="77">
        <v>93.3</v>
      </c>
      <c r="N54" s="77">
        <v>756.3</v>
      </c>
      <c r="O54" s="77">
        <v>0</v>
      </c>
      <c r="P54" s="77">
        <v>1.74</v>
      </c>
      <c r="Q54" s="77">
        <v>2.77</v>
      </c>
    </row>
    <row r="55" spans="1:17" s="12" customFormat="1" x14ac:dyDescent="0.25">
      <c r="A55" s="64" t="s">
        <v>1831</v>
      </c>
      <c r="B55" s="77">
        <v>8.92</v>
      </c>
      <c r="C55" s="77">
        <v>16.11</v>
      </c>
      <c r="D55" s="77">
        <v>16.690000000000001</v>
      </c>
      <c r="E55" s="77">
        <v>2.27</v>
      </c>
      <c r="F55" s="77">
        <v>3.92</v>
      </c>
      <c r="G55" s="77">
        <v>19.36</v>
      </c>
      <c r="H55" s="77">
        <v>11.62</v>
      </c>
      <c r="I55" s="210" t="s">
        <v>36</v>
      </c>
      <c r="J55" s="77">
        <v>0.53</v>
      </c>
      <c r="K55" s="77">
        <v>5.35</v>
      </c>
      <c r="L55" s="77">
        <v>25.64</v>
      </c>
      <c r="M55" s="77">
        <v>88.87</v>
      </c>
      <c r="N55" s="77">
        <v>698.5</v>
      </c>
      <c r="O55" s="77">
        <v>0</v>
      </c>
      <c r="P55" s="77">
        <v>1.73</v>
      </c>
      <c r="Q55" s="77">
        <v>2.04</v>
      </c>
    </row>
    <row r="56" spans="1:17" s="12" customFormat="1" x14ac:dyDescent="0.25">
      <c r="A56" s="64" t="s">
        <v>1832</v>
      </c>
      <c r="B56" s="77">
        <v>7.64</v>
      </c>
      <c r="C56" s="77">
        <v>16.34</v>
      </c>
      <c r="D56" s="77">
        <v>15.79</v>
      </c>
      <c r="E56" s="77">
        <v>1.65</v>
      </c>
      <c r="F56" s="77">
        <v>3.8</v>
      </c>
      <c r="G56" s="77">
        <v>20.49</v>
      </c>
      <c r="H56" s="77">
        <v>12.34</v>
      </c>
      <c r="I56" s="210" t="s">
        <v>36</v>
      </c>
      <c r="J56" s="77">
        <v>0.51</v>
      </c>
      <c r="K56" s="77">
        <v>359.68</v>
      </c>
      <c r="L56" s="77">
        <v>26.42</v>
      </c>
      <c r="M56" s="77">
        <v>85.62</v>
      </c>
      <c r="N56" s="77">
        <v>566.1</v>
      </c>
      <c r="O56" s="77">
        <v>0</v>
      </c>
      <c r="P56" s="77">
        <v>1.67</v>
      </c>
      <c r="Q56" s="77">
        <v>2.12</v>
      </c>
    </row>
    <row r="57" spans="1:17" s="12" customFormat="1" x14ac:dyDescent="0.25">
      <c r="A57" s="64" t="s">
        <v>1833</v>
      </c>
      <c r="B57" s="77">
        <v>6.96</v>
      </c>
      <c r="C57" s="77">
        <v>16.510000000000002</v>
      </c>
      <c r="D57" s="77">
        <v>15.34</v>
      </c>
      <c r="E57" s="77">
        <v>1.7</v>
      </c>
      <c r="F57" s="77">
        <v>3.75</v>
      </c>
      <c r="G57" s="77">
        <v>20.52</v>
      </c>
      <c r="H57" s="77">
        <v>12.34</v>
      </c>
      <c r="I57" s="210" t="s">
        <v>36</v>
      </c>
      <c r="J57" s="77">
        <v>0.46</v>
      </c>
      <c r="K57" s="77">
        <v>10.96</v>
      </c>
      <c r="L57" s="77">
        <v>26.11</v>
      </c>
      <c r="M57" s="77">
        <v>86.1</v>
      </c>
      <c r="N57" s="77">
        <v>509.6</v>
      </c>
      <c r="O57" s="77">
        <v>0</v>
      </c>
      <c r="P57" s="77">
        <v>1.6</v>
      </c>
      <c r="Q57" s="77">
        <v>1.54</v>
      </c>
    </row>
    <row r="58" spans="1:17" s="12" customFormat="1" x14ac:dyDescent="0.25">
      <c r="A58" s="64" t="s">
        <v>1834</v>
      </c>
      <c r="B58" s="77">
        <v>5.88</v>
      </c>
      <c r="C58" s="77">
        <v>17.28</v>
      </c>
      <c r="D58" s="77">
        <v>14.9</v>
      </c>
      <c r="E58" s="77">
        <v>2.08</v>
      </c>
      <c r="F58" s="77">
        <v>4.07</v>
      </c>
      <c r="G58" s="77">
        <v>20.52</v>
      </c>
      <c r="H58" s="77">
        <v>12.34</v>
      </c>
      <c r="I58" s="210" t="s">
        <v>36</v>
      </c>
      <c r="J58" s="77">
        <v>0.4</v>
      </c>
      <c r="K58" s="77">
        <v>3.63</v>
      </c>
      <c r="L58" s="77">
        <v>26</v>
      </c>
      <c r="M58" s="77">
        <v>86.71</v>
      </c>
      <c r="N58" s="77">
        <v>269.10000000000002</v>
      </c>
      <c r="O58" s="77">
        <v>0</v>
      </c>
      <c r="P58" s="77">
        <v>1.56</v>
      </c>
      <c r="Q58" s="77">
        <v>0.35</v>
      </c>
    </row>
    <row r="59" spans="1:17" s="12" customFormat="1" x14ac:dyDescent="0.25">
      <c r="A59" s="64" t="s">
        <v>1835</v>
      </c>
      <c r="B59" s="77">
        <v>5.0999999999999996</v>
      </c>
      <c r="C59" s="77">
        <v>17.09</v>
      </c>
      <c r="D59" s="77">
        <v>14.16</v>
      </c>
      <c r="E59" s="77">
        <v>1.76</v>
      </c>
      <c r="F59" s="77">
        <v>4.12</v>
      </c>
      <c r="G59" s="77">
        <v>20.52</v>
      </c>
      <c r="H59" s="77">
        <v>12.34</v>
      </c>
      <c r="I59" s="210" t="s">
        <v>36</v>
      </c>
      <c r="J59" s="77">
        <v>0.41</v>
      </c>
      <c r="K59" s="77">
        <v>22.13</v>
      </c>
      <c r="L59" s="77">
        <v>25.15</v>
      </c>
      <c r="M59" s="77">
        <v>89.33</v>
      </c>
      <c r="N59" s="77">
        <v>202.2</v>
      </c>
      <c r="O59" s="77">
        <v>0</v>
      </c>
      <c r="P59" s="77">
        <v>1.55</v>
      </c>
      <c r="Q59" s="213" t="s">
        <v>42</v>
      </c>
    </row>
    <row r="60" spans="1:17" s="12" customFormat="1" x14ac:dyDescent="0.25">
      <c r="A60" s="64" t="s">
        <v>1836</v>
      </c>
      <c r="B60" s="77">
        <v>4.76</v>
      </c>
      <c r="C60" s="77">
        <v>17.36</v>
      </c>
      <c r="D60" s="77">
        <v>14.04</v>
      </c>
      <c r="E60" s="77">
        <v>1.69</v>
      </c>
      <c r="F60" s="77">
        <v>4.2</v>
      </c>
      <c r="G60" s="77">
        <v>26.92</v>
      </c>
      <c r="H60" s="77">
        <v>12.86</v>
      </c>
      <c r="I60" s="210" t="s">
        <v>36</v>
      </c>
      <c r="J60" s="77">
        <v>0.56000000000000005</v>
      </c>
      <c r="K60" s="77">
        <v>356.63</v>
      </c>
      <c r="L60" s="77">
        <v>25.3</v>
      </c>
      <c r="M60" s="77">
        <v>88.34</v>
      </c>
      <c r="N60" s="77">
        <v>287.3</v>
      </c>
      <c r="O60" s="77">
        <v>0</v>
      </c>
      <c r="P60" s="77">
        <v>1.52</v>
      </c>
      <c r="Q60" s="213" t="s">
        <v>42</v>
      </c>
    </row>
    <row r="61" spans="1:17" s="12" customFormat="1" x14ac:dyDescent="0.25">
      <c r="A61" s="64" t="s">
        <v>1837</v>
      </c>
      <c r="B61" s="77">
        <v>4.63</v>
      </c>
      <c r="C61" s="77">
        <v>17.329999999999998</v>
      </c>
      <c r="D61" s="77">
        <v>13.92</v>
      </c>
      <c r="E61" s="77">
        <v>1.85</v>
      </c>
      <c r="F61" s="77">
        <v>4.22</v>
      </c>
      <c r="G61" s="77">
        <v>27.14</v>
      </c>
      <c r="H61" s="77">
        <v>12.86</v>
      </c>
      <c r="I61" s="210" t="s">
        <v>36</v>
      </c>
      <c r="J61" s="77">
        <v>0.42</v>
      </c>
      <c r="K61" s="77">
        <v>10.47</v>
      </c>
      <c r="L61" s="77">
        <v>26.22</v>
      </c>
      <c r="M61" s="77">
        <v>84.85</v>
      </c>
      <c r="N61" s="77">
        <v>575</v>
      </c>
      <c r="O61" s="77">
        <v>0</v>
      </c>
      <c r="P61" s="77">
        <v>0.91</v>
      </c>
      <c r="Q61" s="213" t="s">
        <v>42</v>
      </c>
    </row>
    <row r="62" spans="1:17" s="12" customFormat="1" x14ac:dyDescent="0.25">
      <c r="A62" s="64" t="s">
        <v>1838</v>
      </c>
      <c r="B62" s="77">
        <v>4.4800000000000004</v>
      </c>
      <c r="C62" s="77">
        <v>17.78</v>
      </c>
      <c r="D62" s="77">
        <v>14.05</v>
      </c>
      <c r="E62" s="77">
        <v>1.66</v>
      </c>
      <c r="F62" s="77">
        <v>4.26</v>
      </c>
      <c r="G62" s="77">
        <v>27.14</v>
      </c>
      <c r="H62" s="77">
        <v>12.86</v>
      </c>
      <c r="I62" s="210" t="s">
        <v>36</v>
      </c>
      <c r="J62" s="77">
        <v>0.36</v>
      </c>
      <c r="K62" s="77">
        <v>27.83</v>
      </c>
      <c r="L62" s="77">
        <v>26.07</v>
      </c>
      <c r="M62" s="77">
        <v>85.83</v>
      </c>
      <c r="N62" s="77">
        <v>363.1</v>
      </c>
      <c r="O62" s="77">
        <v>0</v>
      </c>
      <c r="P62" s="77">
        <v>1.36</v>
      </c>
      <c r="Q62" s="213" t="s">
        <v>42</v>
      </c>
    </row>
    <row r="63" spans="1:17" s="12" customFormat="1" x14ac:dyDescent="0.25">
      <c r="A63" s="64" t="s">
        <v>1839</v>
      </c>
      <c r="B63" s="77">
        <v>4.3099999999999996</v>
      </c>
      <c r="C63" s="77">
        <v>17.93</v>
      </c>
      <c r="D63" s="77">
        <v>14</v>
      </c>
      <c r="E63" s="77">
        <v>2.5</v>
      </c>
      <c r="F63" s="77">
        <v>4.17</v>
      </c>
      <c r="G63" s="77">
        <v>27.14</v>
      </c>
      <c r="H63" s="77">
        <v>12.86</v>
      </c>
      <c r="I63" s="210" t="s">
        <v>36</v>
      </c>
      <c r="J63" s="77">
        <v>0.25</v>
      </c>
      <c r="K63" s="77">
        <v>28.68</v>
      </c>
      <c r="L63" s="77">
        <v>25.5</v>
      </c>
      <c r="M63" s="77">
        <v>89.03</v>
      </c>
      <c r="N63" s="77">
        <v>267.60000000000002</v>
      </c>
      <c r="O63" s="77">
        <v>0</v>
      </c>
      <c r="P63" s="77">
        <v>1.38</v>
      </c>
      <c r="Q63" s="213" t="s">
        <v>42</v>
      </c>
    </row>
    <row r="64" spans="1:17" s="12" customFormat="1" x14ac:dyDescent="0.25">
      <c r="A64" s="64" t="s">
        <v>1840</v>
      </c>
      <c r="B64" s="77">
        <v>4.22</v>
      </c>
      <c r="C64" s="77">
        <v>18.059999999999999</v>
      </c>
      <c r="D64" s="77">
        <v>14</v>
      </c>
      <c r="E64" s="77">
        <v>2.62</v>
      </c>
      <c r="F64" s="77">
        <v>4.93</v>
      </c>
      <c r="G64" s="77">
        <v>34.979999999999997</v>
      </c>
      <c r="H64" s="77">
        <v>17.670000000000002</v>
      </c>
      <c r="I64" s="210" t="s">
        <v>36</v>
      </c>
      <c r="J64" s="77">
        <v>0.21</v>
      </c>
      <c r="K64" s="77">
        <v>30.52</v>
      </c>
      <c r="L64" s="77">
        <v>25</v>
      </c>
      <c r="M64" s="77">
        <v>91.45</v>
      </c>
      <c r="N64" s="77">
        <v>214.1</v>
      </c>
      <c r="O64" s="77">
        <v>0</v>
      </c>
      <c r="P64" s="77">
        <v>1.47</v>
      </c>
      <c r="Q64" s="77">
        <v>7.0000000000000007E-2</v>
      </c>
    </row>
    <row r="65" spans="1:17" s="12" customFormat="1" x14ac:dyDescent="0.25">
      <c r="A65" s="64" t="s">
        <v>1841</v>
      </c>
      <c r="B65" s="77">
        <v>4.28</v>
      </c>
      <c r="C65" s="77">
        <v>18.73</v>
      </c>
      <c r="D65" s="77">
        <v>14.41</v>
      </c>
      <c r="E65" s="77">
        <v>3.02</v>
      </c>
      <c r="F65" s="77">
        <v>4.28</v>
      </c>
      <c r="G65" s="77">
        <v>35.25</v>
      </c>
      <c r="H65" s="77">
        <v>17.670000000000002</v>
      </c>
      <c r="I65" s="210" t="s">
        <v>36</v>
      </c>
      <c r="J65" s="77">
        <v>0.32</v>
      </c>
      <c r="K65" s="77">
        <v>40.119999999999997</v>
      </c>
      <c r="L65" s="77">
        <v>25.38</v>
      </c>
      <c r="M65" s="77">
        <v>89.47</v>
      </c>
      <c r="N65" s="77">
        <v>400.2</v>
      </c>
      <c r="O65" s="77">
        <v>0</v>
      </c>
      <c r="P65" s="77">
        <v>1.49</v>
      </c>
      <c r="Q65" s="77">
        <v>1.25</v>
      </c>
    </row>
    <row r="66" spans="1:17" s="12" customFormat="1" x14ac:dyDescent="0.25">
      <c r="A66" s="64" t="s">
        <v>1842</v>
      </c>
      <c r="B66" s="77">
        <v>4.18</v>
      </c>
      <c r="C66" s="77">
        <v>17.48</v>
      </c>
      <c r="D66" s="77">
        <v>13.64</v>
      </c>
      <c r="E66" s="77">
        <v>2.99</v>
      </c>
      <c r="F66" s="77">
        <v>5.5</v>
      </c>
      <c r="G66" s="77">
        <v>35.25</v>
      </c>
      <c r="H66" s="77">
        <v>17.670000000000002</v>
      </c>
      <c r="I66" s="210" t="s">
        <v>36</v>
      </c>
      <c r="J66" s="77">
        <v>0.31</v>
      </c>
      <c r="K66" s="77">
        <v>30.4</v>
      </c>
      <c r="L66" s="77">
        <v>25.8</v>
      </c>
      <c r="M66" s="77">
        <v>87.24</v>
      </c>
      <c r="N66" s="77">
        <v>459.2</v>
      </c>
      <c r="O66" s="77">
        <v>0</v>
      </c>
      <c r="P66" s="77">
        <v>1.46</v>
      </c>
      <c r="Q66" s="77">
        <v>0.26</v>
      </c>
    </row>
    <row r="67" spans="1:17" s="12" customFormat="1" x14ac:dyDescent="0.25">
      <c r="A67" s="64" t="s">
        <v>1843</v>
      </c>
      <c r="B67" s="77">
        <v>4.08</v>
      </c>
      <c r="C67" s="77">
        <v>18.29</v>
      </c>
      <c r="D67" s="77">
        <v>14.01</v>
      </c>
      <c r="E67" s="77">
        <v>3.21</v>
      </c>
      <c r="F67" s="77">
        <v>4.2</v>
      </c>
      <c r="G67" s="77">
        <v>35.25</v>
      </c>
      <c r="H67" s="77">
        <v>17.670000000000002</v>
      </c>
      <c r="I67" s="210" t="s">
        <v>36</v>
      </c>
      <c r="J67" s="77">
        <v>0.36</v>
      </c>
      <c r="K67" s="77">
        <v>37.200000000000003</v>
      </c>
      <c r="L67" s="77">
        <v>25.64</v>
      </c>
      <c r="M67" s="77">
        <v>87.2</v>
      </c>
      <c r="N67" s="77">
        <v>329.9</v>
      </c>
      <c r="O67" s="77">
        <v>0</v>
      </c>
      <c r="P67" s="77">
        <v>1.41</v>
      </c>
      <c r="Q67" s="77">
        <v>1.18</v>
      </c>
    </row>
    <row r="68" spans="1:17" s="12" customFormat="1" x14ac:dyDescent="0.25">
      <c r="A68" s="64" t="s">
        <v>1844</v>
      </c>
      <c r="B68" s="77">
        <v>3.68</v>
      </c>
      <c r="C68" s="77">
        <v>17.43</v>
      </c>
      <c r="D68" s="77">
        <v>13.22</v>
      </c>
      <c r="E68" s="77">
        <v>3.29</v>
      </c>
      <c r="F68" s="77">
        <v>5.73</v>
      </c>
      <c r="G68" s="77">
        <v>35.64</v>
      </c>
      <c r="H68" s="77">
        <v>15.52</v>
      </c>
      <c r="I68" s="210" t="s">
        <v>36</v>
      </c>
      <c r="J68" s="77">
        <v>0.39</v>
      </c>
      <c r="K68" s="77">
        <v>41.81</v>
      </c>
      <c r="L68" s="77">
        <v>25.21</v>
      </c>
      <c r="M68" s="77">
        <v>89.03</v>
      </c>
      <c r="N68" s="77">
        <v>228.6</v>
      </c>
      <c r="O68" s="77">
        <v>0</v>
      </c>
      <c r="P68" s="77">
        <v>1.33</v>
      </c>
      <c r="Q68" s="77">
        <v>0.12</v>
      </c>
    </row>
    <row r="69" spans="1:17" s="12" customFormat="1" x14ac:dyDescent="0.25">
      <c r="A69" s="64" t="s">
        <v>1845</v>
      </c>
      <c r="B69" s="77">
        <v>3.39</v>
      </c>
      <c r="C69" s="77">
        <v>18.05</v>
      </c>
      <c r="D69" s="77">
        <v>13.33</v>
      </c>
      <c r="E69" s="77">
        <v>3.03</v>
      </c>
      <c r="F69" s="77">
        <v>4.22</v>
      </c>
      <c r="G69" s="77">
        <v>35.659999999999997</v>
      </c>
      <c r="H69" s="77">
        <v>15.52</v>
      </c>
      <c r="I69" s="210" t="s">
        <v>36</v>
      </c>
      <c r="J69" s="77">
        <v>0.28999999999999998</v>
      </c>
      <c r="K69" s="77">
        <v>30.16</v>
      </c>
      <c r="L69" s="77">
        <v>24.93</v>
      </c>
      <c r="M69" s="77">
        <v>90.04</v>
      </c>
      <c r="N69" s="77">
        <v>152</v>
      </c>
      <c r="O69" s="77">
        <v>0</v>
      </c>
      <c r="P69" s="77">
        <v>1.29</v>
      </c>
      <c r="Q69" s="77">
        <v>0.51</v>
      </c>
    </row>
    <row r="70" spans="1:17" s="12" customFormat="1" x14ac:dyDescent="0.25">
      <c r="A70" s="64" t="s">
        <v>1846</v>
      </c>
      <c r="B70" s="77">
        <v>3.03</v>
      </c>
      <c r="C70" s="77">
        <v>18.12</v>
      </c>
      <c r="D70" s="77">
        <v>13.07</v>
      </c>
      <c r="E70" s="77">
        <v>2.95</v>
      </c>
      <c r="F70" s="77">
        <v>4.79</v>
      </c>
      <c r="G70" s="77">
        <v>35.659999999999997</v>
      </c>
      <c r="H70" s="77">
        <v>15.52</v>
      </c>
      <c r="I70" s="210" t="s">
        <v>36</v>
      </c>
      <c r="J70" s="77">
        <v>0.32</v>
      </c>
      <c r="K70" s="77">
        <v>38.270000000000003</v>
      </c>
      <c r="L70" s="77">
        <v>24.75</v>
      </c>
      <c r="M70" s="77">
        <v>90.9</v>
      </c>
      <c r="N70" s="77">
        <v>106.6</v>
      </c>
      <c r="O70" s="77">
        <v>0</v>
      </c>
      <c r="P70" s="77">
        <v>1.26</v>
      </c>
      <c r="Q70" s="213" t="s">
        <v>42</v>
      </c>
    </row>
    <row r="71" spans="1:17" s="12" customFormat="1" x14ac:dyDescent="0.25">
      <c r="A71" s="64" t="s">
        <v>1847</v>
      </c>
      <c r="B71" s="77">
        <v>2.95</v>
      </c>
      <c r="C71" s="77">
        <v>17.52</v>
      </c>
      <c r="D71" s="77">
        <v>12.68</v>
      </c>
      <c r="E71" s="77">
        <v>2.95</v>
      </c>
      <c r="F71" s="77">
        <v>4.67</v>
      </c>
      <c r="G71" s="77">
        <v>35.659999999999997</v>
      </c>
      <c r="H71" s="77">
        <v>15.52</v>
      </c>
      <c r="I71" s="210" t="s">
        <v>36</v>
      </c>
      <c r="J71" s="77">
        <v>0.31</v>
      </c>
      <c r="K71" s="77">
        <v>42.7</v>
      </c>
      <c r="L71" s="77">
        <v>24.55</v>
      </c>
      <c r="M71" s="77">
        <v>92.11</v>
      </c>
      <c r="N71" s="77">
        <v>72.400000000000006</v>
      </c>
      <c r="O71" s="77">
        <v>0</v>
      </c>
      <c r="P71" s="77">
        <v>1.23</v>
      </c>
      <c r="Q71" s="213" t="s">
        <v>42</v>
      </c>
    </row>
    <row r="72" spans="1:17" s="12" customFormat="1" x14ac:dyDescent="0.25">
      <c r="A72" s="64" t="s">
        <v>1848</v>
      </c>
      <c r="B72" s="77">
        <v>2.77</v>
      </c>
      <c r="C72" s="77">
        <v>17.28</v>
      </c>
      <c r="D72" s="77">
        <v>12.41</v>
      </c>
      <c r="E72" s="77">
        <v>1.97</v>
      </c>
      <c r="F72" s="77">
        <v>4.82</v>
      </c>
      <c r="G72" s="77">
        <v>31.67</v>
      </c>
      <c r="H72" s="77">
        <v>16.86</v>
      </c>
      <c r="I72" s="210" t="s">
        <v>36</v>
      </c>
      <c r="J72" s="77">
        <v>0.22</v>
      </c>
      <c r="K72" s="77">
        <v>39.92</v>
      </c>
      <c r="L72" s="77">
        <v>24.46</v>
      </c>
      <c r="M72" s="77">
        <v>92.76</v>
      </c>
      <c r="N72" s="77">
        <v>61.4</v>
      </c>
      <c r="O72" s="77">
        <v>0</v>
      </c>
      <c r="P72" s="77">
        <v>1.21</v>
      </c>
      <c r="Q72" s="213" t="s">
        <v>42</v>
      </c>
    </row>
    <row r="73" spans="1:17" s="12" customFormat="1" x14ac:dyDescent="0.25">
      <c r="A73" s="64" t="s">
        <v>1849</v>
      </c>
      <c r="B73" s="77">
        <v>2.99</v>
      </c>
      <c r="C73" s="77">
        <v>16.940000000000001</v>
      </c>
      <c r="D73" s="77">
        <v>12.4</v>
      </c>
      <c r="E73" s="77">
        <v>1.85</v>
      </c>
      <c r="F73" s="77">
        <v>4.2699999999999996</v>
      </c>
      <c r="G73" s="77">
        <v>31.53</v>
      </c>
      <c r="H73" s="77">
        <v>16.86</v>
      </c>
      <c r="I73" s="210" t="s">
        <v>36</v>
      </c>
      <c r="J73" s="77">
        <v>0.24</v>
      </c>
      <c r="K73" s="77">
        <v>34.01</v>
      </c>
      <c r="L73" s="77">
        <v>24.37</v>
      </c>
      <c r="M73" s="77">
        <v>94.47</v>
      </c>
      <c r="N73" s="77">
        <v>48.9</v>
      </c>
      <c r="O73" s="77">
        <v>0</v>
      </c>
      <c r="P73" s="77">
        <v>1.2</v>
      </c>
      <c r="Q73" s="213" t="s">
        <v>42</v>
      </c>
    </row>
    <row r="74" spans="1:17" s="12" customFormat="1" x14ac:dyDescent="0.25">
      <c r="A74" s="64" t="s">
        <v>1850</v>
      </c>
      <c r="B74" s="77">
        <v>3.22</v>
      </c>
      <c r="C74" s="77">
        <v>16.62</v>
      </c>
      <c r="D74" s="77">
        <v>12.4</v>
      </c>
      <c r="E74" s="77">
        <v>1.23</v>
      </c>
      <c r="F74" s="77">
        <v>4.04</v>
      </c>
      <c r="G74" s="77">
        <v>31.53</v>
      </c>
      <c r="H74" s="77">
        <v>16.86</v>
      </c>
      <c r="I74" s="210" t="s">
        <v>36</v>
      </c>
      <c r="J74" s="77">
        <v>0.18</v>
      </c>
      <c r="K74" s="77">
        <v>29.11</v>
      </c>
      <c r="L74" s="77">
        <v>23.7</v>
      </c>
      <c r="M74" s="77">
        <v>97.06</v>
      </c>
      <c r="N74" s="77">
        <v>51.6</v>
      </c>
      <c r="O74" s="77">
        <v>1.2</v>
      </c>
      <c r="P74" s="77">
        <v>1.19</v>
      </c>
      <c r="Q74" s="213" t="s">
        <v>42</v>
      </c>
    </row>
    <row r="75" spans="1:17" s="12" customFormat="1" x14ac:dyDescent="0.25">
      <c r="A75" s="64" t="s">
        <v>1851</v>
      </c>
      <c r="B75" s="77">
        <v>3.25</v>
      </c>
      <c r="C75" s="77">
        <v>16.48</v>
      </c>
      <c r="D75" s="77">
        <v>12.35</v>
      </c>
      <c r="E75" s="77">
        <v>1.7</v>
      </c>
      <c r="F75" s="77">
        <v>3.75</v>
      </c>
      <c r="G75" s="77">
        <v>31.53</v>
      </c>
      <c r="H75" s="77">
        <v>16.86</v>
      </c>
      <c r="I75" s="210" t="s">
        <v>36</v>
      </c>
      <c r="J75" s="77">
        <v>0.15</v>
      </c>
      <c r="K75" s="77">
        <v>27.81</v>
      </c>
      <c r="L75" s="77">
        <v>23.2</v>
      </c>
      <c r="M75" s="77">
        <v>97.23</v>
      </c>
      <c r="N75" s="77">
        <v>49</v>
      </c>
      <c r="O75" s="77">
        <v>1</v>
      </c>
      <c r="P75" s="77">
        <v>1.1599999999999999</v>
      </c>
      <c r="Q75" s="213" t="s">
        <v>42</v>
      </c>
    </row>
    <row r="76" spans="1:17" s="12" customFormat="1" x14ac:dyDescent="0.25">
      <c r="A76" s="64" t="s">
        <v>1852</v>
      </c>
      <c r="B76" s="77">
        <v>3.38</v>
      </c>
      <c r="C76" s="77">
        <v>17.34</v>
      </c>
      <c r="D76" s="77">
        <v>12.93</v>
      </c>
      <c r="E76" s="77">
        <v>1.75</v>
      </c>
      <c r="F76" s="77">
        <v>9.48</v>
      </c>
      <c r="G76" s="77">
        <v>28.56</v>
      </c>
      <c r="H76" s="77">
        <v>15.26</v>
      </c>
      <c r="I76" s="210" t="s">
        <v>36</v>
      </c>
      <c r="J76" s="77">
        <v>0.02</v>
      </c>
      <c r="K76" s="77">
        <v>18.45</v>
      </c>
      <c r="L76" s="77">
        <v>23.02</v>
      </c>
      <c r="M76" s="77">
        <v>97.23</v>
      </c>
      <c r="N76" s="77">
        <v>47.6</v>
      </c>
      <c r="O76" s="77">
        <v>0.2</v>
      </c>
      <c r="P76" s="77">
        <v>1.1200000000000001</v>
      </c>
      <c r="Q76" s="77">
        <v>0.03</v>
      </c>
    </row>
    <row r="77" spans="1:17" s="12" customFormat="1" x14ac:dyDescent="0.25">
      <c r="A77" s="64" t="s">
        <v>1853</v>
      </c>
      <c r="B77" s="77">
        <v>3.5</v>
      </c>
      <c r="C77" s="77">
        <v>17.3</v>
      </c>
      <c r="D77" s="77">
        <v>13</v>
      </c>
      <c r="E77" s="77">
        <v>2.06</v>
      </c>
      <c r="F77" s="77">
        <v>8.33</v>
      </c>
      <c r="G77" s="77">
        <v>28.46</v>
      </c>
      <c r="H77" s="77">
        <v>15.26</v>
      </c>
      <c r="I77" s="210" t="s">
        <v>36</v>
      </c>
      <c r="J77" s="77">
        <v>0.06</v>
      </c>
      <c r="K77" s="77">
        <v>29.18</v>
      </c>
      <c r="L77" s="77">
        <v>23.05</v>
      </c>
      <c r="M77" s="77">
        <v>97.23</v>
      </c>
      <c r="N77" s="77">
        <v>44.5</v>
      </c>
      <c r="O77" s="77">
        <v>0.2</v>
      </c>
      <c r="P77" s="77">
        <v>1.1399999999999999</v>
      </c>
      <c r="Q77" s="77">
        <v>0.1</v>
      </c>
    </row>
    <row r="78" spans="1:17" s="12" customFormat="1" x14ac:dyDescent="0.25">
      <c r="A78" s="64" t="s">
        <v>1854</v>
      </c>
      <c r="B78" s="77">
        <v>3.97</v>
      </c>
      <c r="C78" s="77">
        <v>17.37</v>
      </c>
      <c r="D78" s="77">
        <v>13.41</v>
      </c>
      <c r="E78" s="77">
        <v>2.33</v>
      </c>
      <c r="F78" s="77">
        <v>7.2</v>
      </c>
      <c r="G78" s="77">
        <v>28.46</v>
      </c>
      <c r="H78" s="77">
        <v>15.26</v>
      </c>
      <c r="I78" s="210" t="s">
        <v>36</v>
      </c>
      <c r="J78" s="77">
        <v>0.06</v>
      </c>
      <c r="K78" s="77">
        <v>23.3</v>
      </c>
      <c r="L78" s="77">
        <v>23</v>
      </c>
      <c r="M78" s="77">
        <v>97.23</v>
      </c>
      <c r="N78" s="77">
        <v>43.1</v>
      </c>
      <c r="O78" s="77">
        <v>2</v>
      </c>
      <c r="P78" s="77">
        <v>1.1200000000000001</v>
      </c>
      <c r="Q78" s="77">
        <v>1.03</v>
      </c>
    </row>
    <row r="79" spans="1:17" s="12" customFormat="1" x14ac:dyDescent="0.25">
      <c r="A79" s="64" t="s">
        <v>1855</v>
      </c>
      <c r="B79" s="77">
        <v>3.97</v>
      </c>
      <c r="C79" s="77">
        <v>16.059999999999999</v>
      </c>
      <c r="D79" s="77">
        <v>12.69</v>
      </c>
      <c r="E79" s="77">
        <v>2.1</v>
      </c>
      <c r="F79" s="77">
        <v>7.15</v>
      </c>
      <c r="G79" s="77">
        <v>28.46</v>
      </c>
      <c r="H79" s="77">
        <v>15.26</v>
      </c>
      <c r="I79" s="210" t="s">
        <v>36</v>
      </c>
      <c r="J79" s="77">
        <v>0.14000000000000001</v>
      </c>
      <c r="K79" s="77">
        <v>36.159999999999997</v>
      </c>
      <c r="L79" s="77">
        <v>22.89</v>
      </c>
      <c r="M79" s="77">
        <v>97.23</v>
      </c>
      <c r="N79" s="77">
        <v>45</v>
      </c>
      <c r="O79" s="77">
        <v>0</v>
      </c>
      <c r="P79" s="77">
        <v>1.0900000000000001</v>
      </c>
      <c r="Q79" s="77">
        <v>1.28</v>
      </c>
    </row>
    <row r="80" spans="1:17" s="12" customFormat="1" x14ac:dyDescent="0.25">
      <c r="A80" s="64" t="s">
        <v>1856</v>
      </c>
      <c r="B80" s="77">
        <v>4.13</v>
      </c>
      <c r="C80" s="77">
        <v>16.04</v>
      </c>
      <c r="D80" s="77">
        <v>12.81</v>
      </c>
      <c r="E80" s="77">
        <v>1.89</v>
      </c>
      <c r="F80" s="77">
        <v>7.37</v>
      </c>
      <c r="G80" s="77">
        <v>27.46</v>
      </c>
      <c r="H80" s="77">
        <v>12.66</v>
      </c>
      <c r="I80" s="210" t="s">
        <v>36</v>
      </c>
      <c r="J80" s="77">
        <v>0.06</v>
      </c>
      <c r="K80" s="77">
        <v>35.299999999999997</v>
      </c>
      <c r="L80" s="77">
        <v>22.98</v>
      </c>
      <c r="M80" s="77">
        <v>97.23</v>
      </c>
      <c r="N80" s="77">
        <v>47.2</v>
      </c>
      <c r="O80" s="77">
        <v>0.2</v>
      </c>
      <c r="P80" s="77">
        <v>1.0900000000000001</v>
      </c>
      <c r="Q80" s="77">
        <v>1.74</v>
      </c>
    </row>
    <row r="81" spans="1:17" s="12" customFormat="1" x14ac:dyDescent="0.25">
      <c r="A81" s="64" t="s">
        <v>1857</v>
      </c>
      <c r="B81" s="77">
        <v>4.21</v>
      </c>
      <c r="C81" s="77">
        <v>15.04</v>
      </c>
      <c r="D81" s="77">
        <v>12.32</v>
      </c>
      <c r="E81" s="77">
        <v>2.2799999999999998</v>
      </c>
      <c r="F81" s="77">
        <v>4.4800000000000004</v>
      </c>
      <c r="G81" s="77">
        <v>27.42</v>
      </c>
      <c r="H81" s="77">
        <v>12.66</v>
      </c>
      <c r="I81" s="210" t="s">
        <v>36</v>
      </c>
      <c r="J81" s="77">
        <v>0.17</v>
      </c>
      <c r="K81" s="77">
        <v>16.420000000000002</v>
      </c>
      <c r="L81" s="77">
        <v>23.01</v>
      </c>
      <c r="M81" s="77">
        <v>97.23</v>
      </c>
      <c r="N81" s="77">
        <v>44</v>
      </c>
      <c r="O81" s="77">
        <v>0</v>
      </c>
      <c r="P81" s="77">
        <v>1.1000000000000001</v>
      </c>
      <c r="Q81" s="77">
        <v>1.5</v>
      </c>
    </row>
    <row r="82" spans="1:17" s="12" customFormat="1" x14ac:dyDescent="0.25">
      <c r="A82" s="64" t="s">
        <v>1858</v>
      </c>
      <c r="B82" s="77">
        <v>4.26</v>
      </c>
      <c r="C82" s="77">
        <v>15.6</v>
      </c>
      <c r="D82" s="77">
        <v>12.67</v>
      </c>
      <c r="E82" s="77">
        <v>2.0099999999999998</v>
      </c>
      <c r="F82" s="77">
        <v>4.21</v>
      </c>
      <c r="G82" s="77">
        <v>27.42</v>
      </c>
      <c r="H82" s="77">
        <v>12.66</v>
      </c>
      <c r="I82" s="210" t="s">
        <v>36</v>
      </c>
      <c r="J82" s="77">
        <v>0.28999999999999998</v>
      </c>
      <c r="K82" s="77">
        <v>34.840000000000003</v>
      </c>
      <c r="L82" s="77">
        <v>23.11</v>
      </c>
      <c r="M82" s="77">
        <v>97.23</v>
      </c>
      <c r="N82" s="77">
        <v>39.299999999999997</v>
      </c>
      <c r="O82" s="77">
        <v>0</v>
      </c>
      <c r="P82" s="77">
        <v>1.1000000000000001</v>
      </c>
      <c r="Q82" s="77">
        <v>0.14000000000000001</v>
      </c>
    </row>
    <row r="83" spans="1:17" s="12" customFormat="1" x14ac:dyDescent="0.25">
      <c r="A83" s="64" t="s">
        <v>1859</v>
      </c>
      <c r="B83" s="77">
        <v>5.36</v>
      </c>
      <c r="C83" s="77">
        <v>15.32</v>
      </c>
      <c r="D83" s="77">
        <v>13.4</v>
      </c>
      <c r="E83" s="77">
        <v>1.88</v>
      </c>
      <c r="F83" s="77">
        <v>3.87</v>
      </c>
      <c r="G83" s="77">
        <v>27.42</v>
      </c>
      <c r="H83" s="77">
        <v>12.66</v>
      </c>
      <c r="I83" s="210" t="s">
        <v>36</v>
      </c>
      <c r="J83" s="77">
        <v>0.25</v>
      </c>
      <c r="K83" s="77">
        <v>37.75</v>
      </c>
      <c r="L83" s="77">
        <v>23.16</v>
      </c>
      <c r="M83" s="77">
        <v>97.22</v>
      </c>
      <c r="N83" s="77">
        <v>38.200000000000003</v>
      </c>
      <c r="O83" s="77">
        <v>0</v>
      </c>
      <c r="P83" s="77">
        <v>1.1000000000000001</v>
      </c>
      <c r="Q83" s="77">
        <v>0.84</v>
      </c>
    </row>
    <row r="84" spans="1:17" s="12" customFormat="1" x14ac:dyDescent="0.25">
      <c r="A84" s="64" t="s">
        <v>1860</v>
      </c>
      <c r="B84" s="77">
        <v>6.29</v>
      </c>
      <c r="C84" s="77">
        <v>15.23</v>
      </c>
      <c r="D84" s="77">
        <v>14.09</v>
      </c>
      <c r="E84" s="77">
        <v>1.92</v>
      </c>
      <c r="F84" s="77">
        <v>4.08</v>
      </c>
      <c r="G84" s="77">
        <v>19.850000000000001</v>
      </c>
      <c r="H84" s="77">
        <v>15.79</v>
      </c>
      <c r="I84" s="210" t="s">
        <v>36</v>
      </c>
      <c r="J84" s="77">
        <v>0.25</v>
      </c>
      <c r="K84" s="77">
        <v>29.03</v>
      </c>
      <c r="L84" s="77">
        <v>23.07</v>
      </c>
      <c r="M84" s="77">
        <v>97.22</v>
      </c>
      <c r="N84" s="77">
        <v>37.9</v>
      </c>
      <c r="O84" s="77">
        <v>0</v>
      </c>
      <c r="P84" s="77">
        <v>1.1100000000000001</v>
      </c>
      <c r="Q84" s="77">
        <v>0.96</v>
      </c>
    </row>
    <row r="85" spans="1:17" s="12" customFormat="1" x14ac:dyDescent="0.25">
      <c r="A85" s="64" t="s">
        <v>1861</v>
      </c>
      <c r="B85" s="77">
        <v>6.78</v>
      </c>
      <c r="C85" s="77">
        <v>16.190000000000001</v>
      </c>
      <c r="D85" s="77">
        <v>15.02</v>
      </c>
      <c r="E85" s="77">
        <v>2.0499999999999998</v>
      </c>
      <c r="F85" s="77">
        <v>3.24</v>
      </c>
      <c r="G85" s="77">
        <v>19.59</v>
      </c>
      <c r="H85" s="77">
        <v>15.79</v>
      </c>
      <c r="I85" s="210" t="s">
        <v>36</v>
      </c>
      <c r="J85" s="77">
        <v>0.24</v>
      </c>
      <c r="K85" s="77">
        <v>46.51</v>
      </c>
      <c r="L85" s="77">
        <v>23.16</v>
      </c>
      <c r="M85" s="77">
        <v>97.21</v>
      </c>
      <c r="N85" s="77">
        <v>37.700000000000003</v>
      </c>
      <c r="O85" s="77">
        <v>0</v>
      </c>
      <c r="P85" s="77">
        <v>0.68</v>
      </c>
      <c r="Q85" s="77">
        <v>1.37</v>
      </c>
    </row>
    <row r="86" spans="1:17" s="12" customFormat="1" x14ac:dyDescent="0.25">
      <c r="A86" s="64" t="s">
        <v>1862</v>
      </c>
      <c r="B86" s="77">
        <v>7</v>
      </c>
      <c r="C86" s="77">
        <v>15.99</v>
      </c>
      <c r="D86" s="77">
        <v>15.09</v>
      </c>
      <c r="E86" s="77">
        <v>2.0099999999999998</v>
      </c>
      <c r="F86" s="77">
        <v>3.78</v>
      </c>
      <c r="G86" s="77">
        <v>19.59</v>
      </c>
      <c r="H86" s="77">
        <v>15.79</v>
      </c>
      <c r="I86" s="210" t="s">
        <v>36</v>
      </c>
      <c r="J86" s="77">
        <v>0.28999999999999998</v>
      </c>
      <c r="K86" s="77">
        <v>31.3</v>
      </c>
      <c r="L86" s="77">
        <v>23.13</v>
      </c>
      <c r="M86" s="77">
        <v>97.22</v>
      </c>
      <c r="N86" s="77">
        <v>38</v>
      </c>
      <c r="O86" s="77">
        <v>0</v>
      </c>
      <c r="P86" s="77">
        <v>1.1499999999999999</v>
      </c>
      <c r="Q86" s="77">
        <v>0.98</v>
      </c>
    </row>
    <row r="87" spans="1:17" s="12" customFormat="1" x14ac:dyDescent="0.25">
      <c r="A87" s="64" t="s">
        <v>1863</v>
      </c>
      <c r="B87" s="77">
        <v>6.57</v>
      </c>
      <c r="C87" s="77">
        <v>16.57</v>
      </c>
      <c r="D87" s="77">
        <v>15.06</v>
      </c>
      <c r="E87" s="77">
        <v>1.83</v>
      </c>
      <c r="F87" s="77">
        <v>4.03</v>
      </c>
      <c r="G87" s="77">
        <v>19.59</v>
      </c>
      <c r="H87" s="77">
        <v>15.79</v>
      </c>
      <c r="I87" s="210" t="s">
        <v>36</v>
      </c>
      <c r="J87" s="77">
        <v>0.21</v>
      </c>
      <c r="K87" s="77">
        <v>38.08</v>
      </c>
      <c r="L87" s="77">
        <v>23.03</v>
      </c>
      <c r="M87" s="77">
        <v>97.22</v>
      </c>
      <c r="N87" s="77">
        <v>37.799999999999997</v>
      </c>
      <c r="O87" s="77">
        <v>0</v>
      </c>
      <c r="P87" s="77">
        <v>1.1499999999999999</v>
      </c>
      <c r="Q87" s="77">
        <v>0.64</v>
      </c>
    </row>
    <row r="88" spans="1:17" s="12" customFormat="1" x14ac:dyDescent="0.25">
      <c r="A88" s="64" t="s">
        <v>1864</v>
      </c>
      <c r="B88" s="77">
        <v>6.05</v>
      </c>
      <c r="C88" s="77">
        <v>17.190000000000001</v>
      </c>
      <c r="D88" s="77">
        <v>14.99</v>
      </c>
      <c r="E88" s="77">
        <v>1.86</v>
      </c>
      <c r="F88" s="77">
        <v>4.97</v>
      </c>
      <c r="G88" s="77">
        <v>16.68</v>
      </c>
      <c r="H88" s="77">
        <v>11.98</v>
      </c>
      <c r="I88" s="210" t="s">
        <v>36</v>
      </c>
      <c r="J88" s="77">
        <v>0.21</v>
      </c>
      <c r="K88" s="77">
        <v>33.229999999999997</v>
      </c>
      <c r="L88" s="77">
        <v>22.98</v>
      </c>
      <c r="M88" s="77">
        <v>97.23</v>
      </c>
      <c r="N88" s="77">
        <v>37.9</v>
      </c>
      <c r="O88" s="77">
        <v>0</v>
      </c>
      <c r="P88" s="77">
        <v>1.1499999999999999</v>
      </c>
      <c r="Q88" s="77">
        <v>1.59</v>
      </c>
    </row>
    <row r="89" spans="1:17" s="12" customFormat="1" x14ac:dyDescent="0.25">
      <c r="A89" s="64" t="s">
        <v>1865</v>
      </c>
      <c r="B89" s="77">
        <v>5.89</v>
      </c>
      <c r="C89" s="77">
        <v>16.78</v>
      </c>
      <c r="D89" s="77">
        <v>14.63</v>
      </c>
      <c r="E89" s="77">
        <v>2.37</v>
      </c>
      <c r="F89" s="77">
        <v>4.66</v>
      </c>
      <c r="G89" s="77">
        <v>16.579999999999998</v>
      </c>
      <c r="H89" s="77">
        <v>11.98</v>
      </c>
      <c r="I89" s="210" t="s">
        <v>36</v>
      </c>
      <c r="J89" s="77">
        <v>0.24</v>
      </c>
      <c r="K89" s="77">
        <v>37.65</v>
      </c>
      <c r="L89" s="77">
        <v>22.99</v>
      </c>
      <c r="M89" s="77">
        <v>97.23</v>
      </c>
      <c r="N89" s="77">
        <v>38</v>
      </c>
      <c r="O89" s="77">
        <v>0</v>
      </c>
      <c r="P89" s="77">
        <v>1.17</v>
      </c>
      <c r="Q89" s="77">
        <v>2.09</v>
      </c>
    </row>
    <row r="90" spans="1:17" s="12" customFormat="1" x14ac:dyDescent="0.25">
      <c r="A90" s="64" t="s">
        <v>1866</v>
      </c>
      <c r="B90" s="77">
        <v>6.51</v>
      </c>
      <c r="C90" s="77">
        <v>18.18</v>
      </c>
      <c r="D90" s="77">
        <v>15.9</v>
      </c>
      <c r="E90" s="77">
        <v>1.97</v>
      </c>
      <c r="F90" s="77">
        <v>5.42</v>
      </c>
      <c r="G90" s="77">
        <v>16.579999999999998</v>
      </c>
      <c r="H90" s="77">
        <v>11.98</v>
      </c>
      <c r="I90" s="210" t="s">
        <v>36</v>
      </c>
      <c r="J90" s="77">
        <v>0.28000000000000003</v>
      </c>
      <c r="K90" s="77">
        <v>32</v>
      </c>
      <c r="L90" s="77">
        <v>23.03</v>
      </c>
      <c r="M90" s="77">
        <v>97.23</v>
      </c>
      <c r="N90" s="77">
        <v>37.9</v>
      </c>
      <c r="O90" s="77">
        <v>0</v>
      </c>
      <c r="P90" s="77">
        <v>1.1499999999999999</v>
      </c>
      <c r="Q90" s="77">
        <v>2.08</v>
      </c>
    </row>
    <row r="91" spans="1:17" s="12" customFormat="1" x14ac:dyDescent="0.25">
      <c r="A91" s="64" t="s">
        <v>1867</v>
      </c>
      <c r="B91" s="77">
        <v>6.82</v>
      </c>
      <c r="C91" s="77">
        <v>16.82</v>
      </c>
      <c r="D91" s="77">
        <v>15.39</v>
      </c>
      <c r="E91" s="77">
        <v>2.17</v>
      </c>
      <c r="F91" s="77">
        <v>4.63</v>
      </c>
      <c r="G91" s="77">
        <v>16.579999999999998</v>
      </c>
      <c r="H91" s="77">
        <v>11.98</v>
      </c>
      <c r="I91" s="210" t="s">
        <v>36</v>
      </c>
      <c r="J91" s="77">
        <v>0.24</v>
      </c>
      <c r="K91" s="77">
        <v>39.56</v>
      </c>
      <c r="L91" s="77">
        <v>23.06</v>
      </c>
      <c r="M91" s="77">
        <v>97.23</v>
      </c>
      <c r="N91" s="77">
        <v>38.1</v>
      </c>
      <c r="O91" s="77">
        <v>0</v>
      </c>
      <c r="P91" s="77">
        <v>1.17</v>
      </c>
      <c r="Q91" s="77">
        <v>2.2599999999999998</v>
      </c>
    </row>
    <row r="92" spans="1:17" s="12" customFormat="1" x14ac:dyDescent="0.25">
      <c r="A92" s="64" t="s">
        <v>1868</v>
      </c>
      <c r="B92" s="77">
        <v>7.24</v>
      </c>
      <c r="C92" s="77">
        <v>16.37</v>
      </c>
      <c r="D92" s="77">
        <v>15.49</v>
      </c>
      <c r="E92" s="77">
        <v>2</v>
      </c>
      <c r="F92" s="77">
        <v>4.3</v>
      </c>
      <c r="G92" s="77">
        <v>16.47</v>
      </c>
      <c r="H92" s="77">
        <v>12.71</v>
      </c>
      <c r="I92" s="210" t="s">
        <v>36</v>
      </c>
      <c r="J92" s="77">
        <v>0.28000000000000003</v>
      </c>
      <c r="K92" s="77">
        <v>33.17</v>
      </c>
      <c r="L92" s="77">
        <v>23.07</v>
      </c>
      <c r="M92" s="77">
        <v>97.23</v>
      </c>
      <c r="N92" s="77">
        <v>38.1</v>
      </c>
      <c r="O92" s="77">
        <v>0</v>
      </c>
      <c r="P92" s="77">
        <v>1.19</v>
      </c>
      <c r="Q92" s="77">
        <v>2.08</v>
      </c>
    </row>
    <row r="93" spans="1:17" s="12" customFormat="1" x14ac:dyDescent="0.25">
      <c r="A93" s="64" t="s">
        <v>1869</v>
      </c>
      <c r="B93" s="77">
        <v>7.08</v>
      </c>
      <c r="C93" s="77">
        <v>16.170000000000002</v>
      </c>
      <c r="D93" s="77">
        <v>15.25</v>
      </c>
      <c r="E93" s="77">
        <v>2.4900000000000002</v>
      </c>
      <c r="F93" s="77">
        <v>3.19</v>
      </c>
      <c r="G93" s="77">
        <v>16.47</v>
      </c>
      <c r="H93" s="77">
        <v>12.71</v>
      </c>
      <c r="I93" s="210" t="s">
        <v>36</v>
      </c>
      <c r="J93" s="77">
        <v>0.28000000000000003</v>
      </c>
      <c r="K93" s="77">
        <v>34.25</v>
      </c>
      <c r="L93" s="77">
        <v>22.98</v>
      </c>
      <c r="M93" s="77">
        <v>97.23</v>
      </c>
      <c r="N93" s="77">
        <v>37.5</v>
      </c>
      <c r="O93" s="77">
        <v>0</v>
      </c>
      <c r="P93" s="77">
        <v>1.19</v>
      </c>
      <c r="Q93" s="77">
        <v>1.92</v>
      </c>
    </row>
    <row r="94" spans="1:17" s="12" customFormat="1" x14ac:dyDescent="0.25">
      <c r="A94" s="64" t="s">
        <v>1870</v>
      </c>
      <c r="B94" s="77">
        <v>6.91</v>
      </c>
      <c r="C94" s="77">
        <v>15.64</v>
      </c>
      <c r="D94" s="77">
        <v>14.82</v>
      </c>
      <c r="E94" s="77">
        <v>2.13</v>
      </c>
      <c r="F94" s="77">
        <v>3.67</v>
      </c>
      <c r="G94" s="77">
        <v>16.47</v>
      </c>
      <c r="H94" s="77">
        <v>12.71</v>
      </c>
      <c r="I94" s="210" t="s">
        <v>36</v>
      </c>
      <c r="J94" s="77">
        <v>0.27</v>
      </c>
      <c r="K94" s="77">
        <v>34.04</v>
      </c>
      <c r="L94" s="77">
        <v>22.99</v>
      </c>
      <c r="M94" s="77">
        <v>97.23</v>
      </c>
      <c r="N94" s="77">
        <v>37.6</v>
      </c>
      <c r="O94" s="77">
        <v>0</v>
      </c>
      <c r="P94" s="77">
        <v>1.18</v>
      </c>
      <c r="Q94" s="77">
        <v>0.69</v>
      </c>
    </row>
    <row r="95" spans="1:17" s="12" customFormat="1" x14ac:dyDescent="0.25">
      <c r="A95" s="64" t="s">
        <v>1871</v>
      </c>
      <c r="B95" s="77">
        <v>7.41</v>
      </c>
      <c r="C95" s="77">
        <v>16.38</v>
      </c>
      <c r="D95" s="77">
        <v>15.63</v>
      </c>
      <c r="E95" s="77">
        <v>1.86</v>
      </c>
      <c r="F95" s="77">
        <v>3.15</v>
      </c>
      <c r="G95" s="77">
        <v>16.47</v>
      </c>
      <c r="H95" s="77">
        <v>12.71</v>
      </c>
      <c r="I95" s="210" t="s">
        <v>36</v>
      </c>
      <c r="J95" s="77">
        <v>0.28999999999999998</v>
      </c>
      <c r="K95" s="77">
        <v>34.51</v>
      </c>
      <c r="L95" s="77">
        <v>22.93</v>
      </c>
      <c r="M95" s="77">
        <v>97.22</v>
      </c>
      <c r="N95" s="77">
        <v>37.799999999999997</v>
      </c>
      <c r="O95" s="77">
        <v>0</v>
      </c>
      <c r="P95" s="77">
        <v>1.19</v>
      </c>
      <c r="Q95" s="77">
        <v>1.19</v>
      </c>
    </row>
    <row r="96" spans="1:17" s="12" customFormat="1" x14ac:dyDescent="0.25">
      <c r="A96" s="64" t="s">
        <v>1872</v>
      </c>
      <c r="B96" s="77">
        <v>7.81</v>
      </c>
      <c r="C96" s="77">
        <v>16.309999999999999</v>
      </c>
      <c r="D96" s="77">
        <v>15.91</v>
      </c>
      <c r="E96" s="77">
        <v>2.09</v>
      </c>
      <c r="F96" s="77">
        <v>3.97</v>
      </c>
      <c r="G96" s="77">
        <v>11.89</v>
      </c>
      <c r="H96" s="77">
        <v>10.16</v>
      </c>
      <c r="I96" s="210" t="s">
        <v>36</v>
      </c>
      <c r="J96" s="77">
        <v>0.3</v>
      </c>
      <c r="K96" s="77">
        <v>23.69</v>
      </c>
      <c r="L96" s="77">
        <v>22.62</v>
      </c>
      <c r="M96" s="77">
        <v>97.18</v>
      </c>
      <c r="N96" s="77">
        <v>38.6</v>
      </c>
      <c r="O96" s="77">
        <v>0</v>
      </c>
      <c r="P96" s="77">
        <v>1.22</v>
      </c>
      <c r="Q96" s="77">
        <v>0.86</v>
      </c>
    </row>
    <row r="97" spans="1:22" s="12" customFormat="1" x14ac:dyDescent="0.25">
      <c r="A97" s="64" t="s">
        <v>1873</v>
      </c>
      <c r="B97" s="77">
        <v>7.17</v>
      </c>
      <c r="C97" s="77">
        <v>17.260000000000002</v>
      </c>
      <c r="D97" s="77">
        <v>15.92</v>
      </c>
      <c r="E97" s="77">
        <v>2.39</v>
      </c>
      <c r="F97" s="77">
        <v>3.11</v>
      </c>
      <c r="G97" s="77">
        <v>11.73</v>
      </c>
      <c r="H97" s="77">
        <v>10.16</v>
      </c>
      <c r="I97" s="210" t="s">
        <v>36</v>
      </c>
      <c r="J97" s="77">
        <v>0.23</v>
      </c>
      <c r="K97" s="77">
        <v>43.01</v>
      </c>
      <c r="L97" s="77">
        <v>22.37</v>
      </c>
      <c r="M97" s="77">
        <v>97.18</v>
      </c>
      <c r="N97" s="77">
        <v>38.200000000000003</v>
      </c>
      <c r="O97" s="77">
        <v>0</v>
      </c>
      <c r="P97" s="77">
        <v>1.17</v>
      </c>
      <c r="Q97" s="77">
        <v>1.22</v>
      </c>
    </row>
    <row r="98" spans="1:22" s="12" customFormat="1" x14ac:dyDescent="0.25">
      <c r="A98" s="64" t="s">
        <v>1874</v>
      </c>
      <c r="B98" s="77">
        <v>6.17</v>
      </c>
      <c r="C98" s="77">
        <v>16.96</v>
      </c>
      <c r="D98" s="77">
        <v>14.96</v>
      </c>
      <c r="E98" s="77">
        <v>2.15</v>
      </c>
      <c r="F98" s="77">
        <v>3.6</v>
      </c>
      <c r="G98" s="77">
        <v>11.73</v>
      </c>
      <c r="H98" s="77">
        <v>10.16</v>
      </c>
      <c r="I98" s="210" t="s">
        <v>36</v>
      </c>
      <c r="J98" s="77">
        <v>0.19</v>
      </c>
      <c r="K98" s="77">
        <v>29.83</v>
      </c>
      <c r="L98" s="77">
        <v>22.29</v>
      </c>
      <c r="M98" s="77">
        <v>97.21</v>
      </c>
      <c r="N98" s="77">
        <v>37.5</v>
      </c>
      <c r="O98" s="77">
        <v>0</v>
      </c>
      <c r="P98" s="77">
        <v>1.18</v>
      </c>
      <c r="Q98" s="77">
        <v>0.42</v>
      </c>
    </row>
    <row r="99" spans="1:22" s="12" customFormat="1" x14ac:dyDescent="0.25">
      <c r="A99" s="64" t="s">
        <v>1875</v>
      </c>
      <c r="B99" s="77">
        <v>5.85</v>
      </c>
      <c r="C99" s="77">
        <v>16.8</v>
      </c>
      <c r="D99" s="77">
        <v>14.61</v>
      </c>
      <c r="E99" s="77">
        <v>2.3199999999999998</v>
      </c>
      <c r="F99" s="77">
        <v>4.1900000000000004</v>
      </c>
      <c r="G99" s="77">
        <v>11.73</v>
      </c>
      <c r="H99" s="77">
        <v>10.16</v>
      </c>
      <c r="I99" s="210" t="s">
        <v>36</v>
      </c>
      <c r="J99" s="77">
        <v>0.17</v>
      </c>
      <c r="K99" s="77">
        <v>34.979999999999997</v>
      </c>
      <c r="L99" s="77">
        <v>22.29</v>
      </c>
      <c r="M99" s="77">
        <v>97.23</v>
      </c>
      <c r="N99" s="77">
        <v>37.5</v>
      </c>
      <c r="O99" s="77">
        <v>0</v>
      </c>
      <c r="P99" s="77">
        <v>1.19</v>
      </c>
      <c r="Q99" s="77">
        <v>0.73</v>
      </c>
    </row>
    <row r="100" spans="1:22" s="12" customFormat="1" x14ac:dyDescent="0.25">
      <c r="A100" s="64" t="s">
        <v>1876</v>
      </c>
      <c r="B100" s="77">
        <v>5.99</v>
      </c>
      <c r="C100" s="77">
        <v>19.940000000000001</v>
      </c>
      <c r="D100" s="77">
        <v>16.46</v>
      </c>
      <c r="E100" s="77">
        <v>2.23</v>
      </c>
      <c r="F100" s="77">
        <v>3.73</v>
      </c>
      <c r="G100" s="77">
        <v>13.3</v>
      </c>
      <c r="H100" s="77">
        <v>7.83</v>
      </c>
      <c r="I100" s="210" t="s">
        <v>36</v>
      </c>
      <c r="J100" s="77">
        <v>0.17</v>
      </c>
      <c r="K100" s="77">
        <v>24.44</v>
      </c>
      <c r="L100" s="77">
        <v>22.45</v>
      </c>
      <c r="M100" s="77">
        <v>97.23</v>
      </c>
      <c r="N100" s="77">
        <v>37.6</v>
      </c>
      <c r="O100" s="77">
        <v>0</v>
      </c>
      <c r="P100" s="77">
        <v>1.23</v>
      </c>
      <c r="Q100" s="77">
        <v>2.5499999999999998</v>
      </c>
    </row>
    <row r="101" spans="1:22" s="12" customFormat="1" x14ac:dyDescent="0.25">
      <c r="A101" s="64" t="s">
        <v>1877</v>
      </c>
      <c r="B101" s="77">
        <v>6</v>
      </c>
      <c r="C101" s="77">
        <v>16.91</v>
      </c>
      <c r="D101" s="77">
        <v>14.79</v>
      </c>
      <c r="E101" s="77">
        <v>2.36</v>
      </c>
      <c r="F101" s="77">
        <v>3.81</v>
      </c>
      <c r="G101" s="77">
        <v>13.35</v>
      </c>
      <c r="H101" s="77">
        <v>7.83</v>
      </c>
      <c r="I101" s="210" t="s">
        <v>36</v>
      </c>
      <c r="J101" s="77">
        <v>0.17</v>
      </c>
      <c r="K101" s="77">
        <v>31.83</v>
      </c>
      <c r="L101" s="77">
        <v>22.56</v>
      </c>
      <c r="M101" s="77">
        <v>97.23</v>
      </c>
      <c r="N101" s="77">
        <v>37.6</v>
      </c>
      <c r="O101" s="77">
        <v>0</v>
      </c>
      <c r="P101" s="77">
        <v>1.35</v>
      </c>
      <c r="Q101" s="77">
        <v>2.57</v>
      </c>
    </row>
    <row r="102" spans="1:22" s="12" customFormat="1" x14ac:dyDescent="0.25">
      <c r="A102" s="64" t="s">
        <v>1878</v>
      </c>
      <c r="B102" s="77">
        <v>5.58</v>
      </c>
      <c r="C102" s="77">
        <v>16.29</v>
      </c>
      <c r="D102" s="77">
        <v>14.11</v>
      </c>
      <c r="E102" s="77">
        <v>2.37</v>
      </c>
      <c r="F102" s="77">
        <v>6.11</v>
      </c>
      <c r="G102" s="77">
        <v>13.35</v>
      </c>
      <c r="H102" s="77">
        <v>7.83</v>
      </c>
      <c r="I102" s="210" t="s">
        <v>36</v>
      </c>
      <c r="J102" s="77">
        <v>0.02</v>
      </c>
      <c r="K102" s="77">
        <v>237.95</v>
      </c>
      <c r="L102" s="77">
        <v>22.64</v>
      </c>
      <c r="M102" s="77">
        <v>97.23</v>
      </c>
      <c r="N102" s="77">
        <v>37.700000000000003</v>
      </c>
      <c r="O102" s="77">
        <v>0</v>
      </c>
      <c r="P102" s="77">
        <v>1.37</v>
      </c>
      <c r="Q102" s="77">
        <v>2.5499999999999998</v>
      </c>
    </row>
    <row r="103" spans="1:22" s="12" customFormat="1" x14ac:dyDescent="0.25">
      <c r="A103" s="64" t="s">
        <v>1879</v>
      </c>
      <c r="B103" s="77">
        <v>5.35</v>
      </c>
      <c r="C103" s="77">
        <v>14.25</v>
      </c>
      <c r="D103" s="77">
        <v>12.8</v>
      </c>
      <c r="E103" s="77">
        <v>2.35</v>
      </c>
      <c r="F103" s="77">
        <v>7.97</v>
      </c>
      <c r="G103" s="77">
        <v>13.35</v>
      </c>
      <c r="H103" s="77">
        <v>7.83</v>
      </c>
      <c r="I103" s="210" t="s">
        <v>36</v>
      </c>
      <c r="J103" s="77">
        <v>0.04</v>
      </c>
      <c r="K103" s="77">
        <v>15.17</v>
      </c>
      <c r="L103" s="77">
        <v>22.69</v>
      </c>
      <c r="M103" s="77">
        <v>97.23</v>
      </c>
      <c r="N103" s="77">
        <v>37.700000000000003</v>
      </c>
      <c r="O103" s="77">
        <v>0</v>
      </c>
      <c r="P103" s="77">
        <v>1.34</v>
      </c>
      <c r="Q103" s="77">
        <v>2.5</v>
      </c>
    </row>
    <row r="104" spans="1:22" s="12" customFormat="1" x14ac:dyDescent="0.25">
      <c r="A104" s="64" t="s">
        <v>1880</v>
      </c>
      <c r="B104" s="77">
        <v>5.25</v>
      </c>
      <c r="C104" s="77">
        <v>14.46</v>
      </c>
      <c r="D104" s="77">
        <v>12.84</v>
      </c>
      <c r="E104" s="77">
        <v>1.68</v>
      </c>
      <c r="F104" s="77">
        <v>3.96</v>
      </c>
      <c r="G104" s="77">
        <v>12.13</v>
      </c>
      <c r="H104" s="77">
        <v>30.44</v>
      </c>
      <c r="I104" s="9" t="s">
        <v>36</v>
      </c>
      <c r="J104" s="77">
        <v>0.11</v>
      </c>
      <c r="K104" s="77">
        <v>31.24</v>
      </c>
      <c r="L104" s="77">
        <v>22.73</v>
      </c>
      <c r="M104" s="77">
        <v>97.23</v>
      </c>
      <c r="N104" s="77">
        <v>37.6</v>
      </c>
      <c r="O104" s="77">
        <v>0</v>
      </c>
      <c r="P104" s="77">
        <v>1.31</v>
      </c>
      <c r="Q104" s="77">
        <v>2.86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2.46</v>
      </c>
      <c r="C106" s="67">
        <f>MIN(C9:C104)</f>
        <v>13.01</v>
      </c>
      <c r="D106" s="67">
        <f t="shared" ref="D106:Q106" si="0">MIN(D9:D104)</f>
        <v>9.92</v>
      </c>
      <c r="E106" s="67">
        <f t="shared" si="0"/>
        <v>1.23</v>
      </c>
      <c r="F106" s="67">
        <f t="shared" si="0"/>
        <v>1.76</v>
      </c>
      <c r="G106" s="67">
        <f t="shared" si="0"/>
        <v>8.5299999999999994</v>
      </c>
      <c r="H106" s="67">
        <f t="shared" si="0"/>
        <v>6.16</v>
      </c>
      <c r="I106" s="67">
        <f t="shared" si="0"/>
        <v>0</v>
      </c>
      <c r="J106" s="67">
        <f t="shared" si="0"/>
        <v>0.02</v>
      </c>
      <c r="K106" s="67">
        <f t="shared" si="0"/>
        <v>3.63</v>
      </c>
      <c r="L106" s="67">
        <f t="shared" si="0"/>
        <v>21.33</v>
      </c>
      <c r="M106" s="67">
        <f t="shared" si="0"/>
        <v>84.85</v>
      </c>
      <c r="N106" s="67">
        <f t="shared" si="0"/>
        <v>37.1</v>
      </c>
      <c r="O106" s="67">
        <f t="shared" si="0"/>
        <v>0</v>
      </c>
      <c r="P106" s="67">
        <f t="shared" si="0"/>
        <v>0.68</v>
      </c>
      <c r="Q106" s="67">
        <f t="shared" si="0"/>
        <v>0.01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11.55</v>
      </c>
      <c r="C107" s="66">
        <f t="shared" ref="C107:Q107" si="1">MAX(C9:C104)</f>
        <v>19.940000000000001</v>
      </c>
      <c r="D107" s="66">
        <f t="shared" si="1"/>
        <v>18.579999999999998</v>
      </c>
      <c r="E107" s="66">
        <f t="shared" si="1"/>
        <v>3.29</v>
      </c>
      <c r="F107" s="66">
        <f t="shared" si="1"/>
        <v>9.48</v>
      </c>
      <c r="G107" s="66">
        <f t="shared" si="1"/>
        <v>35.659999999999997</v>
      </c>
      <c r="H107" s="66">
        <f t="shared" si="1"/>
        <v>30.44</v>
      </c>
      <c r="I107" s="66">
        <f t="shared" si="1"/>
        <v>0</v>
      </c>
      <c r="J107" s="66">
        <f t="shared" si="1"/>
        <v>0.83</v>
      </c>
      <c r="K107" s="66">
        <f t="shared" si="1"/>
        <v>359.68</v>
      </c>
      <c r="L107" s="66">
        <f t="shared" si="1"/>
        <v>26.42</v>
      </c>
      <c r="M107" s="66">
        <f t="shared" si="1"/>
        <v>97.23</v>
      </c>
      <c r="N107" s="66">
        <f t="shared" si="1"/>
        <v>756.3</v>
      </c>
      <c r="O107" s="66">
        <f t="shared" si="1"/>
        <v>7.8</v>
      </c>
      <c r="P107" s="66">
        <f t="shared" si="1"/>
        <v>1.93</v>
      </c>
      <c r="Q107" s="66">
        <f t="shared" si="1"/>
        <v>3.95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5.5890625000000016</v>
      </c>
      <c r="C108" s="67">
        <f t="shared" ref="C108:Q108" si="2">AVERAGE(C9:C104)</f>
        <v>15.806666666666663</v>
      </c>
      <c r="D108" s="67">
        <f t="shared" si="2"/>
        <v>13.851874999999998</v>
      </c>
      <c r="E108" s="67">
        <f t="shared" si="2"/>
        <v>2.1049999999999991</v>
      </c>
      <c r="F108" s="67">
        <f t="shared" si="2"/>
        <v>4.1382291666666662</v>
      </c>
      <c r="G108" s="67">
        <f t="shared" si="2"/>
        <v>18.526979166666663</v>
      </c>
      <c r="H108" s="67">
        <f t="shared" si="2"/>
        <v>11.635729166666666</v>
      </c>
      <c r="I108" s="9" t="s">
        <v>36</v>
      </c>
      <c r="J108" s="67">
        <f t="shared" si="2"/>
        <v>0.29812499999999992</v>
      </c>
      <c r="K108" s="67">
        <f t="shared" si="2"/>
        <v>67.282708333333332</v>
      </c>
      <c r="L108" s="67">
        <f t="shared" si="2"/>
        <v>22.86375</v>
      </c>
      <c r="M108" s="67">
        <f t="shared" si="2"/>
        <v>95.479791666666571</v>
      </c>
      <c r="N108" s="67">
        <f t="shared" si="2"/>
        <v>116.88750000000009</v>
      </c>
      <c r="O108" s="67">
        <f t="shared" si="2"/>
        <v>0.6625000000000002</v>
      </c>
      <c r="P108" s="67">
        <f t="shared" si="2"/>
        <v>1.3394791666666668</v>
      </c>
      <c r="Q108" s="67">
        <f t="shared" si="2"/>
        <v>1.2761333333333333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2.5131783517354207</v>
      </c>
      <c r="C109" s="67">
        <f t="shared" ref="C109:Q109" si="3">STDEV(C9:C104)</f>
        <v>1.4859026437376934</v>
      </c>
      <c r="D109" s="67">
        <f t="shared" si="3"/>
        <v>2.2370809516444794</v>
      </c>
      <c r="E109" s="67">
        <f t="shared" si="3"/>
        <v>0.4068803005152406</v>
      </c>
      <c r="F109" s="67">
        <f t="shared" si="3"/>
        <v>1.2052018785176442</v>
      </c>
      <c r="G109" s="67">
        <f t="shared" si="3"/>
        <v>7.9066012552858647</v>
      </c>
      <c r="H109" s="67">
        <f t="shared" si="3"/>
        <v>3.6876313164248335</v>
      </c>
      <c r="I109" s="9" t="s">
        <v>36</v>
      </c>
      <c r="J109" s="67">
        <f t="shared" si="3"/>
        <v>0.12870457808894273</v>
      </c>
      <c r="K109" s="67">
        <f t="shared" si="3"/>
        <v>100.5300018217046</v>
      </c>
      <c r="L109" s="67">
        <f t="shared" si="3"/>
        <v>1.4563676878128216</v>
      </c>
      <c r="M109" s="67">
        <f t="shared" si="3"/>
        <v>3.4973848814181041</v>
      </c>
      <c r="N109" s="67">
        <f t="shared" si="3"/>
        <v>152.21430892693772</v>
      </c>
      <c r="O109" s="67">
        <f t="shared" si="3"/>
        <v>1.2357184145265454</v>
      </c>
      <c r="P109" s="67">
        <f t="shared" si="3"/>
        <v>0.30602844653352096</v>
      </c>
      <c r="Q109" s="67">
        <f t="shared" si="3"/>
        <v>1.0105295552243794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COUNT(Q9:Q104)+21</f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42" activePane="bottomRight" state="frozen"/>
      <selection activeCell="B115" sqref="B115:D115"/>
      <selection pane="topRight" activeCell="B115" sqref="B115:D115"/>
      <selection pane="bottomLeft" activeCell="B115" sqref="B115:D115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1881</v>
      </c>
      <c r="B9" s="77">
        <v>5.58</v>
      </c>
      <c r="C9" s="77">
        <v>14.39</v>
      </c>
      <c r="D9" s="77">
        <v>13.06</v>
      </c>
      <c r="E9" s="77">
        <v>1.99</v>
      </c>
      <c r="F9" s="77">
        <v>3.94</v>
      </c>
      <c r="G9" s="213" t="s">
        <v>42</v>
      </c>
      <c r="H9" s="213" t="s">
        <v>42</v>
      </c>
      <c r="I9" s="9" t="s">
        <v>36</v>
      </c>
      <c r="J9" s="77">
        <v>0.14000000000000001</v>
      </c>
      <c r="K9" s="77">
        <v>30.97</v>
      </c>
      <c r="L9" s="77">
        <v>22.8</v>
      </c>
      <c r="M9" s="77">
        <v>97.23</v>
      </c>
      <c r="N9" s="77">
        <v>37.6</v>
      </c>
      <c r="O9" s="77">
        <v>0</v>
      </c>
      <c r="P9" s="77">
        <v>1.28</v>
      </c>
      <c r="Q9" s="77">
        <v>1.45</v>
      </c>
    </row>
    <row r="10" spans="1:21" s="12" customFormat="1" x14ac:dyDescent="0.25">
      <c r="A10" s="64" t="s">
        <v>1882</v>
      </c>
      <c r="B10" s="77">
        <v>5.46</v>
      </c>
      <c r="C10" s="77">
        <v>13.64</v>
      </c>
      <c r="D10" s="77">
        <v>12.55</v>
      </c>
      <c r="E10" s="77">
        <v>1.72</v>
      </c>
      <c r="F10" s="77">
        <v>3.87</v>
      </c>
      <c r="G10" s="213" t="s">
        <v>42</v>
      </c>
      <c r="H10" s="213" t="s">
        <v>42</v>
      </c>
      <c r="I10" s="9" t="s">
        <v>36</v>
      </c>
      <c r="J10" s="77">
        <v>0.16</v>
      </c>
      <c r="K10" s="77">
        <v>22</v>
      </c>
      <c r="L10" s="77">
        <v>22.87</v>
      </c>
      <c r="M10" s="77">
        <v>97.23</v>
      </c>
      <c r="N10" s="77">
        <v>37.6</v>
      </c>
      <c r="O10" s="77">
        <v>0</v>
      </c>
      <c r="P10" s="77">
        <v>1.24</v>
      </c>
      <c r="Q10" s="77">
        <v>1.05</v>
      </c>
    </row>
    <row r="11" spans="1:21" s="12" customFormat="1" x14ac:dyDescent="0.25">
      <c r="A11" s="64" t="s">
        <v>1883</v>
      </c>
      <c r="B11" s="77">
        <v>5.18</v>
      </c>
      <c r="C11" s="77">
        <v>13.99</v>
      </c>
      <c r="D11" s="77">
        <v>12.52</v>
      </c>
      <c r="E11" s="77">
        <v>1.72</v>
      </c>
      <c r="F11" s="77">
        <v>4.01</v>
      </c>
      <c r="G11" s="213" t="s">
        <v>42</v>
      </c>
      <c r="H11" s="213" t="s">
        <v>42</v>
      </c>
      <c r="I11" s="9" t="s">
        <v>36</v>
      </c>
      <c r="J11" s="77">
        <v>0.13</v>
      </c>
      <c r="K11" s="77">
        <v>34.54</v>
      </c>
      <c r="L11" s="77">
        <v>22.94</v>
      </c>
      <c r="M11" s="77">
        <v>97.23</v>
      </c>
      <c r="N11" s="77">
        <v>37.700000000000003</v>
      </c>
      <c r="O11" s="77">
        <v>0</v>
      </c>
      <c r="P11" s="77">
        <v>1.18</v>
      </c>
      <c r="Q11" s="77">
        <v>0.78</v>
      </c>
    </row>
    <row r="12" spans="1:21" s="12" customFormat="1" x14ac:dyDescent="0.25">
      <c r="A12" s="64" t="s">
        <v>1884</v>
      </c>
      <c r="B12" s="77">
        <v>4.99</v>
      </c>
      <c r="C12" s="77">
        <v>13.68</v>
      </c>
      <c r="D12" s="77">
        <v>12.2</v>
      </c>
      <c r="E12" s="77">
        <v>1.69</v>
      </c>
      <c r="F12" s="77">
        <v>3.38</v>
      </c>
      <c r="G12" s="213" t="s">
        <v>42</v>
      </c>
      <c r="H12" s="213" t="s">
        <v>42</v>
      </c>
      <c r="I12" s="9" t="s">
        <v>36</v>
      </c>
      <c r="J12" s="77">
        <v>0.12</v>
      </c>
      <c r="K12" s="77">
        <v>46.11</v>
      </c>
      <c r="L12" s="77">
        <v>22.98</v>
      </c>
      <c r="M12" s="77">
        <v>97.22</v>
      </c>
      <c r="N12" s="77">
        <v>37.799999999999997</v>
      </c>
      <c r="O12" s="77">
        <v>0</v>
      </c>
      <c r="P12" s="77">
        <v>1.17</v>
      </c>
      <c r="Q12" s="77">
        <v>0.99</v>
      </c>
    </row>
    <row r="13" spans="1:21" s="12" customFormat="1" x14ac:dyDescent="0.25">
      <c r="A13" s="64" t="s">
        <v>1885</v>
      </c>
      <c r="B13" s="77">
        <v>4.76</v>
      </c>
      <c r="C13" s="77">
        <v>13.82</v>
      </c>
      <c r="D13" s="77">
        <v>12.09</v>
      </c>
      <c r="E13" s="77">
        <v>1.79</v>
      </c>
      <c r="F13" s="77">
        <v>3.71</v>
      </c>
      <c r="G13" s="213" t="s">
        <v>42</v>
      </c>
      <c r="H13" s="213" t="s">
        <v>42</v>
      </c>
      <c r="I13" s="9" t="s">
        <v>36</v>
      </c>
      <c r="J13" s="77">
        <v>0.12</v>
      </c>
      <c r="K13" s="77">
        <v>29.73</v>
      </c>
      <c r="L13" s="77">
        <v>22.99</v>
      </c>
      <c r="M13" s="77">
        <v>97.22</v>
      </c>
      <c r="N13" s="77">
        <v>37.799999999999997</v>
      </c>
      <c r="O13" s="77">
        <v>0</v>
      </c>
      <c r="P13" s="77">
        <v>0.66</v>
      </c>
      <c r="Q13" s="77">
        <v>0.26</v>
      </c>
    </row>
    <row r="14" spans="1:21" s="12" customFormat="1" x14ac:dyDescent="0.25">
      <c r="A14" s="64" t="s">
        <v>1886</v>
      </c>
      <c r="B14" s="77">
        <v>4.63</v>
      </c>
      <c r="C14" s="77">
        <v>13.51</v>
      </c>
      <c r="D14" s="77">
        <v>11.82</v>
      </c>
      <c r="E14" s="77">
        <v>1.84</v>
      </c>
      <c r="F14" s="77">
        <v>3.71</v>
      </c>
      <c r="G14" s="213" t="s">
        <v>42</v>
      </c>
      <c r="H14" s="213" t="s">
        <v>42</v>
      </c>
      <c r="I14" s="9" t="s">
        <v>36</v>
      </c>
      <c r="J14" s="77">
        <v>0.08</v>
      </c>
      <c r="K14" s="77">
        <v>26.35</v>
      </c>
      <c r="L14" s="77">
        <v>23.01</v>
      </c>
      <c r="M14" s="77">
        <v>97.22</v>
      </c>
      <c r="N14" s="77">
        <v>37.6</v>
      </c>
      <c r="O14" s="77">
        <v>0</v>
      </c>
      <c r="P14" s="77">
        <v>1.1100000000000001</v>
      </c>
      <c r="Q14" s="77">
        <v>0.7</v>
      </c>
    </row>
    <row r="15" spans="1:21" s="12" customFormat="1" x14ac:dyDescent="0.25">
      <c r="A15" s="64" t="s">
        <v>1887</v>
      </c>
      <c r="B15" s="77">
        <v>3.68</v>
      </c>
      <c r="C15" s="77">
        <v>13.33</v>
      </c>
      <c r="D15" s="77">
        <v>10.95</v>
      </c>
      <c r="E15" s="77">
        <v>1.87</v>
      </c>
      <c r="F15" s="77">
        <v>11.07</v>
      </c>
      <c r="G15" s="213" t="s">
        <v>42</v>
      </c>
      <c r="H15" s="213" t="s">
        <v>42</v>
      </c>
      <c r="I15" s="9" t="s">
        <v>36</v>
      </c>
      <c r="J15" s="77">
        <v>0.05</v>
      </c>
      <c r="K15" s="77">
        <v>32.6</v>
      </c>
      <c r="L15" s="77">
        <v>23.02</v>
      </c>
      <c r="M15" s="77">
        <v>97.23</v>
      </c>
      <c r="N15" s="77">
        <v>37.700000000000003</v>
      </c>
      <c r="O15" s="77">
        <v>0</v>
      </c>
      <c r="P15" s="77">
        <v>1.07</v>
      </c>
      <c r="Q15" s="77">
        <v>1.49</v>
      </c>
    </row>
    <row r="16" spans="1:21" s="12" customFormat="1" x14ac:dyDescent="0.25">
      <c r="A16" s="64" t="s">
        <v>1888</v>
      </c>
      <c r="B16" s="77">
        <v>2.96</v>
      </c>
      <c r="C16" s="77">
        <v>13.13</v>
      </c>
      <c r="D16" s="77">
        <v>10.27</v>
      </c>
      <c r="E16" s="77">
        <v>1.31</v>
      </c>
      <c r="F16" s="77">
        <v>10.63</v>
      </c>
      <c r="G16" s="213" t="s">
        <v>42</v>
      </c>
      <c r="H16" s="213" t="s">
        <v>42</v>
      </c>
      <c r="I16" s="9" t="s">
        <v>36</v>
      </c>
      <c r="J16" s="77">
        <v>0.08</v>
      </c>
      <c r="K16" s="77">
        <v>13.83</v>
      </c>
      <c r="L16" s="77">
        <v>23.01</v>
      </c>
      <c r="M16" s="77">
        <v>97.22</v>
      </c>
      <c r="N16" s="77">
        <v>37.700000000000003</v>
      </c>
      <c r="O16" s="77">
        <v>0</v>
      </c>
      <c r="P16" s="77">
        <v>1.07</v>
      </c>
      <c r="Q16" s="77">
        <v>2.84</v>
      </c>
    </row>
    <row r="17" spans="1:17" s="12" customFormat="1" x14ac:dyDescent="0.25">
      <c r="A17" s="64" t="s">
        <v>1889</v>
      </c>
      <c r="B17" s="77">
        <v>3.58</v>
      </c>
      <c r="C17" s="77">
        <v>13.38</v>
      </c>
      <c r="D17" s="77">
        <v>10.9</v>
      </c>
      <c r="E17" s="77">
        <v>1.89</v>
      </c>
      <c r="F17" s="77">
        <v>9.73</v>
      </c>
      <c r="G17" s="213" t="s">
        <v>42</v>
      </c>
      <c r="H17" s="213" t="s">
        <v>42</v>
      </c>
      <c r="I17" s="9" t="s">
        <v>36</v>
      </c>
      <c r="J17" s="77">
        <v>0.23</v>
      </c>
      <c r="K17" s="77">
        <v>1.99</v>
      </c>
      <c r="L17" s="77">
        <v>23.02</v>
      </c>
      <c r="M17" s="77">
        <v>97.23</v>
      </c>
      <c r="N17" s="77">
        <v>37.700000000000003</v>
      </c>
      <c r="O17" s="77">
        <v>0</v>
      </c>
      <c r="P17" s="77">
        <v>1.08</v>
      </c>
      <c r="Q17" s="77">
        <v>4.1100000000000003</v>
      </c>
    </row>
    <row r="18" spans="1:17" s="12" customFormat="1" x14ac:dyDescent="0.25">
      <c r="A18" s="64" t="s">
        <v>1890</v>
      </c>
      <c r="B18" s="77">
        <v>3.68</v>
      </c>
      <c r="C18" s="77">
        <v>14.83</v>
      </c>
      <c r="D18" s="77">
        <v>11.78</v>
      </c>
      <c r="E18" s="77">
        <v>2.02</v>
      </c>
      <c r="F18" s="77">
        <v>10.49</v>
      </c>
      <c r="G18" s="213" t="s">
        <v>42</v>
      </c>
      <c r="H18" s="213" t="s">
        <v>42</v>
      </c>
      <c r="I18" s="9" t="s">
        <v>36</v>
      </c>
      <c r="J18" s="77">
        <v>0.15</v>
      </c>
      <c r="K18" s="77">
        <v>336.3</v>
      </c>
      <c r="L18" s="77">
        <v>23.05</v>
      </c>
      <c r="M18" s="77">
        <v>97.23</v>
      </c>
      <c r="N18" s="77">
        <v>37.700000000000003</v>
      </c>
      <c r="O18" s="77">
        <v>0</v>
      </c>
      <c r="P18" s="77">
        <v>1.1000000000000001</v>
      </c>
      <c r="Q18" s="77">
        <v>4.8099999999999996</v>
      </c>
    </row>
    <row r="19" spans="1:17" s="12" customFormat="1" x14ac:dyDescent="0.25">
      <c r="A19" s="64" t="s">
        <v>1891</v>
      </c>
      <c r="B19" s="77">
        <v>3.61</v>
      </c>
      <c r="C19" s="77">
        <v>14.71</v>
      </c>
      <c r="D19" s="77">
        <v>11.66</v>
      </c>
      <c r="E19" s="77">
        <v>1.82</v>
      </c>
      <c r="F19" s="77">
        <v>7.92</v>
      </c>
      <c r="G19" s="213" t="s">
        <v>42</v>
      </c>
      <c r="H19" s="213" t="s">
        <v>42</v>
      </c>
      <c r="I19" s="9" t="s">
        <v>36</v>
      </c>
      <c r="J19" s="77">
        <v>0.22</v>
      </c>
      <c r="K19" s="77">
        <v>344.16</v>
      </c>
      <c r="L19" s="77">
        <v>23.05</v>
      </c>
      <c r="M19" s="77">
        <v>97.23</v>
      </c>
      <c r="N19" s="77">
        <v>37.6</v>
      </c>
      <c r="O19" s="77">
        <v>0</v>
      </c>
      <c r="P19" s="77">
        <v>1.1299999999999999</v>
      </c>
      <c r="Q19" s="77">
        <v>6.37</v>
      </c>
    </row>
    <row r="20" spans="1:17" s="12" customFormat="1" x14ac:dyDescent="0.25">
      <c r="A20" s="64" t="s">
        <v>1892</v>
      </c>
      <c r="B20" s="77">
        <v>5.23</v>
      </c>
      <c r="C20" s="77">
        <v>14.41</v>
      </c>
      <c r="D20" s="77">
        <v>12.8</v>
      </c>
      <c r="E20" s="77">
        <v>2.12</v>
      </c>
      <c r="F20" s="77">
        <v>3.87</v>
      </c>
      <c r="G20" s="213" t="s">
        <v>42</v>
      </c>
      <c r="H20" s="213" t="s">
        <v>42</v>
      </c>
      <c r="I20" s="9" t="s">
        <v>36</v>
      </c>
      <c r="J20" s="77">
        <v>0.26</v>
      </c>
      <c r="K20" s="77">
        <v>336.61</v>
      </c>
      <c r="L20" s="77">
        <v>22.99</v>
      </c>
      <c r="M20" s="77">
        <v>97.23</v>
      </c>
      <c r="N20" s="77">
        <v>37.4</v>
      </c>
      <c r="O20" s="77">
        <v>0.4</v>
      </c>
      <c r="P20" s="77">
        <v>1.1200000000000001</v>
      </c>
      <c r="Q20" s="77">
        <v>7.1</v>
      </c>
    </row>
    <row r="21" spans="1:17" s="12" customFormat="1" x14ac:dyDescent="0.25">
      <c r="A21" s="64" t="s">
        <v>1893</v>
      </c>
      <c r="B21" s="77">
        <v>5.5</v>
      </c>
      <c r="C21" s="77">
        <v>13.47</v>
      </c>
      <c r="D21" s="77">
        <v>12.48</v>
      </c>
      <c r="E21" s="77">
        <v>1.86</v>
      </c>
      <c r="F21" s="77">
        <v>5.51</v>
      </c>
      <c r="G21" s="213" t="s">
        <v>42</v>
      </c>
      <c r="H21" s="213" t="s">
        <v>42</v>
      </c>
      <c r="I21" s="9" t="s">
        <v>36</v>
      </c>
      <c r="J21" s="77">
        <v>0.12</v>
      </c>
      <c r="K21" s="77">
        <v>74.77</v>
      </c>
      <c r="L21" s="77">
        <v>22.83</v>
      </c>
      <c r="M21" s="77">
        <v>97.23</v>
      </c>
      <c r="N21" s="77">
        <v>37.4</v>
      </c>
      <c r="O21" s="77">
        <v>0</v>
      </c>
      <c r="P21" s="77">
        <v>1.1200000000000001</v>
      </c>
      <c r="Q21" s="77">
        <v>5.44</v>
      </c>
    </row>
    <row r="22" spans="1:17" s="12" customFormat="1" x14ac:dyDescent="0.25">
      <c r="A22" s="64" t="s">
        <v>1894</v>
      </c>
      <c r="B22" s="77">
        <v>5.04</v>
      </c>
      <c r="C22" s="77">
        <v>12.96</v>
      </c>
      <c r="D22" s="77">
        <v>11.84</v>
      </c>
      <c r="E22" s="77">
        <v>1.91</v>
      </c>
      <c r="F22" s="77">
        <v>6.61</v>
      </c>
      <c r="G22" s="213" t="s">
        <v>42</v>
      </c>
      <c r="H22" s="213" t="s">
        <v>42</v>
      </c>
      <c r="I22" s="9" t="s">
        <v>36</v>
      </c>
      <c r="J22" s="77">
        <v>0.14000000000000001</v>
      </c>
      <c r="K22" s="77">
        <v>25.81</v>
      </c>
      <c r="L22" s="77">
        <v>22.69</v>
      </c>
      <c r="M22" s="77">
        <v>97.23</v>
      </c>
      <c r="N22" s="77">
        <v>37.4</v>
      </c>
      <c r="O22" s="77">
        <v>0</v>
      </c>
      <c r="P22" s="77">
        <v>1.1000000000000001</v>
      </c>
      <c r="Q22" s="77">
        <v>5.39</v>
      </c>
    </row>
    <row r="23" spans="1:17" s="12" customFormat="1" x14ac:dyDescent="0.25">
      <c r="A23" s="64" t="s">
        <v>1895</v>
      </c>
      <c r="B23" s="77">
        <v>5.53</v>
      </c>
      <c r="C23" s="77">
        <v>12.84</v>
      </c>
      <c r="D23" s="77">
        <v>12.16</v>
      </c>
      <c r="E23" s="77">
        <v>1.81</v>
      </c>
      <c r="F23" s="77">
        <v>4.76</v>
      </c>
      <c r="G23" s="213" t="s">
        <v>42</v>
      </c>
      <c r="H23" s="213" t="s">
        <v>42</v>
      </c>
      <c r="I23" s="9" t="s">
        <v>36</v>
      </c>
      <c r="J23" s="77">
        <v>0.6</v>
      </c>
      <c r="K23" s="77">
        <v>9.25</v>
      </c>
      <c r="L23" s="77">
        <v>22.62</v>
      </c>
      <c r="M23" s="77">
        <v>97.23</v>
      </c>
      <c r="N23" s="77">
        <v>37.299999999999997</v>
      </c>
      <c r="O23" s="77">
        <v>0</v>
      </c>
      <c r="P23" s="77">
        <v>1.1100000000000001</v>
      </c>
      <c r="Q23" s="77">
        <v>4.75</v>
      </c>
    </row>
    <row r="24" spans="1:17" s="12" customFormat="1" x14ac:dyDescent="0.25">
      <c r="A24" s="64" t="s">
        <v>1896</v>
      </c>
      <c r="B24" s="77">
        <v>7.87</v>
      </c>
      <c r="C24" s="77">
        <v>12.73</v>
      </c>
      <c r="D24" s="77">
        <v>13.98</v>
      </c>
      <c r="E24" s="77">
        <v>2.31</v>
      </c>
      <c r="F24" s="77">
        <v>5.41</v>
      </c>
      <c r="G24" s="213" t="s">
        <v>42</v>
      </c>
      <c r="H24" s="213" t="s">
        <v>42</v>
      </c>
      <c r="I24" s="9" t="s">
        <v>36</v>
      </c>
      <c r="J24" s="77">
        <v>0.37</v>
      </c>
      <c r="K24" s="77">
        <v>357.27</v>
      </c>
      <c r="L24" s="77">
        <v>22.57</v>
      </c>
      <c r="M24" s="77">
        <v>97.23</v>
      </c>
      <c r="N24" s="77">
        <v>37.299999999999997</v>
      </c>
      <c r="O24" s="77">
        <v>0</v>
      </c>
      <c r="P24" s="77">
        <v>1.08</v>
      </c>
      <c r="Q24" s="77">
        <v>5.19</v>
      </c>
    </row>
    <row r="25" spans="1:17" s="12" customFormat="1" x14ac:dyDescent="0.25">
      <c r="A25" s="64" t="s">
        <v>1897</v>
      </c>
      <c r="B25" s="77">
        <v>8.0299999999999994</v>
      </c>
      <c r="C25" s="77">
        <v>13.01</v>
      </c>
      <c r="D25" s="77">
        <v>14.26</v>
      </c>
      <c r="E25" s="77">
        <v>2.57</v>
      </c>
      <c r="F25" s="77">
        <v>4.34</v>
      </c>
      <c r="G25" s="213" t="s">
        <v>42</v>
      </c>
      <c r="H25" s="213" t="s">
        <v>42</v>
      </c>
      <c r="I25" s="9" t="s">
        <v>36</v>
      </c>
      <c r="J25" s="77">
        <v>0.46</v>
      </c>
      <c r="K25" s="77">
        <v>11.99</v>
      </c>
      <c r="L25" s="77">
        <v>22.62</v>
      </c>
      <c r="M25" s="77">
        <v>97.23</v>
      </c>
      <c r="N25" s="77">
        <v>37.299999999999997</v>
      </c>
      <c r="O25" s="77">
        <v>0</v>
      </c>
      <c r="P25" s="77">
        <v>1.08</v>
      </c>
      <c r="Q25" s="77">
        <v>5.5</v>
      </c>
    </row>
    <row r="26" spans="1:17" s="12" customFormat="1" x14ac:dyDescent="0.25">
      <c r="A26" s="64" t="s">
        <v>1898</v>
      </c>
      <c r="B26" s="77">
        <v>7.31</v>
      </c>
      <c r="C26" s="77">
        <v>13.15</v>
      </c>
      <c r="D26" s="77">
        <v>13.77</v>
      </c>
      <c r="E26" s="77">
        <v>2.4700000000000002</v>
      </c>
      <c r="F26" s="77">
        <v>5.23</v>
      </c>
      <c r="G26" s="213" t="s">
        <v>42</v>
      </c>
      <c r="H26" s="213" t="s">
        <v>42</v>
      </c>
      <c r="I26" s="9" t="s">
        <v>36</v>
      </c>
      <c r="J26" s="77">
        <v>0.24</v>
      </c>
      <c r="K26" s="77">
        <v>343.38</v>
      </c>
      <c r="L26" s="77">
        <v>22.67</v>
      </c>
      <c r="M26" s="77">
        <v>97.23</v>
      </c>
      <c r="N26" s="77">
        <v>37.299999999999997</v>
      </c>
      <c r="O26" s="77">
        <v>0</v>
      </c>
      <c r="P26" s="77">
        <v>1.06</v>
      </c>
      <c r="Q26" s="77">
        <v>4.93</v>
      </c>
    </row>
    <row r="27" spans="1:17" s="12" customFormat="1" x14ac:dyDescent="0.25">
      <c r="A27" s="64" t="s">
        <v>1899</v>
      </c>
      <c r="B27" s="77">
        <v>24.44</v>
      </c>
      <c r="C27" s="77">
        <v>18.95</v>
      </c>
      <c r="D27" s="77">
        <v>30.71</v>
      </c>
      <c r="E27" s="77">
        <v>2.81</v>
      </c>
      <c r="F27" s="77">
        <v>7.1</v>
      </c>
      <c r="G27" s="213" t="s">
        <v>42</v>
      </c>
      <c r="H27" s="213" t="s">
        <v>42</v>
      </c>
      <c r="I27" s="9" t="s">
        <v>36</v>
      </c>
      <c r="J27" s="77">
        <v>0.08</v>
      </c>
      <c r="K27" s="77">
        <v>22.35</v>
      </c>
      <c r="L27" s="77">
        <v>22.67</v>
      </c>
      <c r="M27" s="77">
        <v>97.23</v>
      </c>
      <c r="N27" s="77">
        <v>37.299999999999997</v>
      </c>
      <c r="O27" s="77">
        <v>0</v>
      </c>
      <c r="P27" s="77">
        <v>1.05</v>
      </c>
      <c r="Q27" s="77">
        <v>7.13</v>
      </c>
    </row>
    <row r="28" spans="1:17" s="12" customFormat="1" x14ac:dyDescent="0.25">
      <c r="A28" s="64" t="s">
        <v>1900</v>
      </c>
      <c r="B28" s="77">
        <v>12.73</v>
      </c>
      <c r="C28" s="77">
        <v>20.329999999999998</v>
      </c>
      <c r="D28" s="77">
        <v>22.08</v>
      </c>
      <c r="E28" s="77">
        <v>2.72</v>
      </c>
      <c r="F28" s="77">
        <v>5.63</v>
      </c>
      <c r="G28" s="77">
        <v>16.86</v>
      </c>
      <c r="H28" s="77">
        <v>12</v>
      </c>
      <c r="I28" s="9" t="s">
        <v>36</v>
      </c>
      <c r="J28" s="77">
        <v>0.06</v>
      </c>
      <c r="K28" s="77">
        <v>351.75</v>
      </c>
      <c r="L28" s="77">
        <v>22.66</v>
      </c>
      <c r="M28" s="77">
        <v>97.23</v>
      </c>
      <c r="N28" s="77">
        <v>37.4</v>
      </c>
      <c r="O28" s="77">
        <v>0</v>
      </c>
      <c r="P28" s="77">
        <v>1.06</v>
      </c>
      <c r="Q28" s="77">
        <v>8.6199999999999992</v>
      </c>
    </row>
    <row r="29" spans="1:17" s="12" customFormat="1" x14ac:dyDescent="0.25">
      <c r="A29" s="64" t="s">
        <v>1901</v>
      </c>
      <c r="B29" s="77">
        <v>17.78</v>
      </c>
      <c r="C29" s="77">
        <v>20.07</v>
      </c>
      <c r="D29" s="77">
        <v>25.94</v>
      </c>
      <c r="E29" s="77">
        <v>2.59</v>
      </c>
      <c r="F29" s="77">
        <v>6.03</v>
      </c>
      <c r="G29" s="77">
        <v>16.98</v>
      </c>
      <c r="H29" s="77">
        <v>12</v>
      </c>
      <c r="I29" s="9" t="s">
        <v>36</v>
      </c>
      <c r="J29" s="77">
        <v>0.15</v>
      </c>
      <c r="K29" s="77">
        <v>334.7</v>
      </c>
      <c r="L29" s="77">
        <v>22.51</v>
      </c>
      <c r="M29" s="77">
        <v>97.23</v>
      </c>
      <c r="N29" s="77">
        <v>37.6</v>
      </c>
      <c r="O29" s="77">
        <v>0</v>
      </c>
      <c r="P29" s="77">
        <v>1.07</v>
      </c>
      <c r="Q29" s="77">
        <v>10.77</v>
      </c>
    </row>
    <row r="30" spans="1:17" s="12" customFormat="1" x14ac:dyDescent="0.25">
      <c r="A30" s="64" t="s">
        <v>1902</v>
      </c>
      <c r="B30" s="77">
        <v>23.85</v>
      </c>
      <c r="C30" s="77">
        <v>22.03</v>
      </c>
      <c r="D30" s="77">
        <v>31.93</v>
      </c>
      <c r="E30" s="77">
        <v>3</v>
      </c>
      <c r="F30" s="77">
        <v>6.6</v>
      </c>
      <c r="G30" s="77">
        <v>16.98</v>
      </c>
      <c r="H30" s="77">
        <v>12</v>
      </c>
      <c r="I30" s="9" t="s">
        <v>36</v>
      </c>
      <c r="J30" s="77">
        <v>0.27</v>
      </c>
      <c r="K30" s="77">
        <v>18.79</v>
      </c>
      <c r="L30" s="77">
        <v>22.58</v>
      </c>
      <c r="M30" s="77">
        <v>97.23</v>
      </c>
      <c r="N30" s="77">
        <v>39.4</v>
      </c>
      <c r="O30" s="77">
        <v>0</v>
      </c>
      <c r="P30" s="77">
        <v>1.1100000000000001</v>
      </c>
      <c r="Q30" s="77">
        <v>11.87</v>
      </c>
    </row>
    <row r="31" spans="1:17" s="12" customFormat="1" x14ac:dyDescent="0.25">
      <c r="A31" s="64" t="s">
        <v>1903</v>
      </c>
      <c r="B31" s="77">
        <v>10.06</v>
      </c>
      <c r="C31" s="77">
        <v>23.43</v>
      </c>
      <c r="D31" s="77">
        <v>21.64</v>
      </c>
      <c r="E31" s="77">
        <v>3.28</v>
      </c>
      <c r="F31" s="77">
        <v>4.82</v>
      </c>
      <c r="G31" s="77">
        <v>16.98</v>
      </c>
      <c r="H31" s="77">
        <v>12</v>
      </c>
      <c r="I31" s="9" t="s">
        <v>36</v>
      </c>
      <c r="J31" s="77">
        <v>0.49</v>
      </c>
      <c r="K31" s="77">
        <v>8.34</v>
      </c>
      <c r="L31" s="77">
        <v>22.73</v>
      </c>
      <c r="M31" s="77">
        <v>97.23</v>
      </c>
      <c r="N31" s="77">
        <v>44.7</v>
      </c>
      <c r="O31" s="77">
        <v>0</v>
      </c>
      <c r="P31" s="77">
        <v>1.1100000000000001</v>
      </c>
      <c r="Q31" s="77">
        <v>13.75</v>
      </c>
    </row>
    <row r="32" spans="1:17" s="12" customFormat="1" x14ac:dyDescent="0.25">
      <c r="A32" s="64" t="s">
        <v>1904</v>
      </c>
      <c r="B32" s="77">
        <v>14.48</v>
      </c>
      <c r="C32" s="77">
        <v>17.34</v>
      </c>
      <c r="D32" s="77">
        <v>21.83</v>
      </c>
      <c r="E32" s="77">
        <v>2.7</v>
      </c>
      <c r="F32" s="77">
        <v>4.74</v>
      </c>
      <c r="G32" s="77">
        <v>23.36</v>
      </c>
      <c r="H32" s="77">
        <v>11.03</v>
      </c>
      <c r="I32" s="9" t="s">
        <v>36</v>
      </c>
      <c r="J32" s="77">
        <v>0.34</v>
      </c>
      <c r="K32" s="77">
        <v>359.72</v>
      </c>
      <c r="L32" s="77">
        <v>22.86</v>
      </c>
      <c r="M32" s="77">
        <v>97.23</v>
      </c>
      <c r="N32" s="77">
        <v>52.9</v>
      </c>
      <c r="O32" s="77">
        <v>0</v>
      </c>
      <c r="P32" s="77">
        <v>1.1399999999999999</v>
      </c>
      <c r="Q32" s="77">
        <v>14.11</v>
      </c>
    </row>
    <row r="33" spans="1:17" s="12" customFormat="1" x14ac:dyDescent="0.25">
      <c r="A33" s="64" t="s">
        <v>1905</v>
      </c>
      <c r="B33" s="77">
        <v>16.010000000000002</v>
      </c>
      <c r="C33" s="77">
        <v>17.61</v>
      </c>
      <c r="D33" s="77">
        <v>23.2</v>
      </c>
      <c r="E33" s="77">
        <v>2.84</v>
      </c>
      <c r="F33" s="77">
        <v>4.72</v>
      </c>
      <c r="G33" s="77">
        <v>23.58</v>
      </c>
      <c r="H33" s="77">
        <v>11.03</v>
      </c>
      <c r="I33" s="9" t="s">
        <v>36</v>
      </c>
      <c r="J33" s="77">
        <v>0.43</v>
      </c>
      <c r="K33" s="77">
        <v>6.1</v>
      </c>
      <c r="L33" s="77">
        <v>23</v>
      </c>
      <c r="M33" s="77">
        <v>97.22</v>
      </c>
      <c r="N33" s="77">
        <v>60.7</v>
      </c>
      <c r="O33" s="77">
        <v>0</v>
      </c>
      <c r="P33" s="77">
        <v>1.1599999999999999</v>
      </c>
      <c r="Q33" s="77">
        <v>12.81</v>
      </c>
    </row>
    <row r="34" spans="1:17" s="12" customFormat="1" x14ac:dyDescent="0.25">
      <c r="A34" s="64" t="s">
        <v>1906</v>
      </c>
      <c r="B34" s="77">
        <v>15.58</v>
      </c>
      <c r="C34" s="77">
        <v>16.47</v>
      </c>
      <c r="D34" s="77">
        <v>22.23</v>
      </c>
      <c r="E34" s="77">
        <v>2.87</v>
      </c>
      <c r="F34" s="77">
        <v>4.5</v>
      </c>
      <c r="G34" s="77">
        <v>23.58</v>
      </c>
      <c r="H34" s="77">
        <v>11.03</v>
      </c>
      <c r="I34" s="9" t="s">
        <v>36</v>
      </c>
      <c r="J34" s="77">
        <v>0.46</v>
      </c>
      <c r="K34" s="77">
        <v>0.64</v>
      </c>
      <c r="L34" s="77">
        <v>23.07</v>
      </c>
      <c r="M34" s="77">
        <v>97.22</v>
      </c>
      <c r="N34" s="77">
        <v>83</v>
      </c>
      <c r="O34" s="77">
        <v>0</v>
      </c>
      <c r="P34" s="77">
        <v>1.17</v>
      </c>
      <c r="Q34" s="77">
        <v>13.51</v>
      </c>
    </row>
    <row r="35" spans="1:17" s="12" customFormat="1" x14ac:dyDescent="0.25">
      <c r="A35" s="64" t="s">
        <v>1907</v>
      </c>
      <c r="B35" s="77">
        <v>15.98</v>
      </c>
      <c r="C35" s="77">
        <v>16.04</v>
      </c>
      <c r="D35" s="77">
        <v>22.32</v>
      </c>
      <c r="E35" s="77">
        <v>2.62</v>
      </c>
      <c r="F35" s="77">
        <v>4.0199999999999996</v>
      </c>
      <c r="G35" s="77">
        <v>23.58</v>
      </c>
      <c r="H35" s="77">
        <v>11.03</v>
      </c>
      <c r="I35" s="9" t="s">
        <v>36</v>
      </c>
      <c r="J35" s="77">
        <v>0.68</v>
      </c>
      <c r="K35" s="77">
        <v>6.2</v>
      </c>
      <c r="L35" s="77">
        <v>23.21</v>
      </c>
      <c r="M35" s="77">
        <v>97.22</v>
      </c>
      <c r="N35" s="77">
        <v>109.4</v>
      </c>
      <c r="O35" s="77">
        <v>0</v>
      </c>
      <c r="P35" s="77">
        <v>1.17</v>
      </c>
      <c r="Q35" s="77">
        <v>13.09</v>
      </c>
    </row>
    <row r="36" spans="1:17" s="12" customFormat="1" x14ac:dyDescent="0.25">
      <c r="A36" s="64" t="s">
        <v>1908</v>
      </c>
      <c r="B36" s="77">
        <v>18.05</v>
      </c>
      <c r="C36" s="77">
        <v>18.47</v>
      </c>
      <c r="D36" s="77">
        <v>25.32</v>
      </c>
      <c r="E36" s="77">
        <v>2.99</v>
      </c>
      <c r="F36" s="77">
        <v>4.5199999999999996</v>
      </c>
      <c r="G36" s="77">
        <v>27.7</v>
      </c>
      <c r="H36" s="77">
        <v>14.39</v>
      </c>
      <c r="I36" s="9" t="s">
        <v>36</v>
      </c>
      <c r="J36" s="77">
        <v>0.65</v>
      </c>
      <c r="K36" s="77">
        <v>5.93</v>
      </c>
      <c r="L36" s="77">
        <v>23.4</v>
      </c>
      <c r="M36" s="77">
        <v>97.21</v>
      </c>
      <c r="N36" s="77">
        <v>139.69999999999999</v>
      </c>
      <c r="O36" s="77">
        <v>0</v>
      </c>
      <c r="P36" s="77">
        <v>1.17</v>
      </c>
      <c r="Q36" s="77">
        <v>13.47</v>
      </c>
    </row>
    <row r="37" spans="1:17" s="12" customFormat="1" x14ac:dyDescent="0.25">
      <c r="A37" s="64" t="s">
        <v>1909</v>
      </c>
      <c r="B37" s="77">
        <v>18.38</v>
      </c>
      <c r="C37" s="77">
        <v>14.97</v>
      </c>
      <c r="D37" s="77">
        <v>23.65</v>
      </c>
      <c r="E37" s="77">
        <v>2.81</v>
      </c>
      <c r="F37" s="77">
        <v>4.76</v>
      </c>
      <c r="G37" s="77">
        <v>27.84</v>
      </c>
      <c r="H37" s="77">
        <v>14.39</v>
      </c>
      <c r="I37" s="9" t="s">
        <v>36</v>
      </c>
      <c r="J37" s="77">
        <v>0.5</v>
      </c>
      <c r="K37" s="77">
        <v>7.36</v>
      </c>
      <c r="L37" s="77">
        <v>24.09</v>
      </c>
      <c r="M37" s="77">
        <v>96.79</v>
      </c>
      <c r="N37" s="77">
        <v>317.60000000000002</v>
      </c>
      <c r="O37" s="77">
        <v>0</v>
      </c>
      <c r="P37" s="77">
        <v>0.75</v>
      </c>
      <c r="Q37" s="77">
        <v>13.78</v>
      </c>
    </row>
    <row r="38" spans="1:17" s="12" customFormat="1" x14ac:dyDescent="0.25">
      <c r="A38" s="64" t="s">
        <v>1910</v>
      </c>
      <c r="B38" s="77">
        <v>16.77</v>
      </c>
      <c r="C38" s="77">
        <v>14.12</v>
      </c>
      <c r="D38" s="77">
        <v>21.89</v>
      </c>
      <c r="E38" s="77">
        <v>2.46</v>
      </c>
      <c r="F38" s="77">
        <v>6.07</v>
      </c>
      <c r="G38" s="77">
        <v>27.84</v>
      </c>
      <c r="H38" s="77">
        <v>14.39</v>
      </c>
      <c r="I38" s="9" t="s">
        <v>36</v>
      </c>
      <c r="J38" s="77">
        <v>0.45</v>
      </c>
      <c r="K38" s="77">
        <v>52.28</v>
      </c>
      <c r="L38" s="77">
        <v>25.37</v>
      </c>
      <c r="M38" s="77">
        <v>90.52</v>
      </c>
      <c r="N38" s="77">
        <v>393.3</v>
      </c>
      <c r="O38" s="77">
        <v>0</v>
      </c>
      <c r="P38" s="77">
        <v>1.19</v>
      </c>
      <c r="Q38" s="77">
        <v>13.93</v>
      </c>
    </row>
    <row r="39" spans="1:17" s="12" customFormat="1" x14ac:dyDescent="0.25">
      <c r="A39" s="64" t="s">
        <v>1911</v>
      </c>
      <c r="B39" s="77">
        <v>17.239999999999998</v>
      </c>
      <c r="C39" s="77">
        <v>19.43</v>
      </c>
      <c r="D39" s="77">
        <v>25.19</v>
      </c>
      <c r="E39" s="77">
        <v>2.52</v>
      </c>
      <c r="F39" s="77">
        <v>7.27</v>
      </c>
      <c r="G39" s="77">
        <v>27.84</v>
      </c>
      <c r="H39" s="77">
        <v>14.39</v>
      </c>
      <c r="I39" s="9" t="s">
        <v>36</v>
      </c>
      <c r="J39" s="77">
        <v>0.53</v>
      </c>
      <c r="K39" s="77">
        <v>68.03</v>
      </c>
      <c r="L39" s="77">
        <v>25.31</v>
      </c>
      <c r="M39" s="77">
        <v>89.07</v>
      </c>
      <c r="N39" s="77">
        <v>356.8</v>
      </c>
      <c r="O39" s="77">
        <v>0</v>
      </c>
      <c r="P39" s="77">
        <v>1.19</v>
      </c>
      <c r="Q39" s="77">
        <v>16.55</v>
      </c>
    </row>
    <row r="40" spans="1:17" s="12" customFormat="1" x14ac:dyDescent="0.25">
      <c r="A40" s="64" t="s">
        <v>1912</v>
      </c>
      <c r="B40" s="77">
        <v>18.739999999999998</v>
      </c>
      <c r="C40" s="77">
        <v>14.06</v>
      </c>
      <c r="D40" s="77">
        <v>23.43</v>
      </c>
      <c r="E40" s="77">
        <v>1.93</v>
      </c>
      <c r="F40" s="77">
        <v>6.68</v>
      </c>
      <c r="G40" s="77">
        <v>26.44</v>
      </c>
      <c r="H40" s="77">
        <v>11.38</v>
      </c>
      <c r="I40" s="9" t="s">
        <v>36</v>
      </c>
      <c r="J40" s="77">
        <v>0.56999999999999995</v>
      </c>
      <c r="K40" s="77">
        <v>79.849999999999994</v>
      </c>
      <c r="L40" s="77">
        <v>25.33</v>
      </c>
      <c r="M40" s="77">
        <v>86.88</v>
      </c>
      <c r="N40" s="77">
        <v>417.9</v>
      </c>
      <c r="O40" s="77">
        <v>0</v>
      </c>
      <c r="P40" s="77">
        <v>1.19</v>
      </c>
      <c r="Q40" s="77">
        <v>17.95</v>
      </c>
    </row>
    <row r="41" spans="1:17" s="12" customFormat="1" x14ac:dyDescent="0.25">
      <c r="A41" s="64" t="s">
        <v>1913</v>
      </c>
      <c r="B41" s="77">
        <v>19.670000000000002</v>
      </c>
      <c r="C41" s="77">
        <v>14.71</v>
      </c>
      <c r="D41" s="77">
        <v>24.54</v>
      </c>
      <c r="E41" s="77">
        <v>2.0499999999999998</v>
      </c>
      <c r="F41" s="77">
        <v>5.2</v>
      </c>
      <c r="G41" s="77">
        <v>26.39</v>
      </c>
      <c r="H41" s="77">
        <v>11.38</v>
      </c>
      <c r="I41" s="9" t="s">
        <v>36</v>
      </c>
      <c r="J41" s="77">
        <v>1.06</v>
      </c>
      <c r="K41" s="77">
        <v>99.59</v>
      </c>
      <c r="L41" s="77">
        <v>24.74</v>
      </c>
      <c r="M41" s="77">
        <v>89.26</v>
      </c>
      <c r="N41" s="77">
        <v>276.89999999999998</v>
      </c>
      <c r="O41" s="77">
        <v>0</v>
      </c>
      <c r="P41" s="77">
        <v>1.18</v>
      </c>
      <c r="Q41" s="77">
        <v>20.49</v>
      </c>
    </row>
    <row r="42" spans="1:17" s="12" customFormat="1" x14ac:dyDescent="0.25">
      <c r="A42" s="64" t="s">
        <v>1914</v>
      </c>
      <c r="B42" s="77">
        <v>17.93</v>
      </c>
      <c r="C42" s="77">
        <v>14.23</v>
      </c>
      <c r="D42" s="77">
        <v>22.88</v>
      </c>
      <c r="E42" s="77">
        <v>2.4900000000000002</v>
      </c>
      <c r="F42" s="77">
        <v>6.36</v>
      </c>
      <c r="G42" s="77">
        <v>26.39</v>
      </c>
      <c r="H42" s="77">
        <v>11.38</v>
      </c>
      <c r="I42" s="9" t="s">
        <v>36</v>
      </c>
      <c r="J42" s="77">
        <v>0.91</v>
      </c>
      <c r="K42" s="77">
        <v>102.99</v>
      </c>
      <c r="L42" s="77">
        <v>25.21</v>
      </c>
      <c r="M42" s="77">
        <v>87.37</v>
      </c>
      <c r="N42" s="77">
        <v>400.8</v>
      </c>
      <c r="O42" s="77">
        <v>0</v>
      </c>
      <c r="P42" s="77">
        <v>1.18</v>
      </c>
      <c r="Q42" s="77">
        <v>21.46</v>
      </c>
    </row>
    <row r="43" spans="1:17" s="12" customFormat="1" x14ac:dyDescent="0.25">
      <c r="A43" s="64" t="s">
        <v>1915</v>
      </c>
      <c r="B43" s="77">
        <v>17.55</v>
      </c>
      <c r="C43" s="77">
        <v>15.32</v>
      </c>
      <c r="D43" s="77">
        <v>23.17</v>
      </c>
      <c r="E43" s="77">
        <v>2.4500000000000002</v>
      </c>
      <c r="F43" s="77">
        <v>3.85</v>
      </c>
      <c r="G43" s="77">
        <v>26.39</v>
      </c>
      <c r="H43" s="77">
        <v>11.38</v>
      </c>
      <c r="I43" s="9" t="s">
        <v>36</v>
      </c>
      <c r="J43" s="77">
        <v>1.23</v>
      </c>
      <c r="K43" s="77">
        <v>103.16</v>
      </c>
      <c r="L43" s="77">
        <v>25.05</v>
      </c>
      <c r="M43" s="77">
        <v>87.39</v>
      </c>
      <c r="N43" s="77">
        <v>387.1</v>
      </c>
      <c r="O43" s="77">
        <v>0</v>
      </c>
      <c r="P43" s="77">
        <v>1.1599999999999999</v>
      </c>
      <c r="Q43" s="77">
        <v>22.47</v>
      </c>
    </row>
    <row r="44" spans="1:17" s="12" customFormat="1" x14ac:dyDescent="0.25">
      <c r="A44" s="64" t="s">
        <v>1916</v>
      </c>
      <c r="B44" s="77">
        <v>17.72</v>
      </c>
      <c r="C44" s="77">
        <v>12.67</v>
      </c>
      <c r="D44" s="77">
        <v>21.84</v>
      </c>
      <c r="E44" s="77">
        <v>2.4300000000000002</v>
      </c>
      <c r="F44" s="77">
        <v>4.55</v>
      </c>
      <c r="G44" s="77">
        <v>28.87</v>
      </c>
      <c r="H44" s="77">
        <v>12.5</v>
      </c>
      <c r="I44" s="9" t="s">
        <v>36</v>
      </c>
      <c r="J44" s="77">
        <v>0.8</v>
      </c>
      <c r="K44" s="77">
        <v>91.8</v>
      </c>
      <c r="L44" s="77">
        <v>25.56</v>
      </c>
      <c r="M44" s="77">
        <v>85.55</v>
      </c>
      <c r="N44" s="77">
        <v>516.6</v>
      </c>
      <c r="O44" s="77">
        <v>0</v>
      </c>
      <c r="P44" s="77">
        <v>1.1499999999999999</v>
      </c>
      <c r="Q44" s="77">
        <v>22.17</v>
      </c>
    </row>
    <row r="45" spans="1:17" s="12" customFormat="1" x14ac:dyDescent="0.25">
      <c r="A45" s="64" t="s">
        <v>1917</v>
      </c>
      <c r="B45" s="77">
        <v>17.82</v>
      </c>
      <c r="C45" s="77">
        <v>12.34</v>
      </c>
      <c r="D45" s="77">
        <v>21.75</v>
      </c>
      <c r="E45" s="77">
        <v>2.89</v>
      </c>
      <c r="F45" s="77">
        <v>4.4400000000000004</v>
      </c>
      <c r="G45" s="77">
        <v>28.96</v>
      </c>
      <c r="H45" s="77">
        <v>12.5</v>
      </c>
      <c r="I45" s="9" t="s">
        <v>36</v>
      </c>
      <c r="J45" s="77">
        <v>0.71</v>
      </c>
      <c r="K45" s="77">
        <v>77.25</v>
      </c>
      <c r="L45" s="77">
        <v>25.71</v>
      </c>
      <c r="M45" s="77">
        <v>84.08</v>
      </c>
      <c r="N45" s="77">
        <v>387.5</v>
      </c>
      <c r="O45" s="77">
        <v>0</v>
      </c>
      <c r="P45" s="77">
        <v>1.1599999999999999</v>
      </c>
      <c r="Q45" s="77">
        <v>22.38</v>
      </c>
    </row>
    <row r="46" spans="1:17" s="12" customFormat="1" x14ac:dyDescent="0.25">
      <c r="A46" s="64" t="s">
        <v>1918</v>
      </c>
      <c r="B46" s="77">
        <v>17.47</v>
      </c>
      <c r="C46" s="77">
        <v>14.12</v>
      </c>
      <c r="D46" s="77">
        <v>22.45</v>
      </c>
      <c r="E46" s="77">
        <v>2.8</v>
      </c>
      <c r="F46" s="77">
        <v>4.29</v>
      </c>
      <c r="G46" s="77">
        <v>28.96</v>
      </c>
      <c r="H46" s="77">
        <v>12.5</v>
      </c>
      <c r="I46" s="9" t="s">
        <v>36</v>
      </c>
      <c r="J46" s="77">
        <v>0.5</v>
      </c>
      <c r="K46" s="77">
        <v>57.12</v>
      </c>
      <c r="L46" s="77">
        <v>25.15</v>
      </c>
      <c r="M46" s="77">
        <v>86.38</v>
      </c>
      <c r="N46" s="77">
        <v>174.8</v>
      </c>
      <c r="O46" s="77">
        <v>0</v>
      </c>
      <c r="P46" s="77">
        <v>1.17</v>
      </c>
      <c r="Q46" s="77">
        <v>22</v>
      </c>
    </row>
    <row r="47" spans="1:17" s="12" customFormat="1" x14ac:dyDescent="0.25">
      <c r="A47" s="64" t="s">
        <v>1919</v>
      </c>
      <c r="B47" s="77">
        <v>17.97</v>
      </c>
      <c r="C47" s="77">
        <v>15.43</v>
      </c>
      <c r="D47" s="77">
        <v>23.57</v>
      </c>
      <c r="E47" s="77">
        <v>2.15</v>
      </c>
      <c r="F47" s="77">
        <v>4.3899999999999997</v>
      </c>
      <c r="G47" s="77">
        <v>28.96</v>
      </c>
      <c r="H47" s="77">
        <v>12.5</v>
      </c>
      <c r="I47" s="9" t="s">
        <v>36</v>
      </c>
      <c r="J47" s="77">
        <v>0.63</v>
      </c>
      <c r="K47" s="77">
        <v>88.06</v>
      </c>
      <c r="L47" s="77">
        <v>25</v>
      </c>
      <c r="M47" s="77">
        <v>87.65</v>
      </c>
      <c r="N47" s="77">
        <v>250.1</v>
      </c>
      <c r="O47" s="77">
        <v>0</v>
      </c>
      <c r="P47" s="77">
        <v>1.17</v>
      </c>
      <c r="Q47" s="77">
        <v>22.1</v>
      </c>
    </row>
    <row r="48" spans="1:17" s="12" customFormat="1" x14ac:dyDescent="0.25">
      <c r="A48" s="64" t="s">
        <v>1920</v>
      </c>
      <c r="B48" s="77">
        <v>17.010000000000002</v>
      </c>
      <c r="C48" s="77">
        <v>13.77</v>
      </c>
      <c r="D48" s="77">
        <v>21.89</v>
      </c>
      <c r="E48" s="77">
        <v>1.85</v>
      </c>
      <c r="F48" s="77">
        <v>4.6900000000000004</v>
      </c>
      <c r="G48" s="77">
        <v>32.4</v>
      </c>
      <c r="H48" s="77">
        <v>11.46</v>
      </c>
      <c r="I48" s="9" t="s">
        <v>36</v>
      </c>
      <c r="J48" s="77">
        <v>0.89</v>
      </c>
      <c r="K48" s="77">
        <v>91.2</v>
      </c>
      <c r="L48" s="77">
        <v>25.21</v>
      </c>
      <c r="M48" s="77">
        <v>86.44</v>
      </c>
      <c r="N48" s="77">
        <v>353.5</v>
      </c>
      <c r="O48" s="77">
        <v>0</v>
      </c>
      <c r="P48" s="77">
        <v>1.17</v>
      </c>
      <c r="Q48" s="77">
        <v>21.78</v>
      </c>
    </row>
    <row r="49" spans="1:17" s="12" customFormat="1" x14ac:dyDescent="0.25">
      <c r="A49" s="64" t="s">
        <v>1921</v>
      </c>
      <c r="B49" s="77">
        <v>16.760000000000002</v>
      </c>
      <c r="C49" s="77">
        <v>16.93</v>
      </c>
      <c r="D49" s="77">
        <v>23.43</v>
      </c>
      <c r="E49" s="77">
        <v>2.2999999999999998</v>
      </c>
      <c r="F49" s="77">
        <v>5.18</v>
      </c>
      <c r="G49" s="77">
        <v>32.520000000000003</v>
      </c>
      <c r="H49" s="77">
        <v>11.46</v>
      </c>
      <c r="I49" s="9" t="s">
        <v>36</v>
      </c>
      <c r="J49" s="77">
        <v>0.56000000000000005</v>
      </c>
      <c r="K49" s="77">
        <v>74.3</v>
      </c>
      <c r="L49" s="77">
        <v>25.4</v>
      </c>
      <c r="M49" s="77">
        <v>85.63</v>
      </c>
      <c r="N49" s="77">
        <v>319.5</v>
      </c>
      <c r="O49" s="77">
        <v>0</v>
      </c>
      <c r="P49" s="77">
        <v>1.1499999999999999</v>
      </c>
      <c r="Q49" s="77">
        <v>22.17</v>
      </c>
    </row>
    <row r="50" spans="1:17" s="12" customFormat="1" x14ac:dyDescent="0.25">
      <c r="A50" s="64" t="s">
        <v>1922</v>
      </c>
      <c r="B50" s="77">
        <v>13.24</v>
      </c>
      <c r="C50" s="77">
        <v>20.65</v>
      </c>
      <c r="D50" s="77">
        <v>22.65</v>
      </c>
      <c r="E50" s="77">
        <v>1.87</v>
      </c>
      <c r="F50" s="77">
        <v>15.2</v>
      </c>
      <c r="G50" s="77">
        <v>32.520000000000003</v>
      </c>
      <c r="H50" s="77">
        <v>11.46</v>
      </c>
      <c r="I50" s="9" t="s">
        <v>36</v>
      </c>
      <c r="J50" s="77">
        <v>0.67</v>
      </c>
      <c r="K50" s="77">
        <v>87.75</v>
      </c>
      <c r="L50" s="77">
        <v>25.29</v>
      </c>
      <c r="M50" s="77">
        <v>86.04</v>
      </c>
      <c r="N50" s="77">
        <v>304.7</v>
      </c>
      <c r="O50" s="77">
        <v>0</v>
      </c>
      <c r="P50" s="77">
        <v>0.23</v>
      </c>
      <c r="Q50" s="77">
        <v>12.27</v>
      </c>
    </row>
    <row r="51" spans="1:17" s="12" customFormat="1" x14ac:dyDescent="0.25">
      <c r="A51" s="64" t="s">
        <v>1923</v>
      </c>
      <c r="B51" s="77">
        <v>16.09</v>
      </c>
      <c r="C51" s="77">
        <v>28.29</v>
      </c>
      <c r="D51" s="77">
        <v>29.16</v>
      </c>
      <c r="E51" s="77">
        <v>2.41</v>
      </c>
      <c r="F51" s="77">
        <v>13.8</v>
      </c>
      <c r="G51" s="77">
        <v>32.520000000000003</v>
      </c>
      <c r="H51" s="77">
        <v>11.46</v>
      </c>
      <c r="I51" s="9" t="s">
        <v>36</v>
      </c>
      <c r="J51" s="77">
        <v>0.53</v>
      </c>
      <c r="K51" s="77">
        <v>80.13</v>
      </c>
      <c r="L51" s="77">
        <v>25.76</v>
      </c>
      <c r="M51" s="77">
        <v>84.76</v>
      </c>
      <c r="N51" s="77">
        <v>375.7</v>
      </c>
      <c r="O51" s="77">
        <v>0</v>
      </c>
      <c r="P51" s="77">
        <v>0</v>
      </c>
      <c r="Q51" s="77">
        <v>8.49</v>
      </c>
    </row>
    <row r="52" spans="1:17" s="12" customFormat="1" x14ac:dyDescent="0.25">
      <c r="A52" s="64" t="s">
        <v>1924</v>
      </c>
      <c r="B52" s="77">
        <v>12.45</v>
      </c>
      <c r="C52" s="77">
        <v>24.97</v>
      </c>
      <c r="D52" s="77">
        <v>24.41</v>
      </c>
      <c r="E52" s="77">
        <v>2.15</v>
      </c>
      <c r="F52" s="77">
        <v>16.510000000000002</v>
      </c>
      <c r="G52" s="77">
        <v>30.21</v>
      </c>
      <c r="H52" s="77">
        <v>11.69</v>
      </c>
      <c r="I52" s="77">
        <v>3.65</v>
      </c>
      <c r="J52" s="77">
        <v>0.85</v>
      </c>
      <c r="K52" s="77">
        <v>100.8</v>
      </c>
      <c r="L52" s="77">
        <v>25.42</v>
      </c>
      <c r="M52" s="77">
        <v>85.7</v>
      </c>
      <c r="N52" s="77">
        <v>243.5</v>
      </c>
      <c r="O52" s="77">
        <v>0</v>
      </c>
      <c r="P52" s="77">
        <v>0.61</v>
      </c>
      <c r="Q52" s="77">
        <v>7.92</v>
      </c>
    </row>
    <row r="53" spans="1:17" s="12" customFormat="1" x14ac:dyDescent="0.25">
      <c r="A53" s="64" t="s">
        <v>1925</v>
      </c>
      <c r="B53" s="77">
        <v>10.78</v>
      </c>
      <c r="C53" s="77">
        <v>24.89</v>
      </c>
      <c r="D53" s="77">
        <v>23.03</v>
      </c>
      <c r="E53" s="77">
        <v>2.13</v>
      </c>
      <c r="F53" s="77">
        <v>15.03</v>
      </c>
      <c r="G53" s="77">
        <v>30.13</v>
      </c>
      <c r="H53" s="77">
        <v>11.69</v>
      </c>
      <c r="I53" s="77">
        <v>9.5299999999999994</v>
      </c>
      <c r="J53" s="77">
        <v>0.84</v>
      </c>
      <c r="K53" s="77">
        <v>91.68</v>
      </c>
      <c r="L53" s="77">
        <v>25.4</v>
      </c>
      <c r="M53" s="77">
        <v>85.36</v>
      </c>
      <c r="N53" s="77">
        <v>320.7</v>
      </c>
      <c r="O53" s="77">
        <v>0</v>
      </c>
      <c r="P53" s="77">
        <v>0.49</v>
      </c>
      <c r="Q53" s="77">
        <v>7.96</v>
      </c>
    </row>
    <row r="54" spans="1:17" s="12" customFormat="1" x14ac:dyDescent="0.25">
      <c r="A54" s="64" t="s">
        <v>1926</v>
      </c>
      <c r="B54" s="77">
        <v>8.39</v>
      </c>
      <c r="C54" s="77">
        <v>22.38</v>
      </c>
      <c r="D54" s="77">
        <v>19.73</v>
      </c>
      <c r="E54" s="77">
        <v>2.0099999999999998</v>
      </c>
      <c r="F54" s="77">
        <v>16.77</v>
      </c>
      <c r="G54" s="77">
        <v>30.13</v>
      </c>
      <c r="H54" s="77">
        <v>11.69</v>
      </c>
      <c r="I54" s="77">
        <v>6.17</v>
      </c>
      <c r="J54" s="77">
        <v>1.17</v>
      </c>
      <c r="K54" s="77">
        <v>107.96</v>
      </c>
      <c r="L54" s="77">
        <v>25.84</v>
      </c>
      <c r="M54" s="77">
        <v>84.04</v>
      </c>
      <c r="N54" s="77">
        <v>569.4</v>
      </c>
      <c r="O54" s="77">
        <v>0</v>
      </c>
      <c r="P54" s="77">
        <v>0.45</v>
      </c>
      <c r="Q54" s="77">
        <v>7.01</v>
      </c>
    </row>
    <row r="55" spans="1:17" s="12" customFormat="1" x14ac:dyDescent="0.25">
      <c r="A55" s="64" t="s">
        <v>1927</v>
      </c>
      <c r="B55" s="77">
        <v>5.6</v>
      </c>
      <c r="C55" s="77">
        <v>23.27</v>
      </c>
      <c r="D55" s="77">
        <v>17.98</v>
      </c>
      <c r="E55" s="77">
        <v>1.81</v>
      </c>
      <c r="F55" s="77">
        <v>14.71</v>
      </c>
      <c r="G55" s="77">
        <v>30.13</v>
      </c>
      <c r="H55" s="77">
        <v>11.69</v>
      </c>
      <c r="I55" s="77">
        <v>3.61</v>
      </c>
      <c r="J55" s="77">
        <v>0.5</v>
      </c>
      <c r="K55" s="77">
        <v>78.44</v>
      </c>
      <c r="L55" s="77">
        <v>26.1</v>
      </c>
      <c r="M55" s="77">
        <v>82.83</v>
      </c>
      <c r="N55" s="77">
        <v>278.8</v>
      </c>
      <c r="O55" s="77">
        <v>0</v>
      </c>
      <c r="P55" s="77">
        <v>0.46</v>
      </c>
      <c r="Q55" s="77">
        <v>5.58</v>
      </c>
    </row>
    <row r="56" spans="1:17" s="12" customFormat="1" x14ac:dyDescent="0.25">
      <c r="A56" s="64" t="s">
        <v>1928</v>
      </c>
      <c r="B56" s="77">
        <v>18.39</v>
      </c>
      <c r="C56" s="77">
        <v>37.14</v>
      </c>
      <c r="D56" s="77">
        <v>35.89</v>
      </c>
      <c r="E56" s="77">
        <v>2.41</v>
      </c>
      <c r="F56" s="77">
        <v>9.81</v>
      </c>
      <c r="G56" s="77">
        <v>30.4</v>
      </c>
      <c r="H56" s="77">
        <v>12.68</v>
      </c>
      <c r="I56" s="77">
        <v>2.44</v>
      </c>
      <c r="J56" s="77">
        <v>0.33</v>
      </c>
      <c r="K56" s="77">
        <v>38.39</v>
      </c>
      <c r="L56" s="77">
        <v>26.17</v>
      </c>
      <c r="M56" s="77">
        <v>82.02</v>
      </c>
      <c r="N56" s="77">
        <v>382.4</v>
      </c>
      <c r="O56" s="77">
        <v>0</v>
      </c>
      <c r="P56" s="77">
        <v>0.81</v>
      </c>
      <c r="Q56" s="77">
        <v>10.64</v>
      </c>
    </row>
    <row r="57" spans="1:17" s="12" customFormat="1" x14ac:dyDescent="0.25">
      <c r="A57" s="64" t="s">
        <v>1929</v>
      </c>
      <c r="B57" s="77">
        <v>14.05</v>
      </c>
      <c r="C57" s="77">
        <v>32.79</v>
      </c>
      <c r="D57" s="77">
        <v>30.01</v>
      </c>
      <c r="E57" s="77">
        <v>3.66</v>
      </c>
      <c r="F57" s="77">
        <v>11.48</v>
      </c>
      <c r="G57" s="77">
        <v>30.41</v>
      </c>
      <c r="H57" s="77">
        <v>12.68</v>
      </c>
      <c r="I57" s="77">
        <v>4.5</v>
      </c>
      <c r="J57" s="77">
        <v>0.69</v>
      </c>
      <c r="K57" s="77">
        <v>113.02</v>
      </c>
      <c r="L57" s="77">
        <v>26.26</v>
      </c>
      <c r="M57" s="77">
        <v>81.819999999999993</v>
      </c>
      <c r="N57" s="77">
        <v>311.89999999999998</v>
      </c>
      <c r="O57" s="77">
        <v>0</v>
      </c>
      <c r="P57" s="77">
        <v>0.61</v>
      </c>
      <c r="Q57" s="77">
        <v>10.35</v>
      </c>
    </row>
    <row r="58" spans="1:17" s="12" customFormat="1" x14ac:dyDescent="0.25">
      <c r="A58" s="64" t="s">
        <v>1930</v>
      </c>
      <c r="B58" s="77">
        <v>12.57</v>
      </c>
      <c r="C58" s="77">
        <v>34.15</v>
      </c>
      <c r="D58" s="77">
        <v>29.57</v>
      </c>
      <c r="E58" s="77">
        <v>4.12</v>
      </c>
      <c r="F58" s="77">
        <v>9.31</v>
      </c>
      <c r="G58" s="77">
        <v>30.41</v>
      </c>
      <c r="H58" s="77">
        <v>12.68</v>
      </c>
      <c r="I58" s="77">
        <v>3.51</v>
      </c>
      <c r="J58" s="77">
        <v>0.76</v>
      </c>
      <c r="K58" s="77">
        <v>99.36</v>
      </c>
      <c r="L58" s="77">
        <v>26.52</v>
      </c>
      <c r="M58" s="77">
        <v>81.52</v>
      </c>
      <c r="N58" s="77">
        <v>557.70000000000005</v>
      </c>
      <c r="O58" s="77">
        <v>0</v>
      </c>
      <c r="P58" s="77">
        <v>0.67</v>
      </c>
      <c r="Q58" s="77">
        <v>8.59</v>
      </c>
    </row>
    <row r="59" spans="1:17" s="12" customFormat="1" x14ac:dyDescent="0.25">
      <c r="A59" s="64" t="s">
        <v>1931</v>
      </c>
      <c r="B59" s="77">
        <v>9.91</v>
      </c>
      <c r="C59" s="77">
        <v>32.799999999999997</v>
      </c>
      <c r="D59" s="77">
        <v>26.69</v>
      </c>
      <c r="E59" s="77">
        <v>3.51</v>
      </c>
      <c r="F59" s="77">
        <v>5.47</v>
      </c>
      <c r="G59" s="77">
        <v>30.41</v>
      </c>
      <c r="H59" s="77">
        <v>12.68</v>
      </c>
      <c r="I59" s="77">
        <v>3.2</v>
      </c>
      <c r="J59" s="77">
        <v>1.04</v>
      </c>
      <c r="K59" s="77">
        <v>105.01</v>
      </c>
      <c r="L59" s="77">
        <v>27.08</v>
      </c>
      <c r="M59" s="77">
        <v>80.040000000000006</v>
      </c>
      <c r="N59" s="77">
        <v>748.7</v>
      </c>
      <c r="O59" s="77">
        <v>0</v>
      </c>
      <c r="P59" s="77">
        <v>0.65</v>
      </c>
      <c r="Q59" s="77">
        <v>9.41</v>
      </c>
    </row>
    <row r="60" spans="1:17" s="12" customFormat="1" x14ac:dyDescent="0.25">
      <c r="A60" s="64" t="s">
        <v>1932</v>
      </c>
      <c r="B60" s="77">
        <v>8.07</v>
      </c>
      <c r="C60" s="77">
        <v>29.31</v>
      </c>
      <c r="D60" s="77">
        <v>23.29</v>
      </c>
      <c r="E60" s="77">
        <v>3.55</v>
      </c>
      <c r="F60" s="77">
        <v>7.47</v>
      </c>
      <c r="G60" s="77">
        <v>49.17</v>
      </c>
      <c r="H60" s="77">
        <v>14.01</v>
      </c>
      <c r="I60" s="77">
        <v>3.47</v>
      </c>
      <c r="J60" s="77">
        <v>1.42</v>
      </c>
      <c r="K60" s="77">
        <v>116.28</v>
      </c>
      <c r="L60" s="77">
        <v>26.93</v>
      </c>
      <c r="M60" s="77">
        <v>78.599999999999994</v>
      </c>
      <c r="N60" s="77">
        <v>548.79999999999995</v>
      </c>
      <c r="O60" s="77">
        <v>0</v>
      </c>
      <c r="P60" s="77">
        <v>0.6</v>
      </c>
      <c r="Q60" s="77">
        <v>10.050000000000001</v>
      </c>
    </row>
    <row r="61" spans="1:17" s="12" customFormat="1" x14ac:dyDescent="0.25">
      <c r="A61" s="64" t="s">
        <v>1933</v>
      </c>
      <c r="B61" s="77">
        <v>5.8</v>
      </c>
      <c r="C61" s="77">
        <v>27.68</v>
      </c>
      <c r="D61" s="77">
        <v>20.57</v>
      </c>
      <c r="E61" s="77">
        <v>4.01</v>
      </c>
      <c r="F61" s="77">
        <v>6.54</v>
      </c>
      <c r="G61" s="77">
        <v>25.48</v>
      </c>
      <c r="H61" s="77">
        <v>14.01</v>
      </c>
      <c r="I61" s="77">
        <v>3.47</v>
      </c>
      <c r="J61" s="77">
        <v>1.4</v>
      </c>
      <c r="K61" s="77">
        <v>115.88</v>
      </c>
      <c r="L61" s="77">
        <v>26.87</v>
      </c>
      <c r="M61" s="77">
        <v>80.27</v>
      </c>
      <c r="N61" s="77">
        <v>859.9</v>
      </c>
      <c r="O61" s="77">
        <v>0</v>
      </c>
      <c r="P61" s="77">
        <v>0.3</v>
      </c>
      <c r="Q61" s="6" t="s">
        <v>42</v>
      </c>
    </row>
    <row r="62" spans="1:17" s="12" customFormat="1" x14ac:dyDescent="0.25">
      <c r="A62" s="64" t="s">
        <v>1934</v>
      </c>
      <c r="B62" s="4" t="s">
        <v>32</v>
      </c>
      <c r="C62" s="4" t="s">
        <v>32</v>
      </c>
      <c r="D62" s="4" t="s">
        <v>32</v>
      </c>
      <c r="E62" s="4" t="s">
        <v>32</v>
      </c>
      <c r="F62" s="4" t="s">
        <v>32</v>
      </c>
      <c r="G62" s="4" t="s">
        <v>32</v>
      </c>
      <c r="H62" s="4" t="s">
        <v>32</v>
      </c>
      <c r="I62" s="4" t="s">
        <v>32</v>
      </c>
      <c r="J62" s="4" t="s">
        <v>32</v>
      </c>
      <c r="K62" s="4" t="s">
        <v>32</v>
      </c>
      <c r="L62" s="4" t="s">
        <v>32</v>
      </c>
      <c r="M62" s="4" t="s">
        <v>32</v>
      </c>
      <c r="N62" s="4" t="s">
        <v>32</v>
      </c>
      <c r="O62" s="4" t="s">
        <v>32</v>
      </c>
      <c r="P62" s="4" t="s">
        <v>32</v>
      </c>
      <c r="Q62" s="4" t="s">
        <v>32</v>
      </c>
    </row>
    <row r="63" spans="1:17" s="12" customFormat="1" x14ac:dyDescent="0.25">
      <c r="A63" s="64" t="s">
        <v>1935</v>
      </c>
      <c r="B63" s="4" t="s">
        <v>32</v>
      </c>
      <c r="C63" s="4" t="s">
        <v>32</v>
      </c>
      <c r="D63" s="4" t="s">
        <v>32</v>
      </c>
      <c r="E63" s="4" t="s">
        <v>32</v>
      </c>
      <c r="F63" s="4" t="s">
        <v>32</v>
      </c>
      <c r="G63" s="4" t="s">
        <v>32</v>
      </c>
      <c r="H63" s="4" t="s">
        <v>32</v>
      </c>
      <c r="I63" s="4" t="s">
        <v>32</v>
      </c>
      <c r="J63" s="4" t="s">
        <v>32</v>
      </c>
      <c r="K63" s="4" t="s">
        <v>32</v>
      </c>
      <c r="L63" s="4" t="s">
        <v>32</v>
      </c>
      <c r="M63" s="4" t="s">
        <v>32</v>
      </c>
      <c r="N63" s="4" t="s">
        <v>32</v>
      </c>
      <c r="O63" s="4" t="s">
        <v>32</v>
      </c>
      <c r="P63" s="4" t="s">
        <v>32</v>
      </c>
      <c r="Q63" s="4" t="s">
        <v>32</v>
      </c>
    </row>
    <row r="64" spans="1:17" s="12" customFormat="1" x14ac:dyDescent="0.25">
      <c r="A64" s="64" t="s">
        <v>1936</v>
      </c>
      <c r="B64" s="4" t="s">
        <v>32</v>
      </c>
      <c r="C64" s="4" t="s">
        <v>32</v>
      </c>
      <c r="D64" s="4" t="s">
        <v>32</v>
      </c>
      <c r="E64" s="4" t="s">
        <v>32</v>
      </c>
      <c r="F64" s="4" t="s">
        <v>32</v>
      </c>
      <c r="G64" s="4" t="s">
        <v>32</v>
      </c>
      <c r="H64" s="4" t="s">
        <v>32</v>
      </c>
      <c r="I64" s="4" t="s">
        <v>32</v>
      </c>
      <c r="J64" s="4" t="s">
        <v>32</v>
      </c>
      <c r="K64" s="4" t="s">
        <v>32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</row>
    <row r="65" spans="1:17" s="12" customFormat="1" x14ac:dyDescent="0.25">
      <c r="A65" s="64" t="s">
        <v>1937</v>
      </c>
      <c r="B65" s="4" t="s">
        <v>32</v>
      </c>
      <c r="C65" s="4" t="s">
        <v>32</v>
      </c>
      <c r="D65" s="4" t="s">
        <v>32</v>
      </c>
      <c r="E65" s="4" t="s">
        <v>32</v>
      </c>
      <c r="F65" s="4" t="s">
        <v>32</v>
      </c>
      <c r="G65" s="4" t="s">
        <v>32</v>
      </c>
      <c r="H65" s="4" t="s">
        <v>32</v>
      </c>
      <c r="I65" s="4" t="s">
        <v>32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</row>
    <row r="66" spans="1:17" s="12" customFormat="1" x14ac:dyDescent="0.25">
      <c r="A66" s="64" t="s">
        <v>1938</v>
      </c>
      <c r="B66" s="4" t="s">
        <v>32</v>
      </c>
      <c r="C66" s="4" t="s">
        <v>32</v>
      </c>
      <c r="D66" s="4" t="s">
        <v>32</v>
      </c>
      <c r="E66" s="4" t="s">
        <v>32</v>
      </c>
      <c r="F66" s="4" t="s">
        <v>32</v>
      </c>
      <c r="G66" s="4" t="s">
        <v>32</v>
      </c>
      <c r="H66" s="4" t="s">
        <v>32</v>
      </c>
      <c r="I66" s="4" t="s">
        <v>32</v>
      </c>
      <c r="J66" s="4" t="s">
        <v>32</v>
      </c>
      <c r="K66" s="4" t="s">
        <v>32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32</v>
      </c>
      <c r="Q66" s="4" t="s">
        <v>32</v>
      </c>
    </row>
    <row r="67" spans="1:17" s="12" customFormat="1" x14ac:dyDescent="0.25">
      <c r="A67" s="64" t="s">
        <v>1939</v>
      </c>
      <c r="B67" s="4" t="s">
        <v>32</v>
      </c>
      <c r="C67" s="4" t="s">
        <v>32</v>
      </c>
      <c r="D67" s="4" t="s">
        <v>32</v>
      </c>
      <c r="E67" s="4" t="s">
        <v>32</v>
      </c>
      <c r="F67" s="4" t="s">
        <v>32</v>
      </c>
      <c r="G67" s="4" t="s">
        <v>32</v>
      </c>
      <c r="H67" s="4" t="s">
        <v>32</v>
      </c>
      <c r="I67" s="4" t="s">
        <v>32</v>
      </c>
      <c r="J67" s="4" t="s">
        <v>32</v>
      </c>
      <c r="K67" s="4" t="s">
        <v>32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</row>
    <row r="68" spans="1:17" s="12" customFormat="1" x14ac:dyDescent="0.25">
      <c r="A68" s="64" t="s">
        <v>1940</v>
      </c>
      <c r="B68" s="4" t="s">
        <v>32</v>
      </c>
      <c r="C68" s="4" t="s">
        <v>32</v>
      </c>
      <c r="D68" s="4" t="s">
        <v>32</v>
      </c>
      <c r="E68" s="4" t="s">
        <v>32</v>
      </c>
      <c r="F68" s="4" t="s">
        <v>32</v>
      </c>
      <c r="G68" s="4" t="s">
        <v>32</v>
      </c>
      <c r="H68" s="4" t="s">
        <v>32</v>
      </c>
      <c r="I68" s="4" t="s">
        <v>32</v>
      </c>
      <c r="J68" s="4" t="s">
        <v>32</v>
      </c>
      <c r="K68" s="4" t="s">
        <v>32</v>
      </c>
      <c r="L68" s="4" t="s">
        <v>32</v>
      </c>
      <c r="M68" s="4" t="s">
        <v>32</v>
      </c>
      <c r="N68" s="4" t="s">
        <v>32</v>
      </c>
      <c r="O68" s="4" t="s">
        <v>32</v>
      </c>
      <c r="P68" s="4" t="s">
        <v>32</v>
      </c>
      <c r="Q68" s="4" t="s">
        <v>32</v>
      </c>
    </row>
    <row r="69" spans="1:17" s="12" customFormat="1" x14ac:dyDescent="0.25">
      <c r="A69" s="64" t="s">
        <v>1941</v>
      </c>
      <c r="B69" s="4" t="s">
        <v>32</v>
      </c>
      <c r="C69" s="4" t="s">
        <v>32</v>
      </c>
      <c r="D69" s="4" t="s">
        <v>32</v>
      </c>
      <c r="E69" s="4" t="s">
        <v>32</v>
      </c>
      <c r="F69" s="4" t="s">
        <v>32</v>
      </c>
      <c r="G69" s="4" t="s">
        <v>32</v>
      </c>
      <c r="H69" s="4" t="s">
        <v>32</v>
      </c>
      <c r="I69" s="4" t="s">
        <v>32</v>
      </c>
      <c r="J69" s="4" t="s">
        <v>32</v>
      </c>
      <c r="K69" s="4" t="s">
        <v>32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32</v>
      </c>
      <c r="Q69" s="4" t="s">
        <v>32</v>
      </c>
    </row>
    <row r="70" spans="1:17" s="12" customFormat="1" x14ac:dyDescent="0.25">
      <c r="A70" s="64" t="s">
        <v>1942</v>
      </c>
      <c r="B70" s="4" t="s">
        <v>32</v>
      </c>
      <c r="C70" s="4" t="s">
        <v>32</v>
      </c>
      <c r="D70" s="4" t="s">
        <v>32</v>
      </c>
      <c r="E70" s="4" t="s">
        <v>32</v>
      </c>
      <c r="F70" s="4" t="s">
        <v>32</v>
      </c>
      <c r="G70" s="4" t="s">
        <v>32</v>
      </c>
      <c r="H70" s="4" t="s">
        <v>32</v>
      </c>
      <c r="I70" s="4" t="s">
        <v>32</v>
      </c>
      <c r="J70" s="4" t="s">
        <v>32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</row>
    <row r="71" spans="1:17" s="12" customFormat="1" x14ac:dyDescent="0.25">
      <c r="A71" s="64" t="s">
        <v>1943</v>
      </c>
      <c r="B71" s="4" t="s">
        <v>32</v>
      </c>
      <c r="C71" s="4" t="s">
        <v>32</v>
      </c>
      <c r="D71" s="4" t="s">
        <v>32</v>
      </c>
      <c r="E71" s="4" t="s">
        <v>32</v>
      </c>
      <c r="F71" s="4" t="s">
        <v>32</v>
      </c>
      <c r="G71" s="4" t="s">
        <v>32</v>
      </c>
      <c r="H71" s="4" t="s">
        <v>32</v>
      </c>
      <c r="I71" s="4" t="s">
        <v>32</v>
      </c>
      <c r="J71" s="4" t="s">
        <v>32</v>
      </c>
      <c r="K71" s="4" t="s">
        <v>32</v>
      </c>
      <c r="L71" s="4" t="s">
        <v>32</v>
      </c>
      <c r="M71" s="4" t="s">
        <v>32</v>
      </c>
      <c r="N71" s="4" t="s">
        <v>32</v>
      </c>
      <c r="O71" s="4" t="s">
        <v>32</v>
      </c>
      <c r="P71" s="4" t="s">
        <v>32</v>
      </c>
      <c r="Q71" s="4" t="s">
        <v>32</v>
      </c>
    </row>
    <row r="72" spans="1:17" s="12" customFormat="1" x14ac:dyDescent="0.25">
      <c r="A72" s="64" t="s">
        <v>1944</v>
      </c>
      <c r="B72" s="4" t="s">
        <v>32</v>
      </c>
      <c r="C72" s="4" t="s">
        <v>32</v>
      </c>
      <c r="D72" s="4" t="s">
        <v>32</v>
      </c>
      <c r="E72" s="4" t="s">
        <v>32</v>
      </c>
      <c r="F72" s="4" t="s">
        <v>32</v>
      </c>
      <c r="G72" s="4" t="s">
        <v>32</v>
      </c>
      <c r="H72" s="4" t="s">
        <v>32</v>
      </c>
      <c r="I72" s="4" t="s">
        <v>32</v>
      </c>
      <c r="J72" s="4" t="s">
        <v>32</v>
      </c>
      <c r="K72" s="4" t="s">
        <v>32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</row>
    <row r="73" spans="1:17" s="12" customFormat="1" x14ac:dyDescent="0.25">
      <c r="A73" s="64" t="s">
        <v>1945</v>
      </c>
      <c r="B73" s="4" t="s">
        <v>32</v>
      </c>
      <c r="C73" s="4" t="s">
        <v>32</v>
      </c>
      <c r="D73" s="4" t="s">
        <v>32</v>
      </c>
      <c r="E73" s="4" t="s">
        <v>32</v>
      </c>
      <c r="F73" s="4" t="s">
        <v>32</v>
      </c>
      <c r="G73" s="4" t="s">
        <v>32</v>
      </c>
      <c r="H73" s="4" t="s">
        <v>32</v>
      </c>
      <c r="I73" s="4" t="s">
        <v>32</v>
      </c>
      <c r="J73" s="4" t="s">
        <v>32</v>
      </c>
      <c r="K73" s="4" t="s">
        <v>32</v>
      </c>
      <c r="L73" s="4" t="s">
        <v>32</v>
      </c>
      <c r="M73" s="4" t="s">
        <v>32</v>
      </c>
      <c r="N73" s="4" t="s">
        <v>32</v>
      </c>
      <c r="O73" s="4" t="s">
        <v>32</v>
      </c>
      <c r="P73" s="4" t="s">
        <v>32</v>
      </c>
      <c r="Q73" s="4" t="s">
        <v>32</v>
      </c>
    </row>
    <row r="74" spans="1:17" s="12" customFormat="1" x14ac:dyDescent="0.25">
      <c r="A74" s="64" t="s">
        <v>1946</v>
      </c>
      <c r="B74" s="4" t="s">
        <v>32</v>
      </c>
      <c r="C74" s="4" t="s">
        <v>32</v>
      </c>
      <c r="D74" s="4" t="s">
        <v>32</v>
      </c>
      <c r="E74" s="4" t="s">
        <v>32</v>
      </c>
      <c r="F74" s="4" t="s">
        <v>32</v>
      </c>
      <c r="G74" s="4" t="s">
        <v>32</v>
      </c>
      <c r="H74" s="4" t="s">
        <v>32</v>
      </c>
      <c r="I74" s="4" t="s">
        <v>32</v>
      </c>
      <c r="J74" s="4" t="s">
        <v>32</v>
      </c>
      <c r="K74" s="4" t="s">
        <v>32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</row>
    <row r="75" spans="1:17" s="12" customFormat="1" x14ac:dyDescent="0.25">
      <c r="A75" s="64" t="s">
        <v>1947</v>
      </c>
      <c r="B75" s="4" t="s">
        <v>32</v>
      </c>
      <c r="C75" s="4" t="s">
        <v>32</v>
      </c>
      <c r="D75" s="4" t="s">
        <v>32</v>
      </c>
      <c r="E75" s="4" t="s">
        <v>32</v>
      </c>
      <c r="F75" s="4" t="s">
        <v>32</v>
      </c>
      <c r="G75" s="4" t="s">
        <v>32</v>
      </c>
      <c r="H75" s="4" t="s">
        <v>32</v>
      </c>
      <c r="I75" s="4" t="s">
        <v>32</v>
      </c>
      <c r="J75" s="4" t="s">
        <v>32</v>
      </c>
      <c r="K75" s="4" t="s">
        <v>32</v>
      </c>
      <c r="L75" s="4" t="s">
        <v>32</v>
      </c>
      <c r="M75" s="4" t="s">
        <v>32</v>
      </c>
      <c r="N75" s="4" t="s">
        <v>32</v>
      </c>
      <c r="O75" s="4" t="s">
        <v>32</v>
      </c>
      <c r="P75" s="4" t="s">
        <v>32</v>
      </c>
      <c r="Q75" s="4" t="s">
        <v>32</v>
      </c>
    </row>
    <row r="76" spans="1:17" s="12" customFormat="1" x14ac:dyDescent="0.25">
      <c r="A76" s="64" t="s">
        <v>1948</v>
      </c>
      <c r="B76" s="7" t="s">
        <v>49</v>
      </c>
      <c r="C76" s="7" t="s">
        <v>49</v>
      </c>
      <c r="D76" s="7" t="s">
        <v>49</v>
      </c>
      <c r="E76" s="7" t="s">
        <v>49</v>
      </c>
      <c r="F76" s="77">
        <v>10.54</v>
      </c>
      <c r="G76" s="77">
        <v>44.21</v>
      </c>
      <c r="H76" s="77">
        <v>11.37</v>
      </c>
      <c r="I76" s="7" t="s">
        <v>49</v>
      </c>
      <c r="J76" s="77">
        <v>1.07</v>
      </c>
      <c r="K76" s="77">
        <v>182.3</v>
      </c>
      <c r="L76" s="77">
        <v>26.97</v>
      </c>
      <c r="M76" s="77">
        <v>77.55</v>
      </c>
      <c r="N76" s="77">
        <v>100.1</v>
      </c>
      <c r="O76" s="7" t="s">
        <v>49</v>
      </c>
      <c r="P76" s="7" t="s">
        <v>49</v>
      </c>
      <c r="Q76" s="7" t="s">
        <v>49</v>
      </c>
    </row>
    <row r="77" spans="1:17" s="12" customFormat="1" x14ac:dyDescent="0.25">
      <c r="A77" s="64" t="s">
        <v>1949</v>
      </c>
      <c r="B77" s="7" t="s">
        <v>49</v>
      </c>
      <c r="C77" s="7" t="s">
        <v>49</v>
      </c>
      <c r="D77" s="7" t="s">
        <v>49</v>
      </c>
      <c r="E77" s="77">
        <v>27.86</v>
      </c>
      <c r="F77" s="77">
        <v>14.38</v>
      </c>
      <c r="G77" s="77">
        <v>29.89</v>
      </c>
      <c r="H77" s="77">
        <v>10.48</v>
      </c>
      <c r="I77" s="7" t="s">
        <v>49</v>
      </c>
      <c r="J77" s="77">
        <v>0.5</v>
      </c>
      <c r="K77" s="77">
        <v>147.84</v>
      </c>
      <c r="L77" s="77">
        <v>26.88</v>
      </c>
      <c r="M77" s="77">
        <v>77.27</v>
      </c>
      <c r="N77" s="77">
        <v>93.6</v>
      </c>
      <c r="O77" s="77">
        <v>0</v>
      </c>
      <c r="P77" s="77">
        <v>0.16</v>
      </c>
      <c r="Q77" s="7" t="s">
        <v>49</v>
      </c>
    </row>
    <row r="78" spans="1:17" s="12" customFormat="1" x14ac:dyDescent="0.25">
      <c r="A78" s="64" t="s">
        <v>1950</v>
      </c>
      <c r="B78" s="77">
        <v>2.64</v>
      </c>
      <c r="C78" s="77">
        <v>10.119999999999999</v>
      </c>
      <c r="D78" s="77">
        <v>8.34</v>
      </c>
      <c r="E78" s="77">
        <v>0.68</v>
      </c>
      <c r="F78" s="77">
        <v>11.53</v>
      </c>
      <c r="G78" s="77">
        <v>29.89</v>
      </c>
      <c r="H78" s="77">
        <v>10.48</v>
      </c>
      <c r="I78" s="77">
        <v>1.03</v>
      </c>
      <c r="J78" s="77">
        <v>0.64</v>
      </c>
      <c r="K78" s="77">
        <v>113.18</v>
      </c>
      <c r="L78" s="77">
        <v>26.89</v>
      </c>
      <c r="M78" s="77">
        <v>76.95</v>
      </c>
      <c r="N78" s="77">
        <v>111</v>
      </c>
      <c r="O78" s="77">
        <v>0</v>
      </c>
      <c r="P78" s="77">
        <v>0.03</v>
      </c>
      <c r="Q78" s="7" t="s">
        <v>49</v>
      </c>
    </row>
    <row r="79" spans="1:17" s="12" customFormat="1" x14ac:dyDescent="0.25">
      <c r="A79" s="64" t="s">
        <v>1951</v>
      </c>
      <c r="B79" s="77">
        <v>3.55</v>
      </c>
      <c r="C79" s="77">
        <v>14.97</v>
      </c>
      <c r="D79" s="77">
        <v>11.76</v>
      </c>
      <c r="E79" s="213" t="s">
        <v>42</v>
      </c>
      <c r="F79" s="77">
        <v>16.100000000000001</v>
      </c>
      <c r="G79" s="77">
        <v>29.89</v>
      </c>
      <c r="H79" s="77">
        <v>10.48</v>
      </c>
      <c r="I79" s="77">
        <v>4.6399999999999997</v>
      </c>
      <c r="J79" s="77">
        <v>0.57999999999999996</v>
      </c>
      <c r="K79" s="77">
        <v>106.29</v>
      </c>
      <c r="L79" s="77">
        <v>26.83</v>
      </c>
      <c r="M79" s="77">
        <v>78.19</v>
      </c>
      <c r="N79" s="77">
        <v>84.9</v>
      </c>
      <c r="O79" s="77">
        <v>0</v>
      </c>
      <c r="P79" s="6" t="s">
        <v>42</v>
      </c>
      <c r="Q79" s="77">
        <v>38.340000000000003</v>
      </c>
    </row>
    <row r="80" spans="1:17" s="12" customFormat="1" x14ac:dyDescent="0.25">
      <c r="A80" s="64" t="s">
        <v>1952</v>
      </c>
      <c r="B80" s="77">
        <v>3.55</v>
      </c>
      <c r="C80" s="77">
        <v>17.05</v>
      </c>
      <c r="D80" s="77">
        <v>12.9</v>
      </c>
      <c r="E80" s="213" t="s">
        <v>42</v>
      </c>
      <c r="F80" s="77">
        <v>11.34</v>
      </c>
      <c r="G80" s="77">
        <v>26.09</v>
      </c>
      <c r="H80" s="77">
        <v>11.32</v>
      </c>
      <c r="I80" s="77">
        <v>4.79</v>
      </c>
      <c r="J80" s="77">
        <v>0.97</v>
      </c>
      <c r="K80" s="77">
        <v>163.11000000000001</v>
      </c>
      <c r="L80" s="77">
        <v>26.73</v>
      </c>
      <c r="M80" s="77">
        <v>79.38</v>
      </c>
      <c r="N80" s="77">
        <v>74.2</v>
      </c>
      <c r="O80" s="77">
        <v>0</v>
      </c>
      <c r="P80" s="6" t="s">
        <v>42</v>
      </c>
      <c r="Q80" s="77">
        <v>31.19</v>
      </c>
    </row>
    <row r="81" spans="1:17" s="12" customFormat="1" x14ac:dyDescent="0.25">
      <c r="A81" s="64" t="s">
        <v>1953</v>
      </c>
      <c r="B81" s="77">
        <v>3.68</v>
      </c>
      <c r="C81" s="77">
        <v>15.58</v>
      </c>
      <c r="D81" s="77">
        <v>12.19</v>
      </c>
      <c r="E81" s="213" t="s">
        <v>42</v>
      </c>
      <c r="F81" s="77">
        <v>10.32</v>
      </c>
      <c r="G81" s="77">
        <v>25.96</v>
      </c>
      <c r="H81" s="77">
        <v>11.32</v>
      </c>
      <c r="I81" s="77">
        <v>4.1399999999999997</v>
      </c>
      <c r="J81" s="77">
        <v>0.48</v>
      </c>
      <c r="K81" s="77">
        <v>179.59</v>
      </c>
      <c r="L81" s="77">
        <v>26.51</v>
      </c>
      <c r="M81" s="77">
        <v>80.31</v>
      </c>
      <c r="N81" s="77">
        <v>53.6</v>
      </c>
      <c r="O81" s="77">
        <v>0</v>
      </c>
      <c r="P81" s="6" t="s">
        <v>42</v>
      </c>
      <c r="Q81" s="77">
        <v>26.99</v>
      </c>
    </row>
    <row r="82" spans="1:17" s="12" customFormat="1" x14ac:dyDescent="0.25">
      <c r="A82" s="64" t="s">
        <v>1954</v>
      </c>
      <c r="B82" s="77">
        <v>3.21</v>
      </c>
      <c r="C82" s="77">
        <v>15.63</v>
      </c>
      <c r="D82" s="77">
        <v>11.85</v>
      </c>
      <c r="E82" s="213" t="s">
        <v>42</v>
      </c>
      <c r="F82" s="77">
        <v>14.66</v>
      </c>
      <c r="G82" s="77">
        <v>25.96</v>
      </c>
      <c r="H82" s="77">
        <v>11.32</v>
      </c>
      <c r="I82" s="77">
        <v>4.51</v>
      </c>
      <c r="J82" s="77">
        <v>0.44</v>
      </c>
      <c r="K82" s="77">
        <v>142.19999999999999</v>
      </c>
      <c r="L82" s="77">
        <v>26.33</v>
      </c>
      <c r="M82" s="77">
        <v>80.72</v>
      </c>
      <c r="N82" s="77">
        <v>44</v>
      </c>
      <c r="O82" s="77">
        <v>0</v>
      </c>
      <c r="P82" s="6" t="s">
        <v>42</v>
      </c>
      <c r="Q82" s="77">
        <v>22.47</v>
      </c>
    </row>
    <row r="83" spans="1:17" s="12" customFormat="1" x14ac:dyDescent="0.25">
      <c r="A83" s="64" t="s">
        <v>1955</v>
      </c>
      <c r="B83" s="77">
        <v>3.3</v>
      </c>
      <c r="C83" s="77">
        <v>16.600000000000001</v>
      </c>
      <c r="D83" s="77">
        <v>12.46</v>
      </c>
      <c r="E83" s="213" t="s">
        <v>42</v>
      </c>
      <c r="F83" s="77">
        <v>12.68</v>
      </c>
      <c r="G83" s="77">
        <v>25.96</v>
      </c>
      <c r="H83" s="77">
        <v>11.32</v>
      </c>
      <c r="I83" s="77">
        <v>4.66</v>
      </c>
      <c r="J83" s="77">
        <v>0.45</v>
      </c>
      <c r="K83" s="77">
        <v>172.76</v>
      </c>
      <c r="L83" s="77">
        <v>26.18</v>
      </c>
      <c r="M83" s="77">
        <v>81.83</v>
      </c>
      <c r="N83" s="77">
        <v>39.700000000000003</v>
      </c>
      <c r="O83" s="77">
        <v>0</v>
      </c>
      <c r="P83" s="6" t="s">
        <v>42</v>
      </c>
      <c r="Q83" s="77">
        <v>17.84</v>
      </c>
    </row>
    <row r="84" spans="1:17" s="12" customFormat="1" x14ac:dyDescent="0.25">
      <c r="A84" s="64" t="s">
        <v>1956</v>
      </c>
      <c r="B84" s="77">
        <v>3.1</v>
      </c>
      <c r="C84" s="77">
        <v>21.38</v>
      </c>
      <c r="D84" s="77">
        <v>14.94</v>
      </c>
      <c r="E84" s="213" t="s">
        <v>42</v>
      </c>
      <c r="F84" s="77">
        <v>17.010000000000002</v>
      </c>
      <c r="G84" s="77">
        <v>25.68</v>
      </c>
      <c r="H84" s="77">
        <v>12.91</v>
      </c>
      <c r="I84" s="77">
        <v>3.84</v>
      </c>
      <c r="J84" s="77">
        <v>0.62</v>
      </c>
      <c r="K84" s="77">
        <v>113.84</v>
      </c>
      <c r="L84" s="77">
        <v>26.11</v>
      </c>
      <c r="M84" s="77">
        <v>81.86</v>
      </c>
      <c r="N84" s="77">
        <v>38.1</v>
      </c>
      <c r="O84" s="77">
        <v>0</v>
      </c>
      <c r="P84" s="6" t="s">
        <v>42</v>
      </c>
      <c r="Q84" s="77">
        <v>18.59</v>
      </c>
    </row>
    <row r="85" spans="1:17" s="12" customFormat="1" x14ac:dyDescent="0.25">
      <c r="A85" s="64" t="s">
        <v>1957</v>
      </c>
      <c r="B85" s="77">
        <v>5.74</v>
      </c>
      <c r="C85" s="77">
        <v>21.71</v>
      </c>
      <c r="D85" s="77">
        <v>17.239999999999998</v>
      </c>
      <c r="E85" s="213" t="s">
        <v>42</v>
      </c>
      <c r="F85" s="77">
        <v>8.18</v>
      </c>
      <c r="G85" s="77">
        <v>25.67</v>
      </c>
      <c r="H85" s="77">
        <v>12.91</v>
      </c>
      <c r="I85" s="77">
        <v>4.5599999999999996</v>
      </c>
      <c r="J85" s="77">
        <v>0.52</v>
      </c>
      <c r="K85" s="77">
        <v>42.76</v>
      </c>
      <c r="L85" s="77">
        <v>25.83</v>
      </c>
      <c r="M85" s="77">
        <v>82.34</v>
      </c>
      <c r="N85" s="77">
        <v>39.299999999999997</v>
      </c>
      <c r="O85" s="77">
        <v>0</v>
      </c>
      <c r="P85" s="77">
        <v>0.53</v>
      </c>
      <c r="Q85" s="77">
        <v>18.38</v>
      </c>
    </row>
    <row r="86" spans="1:17" s="12" customFormat="1" x14ac:dyDescent="0.25">
      <c r="A86" s="64" t="s">
        <v>1958</v>
      </c>
      <c r="B86" s="77">
        <v>6.51</v>
      </c>
      <c r="C86" s="77">
        <v>13.47</v>
      </c>
      <c r="D86" s="77">
        <v>13.3</v>
      </c>
      <c r="E86" s="213" t="s">
        <v>42</v>
      </c>
      <c r="F86" s="77">
        <v>5.38</v>
      </c>
      <c r="G86" s="77">
        <v>25.67</v>
      </c>
      <c r="H86" s="77">
        <v>12.91</v>
      </c>
      <c r="I86" s="77">
        <v>3.95</v>
      </c>
      <c r="J86" s="77">
        <v>1.61</v>
      </c>
      <c r="K86" s="77">
        <v>17.809999999999999</v>
      </c>
      <c r="L86" s="77">
        <v>24.48</v>
      </c>
      <c r="M86" s="77">
        <v>89.8</v>
      </c>
      <c r="N86" s="77">
        <v>39.799999999999997</v>
      </c>
      <c r="O86" s="77">
        <v>0</v>
      </c>
      <c r="P86" s="77">
        <v>0.5</v>
      </c>
      <c r="Q86" s="77">
        <v>17.170000000000002</v>
      </c>
    </row>
    <row r="87" spans="1:17" s="12" customFormat="1" x14ac:dyDescent="0.25">
      <c r="A87" s="64" t="s">
        <v>1959</v>
      </c>
      <c r="B87" s="77">
        <v>7.92</v>
      </c>
      <c r="C87" s="77">
        <v>17.62</v>
      </c>
      <c r="D87" s="77">
        <v>16.72</v>
      </c>
      <c r="E87" s="213" t="s">
        <v>42</v>
      </c>
      <c r="F87" s="77">
        <v>10.82</v>
      </c>
      <c r="G87" s="77">
        <v>25.67</v>
      </c>
      <c r="H87" s="77">
        <v>12.91</v>
      </c>
      <c r="I87" s="77">
        <v>4.29</v>
      </c>
      <c r="J87" s="77">
        <v>0.74</v>
      </c>
      <c r="K87" s="77">
        <v>10.5</v>
      </c>
      <c r="L87" s="77">
        <v>24.23</v>
      </c>
      <c r="M87" s="77">
        <v>92.94</v>
      </c>
      <c r="N87" s="77">
        <v>38.5</v>
      </c>
      <c r="O87" s="77">
        <v>0</v>
      </c>
      <c r="P87" s="77">
        <v>0.67</v>
      </c>
      <c r="Q87" s="77">
        <v>15.26</v>
      </c>
    </row>
    <row r="88" spans="1:17" s="12" customFormat="1" x14ac:dyDescent="0.25">
      <c r="A88" s="64" t="s">
        <v>1960</v>
      </c>
      <c r="B88" s="77">
        <v>6.09</v>
      </c>
      <c r="C88" s="77">
        <v>25.35</v>
      </c>
      <c r="D88" s="77">
        <v>19.52</v>
      </c>
      <c r="E88" s="77">
        <v>2.19</v>
      </c>
      <c r="F88" s="77">
        <v>11.27</v>
      </c>
      <c r="G88" s="77">
        <v>36.42</v>
      </c>
      <c r="H88" s="77">
        <v>15.4</v>
      </c>
      <c r="I88" s="77">
        <v>4.4000000000000004</v>
      </c>
      <c r="J88" s="77">
        <v>0.14000000000000001</v>
      </c>
      <c r="K88" s="77">
        <v>137.75</v>
      </c>
      <c r="L88" s="77">
        <v>24.03</v>
      </c>
      <c r="M88" s="77">
        <v>94.45</v>
      </c>
      <c r="N88" s="77">
        <v>37.700000000000003</v>
      </c>
      <c r="O88" s="77">
        <v>0</v>
      </c>
      <c r="P88" s="77">
        <v>0.75</v>
      </c>
      <c r="Q88" s="77">
        <v>14.25</v>
      </c>
    </row>
    <row r="89" spans="1:17" s="12" customFormat="1" x14ac:dyDescent="0.25">
      <c r="A89" s="64" t="s">
        <v>1961</v>
      </c>
      <c r="B89" s="77">
        <v>11.4</v>
      </c>
      <c r="C89" s="77">
        <v>25.25</v>
      </c>
      <c r="D89" s="77">
        <v>23.72</v>
      </c>
      <c r="E89" s="77">
        <v>2.71</v>
      </c>
      <c r="F89" s="77">
        <v>10.31</v>
      </c>
      <c r="G89" s="77">
        <v>36.79</v>
      </c>
      <c r="H89" s="77">
        <v>15.4</v>
      </c>
      <c r="I89" s="77">
        <v>4.5999999999999996</v>
      </c>
      <c r="J89" s="77">
        <v>0.25</v>
      </c>
      <c r="K89" s="77">
        <v>13.46</v>
      </c>
      <c r="L89" s="77">
        <v>24.18</v>
      </c>
      <c r="M89" s="77">
        <v>95.5</v>
      </c>
      <c r="N89" s="77">
        <v>37.700000000000003</v>
      </c>
      <c r="O89" s="77">
        <v>0</v>
      </c>
      <c r="P89" s="77">
        <v>1.05</v>
      </c>
      <c r="Q89" s="77">
        <v>11.06</v>
      </c>
    </row>
    <row r="90" spans="1:17" s="12" customFormat="1" x14ac:dyDescent="0.25">
      <c r="A90" s="64" t="s">
        <v>1962</v>
      </c>
      <c r="B90" s="77">
        <v>16.78</v>
      </c>
      <c r="C90" s="77">
        <v>23.75</v>
      </c>
      <c r="D90" s="77">
        <v>27.21</v>
      </c>
      <c r="E90" s="77">
        <v>2.91</v>
      </c>
      <c r="F90" s="77">
        <v>6.34</v>
      </c>
      <c r="G90" s="77">
        <v>36.79</v>
      </c>
      <c r="H90" s="77">
        <v>15.4</v>
      </c>
      <c r="I90" s="77">
        <v>4.1500000000000004</v>
      </c>
      <c r="J90" s="77">
        <v>0.2</v>
      </c>
      <c r="K90" s="77">
        <v>12.59</v>
      </c>
      <c r="L90" s="77">
        <v>24.4</v>
      </c>
      <c r="M90" s="77">
        <v>94.71</v>
      </c>
      <c r="N90" s="77">
        <v>37.9</v>
      </c>
      <c r="O90" s="77">
        <v>0</v>
      </c>
      <c r="P90" s="77">
        <v>1.0900000000000001</v>
      </c>
      <c r="Q90" s="77">
        <v>8.8800000000000008</v>
      </c>
    </row>
    <row r="91" spans="1:17" s="12" customFormat="1" x14ac:dyDescent="0.25">
      <c r="A91" s="64" t="s">
        <v>1963</v>
      </c>
      <c r="B91" s="77">
        <v>17.2</v>
      </c>
      <c r="C91" s="77">
        <v>36.19</v>
      </c>
      <c r="D91" s="77">
        <v>34.409999999999997</v>
      </c>
      <c r="E91" s="77">
        <v>2.83</v>
      </c>
      <c r="F91" s="77">
        <v>5.58</v>
      </c>
      <c r="G91" s="77">
        <v>36.79</v>
      </c>
      <c r="H91" s="77">
        <v>15.4</v>
      </c>
      <c r="I91" s="77">
        <v>4.5599999999999996</v>
      </c>
      <c r="J91" s="77">
        <v>0.08</v>
      </c>
      <c r="K91" s="77">
        <v>101.15</v>
      </c>
      <c r="L91" s="77">
        <v>24.11</v>
      </c>
      <c r="M91" s="77">
        <v>96.1</v>
      </c>
      <c r="N91" s="77">
        <v>37.700000000000003</v>
      </c>
      <c r="O91" s="77">
        <v>0</v>
      </c>
      <c r="P91" s="77">
        <v>1.21</v>
      </c>
      <c r="Q91" s="77">
        <v>8.9</v>
      </c>
    </row>
    <row r="92" spans="1:17" s="12" customFormat="1" x14ac:dyDescent="0.25">
      <c r="A92" s="64" t="s">
        <v>1964</v>
      </c>
      <c r="B92" s="77">
        <v>19.11</v>
      </c>
      <c r="C92" s="77">
        <v>27.61</v>
      </c>
      <c r="D92" s="77">
        <v>31.21</v>
      </c>
      <c r="E92" s="77">
        <v>2.3199999999999998</v>
      </c>
      <c r="F92" s="77">
        <v>6.23</v>
      </c>
      <c r="G92" s="77">
        <v>58.95</v>
      </c>
      <c r="H92" s="77">
        <v>17.43</v>
      </c>
      <c r="I92" s="77">
        <v>4.88</v>
      </c>
      <c r="J92" s="77">
        <v>7.0000000000000007E-2</v>
      </c>
      <c r="K92" s="77">
        <v>35.950000000000003</v>
      </c>
      <c r="L92" s="77">
        <v>24.04</v>
      </c>
      <c r="M92" s="77">
        <v>96.89</v>
      </c>
      <c r="N92" s="77">
        <v>37.5</v>
      </c>
      <c r="O92" s="77">
        <v>0</v>
      </c>
      <c r="P92" s="77">
        <v>1.3</v>
      </c>
      <c r="Q92" s="77">
        <v>8.02</v>
      </c>
    </row>
    <row r="93" spans="1:17" s="12" customFormat="1" x14ac:dyDescent="0.25">
      <c r="A93" s="64" t="s">
        <v>1965</v>
      </c>
      <c r="B93" s="77">
        <v>10.98</v>
      </c>
      <c r="C93" s="77">
        <v>36.03</v>
      </c>
      <c r="D93" s="77">
        <v>29.34</v>
      </c>
      <c r="E93" s="77">
        <v>2.44</v>
      </c>
      <c r="F93" s="77">
        <v>6.86</v>
      </c>
      <c r="G93" s="77">
        <v>59.72</v>
      </c>
      <c r="H93" s="77">
        <v>17.43</v>
      </c>
      <c r="I93" s="77">
        <v>5.19</v>
      </c>
      <c r="J93" s="77">
        <v>0.16</v>
      </c>
      <c r="K93" s="77">
        <v>93.3</v>
      </c>
      <c r="L93" s="77">
        <v>24.33</v>
      </c>
      <c r="M93" s="77">
        <v>93.23</v>
      </c>
      <c r="N93" s="77">
        <v>37.299999999999997</v>
      </c>
      <c r="O93" s="77">
        <v>0</v>
      </c>
      <c r="P93" s="77">
        <v>1.38</v>
      </c>
      <c r="Q93" s="77">
        <v>8.61</v>
      </c>
    </row>
    <row r="94" spans="1:17" s="12" customFormat="1" x14ac:dyDescent="0.25">
      <c r="A94" s="64" t="s">
        <v>1966</v>
      </c>
      <c r="B94" s="77">
        <v>20.38</v>
      </c>
      <c r="C94" s="77">
        <v>33.32</v>
      </c>
      <c r="D94" s="77">
        <v>35.380000000000003</v>
      </c>
      <c r="E94" s="77">
        <v>2.25</v>
      </c>
      <c r="F94" s="77">
        <v>5.31</v>
      </c>
      <c r="G94" s="77">
        <v>59.72</v>
      </c>
      <c r="H94" s="77">
        <v>17.43</v>
      </c>
      <c r="I94" s="77">
        <v>5.66</v>
      </c>
      <c r="J94" s="77">
        <v>7.0000000000000007E-2</v>
      </c>
      <c r="K94" s="77">
        <v>85.06</v>
      </c>
      <c r="L94" s="77">
        <v>24.47</v>
      </c>
      <c r="M94" s="77">
        <v>93.18</v>
      </c>
      <c r="N94" s="77">
        <v>37.6</v>
      </c>
      <c r="O94" s="77">
        <v>0</v>
      </c>
      <c r="P94" s="77">
        <v>1.43</v>
      </c>
      <c r="Q94" s="77">
        <v>7.04</v>
      </c>
    </row>
    <row r="95" spans="1:17" s="12" customFormat="1" x14ac:dyDescent="0.25">
      <c r="A95" s="64" t="s">
        <v>1967</v>
      </c>
      <c r="B95" s="77">
        <v>25.46</v>
      </c>
      <c r="C95" s="77">
        <v>37.06</v>
      </c>
      <c r="D95" s="77">
        <v>41.52</v>
      </c>
      <c r="E95" s="77">
        <v>2.0699999999999998</v>
      </c>
      <c r="F95" s="77">
        <v>6.68</v>
      </c>
      <c r="G95" s="77">
        <v>59.72</v>
      </c>
      <c r="H95" s="77">
        <v>17.43</v>
      </c>
      <c r="I95" s="77">
        <v>5.94</v>
      </c>
      <c r="J95" s="77">
        <v>0.08</v>
      </c>
      <c r="K95" s="77">
        <v>344.25</v>
      </c>
      <c r="L95" s="77">
        <v>24.56</v>
      </c>
      <c r="M95" s="77">
        <v>93.86</v>
      </c>
      <c r="N95" s="77">
        <v>37.799999999999997</v>
      </c>
      <c r="O95" s="77">
        <v>0</v>
      </c>
      <c r="P95" s="77">
        <v>1.79</v>
      </c>
      <c r="Q95" s="77">
        <v>8.4</v>
      </c>
    </row>
    <row r="96" spans="1:17" s="12" customFormat="1" x14ac:dyDescent="0.25">
      <c r="A96" s="64" t="s">
        <v>1968</v>
      </c>
      <c r="B96" s="77">
        <v>26.05</v>
      </c>
      <c r="C96" s="77">
        <v>37.4</v>
      </c>
      <c r="D96" s="77">
        <v>42.18</v>
      </c>
      <c r="E96" s="77">
        <v>2.52</v>
      </c>
      <c r="F96" s="77">
        <v>5.84</v>
      </c>
      <c r="G96" s="77">
        <v>88.97</v>
      </c>
      <c r="H96" s="77">
        <v>29.03</v>
      </c>
      <c r="I96" s="77">
        <v>5.77</v>
      </c>
      <c r="J96" s="77">
        <v>0.2</v>
      </c>
      <c r="K96" s="77">
        <v>355.87</v>
      </c>
      <c r="L96" s="77">
        <v>24.48</v>
      </c>
      <c r="M96" s="77">
        <v>96.85</v>
      </c>
      <c r="N96" s="77">
        <v>37.700000000000003</v>
      </c>
      <c r="O96" s="77">
        <v>0</v>
      </c>
      <c r="P96" s="77">
        <v>2</v>
      </c>
      <c r="Q96" s="77">
        <v>10.59</v>
      </c>
    </row>
    <row r="97" spans="1:22" s="12" customFormat="1" x14ac:dyDescent="0.25">
      <c r="A97" s="64" t="s">
        <v>1969</v>
      </c>
      <c r="B97" s="77">
        <v>31.24</v>
      </c>
      <c r="C97" s="77">
        <v>39.44</v>
      </c>
      <c r="D97" s="77">
        <v>47.46</v>
      </c>
      <c r="E97" s="77">
        <v>2.38</v>
      </c>
      <c r="F97" s="77">
        <v>6.42</v>
      </c>
      <c r="G97" s="77">
        <v>89.98</v>
      </c>
      <c r="H97" s="77">
        <v>29.03</v>
      </c>
      <c r="I97" s="77">
        <v>6.6</v>
      </c>
      <c r="J97" s="77">
        <v>0.03</v>
      </c>
      <c r="K97" s="77">
        <v>72.540000000000006</v>
      </c>
      <c r="L97" s="77">
        <v>24.32</v>
      </c>
      <c r="M97" s="77">
        <v>97.2</v>
      </c>
      <c r="N97" s="77">
        <v>37.6</v>
      </c>
      <c r="O97" s="77">
        <v>0</v>
      </c>
      <c r="P97" s="77">
        <v>2.2000000000000002</v>
      </c>
      <c r="Q97" s="77">
        <v>12.14</v>
      </c>
    </row>
    <row r="98" spans="1:22" s="12" customFormat="1" x14ac:dyDescent="0.25">
      <c r="A98" s="64" t="s">
        <v>1970</v>
      </c>
      <c r="B98" s="77">
        <v>23.2</v>
      </c>
      <c r="C98" s="77">
        <v>37.39</v>
      </c>
      <c r="D98" s="77">
        <v>39.89</v>
      </c>
      <c r="E98" s="77">
        <v>2.19</v>
      </c>
      <c r="F98" s="77">
        <v>5.66</v>
      </c>
      <c r="G98" s="77">
        <v>89.98</v>
      </c>
      <c r="H98" s="77">
        <v>29.03</v>
      </c>
      <c r="I98" s="77">
        <v>7.17</v>
      </c>
      <c r="J98" s="77">
        <v>0.04</v>
      </c>
      <c r="K98" s="77">
        <v>39.08</v>
      </c>
      <c r="L98" s="77">
        <v>24.37</v>
      </c>
      <c r="M98" s="77">
        <v>97.15</v>
      </c>
      <c r="N98" s="77">
        <v>37.6</v>
      </c>
      <c r="O98" s="77">
        <v>0</v>
      </c>
      <c r="P98" s="77">
        <v>1.81</v>
      </c>
      <c r="Q98" s="77">
        <v>12.52</v>
      </c>
    </row>
    <row r="99" spans="1:22" s="12" customFormat="1" x14ac:dyDescent="0.25">
      <c r="A99" s="64" t="s">
        <v>1971</v>
      </c>
      <c r="B99" s="77">
        <v>24.21</v>
      </c>
      <c r="C99" s="77">
        <v>39.229999999999997</v>
      </c>
      <c r="D99" s="77">
        <v>41.71</v>
      </c>
      <c r="E99" s="77">
        <v>1.99</v>
      </c>
      <c r="F99" s="77">
        <v>5.0199999999999996</v>
      </c>
      <c r="G99" s="77">
        <v>89.98</v>
      </c>
      <c r="H99" s="77">
        <v>29.03</v>
      </c>
      <c r="I99" s="77">
        <v>7.33</v>
      </c>
      <c r="J99" s="77">
        <v>0.48</v>
      </c>
      <c r="K99" s="77">
        <v>3.4</v>
      </c>
      <c r="L99" s="77">
        <v>24.48</v>
      </c>
      <c r="M99" s="77">
        <v>97.2</v>
      </c>
      <c r="N99" s="77">
        <v>37.700000000000003</v>
      </c>
      <c r="O99" s="77">
        <v>0</v>
      </c>
      <c r="P99" s="77">
        <v>1.88</v>
      </c>
      <c r="Q99" s="77">
        <v>13.4</v>
      </c>
    </row>
    <row r="100" spans="1:22" s="12" customFormat="1" x14ac:dyDescent="0.25">
      <c r="A100" s="64" t="s">
        <v>1972</v>
      </c>
      <c r="B100" s="77">
        <v>17.86</v>
      </c>
      <c r="C100" s="77">
        <v>23.03</v>
      </c>
      <c r="D100" s="77">
        <v>27.68</v>
      </c>
      <c r="E100" s="77">
        <v>2</v>
      </c>
      <c r="F100" s="77">
        <v>3.42</v>
      </c>
      <c r="G100" s="77">
        <v>114.08</v>
      </c>
      <c r="H100" s="77">
        <v>32.4</v>
      </c>
      <c r="I100" s="77">
        <v>6.99</v>
      </c>
      <c r="J100" s="77">
        <v>0.18</v>
      </c>
      <c r="K100" s="77">
        <v>14.77</v>
      </c>
      <c r="L100" s="77">
        <v>24.34</v>
      </c>
      <c r="M100" s="77">
        <v>97.2</v>
      </c>
      <c r="N100" s="77">
        <v>37.799999999999997</v>
      </c>
      <c r="O100" s="77">
        <v>0</v>
      </c>
      <c r="P100" s="77">
        <v>1.55</v>
      </c>
      <c r="Q100" s="77">
        <v>13.53</v>
      </c>
    </row>
    <row r="101" spans="1:22" s="12" customFormat="1" x14ac:dyDescent="0.25">
      <c r="A101" s="64" t="s">
        <v>1973</v>
      </c>
      <c r="B101" s="77">
        <v>14.34</v>
      </c>
      <c r="C101" s="77">
        <v>31.55</v>
      </c>
      <c r="D101" s="77">
        <v>29.56</v>
      </c>
      <c r="E101" s="77">
        <v>2.16</v>
      </c>
      <c r="F101" s="77">
        <v>3.64</v>
      </c>
      <c r="G101" s="77">
        <v>114.91</v>
      </c>
      <c r="H101" s="77">
        <v>32.4</v>
      </c>
      <c r="I101" s="77">
        <v>7.02</v>
      </c>
      <c r="J101" s="77">
        <v>0.17</v>
      </c>
      <c r="K101" s="77">
        <v>122.32</v>
      </c>
      <c r="L101" s="77">
        <v>24.19</v>
      </c>
      <c r="M101" s="77">
        <v>97.2</v>
      </c>
      <c r="N101" s="77">
        <v>37.6</v>
      </c>
      <c r="O101" s="77">
        <v>0</v>
      </c>
      <c r="P101" s="77">
        <v>1.5</v>
      </c>
      <c r="Q101" s="77">
        <v>10.95</v>
      </c>
    </row>
    <row r="102" spans="1:22" s="12" customFormat="1" x14ac:dyDescent="0.25">
      <c r="A102" s="64" t="s">
        <v>1974</v>
      </c>
      <c r="B102" s="77">
        <v>12.7</v>
      </c>
      <c r="C102" s="77">
        <v>33.94</v>
      </c>
      <c r="D102" s="77">
        <v>29.56</v>
      </c>
      <c r="E102" s="77">
        <v>1.51</v>
      </c>
      <c r="F102" s="77">
        <v>5.33</v>
      </c>
      <c r="G102" s="77">
        <v>114.91</v>
      </c>
      <c r="H102" s="77">
        <v>32.4</v>
      </c>
      <c r="I102" s="77">
        <v>6.32</v>
      </c>
      <c r="J102" s="77">
        <v>0.13</v>
      </c>
      <c r="K102" s="77">
        <v>123.3</v>
      </c>
      <c r="L102" s="77">
        <v>24.28</v>
      </c>
      <c r="M102" s="77">
        <v>97.2</v>
      </c>
      <c r="N102" s="77">
        <v>37.6</v>
      </c>
      <c r="O102" s="77">
        <v>0</v>
      </c>
      <c r="P102" s="77">
        <v>1.61</v>
      </c>
      <c r="Q102" s="77">
        <v>8.07</v>
      </c>
    </row>
    <row r="103" spans="1:22" s="12" customFormat="1" x14ac:dyDescent="0.25">
      <c r="A103" s="64" t="s">
        <v>1975</v>
      </c>
      <c r="B103" s="77">
        <v>21.7</v>
      </c>
      <c r="C103" s="77">
        <v>30.53</v>
      </c>
      <c r="D103" s="77">
        <v>34.9</v>
      </c>
      <c r="E103" s="77">
        <v>1.55</v>
      </c>
      <c r="F103" s="77">
        <v>3.31</v>
      </c>
      <c r="G103" s="77">
        <v>114.91</v>
      </c>
      <c r="H103" s="77">
        <v>32.4</v>
      </c>
      <c r="I103" s="77">
        <v>6.14</v>
      </c>
      <c r="J103" s="77">
        <v>0.27</v>
      </c>
      <c r="K103" s="77">
        <v>11.94</v>
      </c>
      <c r="L103" s="77">
        <v>24.33</v>
      </c>
      <c r="M103" s="77">
        <v>97.22</v>
      </c>
      <c r="N103" s="77">
        <v>37.799999999999997</v>
      </c>
      <c r="O103" s="77">
        <v>0</v>
      </c>
      <c r="P103" s="77">
        <v>1.69</v>
      </c>
      <c r="Q103" s="77">
        <v>8.31</v>
      </c>
    </row>
    <row r="104" spans="1:22" s="12" customFormat="1" x14ac:dyDescent="0.25">
      <c r="A104" s="64" t="s">
        <v>1976</v>
      </c>
      <c r="B104" s="77">
        <v>19.21</v>
      </c>
      <c r="C104" s="77">
        <v>27.7</v>
      </c>
      <c r="D104" s="77">
        <v>31.34</v>
      </c>
      <c r="E104" s="77">
        <v>1.39</v>
      </c>
      <c r="F104" s="77">
        <v>4.7300000000000004</v>
      </c>
      <c r="G104" s="77">
        <v>86.11</v>
      </c>
      <c r="H104" s="77">
        <v>32.26</v>
      </c>
      <c r="I104" s="77">
        <v>6.36</v>
      </c>
      <c r="J104" s="77">
        <v>0.05</v>
      </c>
      <c r="K104" s="77">
        <v>116.72</v>
      </c>
      <c r="L104" s="77">
        <v>24.2</v>
      </c>
      <c r="M104" s="77">
        <v>97.25</v>
      </c>
      <c r="N104" s="77">
        <v>37.799999999999997</v>
      </c>
      <c r="O104" s="77">
        <v>0</v>
      </c>
      <c r="P104" s="77">
        <v>1.71</v>
      </c>
      <c r="Q104" s="77">
        <v>7.44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2.64</v>
      </c>
      <c r="C106" s="67">
        <f>MIN(C9:C104)</f>
        <v>10.119999999999999</v>
      </c>
      <c r="D106" s="67">
        <f t="shared" ref="D106:Q106" si="0">MIN(D9:D104)</f>
        <v>8.34</v>
      </c>
      <c r="E106" s="67">
        <f t="shared" si="0"/>
        <v>0.68</v>
      </c>
      <c r="F106" s="67">
        <f t="shared" si="0"/>
        <v>3.31</v>
      </c>
      <c r="G106" s="67">
        <f t="shared" si="0"/>
        <v>16.86</v>
      </c>
      <c r="H106" s="67">
        <f t="shared" si="0"/>
        <v>10.48</v>
      </c>
      <c r="I106" s="67">
        <f t="shared" si="0"/>
        <v>1.03</v>
      </c>
      <c r="J106" s="67">
        <f t="shared" si="0"/>
        <v>0.03</v>
      </c>
      <c r="K106" s="67">
        <f t="shared" si="0"/>
        <v>0.64</v>
      </c>
      <c r="L106" s="67">
        <f t="shared" si="0"/>
        <v>22.51</v>
      </c>
      <c r="M106" s="67">
        <f t="shared" si="0"/>
        <v>76.95</v>
      </c>
      <c r="N106" s="67">
        <f t="shared" si="0"/>
        <v>37.299999999999997</v>
      </c>
      <c r="O106" s="67">
        <f t="shared" si="0"/>
        <v>0</v>
      </c>
      <c r="P106" s="67">
        <f t="shared" si="0"/>
        <v>0</v>
      </c>
      <c r="Q106" s="67">
        <f t="shared" si="0"/>
        <v>0.26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31.24</v>
      </c>
      <c r="C107" s="66">
        <f t="shared" ref="C107:Q107" si="1">MAX(C9:C104)</f>
        <v>39.44</v>
      </c>
      <c r="D107" s="66">
        <f t="shared" si="1"/>
        <v>47.46</v>
      </c>
      <c r="E107" s="66">
        <f t="shared" si="1"/>
        <v>27.86</v>
      </c>
      <c r="F107" s="66">
        <f t="shared" si="1"/>
        <v>17.010000000000002</v>
      </c>
      <c r="G107" s="66">
        <f t="shared" si="1"/>
        <v>114.91</v>
      </c>
      <c r="H107" s="66">
        <f t="shared" si="1"/>
        <v>32.4</v>
      </c>
      <c r="I107" s="66">
        <f t="shared" si="1"/>
        <v>9.5299999999999994</v>
      </c>
      <c r="J107" s="66">
        <f t="shared" si="1"/>
        <v>1.61</v>
      </c>
      <c r="K107" s="66">
        <f t="shared" si="1"/>
        <v>359.72</v>
      </c>
      <c r="L107" s="66">
        <f t="shared" si="1"/>
        <v>27.08</v>
      </c>
      <c r="M107" s="66">
        <f t="shared" si="1"/>
        <v>97.25</v>
      </c>
      <c r="N107" s="66">
        <f t="shared" si="1"/>
        <v>859.9</v>
      </c>
      <c r="O107" s="66">
        <f t="shared" si="1"/>
        <v>0.4</v>
      </c>
      <c r="P107" s="66">
        <f t="shared" si="1"/>
        <v>2.2000000000000002</v>
      </c>
      <c r="Q107" s="66">
        <f t="shared" si="1"/>
        <v>38.340000000000003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12.363250000000003</v>
      </c>
      <c r="C108" s="67">
        <f t="shared" ref="C108:Q108" si="2">AVERAGE(C9:C104)</f>
        <v>20.937999999999995</v>
      </c>
      <c r="D108" s="67">
        <f t="shared" si="2"/>
        <v>22.115500000000004</v>
      </c>
      <c r="E108" s="67">
        <f t="shared" si="2"/>
        <v>2.692361111111111</v>
      </c>
      <c r="F108" s="67">
        <f t="shared" si="2"/>
        <v>7.5071951219512183</v>
      </c>
      <c r="G108" s="67">
        <f t="shared" si="2"/>
        <v>40.803015873015873</v>
      </c>
      <c r="H108" s="67">
        <f t="shared" si="2"/>
        <v>15.326507936507927</v>
      </c>
      <c r="I108" s="67">
        <f t="shared" si="2"/>
        <v>4.947027027027028</v>
      </c>
      <c r="J108" s="67">
        <f t="shared" si="2"/>
        <v>0.46390243902439043</v>
      </c>
      <c r="K108" s="67">
        <f t="shared" si="2"/>
        <v>102.38414634146342</v>
      </c>
      <c r="L108" s="67">
        <f t="shared" si="2"/>
        <v>24.491097560975604</v>
      </c>
      <c r="M108" s="67">
        <f t="shared" si="2"/>
        <v>91.096219512195134</v>
      </c>
      <c r="N108" s="67">
        <f t="shared" si="2"/>
        <v>155.72926829268297</v>
      </c>
      <c r="O108" s="67">
        <f t="shared" si="2"/>
        <v>4.9382716049382715E-3</v>
      </c>
      <c r="P108" s="67">
        <f t="shared" si="2"/>
        <v>1.0599999999999998</v>
      </c>
      <c r="Q108" s="67">
        <f t="shared" si="2"/>
        <v>11.770769230769231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7.0655860167075808</v>
      </c>
      <c r="C109" s="67">
        <f t="shared" ref="C109:Q109" si="3">STDEV(C9:C104)</f>
        <v>8.2970390326224788</v>
      </c>
      <c r="D109" s="67">
        <f t="shared" si="3"/>
        <v>8.9034102270358044</v>
      </c>
      <c r="E109" s="67">
        <f t="shared" si="3"/>
        <v>3.068421392115678</v>
      </c>
      <c r="F109" s="67">
        <f t="shared" si="3"/>
        <v>3.8067536717015185</v>
      </c>
      <c r="G109" s="67">
        <f t="shared" si="3"/>
        <v>26.673460510337208</v>
      </c>
      <c r="H109" s="67">
        <f t="shared" si="3"/>
        <v>6.6664238511848293</v>
      </c>
      <c r="I109" s="67">
        <f t="shared" si="3"/>
        <v>1.5959181698335276</v>
      </c>
      <c r="J109" s="67">
        <f t="shared" si="3"/>
        <v>0.36362290906099082</v>
      </c>
      <c r="K109" s="67">
        <f t="shared" si="3"/>
        <v>102.68740260713842</v>
      </c>
      <c r="L109" s="67">
        <f t="shared" si="3"/>
        <v>1.4191042263270031</v>
      </c>
      <c r="M109" s="67">
        <f t="shared" si="3"/>
        <v>7.0369619637748935</v>
      </c>
      <c r="N109" s="67">
        <f t="shared" si="3"/>
        <v>186.10263561981907</v>
      </c>
      <c r="O109" s="67">
        <f t="shared" si="3"/>
        <v>4.4444444444444453E-2</v>
      </c>
      <c r="P109" s="67">
        <f t="shared" si="3"/>
        <v>0.42841631684675674</v>
      </c>
      <c r="Q109" s="67">
        <f t="shared" si="3"/>
        <v>7.3999395871929874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>COUNT(B9:B104)+16</f>
        <v>96</v>
      </c>
      <c r="C110" s="66">
        <f>COUNT(C9:C104)+16</f>
        <v>96</v>
      </c>
      <c r="D110" s="66">
        <f>COUNT(D9:D104)+16</f>
        <v>96</v>
      </c>
      <c r="E110" s="66">
        <f>COUNT(E9:E104)+24</f>
        <v>96</v>
      </c>
      <c r="F110" s="66">
        <f>COUNT(F9:F104)+14</f>
        <v>96</v>
      </c>
      <c r="G110" s="66">
        <f>COUNT(G9:G104)+33</f>
        <v>96</v>
      </c>
      <c r="H110" s="66">
        <f>COUNT(H9:H104)+33</f>
        <v>96</v>
      </c>
      <c r="I110" s="66">
        <f>COUNT(I9:I104)+59</f>
        <v>96</v>
      </c>
      <c r="J110" s="66">
        <f>COUNT(J9:J104)+14</f>
        <v>96</v>
      </c>
      <c r="K110" s="66">
        <f>COUNT(K9:K104)+14</f>
        <v>96</v>
      </c>
      <c r="L110" s="66">
        <f>COUNT(L9:L104)+14</f>
        <v>96</v>
      </c>
      <c r="M110" s="66">
        <f>COUNT(M9:M104)+14</f>
        <v>96</v>
      </c>
      <c r="N110" s="66">
        <f>COUNT(N9:N104)+14</f>
        <v>96</v>
      </c>
      <c r="O110" s="66">
        <f>COUNT(O9:O104)+15</f>
        <v>96</v>
      </c>
      <c r="P110" s="66">
        <f>COUNT(P9:P104)+11</f>
        <v>86</v>
      </c>
      <c r="Q110" s="66">
        <f>COUNT(Q9:Q104)+18</f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4">IF(C110&gt;=87,"&gt;90%",IF(C110&lt;=87,"&lt;90%"))</f>
        <v>&gt;90%</v>
      </c>
      <c r="D111" s="13" t="str">
        <f t="shared" si="4"/>
        <v>&gt;90%</v>
      </c>
      <c r="E111" s="13" t="str">
        <f t="shared" si="4"/>
        <v>&gt;90%</v>
      </c>
      <c r="F111" s="13" t="str">
        <f t="shared" si="4"/>
        <v>&gt;90%</v>
      </c>
      <c r="G111" s="13" t="str">
        <f t="shared" si="4"/>
        <v>&gt;90%</v>
      </c>
      <c r="H111" s="13" t="str">
        <f t="shared" si="4"/>
        <v>&gt;90%</v>
      </c>
      <c r="I111" s="13" t="str">
        <f t="shared" si="4"/>
        <v>&gt;90%</v>
      </c>
      <c r="J111" s="13" t="str">
        <f t="shared" si="4"/>
        <v>&gt;90%</v>
      </c>
      <c r="K111" s="13" t="str">
        <f t="shared" si="4"/>
        <v>&gt;90%</v>
      </c>
      <c r="L111" s="13" t="str">
        <f t="shared" si="4"/>
        <v>&gt;90%</v>
      </c>
      <c r="M111" s="13" t="str">
        <f t="shared" si="4"/>
        <v>&gt;90%</v>
      </c>
      <c r="N111" s="13" t="str">
        <f t="shared" si="4"/>
        <v>&gt;90%</v>
      </c>
      <c r="O111" s="13" t="str">
        <f t="shared" si="4"/>
        <v>&gt;90%</v>
      </c>
      <c r="P111" s="13" t="str">
        <f t="shared" si="4"/>
        <v>&lt;90%</v>
      </c>
      <c r="Q111" s="13" t="str">
        <f t="shared" si="4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5">IF(C110&gt;=87,"OK",IF(C110&lt;=87,"LESS"))</f>
        <v>OK</v>
      </c>
      <c r="D112" s="13" t="str">
        <f t="shared" si="5"/>
        <v>OK</v>
      </c>
      <c r="E112" s="13" t="str">
        <f t="shared" si="5"/>
        <v>OK</v>
      </c>
      <c r="F112" s="13" t="str">
        <f t="shared" si="5"/>
        <v>OK</v>
      </c>
      <c r="G112" s="13" t="str">
        <f t="shared" si="5"/>
        <v>OK</v>
      </c>
      <c r="H112" s="13" t="str">
        <f t="shared" si="5"/>
        <v>OK</v>
      </c>
      <c r="I112" s="13" t="str">
        <f t="shared" si="5"/>
        <v>OK</v>
      </c>
      <c r="J112" s="13" t="str">
        <f t="shared" si="5"/>
        <v>OK</v>
      </c>
      <c r="K112" s="13" t="str">
        <f t="shared" si="5"/>
        <v>OK</v>
      </c>
      <c r="L112" s="13" t="str">
        <f t="shared" si="5"/>
        <v>OK</v>
      </c>
      <c r="M112" s="13" t="str">
        <f t="shared" si="5"/>
        <v>OK</v>
      </c>
      <c r="N112" s="13" t="str">
        <f t="shared" si="5"/>
        <v>OK</v>
      </c>
      <c r="O112" s="13" t="str">
        <f t="shared" si="5"/>
        <v>OK</v>
      </c>
      <c r="P112" s="13" t="str">
        <f t="shared" si="5"/>
        <v>LESS</v>
      </c>
      <c r="Q112" s="13" t="str">
        <f t="shared" si="5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105" activePane="bottomRight" state="frozen"/>
      <selection activeCell="B115" sqref="B115:D115"/>
      <selection pane="topRight" activeCell="B115" sqref="B115:D115"/>
      <selection pane="bottomLeft" activeCell="B115" sqref="B115:D115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1977</v>
      </c>
      <c r="B9" s="77">
        <v>19</v>
      </c>
      <c r="C9" s="77">
        <v>29.59</v>
      </c>
      <c r="D9" s="77">
        <v>32.21</v>
      </c>
      <c r="E9" s="77">
        <v>2.23</v>
      </c>
      <c r="F9" s="77">
        <v>3.18</v>
      </c>
      <c r="G9" s="77">
        <v>85.12</v>
      </c>
      <c r="H9" s="77">
        <v>32.26</v>
      </c>
      <c r="I9" s="77">
        <v>6.43</v>
      </c>
      <c r="J9" s="77">
        <v>0.2</v>
      </c>
      <c r="K9" s="77">
        <v>10.64</v>
      </c>
      <c r="L9" s="77">
        <v>24.14</v>
      </c>
      <c r="M9" s="77">
        <v>97.25</v>
      </c>
      <c r="N9" s="77">
        <v>37.6</v>
      </c>
      <c r="O9" s="77">
        <v>0</v>
      </c>
      <c r="P9" s="77">
        <v>1.87</v>
      </c>
      <c r="Q9" s="77">
        <v>7.56</v>
      </c>
    </row>
    <row r="10" spans="1:21" s="12" customFormat="1" x14ac:dyDescent="0.25">
      <c r="A10" s="64" t="s">
        <v>1978</v>
      </c>
      <c r="B10" s="77">
        <v>18.82</v>
      </c>
      <c r="C10" s="77">
        <v>27.94</v>
      </c>
      <c r="D10" s="77">
        <v>31.15</v>
      </c>
      <c r="E10" s="77">
        <v>1.75</v>
      </c>
      <c r="F10" s="77">
        <v>3.12</v>
      </c>
      <c r="G10" s="77">
        <v>85.12</v>
      </c>
      <c r="H10" s="77">
        <v>32.26</v>
      </c>
      <c r="I10" s="77">
        <v>6.7</v>
      </c>
      <c r="J10" s="77">
        <v>0.43</v>
      </c>
      <c r="K10" s="77">
        <v>8.39</v>
      </c>
      <c r="L10" s="77">
        <v>24.28</v>
      </c>
      <c r="M10" s="77">
        <v>97.24</v>
      </c>
      <c r="N10" s="77">
        <v>37.6</v>
      </c>
      <c r="O10" s="77">
        <v>0</v>
      </c>
      <c r="P10" s="77">
        <v>1.75</v>
      </c>
      <c r="Q10" s="77">
        <v>5.78</v>
      </c>
    </row>
    <row r="11" spans="1:21" s="12" customFormat="1" x14ac:dyDescent="0.25">
      <c r="A11" s="64" t="s">
        <v>1979</v>
      </c>
      <c r="B11" s="77">
        <v>15.2</v>
      </c>
      <c r="C11" s="77">
        <v>27.55</v>
      </c>
      <c r="D11" s="77">
        <v>28.03</v>
      </c>
      <c r="E11" s="77">
        <v>2.31</v>
      </c>
      <c r="F11" s="77">
        <v>6.02</v>
      </c>
      <c r="G11" s="77">
        <v>85.12</v>
      </c>
      <c r="H11" s="77">
        <v>32.26</v>
      </c>
      <c r="I11" s="77">
        <v>7.03</v>
      </c>
      <c r="J11" s="77">
        <v>0.57999999999999996</v>
      </c>
      <c r="K11" s="77">
        <v>10.43</v>
      </c>
      <c r="L11" s="77">
        <v>24.35</v>
      </c>
      <c r="M11" s="77">
        <v>97.15</v>
      </c>
      <c r="N11" s="77">
        <v>37.6</v>
      </c>
      <c r="O11" s="77">
        <v>0</v>
      </c>
      <c r="P11" s="77">
        <v>1.66</v>
      </c>
      <c r="Q11" s="77">
        <v>6.95</v>
      </c>
    </row>
    <row r="12" spans="1:21" s="12" customFormat="1" x14ac:dyDescent="0.25">
      <c r="A12" s="64" t="s">
        <v>1980</v>
      </c>
      <c r="B12" s="77">
        <v>13.4</v>
      </c>
      <c r="C12" s="77">
        <v>27.54</v>
      </c>
      <c r="D12" s="77">
        <v>26.31</v>
      </c>
      <c r="E12" s="77">
        <v>2.2599999999999998</v>
      </c>
      <c r="F12" s="77">
        <v>7.96</v>
      </c>
      <c r="G12" s="77">
        <v>89.03</v>
      </c>
      <c r="H12" s="77">
        <v>32.840000000000003</v>
      </c>
      <c r="I12" s="77">
        <v>6.81</v>
      </c>
      <c r="J12" s="77">
        <v>0.67</v>
      </c>
      <c r="K12" s="77">
        <v>3.72</v>
      </c>
      <c r="L12" s="77">
        <v>24.44</v>
      </c>
      <c r="M12" s="77">
        <v>96.54</v>
      </c>
      <c r="N12" s="77">
        <v>37.9</v>
      </c>
      <c r="O12" s="77">
        <v>0</v>
      </c>
      <c r="P12" s="77">
        <v>1.44</v>
      </c>
      <c r="Q12" s="77">
        <v>8.64</v>
      </c>
    </row>
    <row r="13" spans="1:21" s="12" customFormat="1" x14ac:dyDescent="0.25">
      <c r="A13" s="64" t="s">
        <v>1981</v>
      </c>
      <c r="B13" s="77">
        <v>10.51</v>
      </c>
      <c r="C13" s="77">
        <v>24.8</v>
      </c>
      <c r="D13" s="77">
        <v>22.76</v>
      </c>
      <c r="E13" s="77">
        <v>2.13</v>
      </c>
      <c r="F13" s="77">
        <v>11.11</v>
      </c>
      <c r="G13" s="77">
        <v>89.16</v>
      </c>
      <c r="H13" s="77">
        <v>32.840000000000003</v>
      </c>
      <c r="I13" s="77">
        <v>6.77</v>
      </c>
      <c r="J13" s="77">
        <v>0.6</v>
      </c>
      <c r="K13" s="77">
        <v>8.57</v>
      </c>
      <c r="L13" s="77">
        <v>24.4</v>
      </c>
      <c r="M13" s="77">
        <v>96.92</v>
      </c>
      <c r="N13" s="77">
        <v>38</v>
      </c>
      <c r="O13" s="77">
        <v>0</v>
      </c>
      <c r="P13" s="77">
        <v>0.95</v>
      </c>
      <c r="Q13" s="77">
        <v>9.91</v>
      </c>
    </row>
    <row r="14" spans="1:21" s="12" customFormat="1" x14ac:dyDescent="0.25">
      <c r="A14" s="64" t="s">
        <v>1982</v>
      </c>
      <c r="B14" s="77">
        <v>10.199999999999999</v>
      </c>
      <c r="C14" s="77">
        <v>23.74</v>
      </c>
      <c r="D14" s="77">
        <v>21.92</v>
      </c>
      <c r="E14" s="77">
        <v>1.68</v>
      </c>
      <c r="F14" s="77">
        <v>8.7899999999999991</v>
      </c>
      <c r="G14" s="77">
        <v>89.16</v>
      </c>
      <c r="H14" s="77">
        <v>32.840000000000003</v>
      </c>
      <c r="I14" s="77">
        <v>6.44</v>
      </c>
      <c r="J14" s="77">
        <v>0.53</v>
      </c>
      <c r="K14" s="77">
        <v>356.62</v>
      </c>
      <c r="L14" s="77">
        <v>24.36</v>
      </c>
      <c r="M14" s="77">
        <v>97.14</v>
      </c>
      <c r="N14" s="77">
        <v>38</v>
      </c>
      <c r="O14" s="77">
        <v>0</v>
      </c>
      <c r="P14" s="77">
        <v>1.1200000000000001</v>
      </c>
      <c r="Q14" s="77">
        <v>10.15</v>
      </c>
    </row>
    <row r="15" spans="1:21" s="12" customFormat="1" x14ac:dyDescent="0.25">
      <c r="A15" s="64" t="s">
        <v>1983</v>
      </c>
      <c r="B15" s="77">
        <v>11.29</v>
      </c>
      <c r="C15" s="77">
        <v>25.17</v>
      </c>
      <c r="D15" s="77">
        <v>23.59</v>
      </c>
      <c r="E15" s="77">
        <v>2</v>
      </c>
      <c r="F15" s="77">
        <v>5.92</v>
      </c>
      <c r="G15" s="77">
        <v>89.16</v>
      </c>
      <c r="H15" s="77">
        <v>32.840000000000003</v>
      </c>
      <c r="I15" s="77">
        <v>5.49</v>
      </c>
      <c r="J15" s="77">
        <v>0.5</v>
      </c>
      <c r="K15" s="77">
        <v>343.44</v>
      </c>
      <c r="L15" s="77">
        <v>24.29</v>
      </c>
      <c r="M15" s="77">
        <v>97.2</v>
      </c>
      <c r="N15" s="77">
        <v>37.9</v>
      </c>
      <c r="O15" s="77">
        <v>0</v>
      </c>
      <c r="P15" s="77">
        <v>1.29</v>
      </c>
      <c r="Q15" s="77">
        <v>10.08</v>
      </c>
    </row>
    <row r="16" spans="1:21" s="12" customFormat="1" x14ac:dyDescent="0.25">
      <c r="A16" s="64" t="s">
        <v>1984</v>
      </c>
      <c r="B16" s="77">
        <v>13.49</v>
      </c>
      <c r="C16" s="77">
        <v>18.48</v>
      </c>
      <c r="D16" s="77">
        <v>21.66</v>
      </c>
      <c r="E16" s="77">
        <v>2.5</v>
      </c>
      <c r="F16" s="77">
        <v>4.17</v>
      </c>
      <c r="G16" s="77">
        <v>87.44</v>
      </c>
      <c r="H16" s="77">
        <v>41.61</v>
      </c>
      <c r="I16" s="77">
        <v>6.06</v>
      </c>
      <c r="J16" s="77">
        <v>0.56000000000000005</v>
      </c>
      <c r="K16" s="77">
        <v>7.47</v>
      </c>
      <c r="L16" s="77">
        <v>24.11</v>
      </c>
      <c r="M16" s="77">
        <v>97.2</v>
      </c>
      <c r="N16" s="77">
        <v>38</v>
      </c>
      <c r="O16" s="77">
        <v>0</v>
      </c>
      <c r="P16" s="77">
        <v>1.24</v>
      </c>
      <c r="Q16" s="77">
        <v>9.34</v>
      </c>
    </row>
    <row r="17" spans="1:17" s="12" customFormat="1" x14ac:dyDescent="0.25">
      <c r="A17" s="64" t="s">
        <v>1985</v>
      </c>
      <c r="B17" s="77">
        <v>12.19</v>
      </c>
      <c r="C17" s="77">
        <v>17</v>
      </c>
      <c r="D17" s="77">
        <v>19.8</v>
      </c>
      <c r="E17" s="77">
        <v>2.37</v>
      </c>
      <c r="F17" s="77">
        <v>8</v>
      </c>
      <c r="G17" s="77">
        <v>87.38</v>
      </c>
      <c r="H17" s="77">
        <v>41.61</v>
      </c>
      <c r="I17" s="77">
        <v>6.42</v>
      </c>
      <c r="J17" s="77">
        <v>0.45</v>
      </c>
      <c r="K17" s="77">
        <v>7.27</v>
      </c>
      <c r="L17" s="77">
        <v>23.99</v>
      </c>
      <c r="M17" s="77">
        <v>97.2</v>
      </c>
      <c r="N17" s="77">
        <v>37.700000000000003</v>
      </c>
      <c r="O17" s="77">
        <v>0</v>
      </c>
      <c r="P17" s="77">
        <v>1.08</v>
      </c>
      <c r="Q17" s="77">
        <v>5.96</v>
      </c>
    </row>
    <row r="18" spans="1:17" s="12" customFormat="1" x14ac:dyDescent="0.25">
      <c r="A18" s="64" t="s">
        <v>1986</v>
      </c>
      <c r="B18" s="77">
        <v>13.23</v>
      </c>
      <c r="C18" s="77">
        <v>14.88</v>
      </c>
      <c r="D18" s="77">
        <v>19.47</v>
      </c>
      <c r="E18" s="77">
        <v>2.5299999999999998</v>
      </c>
      <c r="F18" s="77">
        <v>4.7</v>
      </c>
      <c r="G18" s="77">
        <v>87.38</v>
      </c>
      <c r="H18" s="77">
        <v>41.61</v>
      </c>
      <c r="I18" s="77">
        <v>5.72</v>
      </c>
      <c r="J18" s="77">
        <v>0.52</v>
      </c>
      <c r="K18" s="77">
        <v>354.3</v>
      </c>
      <c r="L18" s="77">
        <v>23.97</v>
      </c>
      <c r="M18" s="77">
        <v>97.24</v>
      </c>
      <c r="N18" s="77">
        <v>37.700000000000003</v>
      </c>
      <c r="O18" s="77">
        <v>0</v>
      </c>
      <c r="P18" s="77">
        <v>1.22</v>
      </c>
      <c r="Q18" s="77">
        <v>4.29</v>
      </c>
    </row>
    <row r="19" spans="1:17" s="12" customFormat="1" x14ac:dyDescent="0.25">
      <c r="A19" s="64" t="s">
        <v>1987</v>
      </c>
      <c r="B19" s="77">
        <v>13.03</v>
      </c>
      <c r="C19" s="77">
        <v>14.05</v>
      </c>
      <c r="D19" s="77">
        <v>18.850000000000001</v>
      </c>
      <c r="E19" s="77">
        <v>1.84</v>
      </c>
      <c r="F19" s="77">
        <v>6.09</v>
      </c>
      <c r="G19" s="77">
        <v>87.38</v>
      </c>
      <c r="H19" s="77">
        <v>41.61</v>
      </c>
      <c r="I19" s="77">
        <v>5.2</v>
      </c>
      <c r="J19" s="77">
        <v>0.65</v>
      </c>
      <c r="K19" s="77">
        <v>9.9</v>
      </c>
      <c r="L19" s="77">
        <v>24.02</v>
      </c>
      <c r="M19" s="77">
        <v>97.25</v>
      </c>
      <c r="N19" s="77">
        <v>37.700000000000003</v>
      </c>
      <c r="O19" s="77">
        <v>0</v>
      </c>
      <c r="P19" s="77">
        <v>1.1200000000000001</v>
      </c>
      <c r="Q19" s="77">
        <v>3.73</v>
      </c>
    </row>
    <row r="20" spans="1:17" s="12" customFormat="1" x14ac:dyDescent="0.25">
      <c r="A20" s="64" t="s">
        <v>1988</v>
      </c>
      <c r="B20" s="77">
        <v>12.88</v>
      </c>
      <c r="C20" s="77">
        <v>13.52</v>
      </c>
      <c r="D20" s="77">
        <v>18.440000000000001</v>
      </c>
      <c r="E20" s="77">
        <v>1.67</v>
      </c>
      <c r="F20" s="77">
        <v>5.04</v>
      </c>
      <c r="G20" s="77">
        <v>74.22</v>
      </c>
      <c r="H20" s="77">
        <v>25.92</v>
      </c>
      <c r="I20" s="77">
        <v>5.57</v>
      </c>
      <c r="J20" s="77">
        <v>0.73</v>
      </c>
      <c r="K20" s="77">
        <v>6.63</v>
      </c>
      <c r="L20" s="77">
        <v>24.03</v>
      </c>
      <c r="M20" s="77">
        <v>97.25</v>
      </c>
      <c r="N20" s="77">
        <v>37.799999999999997</v>
      </c>
      <c r="O20" s="77">
        <v>0</v>
      </c>
      <c r="P20" s="77">
        <v>1.1399999999999999</v>
      </c>
      <c r="Q20" s="77">
        <v>3.07</v>
      </c>
    </row>
    <row r="21" spans="1:17" s="12" customFormat="1" x14ac:dyDescent="0.25">
      <c r="A21" s="64" t="s">
        <v>1989</v>
      </c>
      <c r="B21" s="77">
        <v>12.01</v>
      </c>
      <c r="C21" s="77">
        <v>14.07</v>
      </c>
      <c r="D21" s="77">
        <v>18.04</v>
      </c>
      <c r="E21" s="77">
        <v>1.9</v>
      </c>
      <c r="F21" s="77">
        <v>4.82</v>
      </c>
      <c r="G21" s="77">
        <v>73.61</v>
      </c>
      <c r="H21" s="77">
        <v>25.92</v>
      </c>
      <c r="I21" s="77">
        <v>5.32</v>
      </c>
      <c r="J21" s="77">
        <v>0.82</v>
      </c>
      <c r="K21" s="77">
        <v>7.79</v>
      </c>
      <c r="L21" s="77">
        <v>24.02</v>
      </c>
      <c r="M21" s="77">
        <v>97.25</v>
      </c>
      <c r="N21" s="77">
        <v>37.4</v>
      </c>
      <c r="O21" s="77">
        <v>0</v>
      </c>
      <c r="P21" s="77">
        <v>1.05</v>
      </c>
      <c r="Q21" s="77">
        <v>2.4500000000000002</v>
      </c>
    </row>
    <row r="22" spans="1:17" s="12" customFormat="1" x14ac:dyDescent="0.25">
      <c r="A22" s="64" t="s">
        <v>1990</v>
      </c>
      <c r="B22" s="77">
        <v>11.73</v>
      </c>
      <c r="C22" s="77">
        <v>13.6</v>
      </c>
      <c r="D22" s="77">
        <v>17.559999999999999</v>
      </c>
      <c r="E22" s="77">
        <v>2.0299999999999998</v>
      </c>
      <c r="F22" s="77">
        <v>4.45</v>
      </c>
      <c r="G22" s="77">
        <v>73.61</v>
      </c>
      <c r="H22" s="77">
        <v>25.92</v>
      </c>
      <c r="I22" s="77">
        <v>5.39</v>
      </c>
      <c r="J22" s="77">
        <v>0.72</v>
      </c>
      <c r="K22" s="77">
        <v>7.96</v>
      </c>
      <c r="L22" s="77">
        <v>23.96</v>
      </c>
      <c r="M22" s="77">
        <v>97.25</v>
      </c>
      <c r="N22" s="77">
        <v>37.299999999999997</v>
      </c>
      <c r="O22" s="77">
        <v>0</v>
      </c>
      <c r="P22" s="77">
        <v>1.06</v>
      </c>
      <c r="Q22" s="77">
        <v>1.28</v>
      </c>
    </row>
    <row r="23" spans="1:17" s="12" customFormat="1" x14ac:dyDescent="0.25">
      <c r="A23" s="64" t="s">
        <v>1991</v>
      </c>
      <c r="B23" s="77">
        <v>12.65</v>
      </c>
      <c r="C23" s="77">
        <v>16.059999999999999</v>
      </c>
      <c r="D23" s="77">
        <v>19.63</v>
      </c>
      <c r="E23" s="77">
        <v>2.39</v>
      </c>
      <c r="F23" s="77">
        <v>7.9</v>
      </c>
      <c r="G23" s="77">
        <v>73.61</v>
      </c>
      <c r="H23" s="77">
        <v>25.92</v>
      </c>
      <c r="I23" s="77">
        <v>5.19</v>
      </c>
      <c r="J23" s="77">
        <v>0.83</v>
      </c>
      <c r="K23" s="77">
        <v>18.329999999999998</v>
      </c>
      <c r="L23" s="77">
        <v>23.98</v>
      </c>
      <c r="M23" s="77">
        <v>97.22</v>
      </c>
      <c r="N23" s="77">
        <v>37.299999999999997</v>
      </c>
      <c r="O23" s="77">
        <v>0</v>
      </c>
      <c r="P23" s="77">
        <v>0.91</v>
      </c>
      <c r="Q23" s="77">
        <v>3.38</v>
      </c>
    </row>
    <row r="24" spans="1:17" s="12" customFormat="1" x14ac:dyDescent="0.25">
      <c r="A24" s="64" t="s">
        <v>1992</v>
      </c>
      <c r="B24" s="77">
        <v>10.29</v>
      </c>
      <c r="C24" s="77">
        <v>16.329999999999998</v>
      </c>
      <c r="D24" s="77">
        <v>17.91</v>
      </c>
      <c r="E24" s="77">
        <v>1.73</v>
      </c>
      <c r="F24" s="77">
        <v>5.27</v>
      </c>
      <c r="G24" s="77">
        <v>70.39</v>
      </c>
      <c r="H24" s="77">
        <v>56.86</v>
      </c>
      <c r="I24" s="77">
        <v>5.34</v>
      </c>
      <c r="J24" s="77">
        <v>0.63</v>
      </c>
      <c r="K24" s="77">
        <v>14.91</v>
      </c>
      <c r="L24" s="77">
        <v>23.78</v>
      </c>
      <c r="M24" s="77">
        <v>97.2</v>
      </c>
      <c r="N24" s="77">
        <v>38</v>
      </c>
      <c r="O24" s="77">
        <v>0</v>
      </c>
      <c r="P24" s="77">
        <v>0.92</v>
      </c>
      <c r="Q24" s="77">
        <v>5.21</v>
      </c>
    </row>
    <row r="25" spans="1:17" s="12" customFormat="1" x14ac:dyDescent="0.25">
      <c r="A25" s="64" t="s">
        <v>1993</v>
      </c>
      <c r="B25" s="77">
        <v>9.59</v>
      </c>
      <c r="C25" s="77">
        <v>17.239999999999998</v>
      </c>
      <c r="D25" s="77">
        <v>17.86</v>
      </c>
      <c r="E25" s="77">
        <v>2.78</v>
      </c>
      <c r="F25" s="77">
        <v>6.97</v>
      </c>
      <c r="G25" s="77">
        <v>70.28</v>
      </c>
      <c r="H25" s="77">
        <v>56.86</v>
      </c>
      <c r="I25" s="77">
        <v>5.09</v>
      </c>
      <c r="J25" s="77">
        <v>0.5</v>
      </c>
      <c r="K25" s="77">
        <v>35.36</v>
      </c>
      <c r="L25" s="77">
        <v>23.48</v>
      </c>
      <c r="M25" s="77">
        <v>97.2</v>
      </c>
      <c r="N25" s="77">
        <v>38.200000000000003</v>
      </c>
      <c r="O25" s="77">
        <v>0</v>
      </c>
      <c r="P25" s="77">
        <v>0.89</v>
      </c>
      <c r="Q25" s="77">
        <v>5.74</v>
      </c>
    </row>
    <row r="26" spans="1:17" s="12" customFormat="1" x14ac:dyDescent="0.25">
      <c r="A26" s="64" t="s">
        <v>1994</v>
      </c>
      <c r="B26" s="77">
        <v>8.92</v>
      </c>
      <c r="C26" s="77">
        <v>16.64</v>
      </c>
      <c r="D26" s="77">
        <v>16.989999999999998</v>
      </c>
      <c r="E26" s="77">
        <v>2.61</v>
      </c>
      <c r="F26" s="77">
        <v>7.42</v>
      </c>
      <c r="G26" s="77">
        <v>70.28</v>
      </c>
      <c r="H26" s="77">
        <v>56.86</v>
      </c>
      <c r="I26" s="77">
        <v>4.5999999999999996</v>
      </c>
      <c r="J26" s="77">
        <v>0.22</v>
      </c>
      <c r="K26" s="77">
        <v>17.309999999999999</v>
      </c>
      <c r="L26" s="77">
        <v>23.21</v>
      </c>
      <c r="M26" s="77">
        <v>97.2</v>
      </c>
      <c r="N26" s="77">
        <v>37.9</v>
      </c>
      <c r="O26" s="77">
        <v>0</v>
      </c>
      <c r="P26" s="77">
        <v>0.74</v>
      </c>
      <c r="Q26" s="77">
        <v>6.47</v>
      </c>
    </row>
    <row r="27" spans="1:17" s="12" customFormat="1" x14ac:dyDescent="0.25">
      <c r="A27" s="64" t="s">
        <v>1995</v>
      </c>
      <c r="B27" s="77">
        <v>10.66</v>
      </c>
      <c r="C27" s="77">
        <v>17.38</v>
      </c>
      <c r="D27" s="77">
        <v>18.79</v>
      </c>
      <c r="E27" s="77">
        <v>3.03</v>
      </c>
      <c r="F27" s="77">
        <v>5.39</v>
      </c>
      <c r="G27" s="77">
        <v>70.28</v>
      </c>
      <c r="H27" s="77">
        <v>56.86</v>
      </c>
      <c r="I27" s="77">
        <v>4.43</v>
      </c>
      <c r="J27" s="77">
        <v>0.31</v>
      </c>
      <c r="K27" s="77">
        <v>27.09</v>
      </c>
      <c r="L27" s="77">
        <v>23.3</v>
      </c>
      <c r="M27" s="77">
        <v>97.2</v>
      </c>
      <c r="N27" s="77">
        <v>37.799999999999997</v>
      </c>
      <c r="O27" s="77">
        <v>0</v>
      </c>
      <c r="P27" s="77">
        <v>0.8</v>
      </c>
      <c r="Q27" s="77">
        <v>6.68</v>
      </c>
    </row>
    <row r="28" spans="1:17" s="12" customFormat="1" x14ac:dyDescent="0.25">
      <c r="A28" s="64" t="s">
        <v>1996</v>
      </c>
      <c r="B28" s="77">
        <v>10.68</v>
      </c>
      <c r="C28" s="77">
        <v>15.7</v>
      </c>
      <c r="D28" s="77">
        <v>17.87</v>
      </c>
      <c r="E28" s="77">
        <v>2.71</v>
      </c>
      <c r="F28" s="77">
        <v>5.43</v>
      </c>
      <c r="G28" s="77">
        <v>51.06</v>
      </c>
      <c r="H28" s="77">
        <v>29.88</v>
      </c>
      <c r="I28" s="77">
        <v>4.18</v>
      </c>
      <c r="J28" s="77">
        <v>0.39</v>
      </c>
      <c r="K28" s="77">
        <v>7.22</v>
      </c>
      <c r="L28" s="77">
        <v>23.32</v>
      </c>
      <c r="M28" s="77">
        <v>97.2</v>
      </c>
      <c r="N28" s="77">
        <v>37.9</v>
      </c>
      <c r="O28" s="77">
        <v>0</v>
      </c>
      <c r="P28" s="77">
        <v>0.78</v>
      </c>
      <c r="Q28" s="77">
        <v>5.03</v>
      </c>
    </row>
    <row r="29" spans="1:17" s="12" customFormat="1" x14ac:dyDescent="0.25">
      <c r="A29" s="64" t="s">
        <v>1997</v>
      </c>
      <c r="B29" s="77">
        <v>11.23</v>
      </c>
      <c r="C29" s="77">
        <v>15.21</v>
      </c>
      <c r="D29" s="77">
        <v>18.05</v>
      </c>
      <c r="E29" s="77">
        <v>3.11</v>
      </c>
      <c r="F29" s="77">
        <v>4.92</v>
      </c>
      <c r="G29" s="77">
        <v>50.16</v>
      </c>
      <c r="H29" s="77">
        <v>29.88</v>
      </c>
      <c r="I29" s="77">
        <v>4.58</v>
      </c>
      <c r="J29" s="77">
        <v>0.37</v>
      </c>
      <c r="K29" s="77">
        <v>5.04</v>
      </c>
      <c r="L29" s="77">
        <v>23.32</v>
      </c>
      <c r="M29" s="77">
        <v>97.23</v>
      </c>
      <c r="N29" s="77">
        <v>38.200000000000003</v>
      </c>
      <c r="O29" s="77">
        <v>0</v>
      </c>
      <c r="P29" s="77">
        <v>0.8</v>
      </c>
      <c r="Q29" s="77">
        <v>2.85</v>
      </c>
    </row>
    <row r="30" spans="1:17" s="12" customFormat="1" x14ac:dyDescent="0.25">
      <c r="A30" s="64" t="s">
        <v>1998</v>
      </c>
      <c r="B30" s="77">
        <v>11.28</v>
      </c>
      <c r="C30" s="77">
        <v>14.9</v>
      </c>
      <c r="D30" s="77">
        <v>17.920000000000002</v>
      </c>
      <c r="E30" s="77">
        <v>3.38</v>
      </c>
      <c r="F30" s="77">
        <v>5.18</v>
      </c>
      <c r="G30" s="77">
        <v>50.16</v>
      </c>
      <c r="H30" s="77">
        <v>29.88</v>
      </c>
      <c r="I30" s="77">
        <v>4.28</v>
      </c>
      <c r="J30" s="77">
        <v>0.33</v>
      </c>
      <c r="K30" s="77">
        <v>0.37</v>
      </c>
      <c r="L30" s="77">
        <v>23.37</v>
      </c>
      <c r="M30" s="77">
        <v>97.23</v>
      </c>
      <c r="N30" s="77">
        <v>40.5</v>
      </c>
      <c r="O30" s="77">
        <v>0</v>
      </c>
      <c r="P30" s="77">
        <v>0.7</v>
      </c>
      <c r="Q30" s="77">
        <v>2.78</v>
      </c>
    </row>
    <row r="31" spans="1:17" s="12" customFormat="1" x14ac:dyDescent="0.25">
      <c r="A31" s="64" t="s">
        <v>1999</v>
      </c>
      <c r="B31" s="77">
        <v>11.93</v>
      </c>
      <c r="C31" s="77">
        <v>15.21</v>
      </c>
      <c r="D31" s="77">
        <v>18.61</v>
      </c>
      <c r="E31" s="77">
        <v>2.8</v>
      </c>
      <c r="F31" s="77">
        <v>5.03</v>
      </c>
      <c r="G31" s="77">
        <v>50.16</v>
      </c>
      <c r="H31" s="77">
        <v>29.88</v>
      </c>
      <c r="I31" s="77">
        <v>4.47</v>
      </c>
      <c r="J31" s="77">
        <v>0.21</v>
      </c>
      <c r="K31" s="77">
        <v>9.9499999999999993</v>
      </c>
      <c r="L31" s="77">
        <v>23.33</v>
      </c>
      <c r="M31" s="77">
        <v>97.25</v>
      </c>
      <c r="N31" s="77">
        <v>46.4</v>
      </c>
      <c r="O31" s="77">
        <v>0</v>
      </c>
      <c r="P31" s="77">
        <v>0.72</v>
      </c>
      <c r="Q31" s="77">
        <v>1.99</v>
      </c>
    </row>
    <row r="32" spans="1:17" s="12" customFormat="1" x14ac:dyDescent="0.25">
      <c r="A32" s="64" t="s">
        <v>2000</v>
      </c>
      <c r="B32" s="77">
        <v>14.25</v>
      </c>
      <c r="C32" s="77">
        <v>16.670000000000002</v>
      </c>
      <c r="D32" s="77">
        <v>21.27</v>
      </c>
      <c r="E32" s="77">
        <v>2.59</v>
      </c>
      <c r="F32" s="77">
        <v>4.9800000000000004</v>
      </c>
      <c r="G32" s="77">
        <v>40.97</v>
      </c>
      <c r="H32" s="77">
        <v>14.93</v>
      </c>
      <c r="I32" s="77">
        <v>4.16</v>
      </c>
      <c r="J32" s="77">
        <v>0.25</v>
      </c>
      <c r="K32" s="77">
        <v>11.7</v>
      </c>
      <c r="L32" s="77">
        <v>23.31</v>
      </c>
      <c r="M32" s="77">
        <v>97.25</v>
      </c>
      <c r="N32" s="77">
        <v>51.3</v>
      </c>
      <c r="O32" s="77">
        <v>0</v>
      </c>
      <c r="P32" s="77">
        <v>0.66</v>
      </c>
      <c r="Q32" s="77">
        <v>1.98</v>
      </c>
    </row>
    <row r="33" spans="1:17" s="12" customFormat="1" x14ac:dyDescent="0.25">
      <c r="A33" s="64" t="s">
        <v>2001</v>
      </c>
      <c r="B33" s="77">
        <v>13.26</v>
      </c>
      <c r="C33" s="77">
        <v>15.29</v>
      </c>
      <c r="D33" s="77">
        <v>19.72</v>
      </c>
      <c r="E33" s="77">
        <v>2.5299999999999998</v>
      </c>
      <c r="F33" s="77">
        <v>4.7300000000000004</v>
      </c>
      <c r="G33" s="77">
        <v>40.65</v>
      </c>
      <c r="H33" s="77">
        <v>14.93</v>
      </c>
      <c r="I33" s="77">
        <v>4.1500000000000004</v>
      </c>
      <c r="J33" s="77">
        <v>0.24</v>
      </c>
      <c r="K33" s="77">
        <v>353.58</v>
      </c>
      <c r="L33" s="77">
        <v>23.31</v>
      </c>
      <c r="M33" s="77">
        <v>97.25</v>
      </c>
      <c r="N33" s="77">
        <v>64.7</v>
      </c>
      <c r="O33" s="77">
        <v>0</v>
      </c>
      <c r="P33" s="77">
        <v>0.64</v>
      </c>
      <c r="Q33" s="77">
        <v>2.09</v>
      </c>
    </row>
    <row r="34" spans="1:17" s="12" customFormat="1" x14ac:dyDescent="0.25">
      <c r="A34" s="64" t="s">
        <v>2002</v>
      </c>
      <c r="B34" s="77">
        <v>15.33</v>
      </c>
      <c r="C34" s="77">
        <v>17.329999999999998</v>
      </c>
      <c r="D34" s="77">
        <v>22.51</v>
      </c>
      <c r="E34" s="77">
        <v>3.15</v>
      </c>
      <c r="F34" s="77">
        <v>5.77</v>
      </c>
      <c r="G34" s="77">
        <v>40.65</v>
      </c>
      <c r="H34" s="77">
        <v>14.93</v>
      </c>
      <c r="I34" s="77">
        <v>4.2300000000000004</v>
      </c>
      <c r="J34" s="77">
        <v>0.3</v>
      </c>
      <c r="K34" s="77">
        <v>85.54</v>
      </c>
      <c r="L34" s="77">
        <v>23.46</v>
      </c>
      <c r="M34" s="77">
        <v>97.25</v>
      </c>
      <c r="N34" s="77">
        <v>87.3</v>
      </c>
      <c r="O34" s="77">
        <v>0</v>
      </c>
      <c r="P34" s="77">
        <v>0.61</v>
      </c>
      <c r="Q34" s="77">
        <v>1.58</v>
      </c>
    </row>
    <row r="35" spans="1:17" s="12" customFormat="1" x14ac:dyDescent="0.25">
      <c r="A35" s="64" t="s">
        <v>2003</v>
      </c>
      <c r="B35" s="77">
        <v>19.940000000000001</v>
      </c>
      <c r="C35" s="77">
        <v>20.11</v>
      </c>
      <c r="D35" s="77">
        <v>27.74</v>
      </c>
      <c r="E35" s="77">
        <v>3</v>
      </c>
      <c r="F35" s="77">
        <v>5.5</v>
      </c>
      <c r="G35" s="77">
        <v>40.65</v>
      </c>
      <c r="H35" s="77">
        <v>14.93</v>
      </c>
      <c r="I35" s="77">
        <v>3.89</v>
      </c>
      <c r="J35" s="77">
        <v>0.27</v>
      </c>
      <c r="K35" s="77">
        <v>55.17</v>
      </c>
      <c r="L35" s="77">
        <v>23.9</v>
      </c>
      <c r="M35" s="77">
        <v>97.2</v>
      </c>
      <c r="N35" s="77">
        <v>128.69999999999999</v>
      </c>
      <c r="O35" s="77">
        <v>0</v>
      </c>
      <c r="P35" s="77">
        <v>0.55000000000000004</v>
      </c>
      <c r="Q35" s="77">
        <v>4.76</v>
      </c>
    </row>
    <row r="36" spans="1:17" s="12" customFormat="1" x14ac:dyDescent="0.25">
      <c r="A36" s="64" t="s">
        <v>2004</v>
      </c>
      <c r="B36" s="77">
        <v>16.3</v>
      </c>
      <c r="C36" s="77">
        <v>18.64</v>
      </c>
      <c r="D36" s="77">
        <v>24</v>
      </c>
      <c r="E36" s="77">
        <v>3.05</v>
      </c>
      <c r="F36" s="77">
        <v>7.36</v>
      </c>
      <c r="G36" s="77">
        <v>45.18</v>
      </c>
      <c r="H36" s="77">
        <v>8.74</v>
      </c>
      <c r="I36" s="77">
        <v>3.79</v>
      </c>
      <c r="J36" s="77">
        <v>0.28999999999999998</v>
      </c>
      <c r="K36" s="77">
        <v>87.11</v>
      </c>
      <c r="L36" s="77">
        <v>24.05</v>
      </c>
      <c r="M36" s="77">
        <v>97.15</v>
      </c>
      <c r="N36" s="77">
        <v>161.80000000000001</v>
      </c>
      <c r="O36" s="77">
        <v>0</v>
      </c>
      <c r="P36" s="77">
        <v>0.56999999999999995</v>
      </c>
      <c r="Q36" s="77">
        <v>7.47</v>
      </c>
    </row>
    <row r="37" spans="1:17" s="12" customFormat="1" x14ac:dyDescent="0.25">
      <c r="A37" s="64" t="s">
        <v>2005</v>
      </c>
      <c r="B37" s="77">
        <v>15.65</v>
      </c>
      <c r="C37" s="77">
        <v>16.64</v>
      </c>
      <c r="D37" s="77">
        <v>22.38</v>
      </c>
      <c r="E37" s="77">
        <v>2.96</v>
      </c>
      <c r="F37" s="77">
        <v>6.16</v>
      </c>
      <c r="G37" s="77">
        <v>45.34</v>
      </c>
      <c r="H37" s="77">
        <v>8.74</v>
      </c>
      <c r="I37" s="77">
        <v>3.57</v>
      </c>
      <c r="J37" s="77">
        <v>0.42</v>
      </c>
      <c r="K37" s="77">
        <v>82.16</v>
      </c>
      <c r="L37" s="77">
        <v>24.31</v>
      </c>
      <c r="M37" s="77">
        <v>96.21</v>
      </c>
      <c r="N37" s="77">
        <v>194.6</v>
      </c>
      <c r="O37" s="77">
        <v>0</v>
      </c>
      <c r="P37" s="77">
        <v>0.63</v>
      </c>
      <c r="Q37" s="77">
        <v>9.07</v>
      </c>
    </row>
    <row r="38" spans="1:17" s="12" customFormat="1" x14ac:dyDescent="0.25">
      <c r="A38" s="64" t="s">
        <v>2006</v>
      </c>
      <c r="B38" s="77">
        <v>15.97</v>
      </c>
      <c r="C38" s="77">
        <v>16.77</v>
      </c>
      <c r="D38" s="77">
        <v>22.71</v>
      </c>
      <c r="E38" s="77">
        <v>2.97</v>
      </c>
      <c r="F38" s="77">
        <v>6.01</v>
      </c>
      <c r="G38" s="77">
        <v>45.34</v>
      </c>
      <c r="H38" s="77">
        <v>8.74</v>
      </c>
      <c r="I38" s="77">
        <v>3.71</v>
      </c>
      <c r="J38" s="77">
        <v>0.56000000000000005</v>
      </c>
      <c r="K38" s="77">
        <v>87.03</v>
      </c>
      <c r="L38" s="77">
        <v>24.76</v>
      </c>
      <c r="M38" s="77">
        <v>92.78</v>
      </c>
      <c r="N38" s="77">
        <v>272.10000000000002</v>
      </c>
      <c r="O38" s="77">
        <v>0</v>
      </c>
      <c r="P38" s="77">
        <v>0.64</v>
      </c>
      <c r="Q38" s="77">
        <v>10.33</v>
      </c>
    </row>
    <row r="39" spans="1:17" s="12" customFormat="1" x14ac:dyDescent="0.25">
      <c r="A39" s="64" t="s">
        <v>2007</v>
      </c>
      <c r="B39" s="77">
        <v>16.22</v>
      </c>
      <c r="C39" s="77">
        <v>15</v>
      </c>
      <c r="D39" s="77">
        <v>21.93</v>
      </c>
      <c r="E39" s="77">
        <v>3.02</v>
      </c>
      <c r="F39" s="77">
        <v>5.48</v>
      </c>
      <c r="G39" s="77">
        <v>45.34</v>
      </c>
      <c r="H39" s="77">
        <v>8.74</v>
      </c>
      <c r="I39" s="77">
        <v>4.12</v>
      </c>
      <c r="J39" s="77">
        <v>0.39</v>
      </c>
      <c r="K39" s="77">
        <v>64.77</v>
      </c>
      <c r="L39" s="77">
        <v>25.04</v>
      </c>
      <c r="M39" s="77">
        <v>90.98</v>
      </c>
      <c r="N39" s="77">
        <v>309.8</v>
      </c>
      <c r="O39" s="77">
        <v>0</v>
      </c>
      <c r="P39" s="77">
        <v>0.66</v>
      </c>
      <c r="Q39" s="77">
        <v>10.79</v>
      </c>
    </row>
    <row r="40" spans="1:17" s="12" customFormat="1" x14ac:dyDescent="0.25">
      <c r="A40" s="64" t="s">
        <v>2008</v>
      </c>
      <c r="B40" s="77">
        <v>17.14</v>
      </c>
      <c r="C40" s="77">
        <v>14.55</v>
      </c>
      <c r="D40" s="77">
        <v>22.42</v>
      </c>
      <c r="E40" s="77">
        <v>2.2000000000000002</v>
      </c>
      <c r="F40" s="77">
        <v>5.0599999999999996</v>
      </c>
      <c r="G40" s="77">
        <v>47.38</v>
      </c>
      <c r="H40" s="77">
        <v>15.5</v>
      </c>
      <c r="I40" s="77">
        <v>4.17</v>
      </c>
      <c r="J40" s="77">
        <v>0.68</v>
      </c>
      <c r="K40" s="77">
        <v>96.76</v>
      </c>
      <c r="L40" s="77">
        <v>25.23</v>
      </c>
      <c r="M40" s="77">
        <v>90.4</v>
      </c>
      <c r="N40" s="77">
        <v>233.9</v>
      </c>
      <c r="O40" s="77">
        <v>0</v>
      </c>
      <c r="P40" s="77">
        <v>0.64</v>
      </c>
      <c r="Q40" s="77">
        <v>9.01</v>
      </c>
    </row>
    <row r="41" spans="1:17" s="12" customFormat="1" x14ac:dyDescent="0.25">
      <c r="A41" s="64" t="s">
        <v>2009</v>
      </c>
      <c r="B41" s="77">
        <v>18.149999999999999</v>
      </c>
      <c r="C41" s="77">
        <v>11.55</v>
      </c>
      <c r="D41" s="77">
        <v>21.58</v>
      </c>
      <c r="E41" s="77">
        <v>3.09</v>
      </c>
      <c r="F41" s="77">
        <v>4.8099999999999996</v>
      </c>
      <c r="G41" s="77">
        <v>47.47</v>
      </c>
      <c r="H41" s="77">
        <v>15.5</v>
      </c>
      <c r="I41" s="77">
        <v>4.01</v>
      </c>
      <c r="J41" s="77">
        <v>1.01</v>
      </c>
      <c r="K41" s="77">
        <v>100.42</v>
      </c>
      <c r="L41" s="77">
        <v>24.88</v>
      </c>
      <c r="M41" s="77">
        <v>91.56</v>
      </c>
      <c r="N41" s="77">
        <v>251.5</v>
      </c>
      <c r="O41" s="77">
        <v>0</v>
      </c>
      <c r="P41" s="77">
        <v>0.63</v>
      </c>
      <c r="Q41" s="77">
        <v>7.48</v>
      </c>
    </row>
    <row r="42" spans="1:17" s="12" customFormat="1" x14ac:dyDescent="0.25">
      <c r="A42" s="64" t="s">
        <v>2010</v>
      </c>
      <c r="B42" s="77">
        <v>17.43</v>
      </c>
      <c r="C42" s="77">
        <v>13.43</v>
      </c>
      <c r="D42" s="77">
        <v>22.03</v>
      </c>
      <c r="E42" s="77">
        <v>2.98</v>
      </c>
      <c r="F42" s="77">
        <v>4.62</v>
      </c>
      <c r="G42" s="77">
        <v>47.47</v>
      </c>
      <c r="H42" s="77">
        <v>15.5</v>
      </c>
      <c r="I42" s="77">
        <v>3.77</v>
      </c>
      <c r="J42" s="77">
        <v>0.54</v>
      </c>
      <c r="K42" s="77">
        <v>93.1</v>
      </c>
      <c r="L42" s="77">
        <v>25.39</v>
      </c>
      <c r="M42" s="77">
        <v>89.64</v>
      </c>
      <c r="N42" s="77">
        <v>277.39999999999998</v>
      </c>
      <c r="O42" s="77">
        <v>0</v>
      </c>
      <c r="P42" s="77">
        <v>0.61</v>
      </c>
      <c r="Q42" s="77">
        <v>9.27</v>
      </c>
    </row>
    <row r="43" spans="1:17" s="12" customFormat="1" x14ac:dyDescent="0.25">
      <c r="A43" s="64" t="s">
        <v>2011</v>
      </c>
      <c r="B43" s="77">
        <v>16.989999999999998</v>
      </c>
      <c r="C43" s="77">
        <v>13.53</v>
      </c>
      <c r="D43" s="77">
        <v>21.74</v>
      </c>
      <c r="E43" s="77">
        <v>3.33</v>
      </c>
      <c r="F43" s="77">
        <v>5.0599999999999996</v>
      </c>
      <c r="G43" s="77">
        <v>47.47</v>
      </c>
      <c r="H43" s="77">
        <v>15.5</v>
      </c>
      <c r="I43" s="77">
        <v>4.07</v>
      </c>
      <c r="J43" s="77">
        <v>0.36</v>
      </c>
      <c r="K43" s="77">
        <v>86.33</v>
      </c>
      <c r="L43" s="77">
        <v>25.84</v>
      </c>
      <c r="M43" s="77">
        <v>88.06</v>
      </c>
      <c r="N43" s="77">
        <v>474.8</v>
      </c>
      <c r="O43" s="77">
        <v>0</v>
      </c>
      <c r="P43" s="77">
        <v>0.6</v>
      </c>
      <c r="Q43" s="77">
        <v>8.69</v>
      </c>
    </row>
    <row r="44" spans="1:17" s="12" customFormat="1" x14ac:dyDescent="0.25">
      <c r="A44" s="64" t="s">
        <v>2012</v>
      </c>
      <c r="B44" s="77">
        <v>17.13</v>
      </c>
      <c r="C44" s="77">
        <v>13.46</v>
      </c>
      <c r="D44" s="77">
        <v>21.81</v>
      </c>
      <c r="E44" s="77">
        <v>3.19</v>
      </c>
      <c r="F44" s="77">
        <v>3.93</v>
      </c>
      <c r="G44" s="77">
        <v>49.16</v>
      </c>
      <c r="H44" s="77">
        <v>26.5</v>
      </c>
      <c r="I44" s="77">
        <v>3.75</v>
      </c>
      <c r="J44" s="77">
        <v>0.79</v>
      </c>
      <c r="K44" s="77">
        <v>102.56</v>
      </c>
      <c r="L44" s="77">
        <v>26.24</v>
      </c>
      <c r="M44" s="77">
        <v>85.67</v>
      </c>
      <c r="N44" s="77">
        <v>291.10000000000002</v>
      </c>
      <c r="O44" s="77">
        <v>0</v>
      </c>
      <c r="P44" s="77">
        <v>0.61</v>
      </c>
      <c r="Q44" s="77">
        <v>9.33</v>
      </c>
    </row>
    <row r="45" spans="1:17" s="12" customFormat="1" x14ac:dyDescent="0.25">
      <c r="A45" s="64" t="s">
        <v>2013</v>
      </c>
      <c r="B45" s="77">
        <v>15.99</v>
      </c>
      <c r="C45" s="77">
        <v>13.36</v>
      </c>
      <c r="D45" s="77">
        <v>20.84</v>
      </c>
      <c r="E45" s="77">
        <v>3.24</v>
      </c>
      <c r="F45" s="77">
        <v>5.01</v>
      </c>
      <c r="G45" s="77">
        <v>49.22</v>
      </c>
      <c r="H45" s="77">
        <v>26.5</v>
      </c>
      <c r="I45" s="77">
        <v>3.69</v>
      </c>
      <c r="J45" s="77">
        <v>1.39</v>
      </c>
      <c r="K45" s="77">
        <v>111.47</v>
      </c>
      <c r="L45" s="77">
        <v>25.84</v>
      </c>
      <c r="M45" s="77">
        <v>87.04</v>
      </c>
      <c r="N45" s="77">
        <v>485.9</v>
      </c>
      <c r="O45" s="77">
        <v>0</v>
      </c>
      <c r="P45" s="77">
        <v>0.56999999999999995</v>
      </c>
      <c r="Q45" s="77">
        <v>9.5399999999999991</v>
      </c>
    </row>
    <row r="46" spans="1:17" s="12" customFormat="1" x14ac:dyDescent="0.25">
      <c r="A46" s="64" t="s">
        <v>2014</v>
      </c>
      <c r="B46" s="77">
        <v>16.39</v>
      </c>
      <c r="C46" s="77">
        <v>13.55</v>
      </c>
      <c r="D46" s="77">
        <v>21.27</v>
      </c>
      <c r="E46" s="77">
        <v>3.72</v>
      </c>
      <c r="F46" s="77">
        <v>5.43</v>
      </c>
      <c r="G46" s="77">
        <v>49.22</v>
      </c>
      <c r="H46" s="77">
        <v>26.5</v>
      </c>
      <c r="I46" s="77">
        <v>3.75</v>
      </c>
      <c r="J46" s="77">
        <v>1.22</v>
      </c>
      <c r="K46" s="77">
        <v>108.53</v>
      </c>
      <c r="L46" s="77">
        <v>26.75</v>
      </c>
      <c r="M46" s="77">
        <v>82.93</v>
      </c>
      <c r="N46" s="77">
        <v>768.8</v>
      </c>
      <c r="O46" s="77">
        <v>0</v>
      </c>
      <c r="P46" s="77">
        <v>0.56000000000000005</v>
      </c>
      <c r="Q46" s="77">
        <v>10.39</v>
      </c>
    </row>
    <row r="47" spans="1:17" s="12" customFormat="1" x14ac:dyDescent="0.25">
      <c r="A47" s="64" t="s">
        <v>2015</v>
      </c>
      <c r="B47" s="77">
        <v>16.100000000000001</v>
      </c>
      <c r="C47" s="77">
        <v>12.39</v>
      </c>
      <c r="D47" s="77">
        <v>20.39</v>
      </c>
      <c r="E47" s="77">
        <v>3.11</v>
      </c>
      <c r="F47" s="77">
        <v>6.64</v>
      </c>
      <c r="G47" s="77">
        <v>49.22</v>
      </c>
      <c r="H47" s="77">
        <v>26.5</v>
      </c>
      <c r="I47" s="77">
        <v>3.66</v>
      </c>
      <c r="J47" s="77">
        <v>0.48</v>
      </c>
      <c r="K47" s="77">
        <v>82.02</v>
      </c>
      <c r="L47" s="77">
        <v>27.45</v>
      </c>
      <c r="M47" s="77">
        <v>78.09</v>
      </c>
      <c r="N47" s="77">
        <v>496.4</v>
      </c>
      <c r="O47" s="77">
        <v>0</v>
      </c>
      <c r="P47" s="77">
        <v>0.56000000000000005</v>
      </c>
      <c r="Q47" s="77">
        <v>13.08</v>
      </c>
    </row>
    <row r="48" spans="1:17" s="12" customFormat="1" x14ac:dyDescent="0.25">
      <c r="A48" s="64" t="s">
        <v>2016</v>
      </c>
      <c r="B48" s="77">
        <v>14.61</v>
      </c>
      <c r="C48" s="77">
        <v>13.24</v>
      </c>
      <c r="D48" s="77">
        <v>19.670000000000002</v>
      </c>
      <c r="E48" s="77">
        <v>3.47</v>
      </c>
      <c r="F48" s="77">
        <v>7.42</v>
      </c>
      <c r="G48" s="77">
        <v>46.53</v>
      </c>
      <c r="H48" s="77">
        <v>20.329999999999998</v>
      </c>
      <c r="I48" s="77">
        <v>3.75</v>
      </c>
      <c r="J48" s="77">
        <v>0.99</v>
      </c>
      <c r="K48" s="77">
        <v>106.97</v>
      </c>
      <c r="L48" s="77">
        <v>26.61</v>
      </c>
      <c r="M48" s="77">
        <v>81.319999999999993</v>
      </c>
      <c r="N48" s="77">
        <v>376.6</v>
      </c>
      <c r="O48" s="77">
        <v>0</v>
      </c>
      <c r="P48" s="77">
        <v>0.54</v>
      </c>
      <c r="Q48" s="77">
        <v>13.9</v>
      </c>
    </row>
    <row r="49" spans="1:17" s="12" customFormat="1" x14ac:dyDescent="0.25">
      <c r="A49" s="64" t="s">
        <v>2017</v>
      </c>
      <c r="B49" s="77">
        <v>12.36</v>
      </c>
      <c r="C49" s="77">
        <v>13.35</v>
      </c>
      <c r="D49" s="77">
        <v>17.920000000000002</v>
      </c>
      <c r="E49" s="77">
        <v>3.39</v>
      </c>
      <c r="F49" s="77">
        <v>7.26</v>
      </c>
      <c r="G49" s="77">
        <v>46.44</v>
      </c>
      <c r="H49" s="77">
        <v>20.329999999999998</v>
      </c>
      <c r="I49" s="77">
        <v>3.72</v>
      </c>
      <c r="J49" s="77">
        <v>1.36</v>
      </c>
      <c r="K49" s="77">
        <v>111.66</v>
      </c>
      <c r="L49" s="77">
        <v>26.61</v>
      </c>
      <c r="M49" s="77">
        <v>80.989999999999995</v>
      </c>
      <c r="N49" s="77">
        <v>408.7</v>
      </c>
      <c r="O49" s="77">
        <v>0</v>
      </c>
      <c r="P49" s="77">
        <v>0.51</v>
      </c>
      <c r="Q49" s="77">
        <v>14.36</v>
      </c>
    </row>
    <row r="50" spans="1:17" s="12" customFormat="1" x14ac:dyDescent="0.25">
      <c r="A50" s="64" t="s">
        <v>2018</v>
      </c>
      <c r="B50" s="77">
        <v>13.88</v>
      </c>
      <c r="C50" s="77">
        <v>13.99</v>
      </c>
      <c r="D50" s="77">
        <v>19.5</v>
      </c>
      <c r="E50" s="77">
        <v>3.48</v>
      </c>
      <c r="F50" s="77">
        <v>5.63</v>
      </c>
      <c r="G50" s="77">
        <v>46.44</v>
      </c>
      <c r="H50" s="77">
        <v>20.329999999999998</v>
      </c>
      <c r="I50" s="77">
        <v>3.75</v>
      </c>
      <c r="J50" s="77">
        <v>1.46</v>
      </c>
      <c r="K50" s="77">
        <v>114.96</v>
      </c>
      <c r="L50" s="77">
        <v>26.52</v>
      </c>
      <c r="M50" s="77">
        <v>80.92</v>
      </c>
      <c r="N50" s="77">
        <v>385.2</v>
      </c>
      <c r="O50" s="77">
        <v>0</v>
      </c>
      <c r="P50" s="77">
        <v>0.52</v>
      </c>
      <c r="Q50" s="77">
        <v>14.88</v>
      </c>
    </row>
    <row r="51" spans="1:17" s="12" customFormat="1" x14ac:dyDescent="0.25">
      <c r="A51" s="64" t="s">
        <v>2019</v>
      </c>
      <c r="B51" s="77">
        <v>12.33</v>
      </c>
      <c r="C51" s="77">
        <v>13.82</v>
      </c>
      <c r="D51" s="77">
        <v>18.16</v>
      </c>
      <c r="E51" s="77">
        <v>3.44</v>
      </c>
      <c r="F51" s="77">
        <v>6.11</v>
      </c>
      <c r="G51" s="77">
        <v>46.44</v>
      </c>
      <c r="H51" s="77">
        <v>20.329999999999998</v>
      </c>
      <c r="I51" s="77">
        <v>3.73</v>
      </c>
      <c r="J51" s="77">
        <v>1.18</v>
      </c>
      <c r="K51" s="77">
        <v>104.18</v>
      </c>
      <c r="L51" s="77">
        <v>26.54</v>
      </c>
      <c r="M51" s="77">
        <v>80.819999999999993</v>
      </c>
      <c r="N51" s="77">
        <v>385.4</v>
      </c>
      <c r="O51" s="77">
        <v>0</v>
      </c>
      <c r="P51" s="77">
        <v>0.51</v>
      </c>
      <c r="Q51" s="77">
        <v>14.42</v>
      </c>
    </row>
    <row r="52" spans="1:17" s="12" customFormat="1" x14ac:dyDescent="0.25">
      <c r="A52" s="64" t="s">
        <v>2020</v>
      </c>
      <c r="B52" s="77">
        <v>13.89</v>
      </c>
      <c r="C52" s="77">
        <v>14.74</v>
      </c>
      <c r="D52" s="77">
        <v>19.920000000000002</v>
      </c>
      <c r="E52" s="77">
        <v>3.86</v>
      </c>
      <c r="F52" s="77">
        <v>6.56</v>
      </c>
      <c r="G52" s="77">
        <v>42.54</v>
      </c>
      <c r="H52" s="77">
        <v>19.68</v>
      </c>
      <c r="I52" s="77">
        <v>3.95</v>
      </c>
      <c r="J52" s="77">
        <v>0.83</v>
      </c>
      <c r="K52" s="77">
        <v>95.61</v>
      </c>
      <c r="L52" s="77">
        <v>27</v>
      </c>
      <c r="M52" s="77">
        <v>79.17</v>
      </c>
      <c r="N52" s="77">
        <v>490.7</v>
      </c>
      <c r="O52" s="77">
        <v>0</v>
      </c>
      <c r="P52" s="77">
        <v>0.51</v>
      </c>
      <c r="Q52" s="77">
        <v>12.01</v>
      </c>
    </row>
    <row r="53" spans="1:17" s="12" customFormat="1" x14ac:dyDescent="0.25">
      <c r="A53" s="64" t="s">
        <v>2021</v>
      </c>
      <c r="B53" s="77">
        <v>10.85</v>
      </c>
      <c r="C53" s="77">
        <v>15.17</v>
      </c>
      <c r="D53" s="77">
        <v>17.72</v>
      </c>
      <c r="E53" s="77">
        <v>3.71</v>
      </c>
      <c r="F53" s="77">
        <v>5.19</v>
      </c>
      <c r="G53" s="77">
        <v>42.4</v>
      </c>
      <c r="H53" s="77">
        <v>19.68</v>
      </c>
      <c r="I53" s="77">
        <v>3.55</v>
      </c>
      <c r="J53" s="77">
        <v>0.76</v>
      </c>
      <c r="K53" s="77">
        <v>114.18</v>
      </c>
      <c r="L53" s="77">
        <v>27.12</v>
      </c>
      <c r="M53" s="77">
        <v>79.08</v>
      </c>
      <c r="N53" s="77">
        <v>352.1</v>
      </c>
      <c r="O53" s="77">
        <v>0</v>
      </c>
      <c r="P53" s="77">
        <v>0.52</v>
      </c>
      <c r="Q53" s="77">
        <v>10.47</v>
      </c>
    </row>
    <row r="54" spans="1:17" s="12" customFormat="1" x14ac:dyDescent="0.25">
      <c r="A54" s="64" t="s">
        <v>2022</v>
      </c>
      <c r="B54" s="77">
        <v>12.73</v>
      </c>
      <c r="C54" s="77">
        <v>14.69</v>
      </c>
      <c r="D54" s="77">
        <v>18.96</v>
      </c>
      <c r="E54" s="77">
        <v>3.59</v>
      </c>
      <c r="F54" s="77">
        <v>7.33</v>
      </c>
      <c r="G54" s="77">
        <v>42.4</v>
      </c>
      <c r="H54" s="77">
        <v>19.68</v>
      </c>
      <c r="I54" s="77">
        <v>3.34</v>
      </c>
      <c r="J54" s="77">
        <v>0.59</v>
      </c>
      <c r="K54" s="77">
        <v>96.69</v>
      </c>
      <c r="L54" s="77">
        <v>27.17</v>
      </c>
      <c r="M54" s="77">
        <v>78.099999999999994</v>
      </c>
      <c r="N54" s="77">
        <v>428</v>
      </c>
      <c r="O54" s="77">
        <v>0</v>
      </c>
      <c r="P54" s="77">
        <v>0.5</v>
      </c>
      <c r="Q54" s="77">
        <v>10.55</v>
      </c>
    </row>
    <row r="55" spans="1:17" s="12" customFormat="1" x14ac:dyDescent="0.25">
      <c r="A55" s="64" t="s">
        <v>2023</v>
      </c>
      <c r="B55" s="77">
        <v>12.9</v>
      </c>
      <c r="C55" s="77">
        <v>17.78</v>
      </c>
      <c r="D55" s="77">
        <v>20.81</v>
      </c>
      <c r="E55" s="77">
        <v>3.63</v>
      </c>
      <c r="F55" s="77">
        <v>6.76</v>
      </c>
      <c r="G55" s="77">
        <v>42.4</v>
      </c>
      <c r="H55" s="77">
        <v>19.68</v>
      </c>
      <c r="I55" s="77">
        <v>3.51</v>
      </c>
      <c r="J55" s="77">
        <v>0.52</v>
      </c>
      <c r="K55" s="77">
        <v>60.7</v>
      </c>
      <c r="L55" s="77">
        <v>27.19</v>
      </c>
      <c r="M55" s="77">
        <v>78.95</v>
      </c>
      <c r="N55" s="77">
        <v>334.2</v>
      </c>
      <c r="O55" s="77">
        <v>0</v>
      </c>
      <c r="P55" s="77">
        <v>0.55000000000000004</v>
      </c>
      <c r="Q55" s="77">
        <v>8.7899999999999991</v>
      </c>
    </row>
    <row r="56" spans="1:17" s="12" customFormat="1" x14ac:dyDescent="0.25">
      <c r="A56" s="64" t="s">
        <v>2024</v>
      </c>
      <c r="B56" s="77">
        <v>12.75</v>
      </c>
      <c r="C56" s="77">
        <v>16.100000000000001</v>
      </c>
      <c r="D56" s="77">
        <v>19.760000000000002</v>
      </c>
      <c r="E56" s="77">
        <v>2.2000000000000002</v>
      </c>
      <c r="F56" s="77">
        <v>5.36</v>
      </c>
      <c r="G56" s="77">
        <v>45.7</v>
      </c>
      <c r="H56" s="77">
        <v>17.59</v>
      </c>
      <c r="I56" s="77">
        <v>3.22</v>
      </c>
      <c r="J56" s="77">
        <v>1.02</v>
      </c>
      <c r="K56" s="77">
        <v>9.9700000000000006</v>
      </c>
      <c r="L56" s="77">
        <v>26.58</v>
      </c>
      <c r="M56" s="77">
        <v>83.24</v>
      </c>
      <c r="N56" s="77">
        <v>285.60000000000002</v>
      </c>
      <c r="O56" s="77">
        <v>0</v>
      </c>
      <c r="P56" s="77">
        <v>0.56000000000000005</v>
      </c>
      <c r="Q56" s="77">
        <v>8.3800000000000008</v>
      </c>
    </row>
    <row r="57" spans="1:17" s="12" customFormat="1" x14ac:dyDescent="0.25">
      <c r="A57" s="64" t="s">
        <v>2025</v>
      </c>
      <c r="B57" s="77">
        <v>14.3</v>
      </c>
      <c r="C57" s="77">
        <v>15.26</v>
      </c>
      <c r="D57" s="77">
        <v>20.53</v>
      </c>
      <c r="E57" s="77">
        <v>3.11</v>
      </c>
      <c r="F57" s="77">
        <v>5.81</v>
      </c>
      <c r="G57" s="77">
        <v>45.81</v>
      </c>
      <c r="H57" s="77">
        <v>17.59</v>
      </c>
      <c r="I57" s="77">
        <v>3.28</v>
      </c>
      <c r="J57" s="77">
        <v>0.7</v>
      </c>
      <c r="K57" s="77">
        <v>7.62</v>
      </c>
      <c r="L57" s="77">
        <v>26.62</v>
      </c>
      <c r="M57" s="77">
        <v>82.22</v>
      </c>
      <c r="N57" s="77">
        <v>319.2</v>
      </c>
      <c r="O57" s="77">
        <v>0</v>
      </c>
      <c r="P57" s="77">
        <v>0.56999999999999995</v>
      </c>
      <c r="Q57" s="77">
        <v>8.31</v>
      </c>
    </row>
    <row r="58" spans="1:17" s="12" customFormat="1" x14ac:dyDescent="0.25">
      <c r="A58" s="64" t="s">
        <v>2026</v>
      </c>
      <c r="B58" s="77">
        <v>16.25</v>
      </c>
      <c r="C58" s="77">
        <v>19.5</v>
      </c>
      <c r="D58" s="77">
        <v>24.44</v>
      </c>
      <c r="E58" s="77">
        <v>3.89</v>
      </c>
      <c r="F58" s="77">
        <v>10.29</v>
      </c>
      <c r="G58" s="77">
        <v>45.81</v>
      </c>
      <c r="H58" s="77">
        <v>17.59</v>
      </c>
      <c r="I58" s="77">
        <v>3.55</v>
      </c>
      <c r="J58" s="77">
        <v>0.28999999999999998</v>
      </c>
      <c r="K58" s="77">
        <v>14.39</v>
      </c>
      <c r="L58" s="77">
        <v>26.57</v>
      </c>
      <c r="M58" s="77">
        <v>82.29</v>
      </c>
      <c r="N58" s="77">
        <v>213.4</v>
      </c>
      <c r="O58" s="77">
        <v>0</v>
      </c>
      <c r="P58" s="77">
        <v>0.63</v>
      </c>
      <c r="Q58" s="77">
        <v>8.17</v>
      </c>
    </row>
    <row r="59" spans="1:17" s="12" customFormat="1" x14ac:dyDescent="0.25">
      <c r="A59" s="64" t="s">
        <v>2027</v>
      </c>
      <c r="B59" s="77">
        <v>13.65</v>
      </c>
      <c r="C59" s="77">
        <v>20.16</v>
      </c>
      <c r="D59" s="77">
        <v>22.72</v>
      </c>
      <c r="E59" s="77">
        <v>3.73</v>
      </c>
      <c r="F59" s="77">
        <v>10.66</v>
      </c>
      <c r="G59" s="77">
        <v>45.81</v>
      </c>
      <c r="H59" s="77">
        <v>17.59</v>
      </c>
      <c r="I59" s="77">
        <v>3.33</v>
      </c>
      <c r="J59" s="77">
        <v>0.52</v>
      </c>
      <c r="K59" s="77">
        <v>92.59</v>
      </c>
      <c r="L59" s="77">
        <v>26.14</v>
      </c>
      <c r="M59" s="77">
        <v>85.25</v>
      </c>
      <c r="N59" s="77">
        <v>298.39999999999998</v>
      </c>
      <c r="O59" s="77">
        <v>0</v>
      </c>
      <c r="P59" s="77">
        <v>0.57999999999999996</v>
      </c>
      <c r="Q59" s="77">
        <v>9.25</v>
      </c>
    </row>
    <row r="60" spans="1:17" s="12" customFormat="1" x14ac:dyDescent="0.25">
      <c r="A60" s="64" t="s">
        <v>2028</v>
      </c>
      <c r="B60" s="77">
        <v>11.58</v>
      </c>
      <c r="C60" s="77">
        <v>16.55</v>
      </c>
      <c r="D60" s="77">
        <v>19.07</v>
      </c>
      <c r="E60" s="77">
        <v>3.63</v>
      </c>
      <c r="F60" s="77">
        <v>6.89</v>
      </c>
      <c r="G60" s="77">
        <v>56.73</v>
      </c>
      <c r="H60" s="77">
        <v>26.49</v>
      </c>
      <c r="I60" s="77">
        <v>3.35</v>
      </c>
      <c r="J60" s="77">
        <v>1.99</v>
      </c>
      <c r="K60" s="77">
        <v>113.51</v>
      </c>
      <c r="L60" s="77">
        <v>24.4</v>
      </c>
      <c r="M60" s="77">
        <v>95.38</v>
      </c>
      <c r="N60" s="77">
        <v>139</v>
      </c>
      <c r="O60" s="77">
        <v>1.8</v>
      </c>
      <c r="P60" s="77">
        <v>0.56000000000000005</v>
      </c>
      <c r="Q60" s="77">
        <v>10.35</v>
      </c>
    </row>
    <row r="61" spans="1:17" s="12" customFormat="1" x14ac:dyDescent="0.25">
      <c r="A61" s="64" t="s">
        <v>2029</v>
      </c>
      <c r="B61" s="77">
        <v>10.7</v>
      </c>
      <c r="C61" s="77">
        <v>15.16</v>
      </c>
      <c r="D61" s="77">
        <v>17.600000000000001</v>
      </c>
      <c r="E61" s="77">
        <v>3.76</v>
      </c>
      <c r="F61" s="77">
        <v>6.81</v>
      </c>
      <c r="G61" s="77">
        <v>57.11</v>
      </c>
      <c r="H61" s="77">
        <v>26.49</v>
      </c>
      <c r="I61" s="77">
        <v>3.22</v>
      </c>
      <c r="J61" s="77">
        <v>1.57</v>
      </c>
      <c r="K61" s="77">
        <v>119.56</v>
      </c>
      <c r="L61" s="77">
        <v>23.49</v>
      </c>
      <c r="M61" s="77">
        <v>97.2</v>
      </c>
      <c r="N61" s="77">
        <v>142</v>
      </c>
      <c r="O61" s="77">
        <v>0.2</v>
      </c>
      <c r="P61" s="77">
        <v>0.52</v>
      </c>
      <c r="Q61" s="77">
        <v>11.97</v>
      </c>
    </row>
    <row r="62" spans="1:17" s="12" customFormat="1" x14ac:dyDescent="0.25">
      <c r="A62" s="64" t="s">
        <v>2030</v>
      </c>
      <c r="B62" s="77">
        <v>9.61</v>
      </c>
      <c r="C62" s="77">
        <v>14.98</v>
      </c>
      <c r="D62" s="77">
        <v>16.62</v>
      </c>
      <c r="E62" s="77">
        <v>3.8</v>
      </c>
      <c r="F62" s="77">
        <v>6.88</v>
      </c>
      <c r="G62" s="77">
        <v>57.11</v>
      </c>
      <c r="H62" s="77">
        <v>26.49</v>
      </c>
      <c r="I62" s="77">
        <v>3.48</v>
      </c>
      <c r="J62" s="77">
        <v>0.73</v>
      </c>
      <c r="K62" s="77">
        <v>105.65</v>
      </c>
      <c r="L62" s="77">
        <v>23.87</v>
      </c>
      <c r="M62" s="77">
        <v>97.21</v>
      </c>
      <c r="N62" s="77">
        <v>216.3</v>
      </c>
      <c r="O62" s="77">
        <v>0</v>
      </c>
      <c r="P62" s="77">
        <v>0.53</v>
      </c>
      <c r="Q62" s="77">
        <v>12.58</v>
      </c>
    </row>
    <row r="63" spans="1:17" s="12" customFormat="1" x14ac:dyDescent="0.25">
      <c r="A63" s="64" t="s">
        <v>2031</v>
      </c>
      <c r="B63" s="77">
        <v>15.1</v>
      </c>
      <c r="C63" s="77">
        <v>15.2</v>
      </c>
      <c r="D63" s="77">
        <v>21.15</v>
      </c>
      <c r="E63" s="77">
        <v>3.35</v>
      </c>
      <c r="F63" s="77">
        <v>5.14</v>
      </c>
      <c r="G63" s="77">
        <v>57.11</v>
      </c>
      <c r="H63" s="77">
        <v>26.49</v>
      </c>
      <c r="I63" s="77">
        <v>3.53</v>
      </c>
      <c r="J63" s="77">
        <v>0.43</v>
      </c>
      <c r="K63" s="77">
        <v>84.96</v>
      </c>
      <c r="L63" s="77">
        <v>24.22</v>
      </c>
      <c r="M63" s="77">
        <v>97.12</v>
      </c>
      <c r="N63" s="77">
        <v>193.7</v>
      </c>
      <c r="O63" s="77">
        <v>0</v>
      </c>
      <c r="P63" s="77">
        <v>0.56000000000000005</v>
      </c>
      <c r="Q63" s="77">
        <v>11.21</v>
      </c>
    </row>
    <row r="64" spans="1:17" s="12" customFormat="1" x14ac:dyDescent="0.25">
      <c r="A64" s="64" t="s">
        <v>2032</v>
      </c>
      <c r="B64" s="77">
        <v>12.7</v>
      </c>
      <c r="C64" s="77">
        <v>16.84</v>
      </c>
      <c r="D64" s="77">
        <v>20.12</v>
      </c>
      <c r="E64" s="77">
        <v>3.47</v>
      </c>
      <c r="F64" s="77">
        <v>5.45</v>
      </c>
      <c r="G64" s="77">
        <v>37.01</v>
      </c>
      <c r="H64" s="77">
        <v>22.83</v>
      </c>
      <c r="I64" s="77">
        <v>3.6</v>
      </c>
      <c r="J64" s="77">
        <v>0.37</v>
      </c>
      <c r="K64" s="77">
        <v>97.37</v>
      </c>
      <c r="L64" s="77">
        <v>23.97</v>
      </c>
      <c r="M64" s="77">
        <v>96.87</v>
      </c>
      <c r="N64" s="77">
        <v>186</v>
      </c>
      <c r="O64" s="77">
        <v>0</v>
      </c>
      <c r="P64" s="77">
        <v>0.56999999999999995</v>
      </c>
      <c r="Q64" s="77">
        <v>9.25</v>
      </c>
    </row>
    <row r="65" spans="1:17" s="12" customFormat="1" x14ac:dyDescent="0.25">
      <c r="A65" s="64" t="s">
        <v>2033</v>
      </c>
      <c r="B65" s="77">
        <v>14.55</v>
      </c>
      <c r="C65" s="77">
        <v>20.63</v>
      </c>
      <c r="D65" s="77">
        <v>23.7</v>
      </c>
      <c r="E65" s="77">
        <v>3.45</v>
      </c>
      <c r="F65" s="77">
        <v>5.6</v>
      </c>
      <c r="G65" s="77">
        <v>36.08</v>
      </c>
      <c r="H65" s="77">
        <v>22.83</v>
      </c>
      <c r="I65" s="77">
        <v>3.32</v>
      </c>
      <c r="J65" s="77">
        <v>0.18</v>
      </c>
      <c r="K65" s="77">
        <v>61.7</v>
      </c>
      <c r="L65" s="77">
        <v>24.12</v>
      </c>
      <c r="M65" s="77">
        <v>94.76</v>
      </c>
      <c r="N65" s="77">
        <v>195.7</v>
      </c>
      <c r="O65" s="77">
        <v>0</v>
      </c>
      <c r="P65" s="77">
        <v>0.56999999999999995</v>
      </c>
      <c r="Q65" s="77">
        <v>9.43</v>
      </c>
    </row>
    <row r="66" spans="1:17" s="12" customFormat="1" x14ac:dyDescent="0.25">
      <c r="A66" s="64" t="s">
        <v>2034</v>
      </c>
      <c r="B66" s="77">
        <v>15.03</v>
      </c>
      <c r="C66" s="77">
        <v>15.64</v>
      </c>
      <c r="D66" s="77">
        <v>21.33</v>
      </c>
      <c r="E66" s="77">
        <v>3.74</v>
      </c>
      <c r="F66" s="77">
        <v>5.83</v>
      </c>
      <c r="G66" s="77">
        <v>36.08</v>
      </c>
      <c r="H66" s="77">
        <v>22.83</v>
      </c>
      <c r="I66" s="77">
        <v>3.55</v>
      </c>
      <c r="J66" s="77">
        <v>0.26</v>
      </c>
      <c r="K66" s="77">
        <v>77.41</v>
      </c>
      <c r="L66" s="77">
        <v>24.27</v>
      </c>
      <c r="M66" s="77">
        <v>93.71</v>
      </c>
      <c r="N66" s="77">
        <v>243.3</v>
      </c>
      <c r="O66" s="77">
        <v>0</v>
      </c>
      <c r="P66" s="77">
        <v>0.59</v>
      </c>
      <c r="Q66" s="77">
        <v>7.81</v>
      </c>
    </row>
    <row r="67" spans="1:17" s="12" customFormat="1" x14ac:dyDescent="0.25">
      <c r="A67" s="64" t="s">
        <v>2035</v>
      </c>
      <c r="B67" s="77">
        <v>17.02</v>
      </c>
      <c r="C67" s="77">
        <v>18.53</v>
      </c>
      <c r="D67" s="77">
        <v>24.52</v>
      </c>
      <c r="E67" s="77">
        <v>3.62</v>
      </c>
      <c r="F67" s="77">
        <v>4.96</v>
      </c>
      <c r="G67" s="77">
        <v>36.08</v>
      </c>
      <c r="H67" s="77">
        <v>22.83</v>
      </c>
      <c r="I67" s="77">
        <v>3.3</v>
      </c>
      <c r="J67" s="77">
        <v>0.65</v>
      </c>
      <c r="K67" s="77">
        <v>6.37</v>
      </c>
      <c r="L67" s="77">
        <v>25.5</v>
      </c>
      <c r="M67" s="77">
        <v>91.73</v>
      </c>
      <c r="N67" s="77">
        <v>536.6</v>
      </c>
      <c r="O67" s="77">
        <v>0</v>
      </c>
      <c r="P67" s="77">
        <v>0.65</v>
      </c>
      <c r="Q67" s="77">
        <v>8.1199999999999992</v>
      </c>
    </row>
    <row r="68" spans="1:17" s="12" customFormat="1" x14ac:dyDescent="0.25">
      <c r="A68" s="64" t="s">
        <v>2036</v>
      </c>
      <c r="B68" s="77">
        <v>16.71</v>
      </c>
      <c r="C68" s="77">
        <v>16.82</v>
      </c>
      <c r="D68" s="77">
        <v>23.33</v>
      </c>
      <c r="E68" s="77">
        <v>3.49</v>
      </c>
      <c r="F68" s="77">
        <v>4.22</v>
      </c>
      <c r="G68" s="77">
        <v>28.67</v>
      </c>
      <c r="H68" s="77">
        <v>17.48</v>
      </c>
      <c r="I68" s="77">
        <v>3.47</v>
      </c>
      <c r="J68" s="77">
        <v>0.33</v>
      </c>
      <c r="K68" s="77">
        <v>75.94</v>
      </c>
      <c r="L68" s="77">
        <v>26.27</v>
      </c>
      <c r="M68" s="77">
        <v>84.47</v>
      </c>
      <c r="N68" s="77">
        <v>482.4</v>
      </c>
      <c r="O68" s="77">
        <v>0</v>
      </c>
      <c r="P68" s="77">
        <v>0.63</v>
      </c>
      <c r="Q68" s="77">
        <v>7.24</v>
      </c>
    </row>
    <row r="69" spans="1:17" s="12" customFormat="1" x14ac:dyDescent="0.25">
      <c r="A69" s="64" t="s">
        <v>2037</v>
      </c>
      <c r="B69" s="77">
        <v>13.99</v>
      </c>
      <c r="C69" s="77">
        <v>14.97</v>
      </c>
      <c r="D69" s="77">
        <v>20.13</v>
      </c>
      <c r="E69" s="77">
        <v>3.57</v>
      </c>
      <c r="F69" s="77">
        <v>8.58</v>
      </c>
      <c r="G69" s="77">
        <v>28.41</v>
      </c>
      <c r="H69" s="77">
        <v>17.48</v>
      </c>
      <c r="I69" s="77">
        <v>3.3</v>
      </c>
      <c r="J69" s="77">
        <v>0.93</v>
      </c>
      <c r="K69" s="77">
        <v>114.36</v>
      </c>
      <c r="L69" s="77">
        <v>26.16</v>
      </c>
      <c r="M69" s="77">
        <v>84.06</v>
      </c>
      <c r="N69" s="77">
        <v>331.5</v>
      </c>
      <c r="O69" s="77">
        <v>0</v>
      </c>
      <c r="P69" s="77">
        <v>0.56999999999999995</v>
      </c>
      <c r="Q69" s="77">
        <v>7.85</v>
      </c>
    </row>
    <row r="70" spans="1:17" s="12" customFormat="1" x14ac:dyDescent="0.25">
      <c r="A70" s="64" t="s">
        <v>2038</v>
      </c>
      <c r="B70" s="77">
        <v>12.32</v>
      </c>
      <c r="C70" s="77">
        <v>15.12</v>
      </c>
      <c r="D70" s="77">
        <v>18.87</v>
      </c>
      <c r="E70" s="77">
        <v>3.58</v>
      </c>
      <c r="F70" s="77">
        <v>8.99</v>
      </c>
      <c r="G70" s="77">
        <v>28.41</v>
      </c>
      <c r="H70" s="77">
        <v>17.48</v>
      </c>
      <c r="I70" s="77">
        <v>3.52</v>
      </c>
      <c r="J70" s="77">
        <v>1.1200000000000001</v>
      </c>
      <c r="K70" s="77">
        <v>113.98</v>
      </c>
      <c r="L70" s="77">
        <v>26.55</v>
      </c>
      <c r="M70" s="77">
        <v>79.41</v>
      </c>
      <c r="N70" s="77">
        <v>314.3</v>
      </c>
      <c r="O70" s="77">
        <v>0</v>
      </c>
      <c r="P70" s="77">
        <v>0.56999999999999995</v>
      </c>
      <c r="Q70" s="77">
        <v>9.2899999999999991</v>
      </c>
    </row>
    <row r="71" spans="1:17" s="12" customFormat="1" x14ac:dyDescent="0.25">
      <c r="A71" s="64" t="s">
        <v>2039</v>
      </c>
      <c r="B71" s="77">
        <v>13.26</v>
      </c>
      <c r="C71" s="77">
        <v>16.059999999999999</v>
      </c>
      <c r="D71" s="77">
        <v>20.149999999999999</v>
      </c>
      <c r="E71" s="77">
        <v>3.76</v>
      </c>
      <c r="F71" s="77">
        <v>10.52</v>
      </c>
      <c r="G71" s="77">
        <v>28.41</v>
      </c>
      <c r="H71" s="77">
        <v>17.48</v>
      </c>
      <c r="I71" s="77">
        <v>3.33</v>
      </c>
      <c r="J71" s="77">
        <v>0.98</v>
      </c>
      <c r="K71" s="77">
        <v>107.05</v>
      </c>
      <c r="L71" s="77">
        <v>26.62</v>
      </c>
      <c r="M71" s="77">
        <v>78.680000000000007</v>
      </c>
      <c r="N71" s="77">
        <v>352.5</v>
      </c>
      <c r="O71" s="77">
        <v>0</v>
      </c>
      <c r="P71" s="77">
        <v>0.53</v>
      </c>
      <c r="Q71" s="77">
        <v>10.96</v>
      </c>
    </row>
    <row r="72" spans="1:17" s="12" customFormat="1" x14ac:dyDescent="0.25">
      <c r="A72" s="64" t="s">
        <v>2040</v>
      </c>
      <c r="B72" s="77">
        <v>10.17</v>
      </c>
      <c r="C72" s="77">
        <v>14.81</v>
      </c>
      <c r="D72" s="77">
        <v>16.98</v>
      </c>
      <c r="E72" s="77">
        <v>2</v>
      </c>
      <c r="F72" s="77">
        <v>9.07</v>
      </c>
      <c r="G72" s="77">
        <v>36.549999999999997</v>
      </c>
      <c r="H72" s="77">
        <v>13.07</v>
      </c>
      <c r="I72" s="77">
        <v>3.25</v>
      </c>
      <c r="J72" s="77">
        <v>1.35</v>
      </c>
      <c r="K72" s="77">
        <v>113.16</v>
      </c>
      <c r="L72" s="77">
        <v>26.7</v>
      </c>
      <c r="M72" s="77">
        <v>79.69</v>
      </c>
      <c r="N72" s="77">
        <v>465.4</v>
      </c>
      <c r="O72" s="77">
        <v>0</v>
      </c>
      <c r="P72" s="77">
        <v>0.52</v>
      </c>
      <c r="Q72" s="77">
        <v>12.04</v>
      </c>
    </row>
    <row r="73" spans="1:17" s="12" customFormat="1" x14ac:dyDescent="0.25">
      <c r="A73" s="64" t="s">
        <v>2041</v>
      </c>
      <c r="B73" s="77">
        <v>10.81</v>
      </c>
      <c r="C73" s="77">
        <v>14.43</v>
      </c>
      <c r="D73" s="77">
        <v>17.28</v>
      </c>
      <c r="E73" s="77">
        <v>3.35</v>
      </c>
      <c r="F73" s="77">
        <v>10.91</v>
      </c>
      <c r="G73" s="77">
        <v>36.83</v>
      </c>
      <c r="H73" s="77">
        <v>13.07</v>
      </c>
      <c r="I73" s="77">
        <v>3.13</v>
      </c>
      <c r="J73" s="77">
        <v>0.84</v>
      </c>
      <c r="K73" s="77">
        <v>106.33</v>
      </c>
      <c r="L73" s="77">
        <v>26.95</v>
      </c>
      <c r="M73" s="77">
        <v>79.41</v>
      </c>
      <c r="N73" s="77">
        <v>390.9</v>
      </c>
      <c r="O73" s="77">
        <v>0</v>
      </c>
      <c r="P73" s="77">
        <v>0.49</v>
      </c>
      <c r="Q73" s="77">
        <v>12.83</v>
      </c>
    </row>
    <row r="74" spans="1:17" s="12" customFormat="1" x14ac:dyDescent="0.25">
      <c r="A74" s="64" t="s">
        <v>2042</v>
      </c>
      <c r="B74" s="77">
        <v>10.06</v>
      </c>
      <c r="C74" s="77">
        <v>14.11</v>
      </c>
      <c r="D74" s="77">
        <v>16.5</v>
      </c>
      <c r="E74" s="77">
        <v>2.74</v>
      </c>
      <c r="F74" s="77">
        <v>5.13</v>
      </c>
      <c r="G74" s="77">
        <v>36.83</v>
      </c>
      <c r="H74" s="77">
        <v>13.07</v>
      </c>
      <c r="I74" s="77">
        <v>3.38</v>
      </c>
      <c r="J74" s="77">
        <v>1.4</v>
      </c>
      <c r="K74" s="77">
        <v>119.25</v>
      </c>
      <c r="L74" s="77">
        <v>26.74</v>
      </c>
      <c r="M74" s="77">
        <v>79.69</v>
      </c>
      <c r="N74" s="77">
        <v>203.1</v>
      </c>
      <c r="O74" s="77">
        <v>0</v>
      </c>
      <c r="P74" s="77">
        <v>0.51</v>
      </c>
      <c r="Q74" s="77">
        <v>13.19</v>
      </c>
    </row>
    <row r="75" spans="1:17" s="12" customFormat="1" x14ac:dyDescent="0.25">
      <c r="A75" s="64" t="s">
        <v>2043</v>
      </c>
      <c r="B75" s="77">
        <v>11.12</v>
      </c>
      <c r="C75" s="77">
        <v>15.31</v>
      </c>
      <c r="D75" s="77">
        <v>18.02</v>
      </c>
      <c r="E75" s="77">
        <v>3.39</v>
      </c>
      <c r="F75" s="77">
        <v>6.61</v>
      </c>
      <c r="G75" s="77">
        <v>36.83</v>
      </c>
      <c r="H75" s="77">
        <v>13.07</v>
      </c>
      <c r="I75" s="77">
        <v>3.53</v>
      </c>
      <c r="J75" s="77">
        <v>1.08</v>
      </c>
      <c r="K75" s="77">
        <v>115.94</v>
      </c>
      <c r="L75" s="77">
        <v>26.68</v>
      </c>
      <c r="M75" s="77">
        <v>80.25</v>
      </c>
      <c r="N75" s="77">
        <v>113.7</v>
      </c>
      <c r="O75" s="77">
        <v>0</v>
      </c>
      <c r="P75" s="77">
        <v>0.51</v>
      </c>
      <c r="Q75" s="77">
        <v>11.89</v>
      </c>
    </row>
    <row r="76" spans="1:17" s="12" customFormat="1" x14ac:dyDescent="0.25">
      <c r="A76" s="64" t="s">
        <v>2044</v>
      </c>
      <c r="B76" s="77">
        <v>10.81</v>
      </c>
      <c r="C76" s="77">
        <v>15.11</v>
      </c>
      <c r="D76" s="77">
        <v>17.649999999999999</v>
      </c>
      <c r="E76" s="77">
        <v>3</v>
      </c>
      <c r="F76" s="77">
        <v>6.02</v>
      </c>
      <c r="G76" s="77">
        <v>30.44</v>
      </c>
      <c r="H76" s="77">
        <v>12.16</v>
      </c>
      <c r="I76" s="77">
        <v>3.47</v>
      </c>
      <c r="J76" s="77">
        <v>0.53</v>
      </c>
      <c r="K76" s="77">
        <v>43.53</v>
      </c>
      <c r="L76" s="77">
        <v>26.4</v>
      </c>
      <c r="M76" s="77">
        <v>82.11</v>
      </c>
      <c r="N76" s="77">
        <v>88.5</v>
      </c>
      <c r="O76" s="77">
        <v>0</v>
      </c>
      <c r="P76" s="77">
        <v>0.51</v>
      </c>
      <c r="Q76" s="77">
        <v>9.85</v>
      </c>
    </row>
    <row r="77" spans="1:17" s="12" customFormat="1" x14ac:dyDescent="0.25">
      <c r="A77" s="64" t="s">
        <v>2045</v>
      </c>
      <c r="B77" s="77">
        <v>12.92</v>
      </c>
      <c r="C77" s="77">
        <v>20.77</v>
      </c>
      <c r="D77" s="77">
        <v>22.47</v>
      </c>
      <c r="E77" s="77">
        <v>3.24</v>
      </c>
      <c r="F77" s="77">
        <v>6.95</v>
      </c>
      <c r="G77" s="77">
        <v>30.22</v>
      </c>
      <c r="H77" s="77">
        <v>12.16</v>
      </c>
      <c r="I77" s="77">
        <v>3.12</v>
      </c>
      <c r="J77" s="77">
        <v>0.23</v>
      </c>
      <c r="K77" s="77">
        <v>79.78</v>
      </c>
      <c r="L77" s="77">
        <v>25.64</v>
      </c>
      <c r="M77" s="77">
        <v>84.52</v>
      </c>
      <c r="N77" s="77">
        <v>68.900000000000006</v>
      </c>
      <c r="O77" s="77">
        <v>0</v>
      </c>
      <c r="P77" s="77">
        <v>0.6</v>
      </c>
      <c r="Q77" s="77">
        <v>9.85</v>
      </c>
    </row>
    <row r="78" spans="1:17" s="12" customFormat="1" x14ac:dyDescent="0.25">
      <c r="A78" s="64" t="s">
        <v>2046</v>
      </c>
      <c r="B78" s="77">
        <v>17.079999999999998</v>
      </c>
      <c r="C78" s="77">
        <v>22.29</v>
      </c>
      <c r="D78" s="77">
        <v>26.64</v>
      </c>
      <c r="E78" s="77">
        <v>3.82</v>
      </c>
      <c r="F78" s="77">
        <v>7.96</v>
      </c>
      <c r="G78" s="77">
        <v>30.22</v>
      </c>
      <c r="H78" s="77">
        <v>12.16</v>
      </c>
      <c r="I78" s="77">
        <v>3.47</v>
      </c>
      <c r="J78" s="77">
        <v>0.25</v>
      </c>
      <c r="K78" s="77">
        <v>8.75</v>
      </c>
      <c r="L78" s="77">
        <v>25.68</v>
      </c>
      <c r="M78" s="77">
        <v>85.04</v>
      </c>
      <c r="N78" s="77">
        <v>85.5</v>
      </c>
      <c r="O78" s="77">
        <v>0</v>
      </c>
      <c r="P78" s="77">
        <v>0.72</v>
      </c>
      <c r="Q78" s="77">
        <v>8.84</v>
      </c>
    </row>
    <row r="79" spans="1:17" s="12" customFormat="1" x14ac:dyDescent="0.25">
      <c r="A79" s="64" t="s">
        <v>2047</v>
      </c>
      <c r="B79" s="77">
        <v>14.53</v>
      </c>
      <c r="C79" s="77">
        <v>19.46</v>
      </c>
      <c r="D79" s="77">
        <v>23.03</v>
      </c>
      <c r="E79" s="77">
        <v>3.35</v>
      </c>
      <c r="F79" s="77">
        <v>7.47</v>
      </c>
      <c r="G79" s="77">
        <v>30.22</v>
      </c>
      <c r="H79" s="77">
        <v>12.16</v>
      </c>
      <c r="I79" s="77">
        <v>3.39</v>
      </c>
      <c r="J79" s="77">
        <v>0.25</v>
      </c>
      <c r="K79" s="77">
        <v>82.63</v>
      </c>
      <c r="L79" s="77">
        <v>25.61</v>
      </c>
      <c r="M79" s="77">
        <v>85.76</v>
      </c>
      <c r="N79" s="77">
        <v>97.7</v>
      </c>
      <c r="O79" s="77">
        <v>0</v>
      </c>
      <c r="P79" s="77">
        <v>0.68</v>
      </c>
      <c r="Q79" s="77">
        <v>8.4</v>
      </c>
    </row>
    <row r="80" spans="1:17" s="12" customFormat="1" x14ac:dyDescent="0.25">
      <c r="A80" s="64" t="s">
        <v>2048</v>
      </c>
      <c r="B80" s="77">
        <v>16.079999999999998</v>
      </c>
      <c r="C80" s="77">
        <v>28.04</v>
      </c>
      <c r="D80" s="77">
        <v>29.01</v>
      </c>
      <c r="E80" s="77">
        <v>3.12</v>
      </c>
      <c r="F80" s="77">
        <v>10.52</v>
      </c>
      <c r="G80" s="77">
        <v>50.63</v>
      </c>
      <c r="H80" s="77">
        <v>15.91</v>
      </c>
      <c r="I80" s="77">
        <v>3.69</v>
      </c>
      <c r="J80" s="77">
        <v>0.16</v>
      </c>
      <c r="K80" s="77">
        <v>5.5</v>
      </c>
      <c r="L80" s="77">
        <v>25.69</v>
      </c>
      <c r="M80" s="77">
        <v>86.33</v>
      </c>
      <c r="N80" s="77">
        <v>76.900000000000006</v>
      </c>
      <c r="O80" s="77">
        <v>0</v>
      </c>
      <c r="P80" s="77">
        <v>0.97</v>
      </c>
      <c r="Q80" s="77">
        <v>8.64</v>
      </c>
    </row>
    <row r="81" spans="1:17" s="12" customFormat="1" x14ac:dyDescent="0.25">
      <c r="A81" s="64" t="s">
        <v>2049</v>
      </c>
      <c r="B81" s="77">
        <v>17.23</v>
      </c>
      <c r="C81" s="77">
        <v>35.26</v>
      </c>
      <c r="D81" s="77">
        <v>33.92</v>
      </c>
      <c r="E81" s="77">
        <v>3.4</v>
      </c>
      <c r="F81" s="77">
        <v>14.72</v>
      </c>
      <c r="G81" s="77">
        <v>51.34</v>
      </c>
      <c r="H81" s="77">
        <v>15.91</v>
      </c>
      <c r="I81" s="77">
        <v>3.78</v>
      </c>
      <c r="J81" s="77">
        <v>0.44</v>
      </c>
      <c r="K81" s="77">
        <v>115.77</v>
      </c>
      <c r="L81" s="77">
        <v>25.63</v>
      </c>
      <c r="M81" s="77">
        <v>86.77</v>
      </c>
      <c r="N81" s="77">
        <v>72.599999999999994</v>
      </c>
      <c r="O81" s="77">
        <v>0</v>
      </c>
      <c r="P81" s="77">
        <v>0.84</v>
      </c>
      <c r="Q81" s="77">
        <v>8.27</v>
      </c>
    </row>
    <row r="82" spans="1:17" s="12" customFormat="1" x14ac:dyDescent="0.25">
      <c r="A82" s="64" t="s">
        <v>2050</v>
      </c>
      <c r="B82" s="77">
        <v>8.4700000000000006</v>
      </c>
      <c r="C82" s="77">
        <v>31.84</v>
      </c>
      <c r="D82" s="77">
        <v>25.01</v>
      </c>
      <c r="E82" s="77">
        <v>3.13</v>
      </c>
      <c r="F82" s="77">
        <v>22.02</v>
      </c>
      <c r="G82" s="77">
        <v>51.34</v>
      </c>
      <c r="H82" s="77">
        <v>15.91</v>
      </c>
      <c r="I82" s="77">
        <v>4.1900000000000004</v>
      </c>
      <c r="J82" s="77">
        <v>0.26</v>
      </c>
      <c r="K82" s="77">
        <v>125.78</v>
      </c>
      <c r="L82" s="77">
        <v>25.6</v>
      </c>
      <c r="M82" s="77">
        <v>86.99</v>
      </c>
      <c r="N82" s="77">
        <v>54.4</v>
      </c>
      <c r="O82" s="77">
        <v>0</v>
      </c>
      <c r="P82" s="77">
        <v>0.71</v>
      </c>
      <c r="Q82" s="77">
        <v>9.75</v>
      </c>
    </row>
    <row r="83" spans="1:17" s="12" customFormat="1" x14ac:dyDescent="0.25">
      <c r="A83" s="64" t="s">
        <v>2051</v>
      </c>
      <c r="B83" s="77">
        <v>7.47</v>
      </c>
      <c r="C83" s="77">
        <v>39.700000000000003</v>
      </c>
      <c r="D83" s="77">
        <v>28.54</v>
      </c>
      <c r="E83" s="77">
        <v>3.12</v>
      </c>
      <c r="F83" s="77">
        <v>18.04</v>
      </c>
      <c r="G83" s="77">
        <v>51.34</v>
      </c>
      <c r="H83" s="77">
        <v>15.91</v>
      </c>
      <c r="I83" s="77">
        <v>3.78</v>
      </c>
      <c r="J83" s="77">
        <v>0.09</v>
      </c>
      <c r="K83" s="77">
        <v>241.77</v>
      </c>
      <c r="L83" s="77">
        <v>25.41</v>
      </c>
      <c r="M83" s="77">
        <v>89.36</v>
      </c>
      <c r="N83" s="77">
        <v>42.7</v>
      </c>
      <c r="O83" s="77">
        <v>0</v>
      </c>
      <c r="P83" s="77">
        <v>0.89</v>
      </c>
      <c r="Q83" s="77">
        <v>10.48</v>
      </c>
    </row>
    <row r="84" spans="1:17" s="12" customFormat="1" x14ac:dyDescent="0.25">
      <c r="A84" s="64" t="s">
        <v>2052</v>
      </c>
      <c r="B84" s="77">
        <v>9.09</v>
      </c>
      <c r="C84" s="77">
        <v>35.56</v>
      </c>
      <c r="D84" s="77">
        <v>27.56</v>
      </c>
      <c r="E84" s="77">
        <v>3.24</v>
      </c>
      <c r="F84" s="77">
        <v>17.52</v>
      </c>
      <c r="G84" s="77">
        <v>60</v>
      </c>
      <c r="H84" s="77">
        <v>19.88</v>
      </c>
      <c r="I84" s="77">
        <v>3.39</v>
      </c>
      <c r="J84" s="77">
        <v>0.05</v>
      </c>
      <c r="K84" s="77">
        <v>276.61</v>
      </c>
      <c r="L84" s="77">
        <v>25.15</v>
      </c>
      <c r="M84" s="77">
        <v>91.09</v>
      </c>
      <c r="N84" s="77">
        <v>38.6</v>
      </c>
      <c r="O84" s="77">
        <v>0</v>
      </c>
      <c r="P84" s="77">
        <v>0.97</v>
      </c>
      <c r="Q84" s="77">
        <v>10.82</v>
      </c>
    </row>
    <row r="85" spans="1:17" s="12" customFormat="1" x14ac:dyDescent="0.25">
      <c r="A85" s="64" t="s">
        <v>2053</v>
      </c>
      <c r="B85" s="77">
        <v>24.5</v>
      </c>
      <c r="C85" s="77">
        <v>42.19</v>
      </c>
      <c r="D85" s="77">
        <v>43.58</v>
      </c>
      <c r="E85" s="77">
        <v>2.95</v>
      </c>
      <c r="F85" s="77">
        <v>5.77</v>
      </c>
      <c r="G85" s="77">
        <v>60.3</v>
      </c>
      <c r="H85" s="77">
        <v>19.88</v>
      </c>
      <c r="I85" s="77">
        <v>3.72</v>
      </c>
      <c r="J85" s="77">
        <v>0.09</v>
      </c>
      <c r="K85" s="77">
        <v>1.01</v>
      </c>
      <c r="L85" s="77">
        <v>25.08</v>
      </c>
      <c r="M85" s="77">
        <v>94.38</v>
      </c>
      <c r="N85" s="77">
        <v>38.299999999999997</v>
      </c>
      <c r="O85" s="77">
        <v>0</v>
      </c>
      <c r="P85" s="77">
        <v>1.59</v>
      </c>
      <c r="Q85" s="77">
        <v>11.1</v>
      </c>
    </row>
    <row r="86" spans="1:17" s="12" customFormat="1" x14ac:dyDescent="0.25">
      <c r="A86" s="64" t="s">
        <v>2054</v>
      </c>
      <c r="B86" s="77">
        <v>31.76</v>
      </c>
      <c r="C86" s="77">
        <v>39.72</v>
      </c>
      <c r="D86" s="77">
        <v>48.04</v>
      </c>
      <c r="E86" s="77">
        <v>3.63</v>
      </c>
      <c r="F86" s="77">
        <v>3.86</v>
      </c>
      <c r="G86" s="77">
        <v>60.3</v>
      </c>
      <c r="H86" s="77">
        <v>19.88</v>
      </c>
      <c r="I86" s="77">
        <v>4.8099999999999996</v>
      </c>
      <c r="J86" s="77">
        <v>0.1</v>
      </c>
      <c r="K86" s="77">
        <v>108.5</v>
      </c>
      <c r="L86" s="77">
        <v>24.89</v>
      </c>
      <c r="M86" s="77">
        <v>96.33</v>
      </c>
      <c r="N86" s="77">
        <v>38.299999999999997</v>
      </c>
      <c r="O86" s="77">
        <v>0</v>
      </c>
      <c r="P86" s="77">
        <v>1.93</v>
      </c>
      <c r="Q86" s="77">
        <v>11.43</v>
      </c>
    </row>
    <row r="87" spans="1:17" s="12" customFormat="1" x14ac:dyDescent="0.25">
      <c r="A87" s="64" t="s">
        <v>2055</v>
      </c>
      <c r="B87" s="77">
        <v>35</v>
      </c>
      <c r="C87" s="77">
        <v>31.58</v>
      </c>
      <c r="D87" s="77">
        <v>46.14</v>
      </c>
      <c r="E87" s="77">
        <v>3.39</v>
      </c>
      <c r="F87" s="77">
        <v>4.33</v>
      </c>
      <c r="G87" s="77">
        <v>60.3</v>
      </c>
      <c r="H87" s="77">
        <v>19.88</v>
      </c>
      <c r="I87" s="77">
        <v>6.43</v>
      </c>
      <c r="J87" s="77">
        <v>0.08</v>
      </c>
      <c r="K87" s="77">
        <v>5.8</v>
      </c>
      <c r="L87" s="77">
        <v>24.79</v>
      </c>
      <c r="M87" s="77">
        <v>97.2</v>
      </c>
      <c r="N87" s="77">
        <v>38.200000000000003</v>
      </c>
      <c r="O87" s="77">
        <v>0</v>
      </c>
      <c r="P87" s="77">
        <v>2</v>
      </c>
      <c r="Q87" s="77">
        <v>9.33</v>
      </c>
    </row>
    <row r="88" spans="1:17" s="12" customFormat="1" x14ac:dyDescent="0.25">
      <c r="A88" s="64" t="s">
        <v>2056</v>
      </c>
      <c r="B88" s="77">
        <v>32.020000000000003</v>
      </c>
      <c r="C88" s="77">
        <v>29.01</v>
      </c>
      <c r="D88" s="77">
        <v>42.33</v>
      </c>
      <c r="E88" s="77">
        <v>2.15</v>
      </c>
      <c r="F88" s="77">
        <v>6.21</v>
      </c>
      <c r="G88" s="77">
        <v>83.5</v>
      </c>
      <c r="H88" s="77">
        <v>33.03</v>
      </c>
      <c r="I88" s="77">
        <v>6.85</v>
      </c>
      <c r="J88" s="77">
        <v>0.06</v>
      </c>
      <c r="K88" s="77">
        <v>348.17</v>
      </c>
      <c r="L88" s="77">
        <v>24.63</v>
      </c>
      <c r="M88" s="77">
        <v>97.2</v>
      </c>
      <c r="N88" s="77">
        <v>38.1</v>
      </c>
      <c r="O88" s="77">
        <v>0</v>
      </c>
      <c r="P88" s="77">
        <v>2.04</v>
      </c>
      <c r="Q88" s="77">
        <v>8.75</v>
      </c>
    </row>
    <row r="89" spans="1:17" s="12" customFormat="1" x14ac:dyDescent="0.25">
      <c r="A89" s="64" t="s">
        <v>2057</v>
      </c>
      <c r="B89" s="77">
        <v>49.7</v>
      </c>
      <c r="C89" s="77">
        <v>28.11</v>
      </c>
      <c r="D89" s="77">
        <v>56.02</v>
      </c>
      <c r="E89" s="77">
        <v>2.71</v>
      </c>
      <c r="F89" s="77">
        <v>3.44</v>
      </c>
      <c r="G89" s="77">
        <v>84.3</v>
      </c>
      <c r="H89" s="77">
        <v>33.03</v>
      </c>
      <c r="I89" s="77">
        <v>6.84</v>
      </c>
      <c r="J89" s="77">
        <v>0.12</v>
      </c>
      <c r="K89" s="77">
        <v>72.61</v>
      </c>
      <c r="L89" s="77">
        <v>24.6</v>
      </c>
      <c r="M89" s="77">
        <v>97.22</v>
      </c>
      <c r="N89" s="77">
        <v>38</v>
      </c>
      <c r="O89" s="77">
        <v>0</v>
      </c>
      <c r="P89" s="77">
        <v>2.65</v>
      </c>
      <c r="Q89" s="77">
        <v>10</v>
      </c>
    </row>
    <row r="90" spans="1:17" s="12" customFormat="1" x14ac:dyDescent="0.25">
      <c r="A90" s="64" t="s">
        <v>2058</v>
      </c>
      <c r="B90" s="77">
        <v>57.23</v>
      </c>
      <c r="C90" s="77">
        <v>35.43</v>
      </c>
      <c r="D90" s="77">
        <v>66.09</v>
      </c>
      <c r="E90" s="77">
        <v>3.62</v>
      </c>
      <c r="F90" s="77">
        <v>4.72</v>
      </c>
      <c r="G90" s="77">
        <v>84.3</v>
      </c>
      <c r="H90" s="77">
        <v>33.03</v>
      </c>
      <c r="I90" s="77">
        <v>7.09</v>
      </c>
      <c r="J90" s="77">
        <v>0.09</v>
      </c>
      <c r="K90" s="77">
        <v>90.54</v>
      </c>
      <c r="L90" s="77">
        <v>24.71</v>
      </c>
      <c r="M90" s="77">
        <v>97.19</v>
      </c>
      <c r="N90" s="77">
        <v>38</v>
      </c>
      <c r="O90" s="77">
        <v>0</v>
      </c>
      <c r="P90" s="77">
        <v>3.03</v>
      </c>
      <c r="Q90" s="77">
        <v>9.83</v>
      </c>
    </row>
    <row r="91" spans="1:17" s="12" customFormat="1" x14ac:dyDescent="0.25">
      <c r="A91" s="64" t="s">
        <v>2059</v>
      </c>
      <c r="B91" s="77">
        <v>45.76</v>
      </c>
      <c r="C91" s="77">
        <v>43.3</v>
      </c>
      <c r="D91" s="77">
        <v>61.24</v>
      </c>
      <c r="E91" s="77">
        <v>3.5</v>
      </c>
      <c r="F91" s="77">
        <v>4.4800000000000004</v>
      </c>
      <c r="G91" s="77">
        <v>84.3</v>
      </c>
      <c r="H91" s="77">
        <v>33.03</v>
      </c>
      <c r="I91" s="77">
        <v>8.3699999999999992</v>
      </c>
      <c r="J91" s="77">
        <v>0.04</v>
      </c>
      <c r="K91" s="77">
        <v>301.38</v>
      </c>
      <c r="L91" s="77">
        <v>24.79</v>
      </c>
      <c r="M91" s="77">
        <v>97.2</v>
      </c>
      <c r="N91" s="77">
        <v>38.1</v>
      </c>
      <c r="O91" s="77">
        <v>0</v>
      </c>
      <c r="P91" s="77">
        <v>3.18</v>
      </c>
      <c r="Q91" s="77">
        <v>11.33</v>
      </c>
    </row>
    <row r="92" spans="1:17" s="12" customFormat="1" x14ac:dyDescent="0.25">
      <c r="A92" s="64" t="s">
        <v>2060</v>
      </c>
      <c r="B92" s="77">
        <v>52.23</v>
      </c>
      <c r="C92" s="77">
        <v>37.090000000000003</v>
      </c>
      <c r="D92" s="77">
        <v>63</v>
      </c>
      <c r="E92" s="77">
        <v>3.72</v>
      </c>
      <c r="F92" s="77">
        <v>5.46</v>
      </c>
      <c r="G92" s="77">
        <v>200.46</v>
      </c>
      <c r="H92" s="77">
        <v>36.840000000000003</v>
      </c>
      <c r="I92" s="77">
        <v>9.89</v>
      </c>
      <c r="J92" s="77">
        <v>0.13</v>
      </c>
      <c r="K92" s="77">
        <v>89.88</v>
      </c>
      <c r="L92" s="77">
        <v>24.88</v>
      </c>
      <c r="M92" s="77">
        <v>97.2</v>
      </c>
      <c r="N92" s="77">
        <v>38.1</v>
      </c>
      <c r="O92" s="77">
        <v>0</v>
      </c>
      <c r="P92" s="77">
        <v>3.33</v>
      </c>
      <c r="Q92" s="77">
        <v>11.59</v>
      </c>
    </row>
    <row r="93" spans="1:17" s="12" customFormat="1" x14ac:dyDescent="0.25">
      <c r="A93" s="64" t="s">
        <v>2061</v>
      </c>
      <c r="B93" s="77">
        <v>53.48</v>
      </c>
      <c r="C93" s="77">
        <v>49.49</v>
      </c>
      <c r="D93" s="77">
        <v>70.849999999999994</v>
      </c>
      <c r="E93" s="77">
        <v>3.67</v>
      </c>
      <c r="F93" s="77">
        <v>6.12</v>
      </c>
      <c r="G93" s="77">
        <v>204.47</v>
      </c>
      <c r="H93" s="77">
        <v>36.840000000000003</v>
      </c>
      <c r="I93" s="77">
        <v>11.47</v>
      </c>
      <c r="J93" s="77">
        <v>0.06</v>
      </c>
      <c r="K93" s="77">
        <v>221.89</v>
      </c>
      <c r="L93" s="77">
        <v>24.88</v>
      </c>
      <c r="M93" s="77">
        <v>97.19</v>
      </c>
      <c r="N93" s="77">
        <v>38.1</v>
      </c>
      <c r="O93" s="77">
        <v>0</v>
      </c>
      <c r="P93" s="77">
        <v>3.73</v>
      </c>
      <c r="Q93" s="77">
        <v>13.48</v>
      </c>
    </row>
    <row r="94" spans="1:17" s="12" customFormat="1" x14ac:dyDescent="0.25">
      <c r="A94" s="64" t="s">
        <v>2062</v>
      </c>
      <c r="B94" s="77">
        <v>77.900000000000006</v>
      </c>
      <c r="C94" s="77">
        <v>42.77</v>
      </c>
      <c r="D94" s="77">
        <v>86.72</v>
      </c>
      <c r="E94" s="77">
        <v>4.29</v>
      </c>
      <c r="F94" s="77">
        <v>5.36</v>
      </c>
      <c r="G94" s="77">
        <v>204.47</v>
      </c>
      <c r="H94" s="77">
        <v>36.840000000000003</v>
      </c>
      <c r="I94" s="77">
        <v>12</v>
      </c>
      <c r="J94" s="77">
        <v>0.06</v>
      </c>
      <c r="K94" s="77">
        <v>343.06</v>
      </c>
      <c r="L94" s="77">
        <v>24.7</v>
      </c>
      <c r="M94" s="77">
        <v>97.23</v>
      </c>
      <c r="N94" s="77">
        <v>38.200000000000003</v>
      </c>
      <c r="O94" s="77">
        <v>0</v>
      </c>
      <c r="P94" s="77">
        <v>4.41</v>
      </c>
      <c r="Q94" s="77">
        <v>15.71</v>
      </c>
    </row>
    <row r="95" spans="1:17" s="12" customFormat="1" x14ac:dyDescent="0.25">
      <c r="A95" s="64" t="s">
        <v>2063</v>
      </c>
      <c r="B95" s="77">
        <v>46.74</v>
      </c>
      <c r="C95" s="77">
        <v>52.25</v>
      </c>
      <c r="D95" s="77">
        <v>66.959999999999994</v>
      </c>
      <c r="E95" s="77">
        <v>4.1900000000000004</v>
      </c>
      <c r="F95" s="77">
        <v>5.1100000000000003</v>
      </c>
      <c r="G95" s="77">
        <v>204.47</v>
      </c>
      <c r="H95" s="77">
        <v>36.840000000000003</v>
      </c>
      <c r="I95" s="77">
        <v>13.47</v>
      </c>
      <c r="J95" s="77">
        <v>0.09</v>
      </c>
      <c r="K95" s="77">
        <v>233.7</v>
      </c>
      <c r="L95" s="77">
        <v>24.63</v>
      </c>
      <c r="M95" s="77">
        <v>97.2</v>
      </c>
      <c r="N95" s="77">
        <v>38</v>
      </c>
      <c r="O95" s="77">
        <v>0</v>
      </c>
      <c r="P95" s="77">
        <v>3.56</v>
      </c>
      <c r="Q95" s="77">
        <v>17.5</v>
      </c>
    </row>
    <row r="96" spans="1:17" s="12" customFormat="1" x14ac:dyDescent="0.25">
      <c r="A96" s="64" t="s">
        <v>2064</v>
      </c>
      <c r="B96" s="77">
        <v>55.23</v>
      </c>
      <c r="C96" s="77">
        <v>46.7</v>
      </c>
      <c r="D96" s="77">
        <v>70.709999999999994</v>
      </c>
      <c r="E96" s="77">
        <v>4.3600000000000003</v>
      </c>
      <c r="F96" s="77">
        <v>4.97</v>
      </c>
      <c r="G96" s="77">
        <v>153.22</v>
      </c>
      <c r="H96" s="77">
        <v>43.55</v>
      </c>
      <c r="I96" s="77">
        <v>14.32</v>
      </c>
      <c r="J96" s="77">
        <v>0.04</v>
      </c>
      <c r="K96" s="77">
        <v>323.37</v>
      </c>
      <c r="L96" s="77">
        <v>24.67</v>
      </c>
      <c r="M96" s="77">
        <v>97.21</v>
      </c>
      <c r="N96" s="77">
        <v>38.1</v>
      </c>
      <c r="O96" s="77">
        <v>0</v>
      </c>
      <c r="P96" s="77">
        <v>4.1399999999999997</v>
      </c>
      <c r="Q96" s="77">
        <v>18.95</v>
      </c>
    </row>
    <row r="97" spans="1:22" s="12" customFormat="1" x14ac:dyDescent="0.25">
      <c r="A97" s="64" t="s">
        <v>2065</v>
      </c>
      <c r="B97" s="77">
        <v>36.15</v>
      </c>
      <c r="C97" s="77">
        <v>37.840000000000003</v>
      </c>
      <c r="D97" s="77">
        <v>50.52</v>
      </c>
      <c r="E97" s="77">
        <v>3.29</v>
      </c>
      <c r="F97" s="77">
        <v>4.6900000000000004</v>
      </c>
      <c r="G97" s="77">
        <v>151.44999999999999</v>
      </c>
      <c r="H97" s="77">
        <v>43.55</v>
      </c>
      <c r="I97" s="77">
        <v>13.4</v>
      </c>
      <c r="J97" s="77">
        <v>0.25</v>
      </c>
      <c r="K97" s="77">
        <v>202.89</v>
      </c>
      <c r="L97" s="77">
        <v>24.75</v>
      </c>
      <c r="M97" s="77">
        <v>97.2</v>
      </c>
      <c r="N97" s="77">
        <v>38</v>
      </c>
      <c r="O97" s="77">
        <v>0</v>
      </c>
      <c r="P97" s="77">
        <v>2.37</v>
      </c>
      <c r="Q97" s="77">
        <v>19.850000000000001</v>
      </c>
    </row>
    <row r="98" spans="1:22" s="12" customFormat="1" x14ac:dyDescent="0.25">
      <c r="A98" s="64" t="s">
        <v>2066</v>
      </c>
      <c r="B98" s="77">
        <v>29.76</v>
      </c>
      <c r="C98" s="77">
        <v>27.11</v>
      </c>
      <c r="D98" s="77">
        <v>39.47</v>
      </c>
      <c r="E98" s="77">
        <v>2.73</v>
      </c>
      <c r="F98" s="77">
        <v>5.0999999999999996</v>
      </c>
      <c r="G98" s="77">
        <v>151.44999999999999</v>
      </c>
      <c r="H98" s="77">
        <v>43.55</v>
      </c>
      <c r="I98" s="77">
        <v>13.71</v>
      </c>
      <c r="J98" s="77">
        <v>0.14000000000000001</v>
      </c>
      <c r="K98" s="77">
        <v>223.02</v>
      </c>
      <c r="L98" s="77">
        <v>24.69</v>
      </c>
      <c r="M98" s="77">
        <v>97.2</v>
      </c>
      <c r="N98" s="77">
        <v>38.4</v>
      </c>
      <c r="O98" s="77">
        <v>0</v>
      </c>
      <c r="P98" s="77">
        <v>1.96</v>
      </c>
      <c r="Q98" s="77">
        <v>18.5</v>
      </c>
    </row>
    <row r="99" spans="1:22" s="12" customFormat="1" x14ac:dyDescent="0.25">
      <c r="A99" s="64" t="s">
        <v>2067</v>
      </c>
      <c r="B99" s="77">
        <v>37.46</v>
      </c>
      <c r="C99" s="77">
        <v>24.98</v>
      </c>
      <c r="D99" s="77">
        <v>44.47</v>
      </c>
      <c r="E99" s="77">
        <v>2.56</v>
      </c>
      <c r="F99" s="77">
        <v>5.0999999999999996</v>
      </c>
      <c r="G99" s="77">
        <v>151.44999999999999</v>
      </c>
      <c r="H99" s="77">
        <v>43.55</v>
      </c>
      <c r="I99" s="77">
        <v>10.44</v>
      </c>
      <c r="J99" s="77">
        <v>0.18</v>
      </c>
      <c r="K99" s="77">
        <v>5.05</v>
      </c>
      <c r="L99" s="77">
        <v>24.68</v>
      </c>
      <c r="M99" s="77">
        <v>97.21</v>
      </c>
      <c r="N99" s="77">
        <v>38.200000000000003</v>
      </c>
      <c r="O99" s="77">
        <v>0</v>
      </c>
      <c r="P99" s="77">
        <v>2.04</v>
      </c>
      <c r="Q99" s="77">
        <v>15.07</v>
      </c>
    </row>
    <row r="100" spans="1:22" s="12" customFormat="1" x14ac:dyDescent="0.25">
      <c r="A100" s="64" t="s">
        <v>2068</v>
      </c>
      <c r="B100" s="77">
        <v>25.6</v>
      </c>
      <c r="C100" s="77">
        <v>27.56</v>
      </c>
      <c r="D100" s="77">
        <v>36.39</v>
      </c>
      <c r="E100" s="77">
        <v>2.69</v>
      </c>
      <c r="F100" s="77">
        <v>4.09</v>
      </c>
      <c r="G100" s="77">
        <v>113.3</v>
      </c>
      <c r="H100" s="77">
        <v>48.05</v>
      </c>
      <c r="I100" s="77">
        <v>7.99</v>
      </c>
      <c r="J100" s="77">
        <v>0.03</v>
      </c>
      <c r="K100" s="77">
        <v>180.34</v>
      </c>
      <c r="L100" s="77">
        <v>24.65</v>
      </c>
      <c r="M100" s="77">
        <v>97.23</v>
      </c>
      <c r="N100" s="77">
        <v>38.299999999999997</v>
      </c>
      <c r="O100" s="77">
        <v>0</v>
      </c>
      <c r="P100" s="77">
        <v>2.0299999999999998</v>
      </c>
      <c r="Q100" s="77">
        <v>14.84</v>
      </c>
    </row>
    <row r="101" spans="1:22" s="12" customFormat="1" x14ac:dyDescent="0.25">
      <c r="A101" s="64" t="s">
        <v>2069</v>
      </c>
      <c r="B101" s="77">
        <v>30.87</v>
      </c>
      <c r="C101" s="77">
        <v>30.23</v>
      </c>
      <c r="D101" s="77">
        <v>42.08</v>
      </c>
      <c r="E101" s="77">
        <v>2.42</v>
      </c>
      <c r="F101" s="77">
        <v>3.75</v>
      </c>
      <c r="G101" s="77">
        <v>111.98</v>
      </c>
      <c r="H101" s="77">
        <v>48.05</v>
      </c>
      <c r="I101" s="77">
        <v>8.01</v>
      </c>
      <c r="J101" s="77">
        <v>0.09</v>
      </c>
      <c r="K101" s="77">
        <v>27.84</v>
      </c>
      <c r="L101" s="77">
        <v>24.71</v>
      </c>
      <c r="M101" s="77">
        <v>97.21</v>
      </c>
      <c r="N101" s="77">
        <v>38.4</v>
      </c>
      <c r="O101" s="77">
        <v>0</v>
      </c>
      <c r="P101" s="77">
        <v>2.13</v>
      </c>
      <c r="Q101" s="77">
        <v>13.61</v>
      </c>
    </row>
    <row r="102" spans="1:22" s="12" customFormat="1" x14ac:dyDescent="0.25">
      <c r="A102" s="64" t="s">
        <v>2070</v>
      </c>
      <c r="B102" s="77">
        <v>33.31</v>
      </c>
      <c r="C102" s="77">
        <v>23.61</v>
      </c>
      <c r="D102" s="77">
        <v>40.39</v>
      </c>
      <c r="E102" s="77">
        <v>2.38</v>
      </c>
      <c r="F102" s="77">
        <v>4.1399999999999997</v>
      </c>
      <c r="G102" s="77">
        <v>111.98</v>
      </c>
      <c r="H102" s="77">
        <v>48.05</v>
      </c>
      <c r="I102" s="77">
        <v>8.1199999999999992</v>
      </c>
      <c r="J102" s="77">
        <v>0.22</v>
      </c>
      <c r="K102" s="77">
        <v>10.36</v>
      </c>
      <c r="L102" s="77">
        <v>24.58</v>
      </c>
      <c r="M102" s="77">
        <v>97.25</v>
      </c>
      <c r="N102" s="77">
        <v>38.200000000000003</v>
      </c>
      <c r="O102" s="77">
        <v>0</v>
      </c>
      <c r="P102" s="77">
        <v>2.14</v>
      </c>
      <c r="Q102" s="77">
        <v>12.93</v>
      </c>
    </row>
    <row r="103" spans="1:22" s="12" customFormat="1" x14ac:dyDescent="0.25">
      <c r="A103" s="64" t="s">
        <v>2071</v>
      </c>
      <c r="B103" s="77">
        <v>33.770000000000003</v>
      </c>
      <c r="C103" s="77">
        <v>27.51</v>
      </c>
      <c r="D103" s="77">
        <v>42.91</v>
      </c>
      <c r="E103" s="77">
        <v>1.94</v>
      </c>
      <c r="F103" s="77">
        <v>3.5</v>
      </c>
      <c r="G103" s="77">
        <v>111.98</v>
      </c>
      <c r="H103" s="77">
        <v>48.05</v>
      </c>
      <c r="I103" s="77">
        <v>8.31</v>
      </c>
      <c r="J103" s="77">
        <v>0.11</v>
      </c>
      <c r="K103" s="77">
        <v>92.01</v>
      </c>
      <c r="L103" s="77">
        <v>24.47</v>
      </c>
      <c r="M103" s="77">
        <v>97.25</v>
      </c>
      <c r="N103" s="77">
        <v>38.1</v>
      </c>
      <c r="O103" s="77">
        <v>0</v>
      </c>
      <c r="P103" s="77">
        <v>2.08</v>
      </c>
      <c r="Q103" s="77">
        <v>12.21</v>
      </c>
    </row>
    <row r="104" spans="1:22" s="12" customFormat="1" x14ac:dyDescent="0.25">
      <c r="A104" s="64" t="s">
        <v>2072</v>
      </c>
      <c r="B104" s="77">
        <v>25.95</v>
      </c>
      <c r="C104" s="77">
        <v>28.4</v>
      </c>
      <c r="D104" s="77">
        <v>37.130000000000003</v>
      </c>
      <c r="E104" s="77">
        <v>2.67</v>
      </c>
      <c r="F104" s="77">
        <v>6.69</v>
      </c>
      <c r="G104" s="77">
        <v>94.91</v>
      </c>
      <c r="H104" s="77">
        <v>44.37</v>
      </c>
      <c r="I104" s="77">
        <v>8.32</v>
      </c>
      <c r="J104" s="77">
        <v>0.06</v>
      </c>
      <c r="K104" s="77">
        <v>148.4</v>
      </c>
      <c r="L104" s="77">
        <v>24.44</v>
      </c>
      <c r="M104" s="77">
        <v>97.24</v>
      </c>
      <c r="N104" s="77">
        <v>38.1</v>
      </c>
      <c r="O104" s="77">
        <v>0</v>
      </c>
      <c r="P104" s="77">
        <v>2.0099999999999998</v>
      </c>
      <c r="Q104" s="77">
        <v>11.2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7.47</v>
      </c>
      <c r="C106" s="67">
        <f>MIN(C9:C104)</f>
        <v>11.55</v>
      </c>
      <c r="D106" s="67">
        <f t="shared" ref="D106:Q106" si="0">MIN(D9:D104)</f>
        <v>16.5</v>
      </c>
      <c r="E106" s="67">
        <f t="shared" si="0"/>
        <v>1.67</v>
      </c>
      <c r="F106" s="67">
        <f t="shared" si="0"/>
        <v>3.12</v>
      </c>
      <c r="G106" s="67">
        <f t="shared" si="0"/>
        <v>28.41</v>
      </c>
      <c r="H106" s="67">
        <f t="shared" si="0"/>
        <v>8.74</v>
      </c>
      <c r="I106" s="67">
        <f t="shared" si="0"/>
        <v>3.12</v>
      </c>
      <c r="J106" s="67">
        <f t="shared" si="0"/>
        <v>0.03</v>
      </c>
      <c r="K106" s="67">
        <f t="shared" si="0"/>
        <v>0.37</v>
      </c>
      <c r="L106" s="67">
        <f t="shared" si="0"/>
        <v>23.21</v>
      </c>
      <c r="M106" s="67">
        <f t="shared" si="0"/>
        <v>78.09</v>
      </c>
      <c r="N106" s="67">
        <f t="shared" si="0"/>
        <v>37.299999999999997</v>
      </c>
      <c r="O106" s="67">
        <f t="shared" si="0"/>
        <v>0</v>
      </c>
      <c r="P106" s="67">
        <f t="shared" si="0"/>
        <v>0.49</v>
      </c>
      <c r="Q106" s="67">
        <f t="shared" si="0"/>
        <v>1.28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77.900000000000006</v>
      </c>
      <c r="C107" s="66">
        <f t="shared" ref="C107:Q107" si="1">MAX(C9:C104)</f>
        <v>52.25</v>
      </c>
      <c r="D107" s="66">
        <f t="shared" si="1"/>
        <v>86.72</v>
      </c>
      <c r="E107" s="66">
        <f t="shared" si="1"/>
        <v>4.3600000000000003</v>
      </c>
      <c r="F107" s="66">
        <f t="shared" si="1"/>
        <v>22.02</v>
      </c>
      <c r="G107" s="66">
        <f t="shared" si="1"/>
        <v>204.47</v>
      </c>
      <c r="H107" s="66">
        <f t="shared" si="1"/>
        <v>56.86</v>
      </c>
      <c r="I107" s="66">
        <f t="shared" si="1"/>
        <v>14.32</v>
      </c>
      <c r="J107" s="66">
        <f t="shared" si="1"/>
        <v>1.99</v>
      </c>
      <c r="K107" s="66">
        <f t="shared" si="1"/>
        <v>356.62</v>
      </c>
      <c r="L107" s="66">
        <f t="shared" si="1"/>
        <v>27.45</v>
      </c>
      <c r="M107" s="66">
        <f t="shared" si="1"/>
        <v>97.25</v>
      </c>
      <c r="N107" s="66">
        <f t="shared" si="1"/>
        <v>768.8</v>
      </c>
      <c r="O107" s="66">
        <f t="shared" si="1"/>
        <v>1.8</v>
      </c>
      <c r="P107" s="66">
        <f t="shared" si="1"/>
        <v>4.41</v>
      </c>
      <c r="Q107" s="66">
        <f t="shared" si="1"/>
        <v>19.850000000000001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19.164375</v>
      </c>
      <c r="C108" s="67">
        <f t="shared" ref="C108:Q108" si="2">AVERAGE(C9:C104)</f>
        <v>21.611874999999987</v>
      </c>
      <c r="D108" s="67">
        <f t="shared" si="2"/>
        <v>27.938645833333315</v>
      </c>
      <c r="E108" s="67">
        <f t="shared" si="2"/>
        <v>3.0244791666666671</v>
      </c>
      <c r="F108" s="67">
        <f t="shared" si="2"/>
        <v>6.5365625000000032</v>
      </c>
      <c r="G108" s="67">
        <f t="shared" si="2"/>
        <v>67.829270833333325</v>
      </c>
      <c r="H108" s="67">
        <f t="shared" si="2"/>
        <v>26.456562500000018</v>
      </c>
      <c r="I108" s="67">
        <f t="shared" si="2"/>
        <v>5.2372916666666649</v>
      </c>
      <c r="J108" s="67">
        <f t="shared" si="2"/>
        <v>0.51739583333333328</v>
      </c>
      <c r="K108" s="67">
        <f t="shared" si="2"/>
        <v>97.489166666666634</v>
      </c>
      <c r="L108" s="67">
        <f t="shared" si="2"/>
        <v>25.014791666666667</v>
      </c>
      <c r="M108" s="67">
        <f t="shared" si="2"/>
        <v>91.614270833333293</v>
      </c>
      <c r="N108" s="67">
        <f t="shared" si="2"/>
        <v>162.53541666666672</v>
      </c>
      <c r="O108" s="67">
        <f t="shared" si="2"/>
        <v>2.0833333333333332E-2</v>
      </c>
      <c r="P108" s="67">
        <f t="shared" si="2"/>
        <v>1.1417708333333338</v>
      </c>
      <c r="Q108" s="67">
        <f t="shared" si="2"/>
        <v>9.4353125000000073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12.924357649720729</v>
      </c>
      <c r="C109" s="67">
        <f t="shared" ref="C109:Q109" si="3">STDEV(C9:C104)</f>
        <v>9.5374743774230151</v>
      </c>
      <c r="D109" s="67">
        <f t="shared" si="3"/>
        <v>14.643689398493889</v>
      </c>
      <c r="E109" s="67">
        <f t="shared" si="3"/>
        <v>0.64155546142771036</v>
      </c>
      <c r="F109" s="67">
        <f t="shared" si="3"/>
        <v>3.0320484054339718</v>
      </c>
      <c r="G109" s="67">
        <f t="shared" si="3"/>
        <v>40.138629752522569</v>
      </c>
      <c r="H109" s="67">
        <f t="shared" si="3"/>
        <v>12.281584059337694</v>
      </c>
      <c r="I109" s="67">
        <f t="shared" si="3"/>
        <v>2.616152047394749</v>
      </c>
      <c r="J109" s="67">
        <f t="shared" si="3"/>
        <v>0.41095074565071305</v>
      </c>
      <c r="K109" s="67">
        <f t="shared" si="3"/>
        <v>95.060918326000078</v>
      </c>
      <c r="L109" s="67">
        <f t="shared" si="3"/>
        <v>1.152538597747705</v>
      </c>
      <c r="M109" s="67">
        <f t="shared" si="3"/>
        <v>6.9893181272404492</v>
      </c>
      <c r="N109" s="67">
        <f t="shared" si="3"/>
        <v>163.31735717157804</v>
      </c>
      <c r="O109" s="67">
        <f t="shared" si="3"/>
        <v>0.18462859826756423</v>
      </c>
      <c r="P109" s="67">
        <f t="shared" si="3"/>
        <v>0.88905271265386265</v>
      </c>
      <c r="Q109" s="67">
        <f t="shared" si="3"/>
        <v>3.8775852369402171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9" activePane="bottomRight" state="frozen"/>
      <selection activeCell="B115" sqref="B115:D115"/>
      <selection pane="topRight" activeCell="B115" sqref="B115:D115"/>
      <selection pane="bottomLeft" activeCell="B115" sqref="B115:D115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2073</v>
      </c>
      <c r="B9" s="77">
        <v>22.76</v>
      </c>
      <c r="C9" s="77">
        <v>36.68</v>
      </c>
      <c r="D9" s="77">
        <v>39.15</v>
      </c>
      <c r="E9" s="77">
        <v>3.13</v>
      </c>
      <c r="F9" s="77">
        <v>5.23</v>
      </c>
      <c r="G9" s="77">
        <v>94.32</v>
      </c>
      <c r="H9" s="77">
        <v>44.37</v>
      </c>
      <c r="I9" s="77">
        <v>8.14</v>
      </c>
      <c r="J9" s="77">
        <v>0.11</v>
      </c>
      <c r="K9" s="77">
        <v>114</v>
      </c>
      <c r="L9" s="77">
        <v>24.57</v>
      </c>
      <c r="M9" s="77">
        <v>97.24</v>
      </c>
      <c r="N9" s="77">
        <v>38.1</v>
      </c>
      <c r="O9" s="77">
        <v>0</v>
      </c>
      <c r="P9" s="77">
        <v>1.94</v>
      </c>
      <c r="Q9" s="77">
        <v>13.29</v>
      </c>
    </row>
    <row r="10" spans="1:21" s="12" customFormat="1" x14ac:dyDescent="0.25">
      <c r="A10" s="64" t="s">
        <v>2074</v>
      </c>
      <c r="B10" s="77">
        <v>26.6</v>
      </c>
      <c r="C10" s="77">
        <v>37.340000000000003</v>
      </c>
      <c r="D10" s="77">
        <v>42.59</v>
      </c>
      <c r="E10" s="77">
        <v>3.41</v>
      </c>
      <c r="F10" s="77">
        <v>4.0999999999999996</v>
      </c>
      <c r="G10" s="77">
        <v>94.32</v>
      </c>
      <c r="H10" s="77">
        <v>44.37</v>
      </c>
      <c r="I10" s="77">
        <v>8.4499999999999993</v>
      </c>
      <c r="J10" s="77">
        <v>0.17</v>
      </c>
      <c r="K10" s="77">
        <v>22.17</v>
      </c>
      <c r="L10" s="77">
        <v>24.61</v>
      </c>
      <c r="M10" s="77">
        <v>97.24</v>
      </c>
      <c r="N10" s="77">
        <v>38.299999999999997</v>
      </c>
      <c r="O10" s="77">
        <v>0</v>
      </c>
      <c r="P10" s="77">
        <v>2</v>
      </c>
      <c r="Q10" s="77">
        <v>14.87</v>
      </c>
    </row>
    <row r="11" spans="1:21" s="12" customFormat="1" x14ac:dyDescent="0.25">
      <c r="A11" s="64" t="s">
        <v>2075</v>
      </c>
      <c r="B11" s="77">
        <v>17.52</v>
      </c>
      <c r="C11" s="77">
        <v>34.979999999999997</v>
      </c>
      <c r="D11" s="77">
        <v>34</v>
      </c>
      <c r="E11" s="77">
        <v>3.4</v>
      </c>
      <c r="F11" s="77">
        <v>5.0199999999999996</v>
      </c>
      <c r="G11" s="77">
        <v>94.32</v>
      </c>
      <c r="H11" s="77">
        <v>44.37</v>
      </c>
      <c r="I11" s="77">
        <v>8.2799999999999994</v>
      </c>
      <c r="J11" s="77">
        <v>0.15</v>
      </c>
      <c r="K11" s="77">
        <v>358.23</v>
      </c>
      <c r="L11" s="77">
        <v>24.54</v>
      </c>
      <c r="M11" s="77">
        <v>97.22</v>
      </c>
      <c r="N11" s="77">
        <v>38.200000000000003</v>
      </c>
      <c r="O11" s="77">
        <v>0</v>
      </c>
      <c r="P11" s="77">
        <v>1.62</v>
      </c>
      <c r="Q11" s="77">
        <v>15.89</v>
      </c>
    </row>
    <row r="12" spans="1:21" s="12" customFormat="1" x14ac:dyDescent="0.25">
      <c r="A12" s="64" t="s">
        <v>2076</v>
      </c>
      <c r="B12" s="77">
        <v>12.19</v>
      </c>
      <c r="C12" s="77">
        <v>33.56</v>
      </c>
      <c r="D12" s="77">
        <v>28.94</v>
      </c>
      <c r="E12" s="77">
        <v>3.34</v>
      </c>
      <c r="F12" s="77">
        <v>5.47</v>
      </c>
      <c r="G12" s="77">
        <v>91.81</v>
      </c>
      <c r="H12" s="77">
        <v>46.36</v>
      </c>
      <c r="I12" s="77">
        <v>8.23</v>
      </c>
      <c r="J12" s="77">
        <v>0.12</v>
      </c>
      <c r="K12" s="77">
        <v>92.68</v>
      </c>
      <c r="L12" s="77">
        <v>24.55</v>
      </c>
      <c r="M12" s="77">
        <v>97.2</v>
      </c>
      <c r="N12" s="77">
        <v>38.200000000000003</v>
      </c>
      <c r="O12" s="77">
        <v>0</v>
      </c>
      <c r="P12" s="77">
        <v>1.44</v>
      </c>
      <c r="Q12" s="77">
        <v>16.62</v>
      </c>
    </row>
    <row r="13" spans="1:21" s="12" customFormat="1" x14ac:dyDescent="0.25">
      <c r="A13" s="64" t="s">
        <v>2077</v>
      </c>
      <c r="B13" s="77">
        <v>19.68</v>
      </c>
      <c r="C13" s="77">
        <v>31.65</v>
      </c>
      <c r="D13" s="77">
        <v>33.89</v>
      </c>
      <c r="E13" s="77">
        <v>3.53</v>
      </c>
      <c r="F13" s="77">
        <v>4.12</v>
      </c>
      <c r="G13" s="77">
        <v>91.72</v>
      </c>
      <c r="H13" s="77">
        <v>46.36</v>
      </c>
      <c r="I13" s="77">
        <v>6.85</v>
      </c>
      <c r="J13" s="77">
        <v>0.04</v>
      </c>
      <c r="K13" s="77">
        <v>169.07</v>
      </c>
      <c r="L13" s="77">
        <v>24.58</v>
      </c>
      <c r="M13" s="77">
        <v>97.2</v>
      </c>
      <c r="N13" s="77">
        <v>38.4</v>
      </c>
      <c r="O13" s="77">
        <v>0</v>
      </c>
      <c r="P13" s="77">
        <v>1.45</v>
      </c>
      <c r="Q13" s="77">
        <v>16.78</v>
      </c>
    </row>
    <row r="14" spans="1:21" s="12" customFormat="1" x14ac:dyDescent="0.25">
      <c r="A14" s="64" t="s">
        <v>2078</v>
      </c>
      <c r="B14" s="77">
        <v>15.64</v>
      </c>
      <c r="C14" s="77">
        <v>29.34</v>
      </c>
      <c r="D14" s="77">
        <v>29.38</v>
      </c>
      <c r="E14" s="77">
        <v>2.95</v>
      </c>
      <c r="F14" s="77">
        <v>4.6399999999999997</v>
      </c>
      <c r="G14" s="77">
        <v>91.72</v>
      </c>
      <c r="H14" s="77">
        <v>46.36</v>
      </c>
      <c r="I14" s="77">
        <v>6.35</v>
      </c>
      <c r="J14" s="77">
        <v>0.06</v>
      </c>
      <c r="K14" s="77">
        <v>220.93</v>
      </c>
      <c r="L14" s="77">
        <v>24.51</v>
      </c>
      <c r="M14" s="77">
        <v>97.2</v>
      </c>
      <c r="N14" s="77">
        <v>38.4</v>
      </c>
      <c r="O14" s="77">
        <v>0</v>
      </c>
      <c r="P14" s="77">
        <v>1.35</v>
      </c>
      <c r="Q14" s="77">
        <v>14.11</v>
      </c>
    </row>
    <row r="15" spans="1:21" s="12" customFormat="1" x14ac:dyDescent="0.25">
      <c r="A15" s="64" t="s">
        <v>2079</v>
      </c>
      <c r="B15" s="77">
        <v>16.36</v>
      </c>
      <c r="C15" s="77">
        <v>25.83</v>
      </c>
      <c r="D15" s="77">
        <v>28.02</v>
      </c>
      <c r="E15" s="77">
        <v>3.19</v>
      </c>
      <c r="F15" s="77">
        <v>4.9800000000000004</v>
      </c>
      <c r="G15" s="77">
        <v>91.72</v>
      </c>
      <c r="H15" s="77">
        <v>46.36</v>
      </c>
      <c r="I15" s="77">
        <v>6.8</v>
      </c>
      <c r="J15" s="77">
        <v>0.09</v>
      </c>
      <c r="K15" s="77">
        <v>227.38</v>
      </c>
      <c r="L15" s="77">
        <v>24.45</v>
      </c>
      <c r="M15" s="77">
        <v>97.2</v>
      </c>
      <c r="N15" s="77">
        <v>38.299999999999997</v>
      </c>
      <c r="O15" s="77">
        <v>0</v>
      </c>
      <c r="P15" s="77">
        <v>1.34</v>
      </c>
      <c r="Q15" s="77">
        <v>12.53</v>
      </c>
    </row>
    <row r="16" spans="1:21" s="12" customFormat="1" x14ac:dyDescent="0.25">
      <c r="A16" s="64" t="s">
        <v>2080</v>
      </c>
      <c r="B16" s="77">
        <v>23.55</v>
      </c>
      <c r="C16" s="77">
        <v>24.51</v>
      </c>
      <c r="D16" s="77">
        <v>33.06</v>
      </c>
      <c r="E16" s="77">
        <v>3.14</v>
      </c>
      <c r="F16" s="77">
        <v>3.92</v>
      </c>
      <c r="G16" s="77">
        <v>56.65</v>
      </c>
      <c r="H16" s="77">
        <v>34.880000000000003</v>
      </c>
      <c r="I16" s="77">
        <v>6.57</v>
      </c>
      <c r="J16" s="77">
        <v>0.18</v>
      </c>
      <c r="K16" s="77">
        <v>13.94</v>
      </c>
      <c r="L16" s="77">
        <v>24.42</v>
      </c>
      <c r="M16" s="77">
        <v>97.21</v>
      </c>
      <c r="N16" s="77">
        <v>38.200000000000003</v>
      </c>
      <c r="O16" s="77">
        <v>0</v>
      </c>
      <c r="P16" s="77">
        <v>1.35</v>
      </c>
      <c r="Q16" s="77">
        <v>10.76</v>
      </c>
    </row>
    <row r="17" spans="1:17" s="12" customFormat="1" x14ac:dyDescent="0.25">
      <c r="A17" s="64" t="s">
        <v>2081</v>
      </c>
      <c r="B17" s="77">
        <v>18.670000000000002</v>
      </c>
      <c r="C17" s="77">
        <v>22.9</v>
      </c>
      <c r="D17" s="77">
        <v>28.26</v>
      </c>
      <c r="E17" s="77">
        <v>2.99</v>
      </c>
      <c r="F17" s="77">
        <v>4.62</v>
      </c>
      <c r="G17" s="77">
        <v>55.44</v>
      </c>
      <c r="H17" s="77">
        <v>34.880000000000003</v>
      </c>
      <c r="I17" s="77">
        <v>6.22</v>
      </c>
      <c r="J17" s="77">
        <v>0.06</v>
      </c>
      <c r="K17" s="77">
        <v>83.44</v>
      </c>
      <c r="L17" s="77">
        <v>24.41</v>
      </c>
      <c r="M17" s="77">
        <v>97.21</v>
      </c>
      <c r="N17" s="77">
        <v>38.299999999999997</v>
      </c>
      <c r="O17" s="77">
        <v>0</v>
      </c>
      <c r="P17" s="77">
        <v>1.32</v>
      </c>
      <c r="Q17" s="77">
        <v>9.8800000000000008</v>
      </c>
    </row>
    <row r="18" spans="1:17" s="12" customFormat="1" x14ac:dyDescent="0.25">
      <c r="A18" s="64" t="s">
        <v>2082</v>
      </c>
      <c r="B18" s="77">
        <v>15.86</v>
      </c>
      <c r="C18" s="77">
        <v>26.36</v>
      </c>
      <c r="D18" s="77">
        <v>27.91</v>
      </c>
      <c r="E18" s="77">
        <v>3</v>
      </c>
      <c r="F18" s="77">
        <v>4.54</v>
      </c>
      <c r="G18" s="77">
        <v>55.44</v>
      </c>
      <c r="H18" s="77">
        <v>34.880000000000003</v>
      </c>
      <c r="I18" s="77">
        <v>6.33</v>
      </c>
      <c r="J18" s="77">
        <v>0.01</v>
      </c>
      <c r="K18" s="77">
        <v>52.71</v>
      </c>
      <c r="L18" s="77">
        <v>24.4</v>
      </c>
      <c r="M18" s="77">
        <v>97.23</v>
      </c>
      <c r="N18" s="77">
        <v>38.1</v>
      </c>
      <c r="O18" s="77">
        <v>0</v>
      </c>
      <c r="P18" s="77">
        <v>1.25</v>
      </c>
      <c r="Q18" s="77">
        <v>9.2200000000000006</v>
      </c>
    </row>
    <row r="19" spans="1:17" s="12" customFormat="1" x14ac:dyDescent="0.25">
      <c r="A19" s="64" t="s">
        <v>2083</v>
      </c>
      <c r="B19" s="77">
        <v>17.809999999999999</v>
      </c>
      <c r="C19" s="77">
        <v>24.59</v>
      </c>
      <c r="D19" s="77">
        <v>28.49</v>
      </c>
      <c r="E19" s="77">
        <v>3.23</v>
      </c>
      <c r="F19" s="77">
        <v>4.7</v>
      </c>
      <c r="G19" s="77">
        <v>55.44</v>
      </c>
      <c r="H19" s="77">
        <v>34.880000000000003</v>
      </c>
      <c r="I19" s="77">
        <v>6.23</v>
      </c>
      <c r="J19" s="77">
        <v>0.04</v>
      </c>
      <c r="K19" s="77">
        <v>158.21</v>
      </c>
      <c r="L19" s="77">
        <v>24.41</v>
      </c>
      <c r="M19" s="77">
        <v>97.21</v>
      </c>
      <c r="N19" s="77">
        <v>38.299999999999997</v>
      </c>
      <c r="O19" s="77">
        <v>0</v>
      </c>
      <c r="P19" s="77">
        <v>1.1100000000000001</v>
      </c>
      <c r="Q19" s="77">
        <v>8.56</v>
      </c>
    </row>
    <row r="20" spans="1:17" s="12" customFormat="1" x14ac:dyDescent="0.25">
      <c r="A20" s="64" t="s">
        <v>2084</v>
      </c>
      <c r="B20" s="77">
        <v>19.14</v>
      </c>
      <c r="C20" s="77">
        <v>28.35</v>
      </c>
      <c r="D20" s="77">
        <v>31.64</v>
      </c>
      <c r="E20" s="77">
        <v>3.06</v>
      </c>
      <c r="F20" s="77">
        <v>5.25</v>
      </c>
      <c r="G20" s="77">
        <v>63.78</v>
      </c>
      <c r="H20" s="77">
        <v>28.16</v>
      </c>
      <c r="I20" s="77">
        <v>6.21</v>
      </c>
      <c r="J20" s="77">
        <v>0.15</v>
      </c>
      <c r="K20" s="77">
        <v>334.8</v>
      </c>
      <c r="L20" s="77">
        <v>24.27</v>
      </c>
      <c r="M20" s="77">
        <v>97.24</v>
      </c>
      <c r="N20" s="77">
        <v>38.1</v>
      </c>
      <c r="O20" s="77">
        <v>0</v>
      </c>
      <c r="P20" s="77">
        <v>0.92</v>
      </c>
      <c r="Q20" s="77">
        <v>8.5500000000000007</v>
      </c>
    </row>
    <row r="21" spans="1:17" s="12" customFormat="1" x14ac:dyDescent="0.25">
      <c r="A21" s="64" t="s">
        <v>2085</v>
      </c>
      <c r="B21" s="77">
        <v>21.45</v>
      </c>
      <c r="C21" s="77">
        <v>32.57</v>
      </c>
      <c r="D21" s="77">
        <v>35.83</v>
      </c>
      <c r="E21" s="77">
        <v>3.1</v>
      </c>
      <c r="F21" s="77">
        <v>4.9400000000000004</v>
      </c>
      <c r="G21" s="77">
        <v>64.06</v>
      </c>
      <c r="H21" s="77">
        <v>28.16</v>
      </c>
      <c r="I21" s="77">
        <v>5.47</v>
      </c>
      <c r="J21" s="77">
        <v>0.34</v>
      </c>
      <c r="K21" s="77">
        <v>9.82</v>
      </c>
      <c r="L21" s="77">
        <v>24.33</v>
      </c>
      <c r="M21" s="77">
        <v>97.25</v>
      </c>
      <c r="N21" s="77">
        <v>38</v>
      </c>
      <c r="O21" s="77">
        <v>0</v>
      </c>
      <c r="P21" s="77">
        <v>0.96</v>
      </c>
      <c r="Q21" s="77">
        <v>10.43</v>
      </c>
    </row>
    <row r="22" spans="1:17" s="12" customFormat="1" x14ac:dyDescent="0.25">
      <c r="A22" s="64" t="s">
        <v>2086</v>
      </c>
      <c r="B22" s="77">
        <v>24.11</v>
      </c>
      <c r="C22" s="77">
        <v>33.46</v>
      </c>
      <c r="D22" s="77">
        <v>38.44</v>
      </c>
      <c r="E22" s="77">
        <v>3.15</v>
      </c>
      <c r="F22" s="77">
        <v>5</v>
      </c>
      <c r="G22" s="77">
        <v>64.06</v>
      </c>
      <c r="H22" s="77">
        <v>28.16</v>
      </c>
      <c r="I22" s="77">
        <v>4.92</v>
      </c>
      <c r="J22" s="77">
        <v>0.35</v>
      </c>
      <c r="K22" s="77">
        <v>0</v>
      </c>
      <c r="L22" s="77">
        <v>24.41</v>
      </c>
      <c r="M22" s="77">
        <v>97.25</v>
      </c>
      <c r="N22" s="77">
        <v>38.1</v>
      </c>
      <c r="O22" s="77">
        <v>0</v>
      </c>
      <c r="P22" s="77">
        <v>0.93</v>
      </c>
      <c r="Q22" s="77">
        <v>11.81</v>
      </c>
    </row>
    <row r="23" spans="1:17" s="12" customFormat="1" x14ac:dyDescent="0.25">
      <c r="A23" s="64" t="s">
        <v>2087</v>
      </c>
      <c r="B23" s="77">
        <v>24.02</v>
      </c>
      <c r="C23" s="77">
        <v>29.79</v>
      </c>
      <c r="D23" s="77">
        <v>36.340000000000003</v>
      </c>
      <c r="E23" s="77">
        <v>3.46</v>
      </c>
      <c r="F23" s="77">
        <v>4.7699999999999996</v>
      </c>
      <c r="G23" s="77">
        <v>64.06</v>
      </c>
      <c r="H23" s="77">
        <v>28.16</v>
      </c>
      <c r="I23" s="77">
        <v>5.01</v>
      </c>
      <c r="J23" s="77">
        <v>0.61</v>
      </c>
      <c r="K23" s="77">
        <v>7.18</v>
      </c>
      <c r="L23" s="77">
        <v>24.44</v>
      </c>
      <c r="M23" s="77">
        <v>97.25</v>
      </c>
      <c r="N23" s="77">
        <v>38.4</v>
      </c>
      <c r="O23" s="77">
        <v>0</v>
      </c>
      <c r="P23" s="77">
        <v>1.06</v>
      </c>
      <c r="Q23" s="77">
        <v>12.9</v>
      </c>
    </row>
    <row r="24" spans="1:17" s="12" customFormat="1" x14ac:dyDescent="0.25">
      <c r="A24" s="64" t="s">
        <v>2088</v>
      </c>
      <c r="B24" s="77">
        <v>21.6</v>
      </c>
      <c r="C24" s="77">
        <v>27.11</v>
      </c>
      <c r="D24" s="77">
        <v>32.93</v>
      </c>
      <c r="E24" s="77">
        <v>2.0499999999999998</v>
      </c>
      <c r="F24" s="77">
        <v>4.43</v>
      </c>
      <c r="G24" s="77">
        <v>79.010000000000005</v>
      </c>
      <c r="H24" s="77">
        <v>33.159999999999997</v>
      </c>
      <c r="I24" s="77">
        <v>5.42</v>
      </c>
      <c r="J24" s="77">
        <v>0.65</v>
      </c>
      <c r="K24" s="77">
        <v>5.32</v>
      </c>
      <c r="L24" s="77">
        <v>24.36</v>
      </c>
      <c r="M24" s="77">
        <v>97.25</v>
      </c>
      <c r="N24" s="77">
        <v>38</v>
      </c>
      <c r="O24" s="77">
        <v>0</v>
      </c>
      <c r="P24" s="77">
        <v>1.1299999999999999</v>
      </c>
      <c r="Q24" s="77">
        <v>13.86</v>
      </c>
    </row>
    <row r="25" spans="1:17" s="12" customFormat="1" x14ac:dyDescent="0.25">
      <c r="A25" s="64" t="s">
        <v>2089</v>
      </c>
      <c r="B25" s="77">
        <v>22.95</v>
      </c>
      <c r="C25" s="77">
        <v>19.739999999999998</v>
      </c>
      <c r="D25" s="77">
        <v>29.94</v>
      </c>
      <c r="E25" s="77">
        <v>2.7</v>
      </c>
      <c r="F25" s="77">
        <v>4.96</v>
      </c>
      <c r="G25" s="77">
        <v>79.53</v>
      </c>
      <c r="H25" s="77">
        <v>33.159999999999997</v>
      </c>
      <c r="I25" s="77">
        <v>6.15</v>
      </c>
      <c r="J25" s="77">
        <v>0.77</v>
      </c>
      <c r="K25" s="77">
        <v>8.76</v>
      </c>
      <c r="L25" s="77">
        <v>24.31</v>
      </c>
      <c r="M25" s="77">
        <v>96.82</v>
      </c>
      <c r="N25" s="77">
        <v>38.299999999999997</v>
      </c>
      <c r="O25" s="77">
        <v>0</v>
      </c>
      <c r="P25" s="77">
        <v>1.28</v>
      </c>
      <c r="Q25" s="77">
        <v>13.12</v>
      </c>
    </row>
    <row r="26" spans="1:17" s="12" customFormat="1" x14ac:dyDescent="0.25">
      <c r="A26" s="64" t="s">
        <v>2090</v>
      </c>
      <c r="B26" s="77">
        <v>20.52</v>
      </c>
      <c r="C26" s="77">
        <v>14.17</v>
      </c>
      <c r="D26" s="77">
        <v>24.92</v>
      </c>
      <c r="E26" s="77">
        <v>2.04</v>
      </c>
      <c r="F26" s="77">
        <v>7.42</v>
      </c>
      <c r="G26" s="77">
        <v>79.53</v>
      </c>
      <c r="H26" s="77">
        <v>33.159999999999997</v>
      </c>
      <c r="I26" s="77">
        <v>6.3</v>
      </c>
      <c r="J26" s="77">
        <v>0.32</v>
      </c>
      <c r="K26" s="77">
        <v>356.02</v>
      </c>
      <c r="L26" s="77">
        <v>24.08</v>
      </c>
      <c r="M26" s="77">
        <v>96.55</v>
      </c>
      <c r="N26" s="77">
        <v>38.4</v>
      </c>
      <c r="O26" s="77">
        <v>0</v>
      </c>
      <c r="P26" s="77">
        <v>1.03</v>
      </c>
      <c r="Q26" s="77">
        <v>9.7899999999999991</v>
      </c>
    </row>
    <row r="27" spans="1:17" s="12" customFormat="1" x14ac:dyDescent="0.25">
      <c r="A27" s="64" t="s">
        <v>2091</v>
      </c>
      <c r="B27" s="77">
        <v>20.52</v>
      </c>
      <c r="C27" s="77">
        <v>13.48</v>
      </c>
      <c r="D27" s="77">
        <v>24.54</v>
      </c>
      <c r="E27" s="77">
        <v>2.5099999999999998</v>
      </c>
      <c r="F27" s="77">
        <v>5.33</v>
      </c>
      <c r="G27" s="77">
        <v>79.53</v>
      </c>
      <c r="H27" s="77">
        <v>33.159999999999997</v>
      </c>
      <c r="I27" s="77">
        <v>6.32</v>
      </c>
      <c r="J27" s="77">
        <v>0.74</v>
      </c>
      <c r="K27" s="77">
        <v>12.75</v>
      </c>
      <c r="L27" s="77">
        <v>23.97</v>
      </c>
      <c r="M27" s="77">
        <v>97.18</v>
      </c>
      <c r="N27" s="77">
        <v>38.1</v>
      </c>
      <c r="O27" s="77">
        <v>0</v>
      </c>
      <c r="P27" s="77">
        <v>1.07</v>
      </c>
      <c r="Q27" s="77">
        <v>8.51</v>
      </c>
    </row>
    <row r="28" spans="1:17" s="12" customFormat="1" x14ac:dyDescent="0.25">
      <c r="A28" s="64" t="s">
        <v>2092</v>
      </c>
      <c r="B28" s="77">
        <v>19.78</v>
      </c>
      <c r="C28" s="77">
        <v>13.17</v>
      </c>
      <c r="D28" s="77">
        <v>23.78</v>
      </c>
      <c r="E28" s="77">
        <v>2.2200000000000002</v>
      </c>
      <c r="F28" s="77">
        <v>4.42</v>
      </c>
      <c r="G28" s="77">
        <v>57.08</v>
      </c>
      <c r="H28" s="77">
        <v>28.27</v>
      </c>
      <c r="I28" s="77">
        <v>5.99</v>
      </c>
      <c r="J28" s="77">
        <v>0.84</v>
      </c>
      <c r="K28" s="77">
        <v>16.260000000000002</v>
      </c>
      <c r="L28" s="77">
        <v>23.96</v>
      </c>
      <c r="M28" s="77">
        <v>97.2</v>
      </c>
      <c r="N28" s="77">
        <v>38.4</v>
      </c>
      <c r="O28" s="77">
        <v>0</v>
      </c>
      <c r="P28" s="77">
        <v>1.04</v>
      </c>
      <c r="Q28" s="77">
        <v>7.04</v>
      </c>
    </row>
    <row r="29" spans="1:17" s="12" customFormat="1" x14ac:dyDescent="0.25">
      <c r="A29" s="64" t="s">
        <v>2093</v>
      </c>
      <c r="B29" s="77">
        <v>19.43</v>
      </c>
      <c r="C29" s="77">
        <v>14.86</v>
      </c>
      <c r="D29" s="77">
        <v>24.43</v>
      </c>
      <c r="E29" s="77">
        <v>2.42</v>
      </c>
      <c r="F29" s="77">
        <v>4.16</v>
      </c>
      <c r="G29" s="77">
        <v>56.04</v>
      </c>
      <c r="H29" s="77">
        <v>28.27</v>
      </c>
      <c r="I29" s="77">
        <v>5.7</v>
      </c>
      <c r="J29" s="77">
        <v>0.54</v>
      </c>
      <c r="K29" s="77">
        <v>10.63</v>
      </c>
      <c r="L29" s="77">
        <v>23.82</v>
      </c>
      <c r="M29" s="77">
        <v>97.2</v>
      </c>
      <c r="N29" s="77">
        <v>38.799999999999997</v>
      </c>
      <c r="O29" s="77">
        <v>0</v>
      </c>
      <c r="P29" s="77">
        <v>0.92</v>
      </c>
      <c r="Q29" s="77">
        <v>6.92</v>
      </c>
    </row>
    <row r="30" spans="1:17" s="12" customFormat="1" x14ac:dyDescent="0.25">
      <c r="A30" s="64" t="s">
        <v>2094</v>
      </c>
      <c r="B30" s="77">
        <v>19.53</v>
      </c>
      <c r="C30" s="77">
        <v>14.68</v>
      </c>
      <c r="D30" s="77">
        <v>24.41</v>
      </c>
      <c r="E30" s="77">
        <v>2.0299999999999998</v>
      </c>
      <c r="F30" s="77">
        <v>5.16</v>
      </c>
      <c r="G30" s="77">
        <v>56.04</v>
      </c>
      <c r="H30" s="77">
        <v>28.27</v>
      </c>
      <c r="I30" s="77">
        <v>5.96</v>
      </c>
      <c r="J30" s="77">
        <v>0.43</v>
      </c>
      <c r="K30" s="77">
        <v>358.97</v>
      </c>
      <c r="L30" s="77">
        <v>23.75</v>
      </c>
      <c r="M30" s="77">
        <v>97.2</v>
      </c>
      <c r="N30" s="77">
        <v>42.8</v>
      </c>
      <c r="O30" s="77">
        <v>0</v>
      </c>
      <c r="P30" s="77">
        <v>0.91</v>
      </c>
      <c r="Q30" s="77">
        <v>5.21</v>
      </c>
    </row>
    <row r="31" spans="1:17" s="12" customFormat="1" x14ac:dyDescent="0.25">
      <c r="A31" s="64" t="s">
        <v>2095</v>
      </c>
      <c r="B31" s="77">
        <v>21.38</v>
      </c>
      <c r="C31" s="77">
        <v>19.12</v>
      </c>
      <c r="D31" s="77">
        <v>28.35</v>
      </c>
      <c r="E31" s="77">
        <v>2.58</v>
      </c>
      <c r="F31" s="77">
        <v>5.15</v>
      </c>
      <c r="G31" s="77">
        <v>56.04</v>
      </c>
      <c r="H31" s="77">
        <v>28.27</v>
      </c>
      <c r="I31" s="77">
        <v>5.24</v>
      </c>
      <c r="J31" s="77">
        <v>0.25</v>
      </c>
      <c r="K31" s="77">
        <v>0.35</v>
      </c>
      <c r="L31" s="77">
        <v>23.69</v>
      </c>
      <c r="M31" s="77">
        <v>97.22</v>
      </c>
      <c r="N31" s="77">
        <v>55.1</v>
      </c>
      <c r="O31" s="77">
        <v>0</v>
      </c>
      <c r="P31" s="77">
        <v>0.82</v>
      </c>
      <c r="Q31" s="77">
        <v>5.34</v>
      </c>
    </row>
    <row r="32" spans="1:17" s="12" customFormat="1" x14ac:dyDescent="0.25">
      <c r="A32" s="64" t="s">
        <v>2096</v>
      </c>
      <c r="B32" s="77">
        <v>26.52</v>
      </c>
      <c r="C32" s="77">
        <v>19.12</v>
      </c>
      <c r="D32" s="77">
        <v>31.73</v>
      </c>
      <c r="E32" s="77">
        <v>2.35</v>
      </c>
      <c r="F32" s="77">
        <v>5.82</v>
      </c>
      <c r="G32" s="77">
        <v>53.32</v>
      </c>
      <c r="H32" s="77">
        <v>24.82</v>
      </c>
      <c r="I32" s="77">
        <v>5.48</v>
      </c>
      <c r="J32" s="77">
        <v>0.36</v>
      </c>
      <c r="K32" s="77">
        <v>358.22</v>
      </c>
      <c r="L32" s="77">
        <v>23.73</v>
      </c>
      <c r="M32" s="77">
        <v>97.2</v>
      </c>
      <c r="N32" s="77">
        <v>68.599999999999994</v>
      </c>
      <c r="O32" s="77">
        <v>0</v>
      </c>
      <c r="P32" s="77">
        <v>0.67</v>
      </c>
      <c r="Q32" s="77">
        <v>6.06</v>
      </c>
    </row>
    <row r="33" spans="1:17" s="12" customFormat="1" x14ac:dyDescent="0.25">
      <c r="A33" s="64" t="s">
        <v>2097</v>
      </c>
      <c r="B33" s="77">
        <v>19.940000000000001</v>
      </c>
      <c r="C33" s="77">
        <v>22.6</v>
      </c>
      <c r="D33" s="77">
        <v>29.11</v>
      </c>
      <c r="E33" s="77">
        <v>2.23</v>
      </c>
      <c r="F33" s="77">
        <v>6.46</v>
      </c>
      <c r="G33" s="77">
        <v>53.22</v>
      </c>
      <c r="H33" s="77">
        <v>24.82</v>
      </c>
      <c r="I33" s="77">
        <v>4.82</v>
      </c>
      <c r="J33" s="77">
        <v>0.14000000000000001</v>
      </c>
      <c r="K33" s="77">
        <v>66.180000000000007</v>
      </c>
      <c r="L33" s="77">
        <v>23.85</v>
      </c>
      <c r="M33" s="77">
        <v>97.2</v>
      </c>
      <c r="N33" s="77">
        <v>82.1</v>
      </c>
      <c r="O33" s="77">
        <v>0</v>
      </c>
      <c r="P33" s="77">
        <v>0.62</v>
      </c>
      <c r="Q33" s="77">
        <v>8.1999999999999993</v>
      </c>
    </row>
    <row r="34" spans="1:17" s="12" customFormat="1" x14ac:dyDescent="0.25">
      <c r="A34" s="64" t="s">
        <v>2098</v>
      </c>
      <c r="B34" s="77">
        <v>19.78</v>
      </c>
      <c r="C34" s="77">
        <v>20.05</v>
      </c>
      <c r="D34" s="77">
        <v>27.58</v>
      </c>
      <c r="E34" s="77">
        <v>2.61</v>
      </c>
      <c r="F34" s="77">
        <v>5.82</v>
      </c>
      <c r="G34" s="77">
        <v>53.22</v>
      </c>
      <c r="H34" s="77">
        <v>24.82</v>
      </c>
      <c r="I34" s="77">
        <v>4.41</v>
      </c>
      <c r="J34" s="77">
        <v>0.24</v>
      </c>
      <c r="K34" s="77">
        <v>352.55</v>
      </c>
      <c r="L34" s="77">
        <v>23.99</v>
      </c>
      <c r="M34" s="77">
        <v>97.2</v>
      </c>
      <c r="N34" s="77">
        <v>105.3</v>
      </c>
      <c r="O34" s="77">
        <v>0</v>
      </c>
      <c r="P34" s="77">
        <v>0.66</v>
      </c>
      <c r="Q34" s="77">
        <v>9.4700000000000006</v>
      </c>
    </row>
    <row r="35" spans="1:17" s="12" customFormat="1" x14ac:dyDescent="0.25">
      <c r="A35" s="64" t="s">
        <v>2099</v>
      </c>
      <c r="B35" s="77">
        <v>21.17</v>
      </c>
      <c r="C35" s="77">
        <v>18.72</v>
      </c>
      <c r="D35" s="77">
        <v>27.96</v>
      </c>
      <c r="E35" s="77">
        <v>2.4300000000000002</v>
      </c>
      <c r="F35" s="77">
        <v>6.59</v>
      </c>
      <c r="G35" s="77">
        <v>53.22</v>
      </c>
      <c r="H35" s="77">
        <v>24.82</v>
      </c>
      <c r="I35" s="77">
        <v>4.28</v>
      </c>
      <c r="J35" s="77">
        <v>0.25</v>
      </c>
      <c r="K35" s="77">
        <v>1.1100000000000001</v>
      </c>
      <c r="L35" s="77">
        <v>24.22</v>
      </c>
      <c r="M35" s="77">
        <v>97.2</v>
      </c>
      <c r="N35" s="77">
        <v>129</v>
      </c>
      <c r="O35" s="77">
        <v>0</v>
      </c>
      <c r="P35" s="77">
        <v>0.65</v>
      </c>
      <c r="Q35" s="77">
        <v>10.41</v>
      </c>
    </row>
    <row r="36" spans="1:17" s="12" customFormat="1" x14ac:dyDescent="0.25">
      <c r="A36" s="64" t="s">
        <v>2100</v>
      </c>
      <c r="B36" s="77">
        <v>20.309999999999999</v>
      </c>
      <c r="C36" s="77">
        <v>17.12</v>
      </c>
      <c r="D36" s="77">
        <v>26.38</v>
      </c>
      <c r="E36" s="77">
        <v>2.41</v>
      </c>
      <c r="F36" s="77">
        <v>5.97</v>
      </c>
      <c r="G36" s="77">
        <v>38.67</v>
      </c>
      <c r="H36" s="77">
        <v>22.51</v>
      </c>
      <c r="I36" s="77">
        <v>4.43</v>
      </c>
      <c r="J36" s="77">
        <v>0.53</v>
      </c>
      <c r="K36" s="77">
        <v>20.9</v>
      </c>
      <c r="L36" s="77">
        <v>24.48</v>
      </c>
      <c r="M36" s="77">
        <v>96.89</v>
      </c>
      <c r="N36" s="77">
        <v>160.1</v>
      </c>
      <c r="O36" s="77">
        <v>0</v>
      </c>
      <c r="P36" s="77">
        <v>0.69</v>
      </c>
      <c r="Q36" s="77">
        <v>11.18</v>
      </c>
    </row>
    <row r="37" spans="1:17" s="12" customFormat="1" x14ac:dyDescent="0.25">
      <c r="A37" s="64" t="s">
        <v>2101</v>
      </c>
      <c r="B37" s="77">
        <v>21.93</v>
      </c>
      <c r="C37" s="77">
        <v>16.11</v>
      </c>
      <c r="D37" s="77">
        <v>27.12</v>
      </c>
      <c r="E37" s="77">
        <v>3</v>
      </c>
      <c r="F37" s="77">
        <v>5.04</v>
      </c>
      <c r="G37" s="77">
        <v>38.159999999999997</v>
      </c>
      <c r="H37" s="77">
        <v>22.51</v>
      </c>
      <c r="I37" s="77">
        <v>4.37</v>
      </c>
      <c r="J37" s="77">
        <v>0.69</v>
      </c>
      <c r="K37" s="77">
        <v>4.34</v>
      </c>
      <c r="L37" s="77">
        <v>24.92</v>
      </c>
      <c r="M37" s="77">
        <v>95.15</v>
      </c>
      <c r="N37" s="77">
        <v>199.8</v>
      </c>
      <c r="O37" s="77">
        <v>0</v>
      </c>
      <c r="P37" s="77">
        <v>0.8</v>
      </c>
      <c r="Q37" s="77">
        <v>10.32</v>
      </c>
    </row>
    <row r="38" spans="1:17" s="12" customFormat="1" x14ac:dyDescent="0.25">
      <c r="A38" s="64" t="s">
        <v>2102</v>
      </c>
      <c r="B38" s="77">
        <v>21.67</v>
      </c>
      <c r="C38" s="77">
        <v>14.59</v>
      </c>
      <c r="D38" s="77">
        <v>26.07</v>
      </c>
      <c r="E38" s="77">
        <v>2.66</v>
      </c>
      <c r="F38" s="77">
        <v>5.31</v>
      </c>
      <c r="G38" s="77">
        <v>38.159999999999997</v>
      </c>
      <c r="H38" s="77">
        <v>22.51</v>
      </c>
      <c r="I38" s="77">
        <v>4.8600000000000003</v>
      </c>
      <c r="J38" s="77">
        <v>0.63</v>
      </c>
      <c r="K38" s="77">
        <v>7.62</v>
      </c>
      <c r="L38" s="77">
        <v>25.47</v>
      </c>
      <c r="M38" s="77">
        <v>92.35</v>
      </c>
      <c r="N38" s="77">
        <v>199.6</v>
      </c>
      <c r="O38" s="77">
        <v>0</v>
      </c>
      <c r="P38" s="77">
        <v>0.83</v>
      </c>
      <c r="Q38" s="77">
        <v>7.06</v>
      </c>
    </row>
    <row r="39" spans="1:17" s="12" customFormat="1" x14ac:dyDescent="0.25">
      <c r="A39" s="64" t="s">
        <v>2103</v>
      </c>
      <c r="B39" s="77">
        <v>24.89</v>
      </c>
      <c r="C39" s="77">
        <v>15.93</v>
      </c>
      <c r="D39" s="77">
        <v>29.39</v>
      </c>
      <c r="E39" s="77">
        <v>2.7</v>
      </c>
      <c r="F39" s="77">
        <v>4.99</v>
      </c>
      <c r="G39" s="77">
        <v>38.159999999999997</v>
      </c>
      <c r="H39" s="77">
        <v>22.51</v>
      </c>
      <c r="I39" s="77">
        <v>4.66</v>
      </c>
      <c r="J39" s="77">
        <v>0.33</v>
      </c>
      <c r="K39" s="77">
        <v>10.64</v>
      </c>
      <c r="L39" s="77">
        <v>25.6</v>
      </c>
      <c r="M39" s="77">
        <v>91.11</v>
      </c>
      <c r="N39" s="77">
        <v>208.1</v>
      </c>
      <c r="O39" s="77">
        <v>0</v>
      </c>
      <c r="P39" s="77">
        <v>0.81</v>
      </c>
      <c r="Q39" s="77">
        <v>6.78</v>
      </c>
    </row>
    <row r="40" spans="1:17" s="12" customFormat="1" x14ac:dyDescent="0.25">
      <c r="A40" s="64" t="s">
        <v>2104</v>
      </c>
      <c r="B40" s="77">
        <v>25.84</v>
      </c>
      <c r="C40" s="77">
        <v>15.03</v>
      </c>
      <c r="D40" s="77">
        <v>29.66</v>
      </c>
      <c r="E40" s="77">
        <v>2.46</v>
      </c>
      <c r="F40" s="77">
        <v>4.8600000000000003</v>
      </c>
      <c r="G40" s="77">
        <v>54.53</v>
      </c>
      <c r="H40" s="77">
        <v>16.43</v>
      </c>
      <c r="I40" s="77">
        <v>4.68</v>
      </c>
      <c r="J40" s="77">
        <v>0.46</v>
      </c>
      <c r="K40" s="77">
        <v>66.62</v>
      </c>
      <c r="L40" s="77">
        <v>25.64</v>
      </c>
      <c r="M40" s="77">
        <v>90.99</v>
      </c>
      <c r="N40" s="77">
        <v>282.89999999999998</v>
      </c>
      <c r="O40" s="77">
        <v>0</v>
      </c>
      <c r="P40" s="77">
        <v>0.82</v>
      </c>
      <c r="Q40" s="77">
        <v>6.5</v>
      </c>
    </row>
    <row r="41" spans="1:17" s="12" customFormat="1" x14ac:dyDescent="0.25">
      <c r="A41" s="64" t="s">
        <v>2105</v>
      </c>
      <c r="B41" s="77">
        <v>23.84</v>
      </c>
      <c r="C41" s="77">
        <v>14.16</v>
      </c>
      <c r="D41" s="77">
        <v>27.58</v>
      </c>
      <c r="E41" s="77">
        <v>2.98</v>
      </c>
      <c r="F41" s="77">
        <v>4.6100000000000003</v>
      </c>
      <c r="G41" s="77">
        <v>55.09</v>
      </c>
      <c r="H41" s="77">
        <v>16.43</v>
      </c>
      <c r="I41" s="77">
        <v>4.28</v>
      </c>
      <c r="J41" s="77">
        <v>0.8</v>
      </c>
      <c r="K41" s="77">
        <v>111.1</v>
      </c>
      <c r="L41" s="77">
        <v>25.75</v>
      </c>
      <c r="M41" s="77">
        <v>89.22</v>
      </c>
      <c r="N41" s="77">
        <v>276.7</v>
      </c>
      <c r="O41" s="77">
        <v>0</v>
      </c>
      <c r="P41" s="77">
        <v>0.77</v>
      </c>
      <c r="Q41" s="77">
        <v>7.71</v>
      </c>
    </row>
    <row r="42" spans="1:17" s="12" customFormat="1" x14ac:dyDescent="0.25">
      <c r="A42" s="64" t="s">
        <v>2106</v>
      </c>
      <c r="B42" s="77">
        <v>26.8</v>
      </c>
      <c r="C42" s="77">
        <v>14.63</v>
      </c>
      <c r="D42" s="77">
        <v>29.86</v>
      </c>
      <c r="E42" s="77">
        <v>3.08</v>
      </c>
      <c r="F42" s="77">
        <v>6.55</v>
      </c>
      <c r="G42" s="77">
        <v>55.09</v>
      </c>
      <c r="H42" s="77">
        <v>16.43</v>
      </c>
      <c r="I42" s="77">
        <v>4.57</v>
      </c>
      <c r="J42" s="77">
        <v>0.42</v>
      </c>
      <c r="K42" s="77">
        <v>83.07</v>
      </c>
      <c r="L42" s="77">
        <v>25.56</v>
      </c>
      <c r="M42" s="77">
        <v>90.35</v>
      </c>
      <c r="N42" s="77">
        <v>219.5</v>
      </c>
      <c r="O42" s="77">
        <v>0</v>
      </c>
      <c r="P42" s="77">
        <v>0.74</v>
      </c>
      <c r="Q42" s="77">
        <v>7.66</v>
      </c>
    </row>
    <row r="43" spans="1:17" s="12" customFormat="1" x14ac:dyDescent="0.25">
      <c r="A43" s="64" t="s">
        <v>2107</v>
      </c>
      <c r="B43" s="77">
        <v>21.88</v>
      </c>
      <c r="C43" s="77">
        <v>14.89</v>
      </c>
      <c r="D43" s="77">
        <v>26.41</v>
      </c>
      <c r="E43" s="77">
        <v>3.37</v>
      </c>
      <c r="F43" s="77">
        <v>6.37</v>
      </c>
      <c r="G43" s="77">
        <v>55.09</v>
      </c>
      <c r="H43" s="77">
        <v>16.43</v>
      </c>
      <c r="I43" s="77">
        <v>4.32</v>
      </c>
      <c r="J43" s="77">
        <v>0.78</v>
      </c>
      <c r="K43" s="77">
        <v>106.5</v>
      </c>
      <c r="L43" s="77">
        <v>25.94</v>
      </c>
      <c r="M43" s="77">
        <v>88.13</v>
      </c>
      <c r="N43" s="77">
        <v>395.1</v>
      </c>
      <c r="O43" s="77">
        <v>0</v>
      </c>
      <c r="P43" s="77">
        <v>0.74</v>
      </c>
      <c r="Q43" s="77">
        <v>8.2200000000000006</v>
      </c>
    </row>
    <row r="44" spans="1:17" s="12" customFormat="1" x14ac:dyDescent="0.25">
      <c r="A44" s="64" t="s">
        <v>2108</v>
      </c>
      <c r="B44" s="77">
        <v>20.45</v>
      </c>
      <c r="C44" s="77">
        <v>15.46</v>
      </c>
      <c r="D44" s="77">
        <v>25.57</v>
      </c>
      <c r="E44" s="77">
        <v>3.19</v>
      </c>
      <c r="F44" s="77">
        <v>7.03</v>
      </c>
      <c r="G44" s="77">
        <v>50.21</v>
      </c>
      <c r="H44" s="77">
        <v>12.96</v>
      </c>
      <c r="I44" s="77">
        <v>4.2</v>
      </c>
      <c r="J44" s="77">
        <v>0.67</v>
      </c>
      <c r="K44" s="77">
        <v>94.99</v>
      </c>
      <c r="L44" s="77">
        <v>26.53</v>
      </c>
      <c r="M44" s="77">
        <v>86.1</v>
      </c>
      <c r="N44" s="77">
        <v>522.6</v>
      </c>
      <c r="O44" s="77">
        <v>0</v>
      </c>
      <c r="P44" s="77">
        <v>0.68</v>
      </c>
      <c r="Q44" s="77">
        <v>10.99</v>
      </c>
    </row>
    <row r="45" spans="1:17" s="12" customFormat="1" x14ac:dyDescent="0.25">
      <c r="A45" s="64" t="s">
        <v>2109</v>
      </c>
      <c r="B45" s="77">
        <v>18.62</v>
      </c>
      <c r="C45" s="77">
        <v>14.34</v>
      </c>
      <c r="D45" s="77">
        <v>23.49</v>
      </c>
      <c r="E45" s="77">
        <v>3.33</v>
      </c>
      <c r="F45" s="77">
        <v>5.7</v>
      </c>
      <c r="G45" s="77">
        <v>50.04</v>
      </c>
      <c r="H45" s="77">
        <v>12.96</v>
      </c>
      <c r="I45" s="77">
        <v>4.33</v>
      </c>
      <c r="J45" s="77">
        <v>1.77</v>
      </c>
      <c r="K45" s="77">
        <v>120.77</v>
      </c>
      <c r="L45" s="77">
        <v>26.41</v>
      </c>
      <c r="M45" s="77">
        <v>85.57</v>
      </c>
      <c r="N45" s="77">
        <v>410.8</v>
      </c>
      <c r="O45" s="77">
        <v>0</v>
      </c>
      <c r="P45" s="77">
        <v>0.67</v>
      </c>
      <c r="Q45" s="77">
        <v>12.86</v>
      </c>
    </row>
    <row r="46" spans="1:17" s="12" customFormat="1" x14ac:dyDescent="0.25">
      <c r="A46" s="64" t="s">
        <v>2110</v>
      </c>
      <c r="B46" s="77">
        <v>15.76</v>
      </c>
      <c r="C46" s="77">
        <v>13.82</v>
      </c>
      <c r="D46" s="77">
        <v>20.91</v>
      </c>
      <c r="E46" s="77">
        <v>3.55</v>
      </c>
      <c r="F46" s="77">
        <v>8.8000000000000007</v>
      </c>
      <c r="G46" s="77">
        <v>50.04</v>
      </c>
      <c r="H46" s="77">
        <v>12.96</v>
      </c>
      <c r="I46" s="77">
        <v>4.1900000000000004</v>
      </c>
      <c r="J46" s="77">
        <v>1.41</v>
      </c>
      <c r="K46" s="77">
        <v>118.2</v>
      </c>
      <c r="L46" s="77">
        <v>25.79</v>
      </c>
      <c r="M46" s="77">
        <v>88.11</v>
      </c>
      <c r="N46" s="77">
        <v>240.2</v>
      </c>
      <c r="O46" s="77">
        <v>0</v>
      </c>
      <c r="P46" s="77">
        <v>0.63</v>
      </c>
      <c r="Q46" s="77">
        <v>14.91</v>
      </c>
    </row>
    <row r="47" spans="1:17" s="12" customFormat="1" x14ac:dyDescent="0.25">
      <c r="A47" s="64" t="s">
        <v>2111</v>
      </c>
      <c r="B47" s="77">
        <v>15.18</v>
      </c>
      <c r="C47" s="77">
        <v>15.12</v>
      </c>
      <c r="D47" s="77">
        <v>21.16</v>
      </c>
      <c r="E47" s="77">
        <v>3.67</v>
      </c>
      <c r="F47" s="77">
        <v>13.21</v>
      </c>
      <c r="G47" s="77">
        <v>50.04</v>
      </c>
      <c r="H47" s="77">
        <v>12.96</v>
      </c>
      <c r="I47" s="77">
        <v>4.78</v>
      </c>
      <c r="J47" s="77">
        <v>0.87</v>
      </c>
      <c r="K47" s="77">
        <v>119.39</v>
      </c>
      <c r="L47" s="77">
        <v>26.31</v>
      </c>
      <c r="M47" s="77">
        <v>86.28</v>
      </c>
      <c r="N47" s="77">
        <v>554.5</v>
      </c>
      <c r="O47" s="77">
        <v>0</v>
      </c>
      <c r="P47" s="77">
        <v>0.6</v>
      </c>
      <c r="Q47" s="77">
        <v>15.92</v>
      </c>
    </row>
    <row r="48" spans="1:17" s="12" customFormat="1" x14ac:dyDescent="0.25">
      <c r="A48" s="64" t="s">
        <v>2112</v>
      </c>
      <c r="B48" s="77">
        <v>14.38</v>
      </c>
      <c r="C48" s="77">
        <v>14.17</v>
      </c>
      <c r="D48" s="77">
        <v>20</v>
      </c>
      <c r="E48" s="77">
        <v>3.58</v>
      </c>
      <c r="F48" s="77">
        <v>5.54</v>
      </c>
      <c r="G48" s="77">
        <v>31.92</v>
      </c>
      <c r="H48" s="77">
        <v>13.54</v>
      </c>
      <c r="I48" s="77">
        <v>4.63</v>
      </c>
      <c r="J48" s="77">
        <v>0.84</v>
      </c>
      <c r="K48" s="77">
        <v>112.99</v>
      </c>
      <c r="L48" s="77">
        <v>27.67</v>
      </c>
      <c r="M48" s="77">
        <v>80.02</v>
      </c>
      <c r="N48" s="77">
        <v>650.29999999999995</v>
      </c>
      <c r="O48" s="77">
        <v>0</v>
      </c>
      <c r="P48" s="77">
        <v>0.6</v>
      </c>
      <c r="Q48" s="77">
        <v>15.81</v>
      </c>
    </row>
    <row r="49" spans="1:17" s="12" customFormat="1" x14ac:dyDescent="0.25">
      <c r="A49" s="64" t="s">
        <v>2113</v>
      </c>
      <c r="B49" s="77">
        <v>14.59</v>
      </c>
      <c r="C49" s="77">
        <v>14.37</v>
      </c>
      <c r="D49" s="77">
        <v>20.28</v>
      </c>
      <c r="E49" s="77">
        <v>3.42</v>
      </c>
      <c r="F49" s="77">
        <v>6.47</v>
      </c>
      <c r="G49" s="77">
        <v>31.3</v>
      </c>
      <c r="H49" s="77">
        <v>13.54</v>
      </c>
      <c r="I49" s="77">
        <v>3.95</v>
      </c>
      <c r="J49" s="77">
        <v>1.79</v>
      </c>
      <c r="K49" s="77">
        <v>121.65</v>
      </c>
      <c r="L49" s="77">
        <v>27.94</v>
      </c>
      <c r="M49" s="77">
        <v>76.33</v>
      </c>
      <c r="N49" s="77">
        <v>914.7</v>
      </c>
      <c r="O49" s="77">
        <v>0</v>
      </c>
      <c r="P49" s="77">
        <v>0.57999999999999996</v>
      </c>
      <c r="Q49" s="77">
        <v>14.22</v>
      </c>
    </row>
    <row r="50" spans="1:17" s="12" customFormat="1" x14ac:dyDescent="0.25">
      <c r="A50" s="64" t="s">
        <v>2114</v>
      </c>
      <c r="B50" s="77">
        <v>13.3</v>
      </c>
      <c r="C50" s="77">
        <v>14.17</v>
      </c>
      <c r="D50" s="77">
        <v>19.13</v>
      </c>
      <c r="E50" s="77">
        <v>3.33</v>
      </c>
      <c r="F50" s="77">
        <v>5.31</v>
      </c>
      <c r="G50" s="77">
        <v>31.3</v>
      </c>
      <c r="H50" s="77">
        <v>13.54</v>
      </c>
      <c r="I50" s="77">
        <v>4.13</v>
      </c>
      <c r="J50" s="77">
        <v>1.58</v>
      </c>
      <c r="K50" s="77">
        <v>119.16</v>
      </c>
      <c r="L50" s="77">
        <v>27.43</v>
      </c>
      <c r="M50" s="77">
        <v>77.790000000000006</v>
      </c>
      <c r="N50" s="77">
        <v>428.1</v>
      </c>
      <c r="O50" s="77">
        <v>0</v>
      </c>
      <c r="P50" s="77">
        <v>0.56999999999999995</v>
      </c>
      <c r="Q50" s="77">
        <v>12.71</v>
      </c>
    </row>
    <row r="51" spans="1:17" s="12" customFormat="1" x14ac:dyDescent="0.25">
      <c r="A51" s="64" t="s">
        <v>2115</v>
      </c>
      <c r="B51" s="77">
        <v>11.48</v>
      </c>
      <c r="C51" s="77">
        <v>15.86</v>
      </c>
      <c r="D51" s="77">
        <v>18.600000000000001</v>
      </c>
      <c r="E51" s="77">
        <v>3.54</v>
      </c>
      <c r="F51" s="77">
        <v>8.33</v>
      </c>
      <c r="G51" s="77">
        <v>31.3</v>
      </c>
      <c r="H51" s="77">
        <v>13.54</v>
      </c>
      <c r="I51" s="77">
        <v>4.1500000000000004</v>
      </c>
      <c r="J51" s="77">
        <v>0.65</v>
      </c>
      <c r="K51" s="77">
        <v>101.2</v>
      </c>
      <c r="L51" s="77">
        <v>26.91</v>
      </c>
      <c r="M51" s="77">
        <v>81.150000000000006</v>
      </c>
      <c r="N51" s="77">
        <v>130.1</v>
      </c>
      <c r="O51" s="77">
        <v>0</v>
      </c>
      <c r="P51" s="77">
        <v>0.55000000000000004</v>
      </c>
      <c r="Q51" s="77">
        <v>12.89</v>
      </c>
    </row>
    <row r="52" spans="1:17" s="12" customFormat="1" x14ac:dyDescent="0.25">
      <c r="A52" s="64" t="s">
        <v>2116</v>
      </c>
      <c r="B52" s="77">
        <v>10.35</v>
      </c>
      <c r="C52" s="77">
        <v>17.09</v>
      </c>
      <c r="D52" s="77">
        <v>18.38</v>
      </c>
      <c r="E52" s="77">
        <v>3.71</v>
      </c>
      <c r="F52" s="77">
        <v>10.57</v>
      </c>
      <c r="G52" s="77">
        <v>29.85</v>
      </c>
      <c r="H52" s="77">
        <v>11.54</v>
      </c>
      <c r="I52" s="77">
        <v>4.28</v>
      </c>
      <c r="J52" s="77">
        <v>0.64</v>
      </c>
      <c r="K52" s="77">
        <v>108.02</v>
      </c>
      <c r="L52" s="77">
        <v>26.48</v>
      </c>
      <c r="M52" s="77">
        <v>84.46</v>
      </c>
      <c r="N52" s="77">
        <v>151.4</v>
      </c>
      <c r="O52" s="77">
        <v>0</v>
      </c>
      <c r="P52" s="77">
        <v>0.55000000000000004</v>
      </c>
      <c r="Q52" s="77">
        <v>11.64</v>
      </c>
    </row>
    <row r="53" spans="1:17" s="12" customFormat="1" x14ac:dyDescent="0.25">
      <c r="A53" s="64" t="s">
        <v>2117</v>
      </c>
      <c r="B53" s="77">
        <v>13.21</v>
      </c>
      <c r="C53" s="77">
        <v>22.04</v>
      </c>
      <c r="D53" s="77">
        <v>23.4</v>
      </c>
      <c r="E53" s="77">
        <v>3.26</v>
      </c>
      <c r="F53" s="77">
        <v>9.8800000000000008</v>
      </c>
      <c r="G53" s="77">
        <v>29.81</v>
      </c>
      <c r="H53" s="77">
        <v>11.54</v>
      </c>
      <c r="I53" s="77">
        <v>3.83</v>
      </c>
      <c r="J53" s="77">
        <v>0.21</v>
      </c>
      <c r="K53" s="77">
        <v>96.54</v>
      </c>
      <c r="L53" s="77">
        <v>26.7</v>
      </c>
      <c r="M53" s="77">
        <v>83.74</v>
      </c>
      <c r="N53" s="77">
        <v>180.2</v>
      </c>
      <c r="O53" s="77">
        <v>0.2</v>
      </c>
      <c r="P53" s="77">
        <v>0.62</v>
      </c>
      <c r="Q53" s="77">
        <v>10.69</v>
      </c>
    </row>
    <row r="54" spans="1:17" s="12" customFormat="1" x14ac:dyDescent="0.25">
      <c r="A54" s="64" t="s">
        <v>2118</v>
      </c>
      <c r="B54" s="77">
        <v>11.01</v>
      </c>
      <c r="C54" s="77">
        <v>22.31</v>
      </c>
      <c r="D54" s="77">
        <v>21.79</v>
      </c>
      <c r="E54" s="77">
        <v>2.96</v>
      </c>
      <c r="F54" s="77">
        <v>13.8</v>
      </c>
      <c r="G54" s="77">
        <v>29.81</v>
      </c>
      <c r="H54" s="77">
        <v>11.54</v>
      </c>
      <c r="I54" s="77">
        <v>3.65</v>
      </c>
      <c r="J54" s="77">
        <v>0.31</v>
      </c>
      <c r="K54" s="77">
        <v>110.24</v>
      </c>
      <c r="L54" s="77">
        <v>26.93</v>
      </c>
      <c r="M54" s="77">
        <v>87.2</v>
      </c>
      <c r="N54" s="77">
        <v>363.9</v>
      </c>
      <c r="O54" s="77">
        <v>0</v>
      </c>
      <c r="P54" s="77">
        <v>0.66</v>
      </c>
      <c r="Q54" s="77">
        <v>9.94</v>
      </c>
    </row>
    <row r="55" spans="1:17" s="12" customFormat="1" x14ac:dyDescent="0.25">
      <c r="A55" s="64" t="s">
        <v>2119</v>
      </c>
      <c r="B55" s="77">
        <v>17.739999999999998</v>
      </c>
      <c r="C55" s="77">
        <v>25.68</v>
      </c>
      <c r="D55" s="77">
        <v>29.04</v>
      </c>
      <c r="E55" s="77">
        <v>3.64</v>
      </c>
      <c r="F55" s="77">
        <v>16.809999999999999</v>
      </c>
      <c r="G55" s="77">
        <v>29.81</v>
      </c>
      <c r="H55" s="77">
        <v>11.54</v>
      </c>
      <c r="I55" s="77">
        <v>3.53</v>
      </c>
      <c r="J55" s="77">
        <v>0.18</v>
      </c>
      <c r="K55" s="77">
        <v>45.77</v>
      </c>
      <c r="L55" s="77">
        <v>27.94</v>
      </c>
      <c r="M55" s="77">
        <v>82.23</v>
      </c>
      <c r="N55" s="77">
        <v>352.9</v>
      </c>
      <c r="O55" s="77">
        <v>0</v>
      </c>
      <c r="P55" s="77">
        <v>0.85</v>
      </c>
      <c r="Q55" s="77">
        <v>8.81</v>
      </c>
    </row>
    <row r="56" spans="1:17" s="12" customFormat="1" x14ac:dyDescent="0.25">
      <c r="A56" s="64" t="s">
        <v>2120</v>
      </c>
      <c r="B56" s="77">
        <v>11.65</v>
      </c>
      <c r="C56" s="77">
        <v>24.55</v>
      </c>
      <c r="D56" s="77">
        <v>23.54</v>
      </c>
      <c r="E56" s="77">
        <v>2.34</v>
      </c>
      <c r="F56" s="77">
        <v>15.82</v>
      </c>
      <c r="G56" s="77">
        <v>42.55</v>
      </c>
      <c r="H56" s="77">
        <v>15.6</v>
      </c>
      <c r="I56" s="77">
        <v>3.42</v>
      </c>
      <c r="J56" s="77">
        <v>0.65</v>
      </c>
      <c r="K56" s="77">
        <v>103.01</v>
      </c>
      <c r="L56" s="77">
        <v>28.28</v>
      </c>
      <c r="M56" s="77">
        <v>79.38</v>
      </c>
      <c r="N56" s="77">
        <v>783.5</v>
      </c>
      <c r="O56" s="77">
        <v>0</v>
      </c>
      <c r="P56" s="77">
        <v>0.63</v>
      </c>
      <c r="Q56" s="77">
        <v>10.74</v>
      </c>
    </row>
    <row r="57" spans="1:17" s="12" customFormat="1" x14ac:dyDescent="0.25">
      <c r="A57" s="64" t="s">
        <v>2121</v>
      </c>
      <c r="B57" s="77">
        <v>16.57</v>
      </c>
      <c r="C57" s="77">
        <v>23.57</v>
      </c>
      <c r="D57" s="77">
        <v>26.85</v>
      </c>
      <c r="E57" s="77">
        <v>3.45</v>
      </c>
      <c r="F57" s="77">
        <v>14.22</v>
      </c>
      <c r="G57" s="77">
        <v>42.99</v>
      </c>
      <c r="H57" s="77">
        <v>15.6</v>
      </c>
      <c r="I57" s="77">
        <v>3.54</v>
      </c>
      <c r="J57" s="77">
        <v>0.54</v>
      </c>
      <c r="K57" s="77">
        <v>34.56</v>
      </c>
      <c r="L57" s="77">
        <v>28.47</v>
      </c>
      <c r="M57" s="77">
        <v>77.27</v>
      </c>
      <c r="N57" s="77">
        <v>576.6</v>
      </c>
      <c r="O57" s="77">
        <v>0</v>
      </c>
      <c r="P57" s="77">
        <v>0.73</v>
      </c>
      <c r="Q57" s="77">
        <v>12.3</v>
      </c>
    </row>
    <row r="58" spans="1:17" s="12" customFormat="1" x14ac:dyDescent="0.25">
      <c r="A58" s="64" t="s">
        <v>2122</v>
      </c>
      <c r="B58" s="77">
        <v>12.41</v>
      </c>
      <c r="C58" s="77">
        <v>19.63</v>
      </c>
      <c r="D58" s="77">
        <v>21.43</v>
      </c>
      <c r="E58" s="77">
        <v>2.91</v>
      </c>
      <c r="F58" s="77">
        <v>14.69</v>
      </c>
      <c r="G58" s="77">
        <v>42.99</v>
      </c>
      <c r="H58" s="77">
        <v>15.6</v>
      </c>
      <c r="I58" s="77">
        <v>3.49</v>
      </c>
      <c r="J58" s="77">
        <v>0.49</v>
      </c>
      <c r="K58" s="77">
        <v>35.979999999999997</v>
      </c>
      <c r="L58" s="77">
        <v>30.07</v>
      </c>
      <c r="M58" s="77">
        <v>70.760000000000005</v>
      </c>
      <c r="N58" s="77">
        <v>743.8</v>
      </c>
      <c r="O58" s="77">
        <v>0</v>
      </c>
      <c r="P58" s="77">
        <v>0.62</v>
      </c>
      <c r="Q58" s="77">
        <v>12.76</v>
      </c>
    </row>
    <row r="59" spans="1:17" s="12" customFormat="1" x14ac:dyDescent="0.25">
      <c r="A59" s="64" t="s">
        <v>2123</v>
      </c>
      <c r="B59" s="77">
        <v>11.98</v>
      </c>
      <c r="C59" s="77">
        <v>20.86</v>
      </c>
      <c r="D59" s="77">
        <v>21.77</v>
      </c>
      <c r="E59" s="77">
        <v>2.94</v>
      </c>
      <c r="F59" s="77">
        <v>13.83</v>
      </c>
      <c r="G59" s="77">
        <v>42.99</v>
      </c>
      <c r="H59" s="77">
        <v>15.6</v>
      </c>
      <c r="I59" s="77">
        <v>3.65</v>
      </c>
      <c r="J59" s="77">
        <v>0.79</v>
      </c>
      <c r="K59" s="77">
        <v>113.6</v>
      </c>
      <c r="L59" s="77">
        <v>29.74</v>
      </c>
      <c r="M59" s="77">
        <v>72.95</v>
      </c>
      <c r="N59" s="77">
        <v>1038.7</v>
      </c>
      <c r="O59" s="77">
        <v>0</v>
      </c>
      <c r="P59" s="77">
        <v>0.63</v>
      </c>
      <c r="Q59" s="77">
        <v>0</v>
      </c>
    </row>
    <row r="60" spans="1:17" s="12" customFormat="1" x14ac:dyDescent="0.25">
      <c r="A60" s="64" t="s">
        <v>2124</v>
      </c>
      <c r="B60" s="77">
        <v>10.24</v>
      </c>
      <c r="C60" s="77">
        <v>17.64</v>
      </c>
      <c r="D60" s="77">
        <v>18.59</v>
      </c>
      <c r="E60" s="77">
        <v>3.2</v>
      </c>
      <c r="F60" s="77">
        <v>7.26</v>
      </c>
      <c r="G60" s="77">
        <v>58</v>
      </c>
      <c r="H60" s="77">
        <v>17.899999999999999</v>
      </c>
      <c r="I60" s="77">
        <v>3.61</v>
      </c>
      <c r="J60" s="77">
        <v>1.0900000000000001</v>
      </c>
      <c r="K60" s="77">
        <v>115</v>
      </c>
      <c r="L60" s="77">
        <v>29.2</v>
      </c>
      <c r="M60" s="77">
        <v>72.38</v>
      </c>
      <c r="N60" s="77">
        <v>728.9</v>
      </c>
      <c r="O60" s="77">
        <v>0</v>
      </c>
      <c r="P60" s="77">
        <v>0.59</v>
      </c>
      <c r="Q60" s="77">
        <v>12.95</v>
      </c>
    </row>
    <row r="61" spans="1:17" s="12" customFormat="1" x14ac:dyDescent="0.25">
      <c r="A61" s="64" t="s">
        <v>2125</v>
      </c>
      <c r="B61" s="77">
        <v>10.28</v>
      </c>
      <c r="C61" s="77">
        <v>17.399999999999999</v>
      </c>
      <c r="D61" s="77">
        <v>18.489999999999998</v>
      </c>
      <c r="E61" s="77">
        <v>3.14</v>
      </c>
      <c r="F61" s="77">
        <v>8.5399999999999991</v>
      </c>
      <c r="G61" s="77">
        <v>58.7</v>
      </c>
      <c r="H61" s="77">
        <v>17.899999999999999</v>
      </c>
      <c r="I61" s="77">
        <v>3.9</v>
      </c>
      <c r="J61" s="77">
        <v>1.01</v>
      </c>
      <c r="K61" s="77">
        <v>116.2</v>
      </c>
      <c r="L61" s="77">
        <v>29.36</v>
      </c>
      <c r="M61" s="77">
        <v>70.040000000000006</v>
      </c>
      <c r="N61" s="77">
        <v>688.4</v>
      </c>
      <c r="O61" s="77">
        <v>0</v>
      </c>
      <c r="P61" s="77">
        <v>0.51</v>
      </c>
      <c r="Q61" s="77">
        <v>11.48</v>
      </c>
    </row>
    <row r="62" spans="1:17" s="12" customFormat="1" x14ac:dyDescent="0.25">
      <c r="A62" s="64" t="s">
        <v>2126</v>
      </c>
      <c r="B62" s="77">
        <v>8.68</v>
      </c>
      <c r="C62" s="77">
        <v>17.309999999999999</v>
      </c>
      <c r="D62" s="77">
        <v>17.16</v>
      </c>
      <c r="E62" s="77">
        <v>3</v>
      </c>
      <c r="F62" s="77">
        <v>9.35</v>
      </c>
      <c r="G62" s="77">
        <v>58.7</v>
      </c>
      <c r="H62" s="77">
        <v>17.899999999999999</v>
      </c>
      <c r="I62" s="77">
        <v>3.76</v>
      </c>
      <c r="J62" s="77">
        <v>0.48</v>
      </c>
      <c r="K62" s="77">
        <v>78.92</v>
      </c>
      <c r="L62" s="77">
        <v>30.52</v>
      </c>
      <c r="M62" s="77">
        <v>67.06</v>
      </c>
      <c r="N62" s="77">
        <v>828.2</v>
      </c>
      <c r="O62" s="77">
        <v>0</v>
      </c>
      <c r="P62" s="77">
        <v>0.55000000000000004</v>
      </c>
      <c r="Q62" s="77">
        <v>9.7200000000000006</v>
      </c>
    </row>
    <row r="63" spans="1:17" s="12" customFormat="1" x14ac:dyDescent="0.25">
      <c r="A63" s="64" t="s">
        <v>2127</v>
      </c>
      <c r="B63" s="77">
        <v>7.31</v>
      </c>
      <c r="C63" s="77">
        <v>16.149999999999999</v>
      </c>
      <c r="D63" s="77">
        <v>15.42</v>
      </c>
      <c r="E63" s="77">
        <v>3.16</v>
      </c>
      <c r="F63" s="77">
        <v>11.22</v>
      </c>
      <c r="G63" s="77">
        <v>58.7</v>
      </c>
      <c r="H63" s="77">
        <v>17.899999999999999</v>
      </c>
      <c r="I63" s="77">
        <v>3.64</v>
      </c>
      <c r="J63" s="77">
        <v>0.86</v>
      </c>
      <c r="K63" s="77">
        <v>117.77</v>
      </c>
      <c r="L63" s="77">
        <v>29.92</v>
      </c>
      <c r="M63" s="77">
        <v>68.03</v>
      </c>
      <c r="N63" s="77">
        <v>374.8</v>
      </c>
      <c r="O63" s="77">
        <v>0</v>
      </c>
      <c r="P63" s="77">
        <v>0.51</v>
      </c>
      <c r="Q63" s="77">
        <v>7.85</v>
      </c>
    </row>
    <row r="64" spans="1:17" s="12" customFormat="1" x14ac:dyDescent="0.25">
      <c r="A64" s="64" t="s">
        <v>2128</v>
      </c>
      <c r="B64" s="77">
        <v>9.34</v>
      </c>
      <c r="C64" s="77">
        <v>15.73</v>
      </c>
      <c r="D64" s="77">
        <v>16.82</v>
      </c>
      <c r="E64" s="77">
        <v>3.07</v>
      </c>
      <c r="F64" s="77">
        <v>12.83</v>
      </c>
      <c r="G64" s="77">
        <v>49.42</v>
      </c>
      <c r="H64" s="77">
        <v>16.09</v>
      </c>
      <c r="I64" s="77">
        <v>3.55</v>
      </c>
      <c r="J64" s="77">
        <v>0.36</v>
      </c>
      <c r="K64" s="77">
        <v>62.68</v>
      </c>
      <c r="L64" s="77">
        <v>30.02</v>
      </c>
      <c r="M64" s="77">
        <v>65.900000000000006</v>
      </c>
      <c r="N64" s="77">
        <v>586.4</v>
      </c>
      <c r="O64" s="77">
        <v>0</v>
      </c>
      <c r="P64" s="77">
        <v>0.53</v>
      </c>
      <c r="Q64" s="77">
        <v>6.76</v>
      </c>
    </row>
    <row r="65" spans="1:17" s="12" customFormat="1" x14ac:dyDescent="0.25">
      <c r="A65" s="64" t="s">
        <v>2129</v>
      </c>
      <c r="B65" s="77">
        <v>7.57</v>
      </c>
      <c r="C65" s="77">
        <v>17.62</v>
      </c>
      <c r="D65" s="77">
        <v>16.440000000000001</v>
      </c>
      <c r="E65" s="77">
        <v>3.1</v>
      </c>
      <c r="F65" s="77">
        <v>12.55</v>
      </c>
      <c r="G65" s="77">
        <v>49.1</v>
      </c>
      <c r="H65" s="77">
        <v>16.09</v>
      </c>
      <c r="I65" s="9" t="s">
        <v>36</v>
      </c>
      <c r="J65" s="77">
        <v>0.69</v>
      </c>
      <c r="K65" s="77">
        <v>103.11</v>
      </c>
      <c r="L65" s="77">
        <v>29.67</v>
      </c>
      <c r="M65" s="77">
        <v>67.25</v>
      </c>
      <c r="N65" s="77">
        <v>200.8</v>
      </c>
      <c r="O65" s="77">
        <v>0</v>
      </c>
      <c r="P65" s="77">
        <v>0.52</v>
      </c>
      <c r="Q65" s="77">
        <v>5.4</v>
      </c>
    </row>
    <row r="66" spans="1:17" s="12" customFormat="1" x14ac:dyDescent="0.25">
      <c r="A66" s="64" t="s">
        <v>2130</v>
      </c>
      <c r="B66" s="77">
        <v>8.81</v>
      </c>
      <c r="C66" s="77">
        <v>20.43</v>
      </c>
      <c r="D66" s="77">
        <v>18.98</v>
      </c>
      <c r="E66" s="77">
        <v>2.86</v>
      </c>
      <c r="F66" s="77">
        <v>11.43</v>
      </c>
      <c r="G66" s="77">
        <v>49.1</v>
      </c>
      <c r="H66" s="77">
        <v>16.09</v>
      </c>
      <c r="I66" s="9" t="s">
        <v>36</v>
      </c>
      <c r="J66" s="77">
        <v>0.26</v>
      </c>
      <c r="K66" s="77">
        <v>30.61</v>
      </c>
      <c r="L66" s="77">
        <v>30</v>
      </c>
      <c r="M66" s="77">
        <v>67.08</v>
      </c>
      <c r="N66" s="77">
        <v>547.1</v>
      </c>
      <c r="O66" s="77">
        <v>0</v>
      </c>
      <c r="P66" s="77">
        <v>0.59</v>
      </c>
      <c r="Q66" s="77">
        <v>5.03</v>
      </c>
    </row>
    <row r="67" spans="1:17" s="12" customFormat="1" x14ac:dyDescent="0.25">
      <c r="A67" s="64" t="s">
        <v>2131</v>
      </c>
      <c r="B67" s="77">
        <v>9.5500000000000007</v>
      </c>
      <c r="C67" s="77">
        <v>19.100000000000001</v>
      </c>
      <c r="D67" s="77">
        <v>18.84</v>
      </c>
      <c r="E67" s="77">
        <v>3.4</v>
      </c>
      <c r="F67" s="77">
        <v>17.34</v>
      </c>
      <c r="G67" s="77">
        <v>49.1</v>
      </c>
      <c r="H67" s="77">
        <v>16.09</v>
      </c>
      <c r="I67" s="9" t="s">
        <v>36</v>
      </c>
      <c r="J67" s="77">
        <v>0.96</v>
      </c>
      <c r="K67" s="77">
        <v>7.5</v>
      </c>
      <c r="L67" s="77">
        <v>31.03</v>
      </c>
      <c r="M67" s="77">
        <v>63.02</v>
      </c>
      <c r="N67" s="77">
        <v>668.8</v>
      </c>
      <c r="O67" s="77">
        <v>0</v>
      </c>
      <c r="P67" s="77">
        <v>0.55000000000000004</v>
      </c>
      <c r="Q67" s="77">
        <v>6.96</v>
      </c>
    </row>
    <row r="68" spans="1:17" s="12" customFormat="1" x14ac:dyDescent="0.25">
      <c r="A68" s="64" t="s">
        <v>2132</v>
      </c>
      <c r="B68" s="77">
        <v>7.1</v>
      </c>
      <c r="C68" s="77">
        <v>17.91</v>
      </c>
      <c r="D68" s="77">
        <v>16.23</v>
      </c>
      <c r="E68" s="77">
        <v>2.8</v>
      </c>
      <c r="F68" s="77">
        <v>14.72</v>
      </c>
      <c r="G68" s="77">
        <v>55.13</v>
      </c>
      <c r="H68" s="77">
        <v>17.420000000000002</v>
      </c>
      <c r="I68" s="9" t="s">
        <v>36</v>
      </c>
      <c r="J68" s="77">
        <v>0.43</v>
      </c>
      <c r="K68" s="77">
        <v>44.23</v>
      </c>
      <c r="L68" s="77">
        <v>31.05</v>
      </c>
      <c r="M68" s="77">
        <v>61.51</v>
      </c>
      <c r="N68" s="77">
        <v>544.70000000000005</v>
      </c>
      <c r="O68" s="77">
        <v>0</v>
      </c>
      <c r="P68" s="77">
        <v>0.55000000000000004</v>
      </c>
      <c r="Q68" s="77">
        <v>7.78</v>
      </c>
    </row>
    <row r="69" spans="1:17" s="12" customFormat="1" x14ac:dyDescent="0.25">
      <c r="A69" s="64" t="s">
        <v>2133</v>
      </c>
      <c r="B69" s="77">
        <v>7.61</v>
      </c>
      <c r="C69" s="77">
        <v>20.91</v>
      </c>
      <c r="D69" s="77">
        <v>18.29</v>
      </c>
      <c r="E69" s="77">
        <v>2.76</v>
      </c>
      <c r="F69" s="77">
        <v>14.64</v>
      </c>
      <c r="G69" s="77">
        <v>55.34</v>
      </c>
      <c r="H69" s="77">
        <v>17.420000000000002</v>
      </c>
      <c r="I69" s="9" t="s">
        <v>36</v>
      </c>
      <c r="J69" s="77">
        <v>0.93</v>
      </c>
      <c r="K69" s="77">
        <v>100.44</v>
      </c>
      <c r="L69" s="77">
        <v>30.16</v>
      </c>
      <c r="M69" s="77">
        <v>63.98</v>
      </c>
      <c r="N69" s="77">
        <v>273.7</v>
      </c>
      <c r="O69" s="77">
        <v>0</v>
      </c>
      <c r="P69" s="77">
        <v>0.47</v>
      </c>
      <c r="Q69" s="77">
        <v>8</v>
      </c>
    </row>
    <row r="70" spans="1:17" s="12" customFormat="1" x14ac:dyDescent="0.25">
      <c r="A70" s="64" t="s">
        <v>2134</v>
      </c>
      <c r="B70" s="77">
        <v>9.69</v>
      </c>
      <c r="C70" s="77">
        <v>22.1</v>
      </c>
      <c r="D70" s="77">
        <v>20.61</v>
      </c>
      <c r="E70" s="77">
        <v>3.26</v>
      </c>
      <c r="F70" s="77">
        <v>12.4</v>
      </c>
      <c r="G70" s="77">
        <v>55.34</v>
      </c>
      <c r="H70" s="77">
        <v>17.420000000000002</v>
      </c>
      <c r="I70" s="9" t="s">
        <v>36</v>
      </c>
      <c r="J70" s="77">
        <v>0.82</v>
      </c>
      <c r="K70" s="77">
        <v>20.100000000000001</v>
      </c>
      <c r="L70" s="77">
        <v>30.24</v>
      </c>
      <c r="M70" s="77">
        <v>63.35</v>
      </c>
      <c r="N70" s="77">
        <v>332.3</v>
      </c>
      <c r="O70" s="77">
        <v>0</v>
      </c>
      <c r="P70" s="77">
        <v>0.52</v>
      </c>
      <c r="Q70" s="77">
        <v>8.81</v>
      </c>
    </row>
    <row r="71" spans="1:17" s="12" customFormat="1" x14ac:dyDescent="0.25">
      <c r="A71" s="64" t="s">
        <v>2135</v>
      </c>
      <c r="B71" s="77">
        <v>12.23</v>
      </c>
      <c r="C71" s="77">
        <v>29.04</v>
      </c>
      <c r="D71" s="77">
        <v>26.48</v>
      </c>
      <c r="E71" s="77">
        <v>3.09</v>
      </c>
      <c r="F71" s="77">
        <v>16.96</v>
      </c>
      <c r="G71" s="77">
        <v>55.34</v>
      </c>
      <c r="H71" s="77">
        <v>17.420000000000002</v>
      </c>
      <c r="I71" s="9" t="s">
        <v>36</v>
      </c>
      <c r="J71" s="77">
        <v>0.37</v>
      </c>
      <c r="K71" s="77">
        <v>6.19</v>
      </c>
      <c r="L71" s="77">
        <v>30.92</v>
      </c>
      <c r="M71" s="77">
        <v>61.68</v>
      </c>
      <c r="N71" s="77">
        <v>220</v>
      </c>
      <c r="O71" s="77">
        <v>0</v>
      </c>
      <c r="P71" s="77">
        <v>0.57999999999999996</v>
      </c>
      <c r="Q71" s="77">
        <v>9.24</v>
      </c>
    </row>
    <row r="72" spans="1:17" s="12" customFormat="1" x14ac:dyDescent="0.25">
      <c r="A72" s="64" t="s">
        <v>2136</v>
      </c>
      <c r="B72" s="77">
        <v>9.6</v>
      </c>
      <c r="C72" s="77">
        <v>22.64</v>
      </c>
      <c r="D72" s="77">
        <v>20.84</v>
      </c>
      <c r="E72" s="77">
        <v>1.75</v>
      </c>
      <c r="F72" s="77">
        <v>11.82</v>
      </c>
      <c r="G72" s="77">
        <v>58.29</v>
      </c>
      <c r="H72" s="77">
        <v>20.89</v>
      </c>
      <c r="I72" s="9" t="s">
        <v>36</v>
      </c>
      <c r="J72" s="77">
        <v>0.45</v>
      </c>
      <c r="K72" s="77">
        <v>61.86</v>
      </c>
      <c r="L72" s="77">
        <v>30.18</v>
      </c>
      <c r="M72" s="77">
        <v>65.260000000000005</v>
      </c>
      <c r="N72" s="77">
        <v>257.60000000000002</v>
      </c>
      <c r="O72" s="77">
        <v>0</v>
      </c>
      <c r="P72" s="77">
        <v>0.55000000000000004</v>
      </c>
      <c r="Q72" s="77">
        <v>8.8800000000000008</v>
      </c>
    </row>
    <row r="73" spans="1:17" s="12" customFormat="1" x14ac:dyDescent="0.25">
      <c r="A73" s="64" t="s">
        <v>2137</v>
      </c>
      <c r="B73" s="77">
        <v>10.65</v>
      </c>
      <c r="C73" s="77">
        <v>25.48</v>
      </c>
      <c r="D73" s="77">
        <v>23.25</v>
      </c>
      <c r="E73" s="77">
        <v>2.77</v>
      </c>
      <c r="F73" s="77">
        <v>12.91</v>
      </c>
      <c r="G73" s="77">
        <v>58.4</v>
      </c>
      <c r="H73" s="77">
        <v>20.89</v>
      </c>
      <c r="I73" s="9" t="s">
        <v>36</v>
      </c>
      <c r="J73" s="77">
        <v>0.38</v>
      </c>
      <c r="K73" s="77">
        <v>26.92</v>
      </c>
      <c r="L73" s="77">
        <v>30.13</v>
      </c>
      <c r="M73" s="77">
        <v>65.25</v>
      </c>
      <c r="N73" s="77">
        <v>310.89999999999998</v>
      </c>
      <c r="O73" s="77">
        <v>0</v>
      </c>
      <c r="P73" s="77">
        <v>0.55000000000000004</v>
      </c>
      <c r="Q73" s="77">
        <v>6.84</v>
      </c>
    </row>
    <row r="74" spans="1:17" s="12" customFormat="1" x14ac:dyDescent="0.25">
      <c r="A74" s="64" t="s">
        <v>2138</v>
      </c>
      <c r="B74" s="77">
        <v>11.38</v>
      </c>
      <c r="C74" s="77">
        <v>27.03</v>
      </c>
      <c r="D74" s="77">
        <v>24.69</v>
      </c>
      <c r="E74" s="77">
        <v>2.98</v>
      </c>
      <c r="F74" s="77">
        <v>11.14</v>
      </c>
      <c r="G74" s="77">
        <v>58.4</v>
      </c>
      <c r="H74" s="77">
        <v>20.89</v>
      </c>
      <c r="I74" s="9" t="s">
        <v>36</v>
      </c>
      <c r="J74" s="77">
        <v>0.55000000000000004</v>
      </c>
      <c r="K74" s="77">
        <v>37.76</v>
      </c>
      <c r="L74" s="77">
        <v>30.38</v>
      </c>
      <c r="M74" s="77">
        <v>64.069999999999993</v>
      </c>
      <c r="N74" s="77">
        <v>242.5</v>
      </c>
      <c r="O74" s="77">
        <v>0</v>
      </c>
      <c r="P74" s="77">
        <v>0.56999999999999995</v>
      </c>
      <c r="Q74" s="77">
        <v>5.19</v>
      </c>
    </row>
    <row r="75" spans="1:17" s="12" customFormat="1" x14ac:dyDescent="0.25">
      <c r="A75" s="64" t="s">
        <v>2139</v>
      </c>
      <c r="B75" s="77">
        <v>10.94</v>
      </c>
      <c r="C75" s="77">
        <v>27.97</v>
      </c>
      <c r="D75" s="77">
        <v>24.85</v>
      </c>
      <c r="E75" s="77">
        <v>2.81</v>
      </c>
      <c r="F75" s="77">
        <v>14.37</v>
      </c>
      <c r="G75" s="77">
        <v>58.4</v>
      </c>
      <c r="H75" s="77">
        <v>20.89</v>
      </c>
      <c r="I75" s="9" t="s">
        <v>36</v>
      </c>
      <c r="J75" s="77">
        <v>0.37</v>
      </c>
      <c r="K75" s="77">
        <v>80.41</v>
      </c>
      <c r="L75" s="77">
        <v>30.14</v>
      </c>
      <c r="M75" s="77">
        <v>63.58</v>
      </c>
      <c r="N75" s="77">
        <v>209.3</v>
      </c>
      <c r="O75" s="77">
        <v>0</v>
      </c>
      <c r="P75" s="77">
        <v>0.56000000000000005</v>
      </c>
      <c r="Q75" s="77">
        <v>3.98</v>
      </c>
    </row>
    <row r="76" spans="1:17" s="12" customFormat="1" x14ac:dyDescent="0.25">
      <c r="A76" s="64" t="s">
        <v>2140</v>
      </c>
      <c r="B76" s="77">
        <v>10.32</v>
      </c>
      <c r="C76" s="77">
        <v>27.87</v>
      </c>
      <c r="D76" s="77">
        <v>24.31</v>
      </c>
      <c r="E76" s="77">
        <v>2.61</v>
      </c>
      <c r="F76" s="77">
        <v>14.41</v>
      </c>
      <c r="G76" s="77">
        <v>85.16</v>
      </c>
      <c r="H76" s="77">
        <v>23.93</v>
      </c>
      <c r="I76" s="9" t="s">
        <v>36</v>
      </c>
      <c r="J76" s="77">
        <v>0.59</v>
      </c>
      <c r="K76" s="77">
        <v>19.68</v>
      </c>
      <c r="L76" s="77">
        <v>30.32</v>
      </c>
      <c r="M76" s="77">
        <v>64.239999999999995</v>
      </c>
      <c r="N76" s="77">
        <v>192.5</v>
      </c>
      <c r="O76" s="77">
        <v>0</v>
      </c>
      <c r="P76" s="77">
        <v>0.59</v>
      </c>
      <c r="Q76" s="77">
        <v>3</v>
      </c>
    </row>
    <row r="77" spans="1:17" s="12" customFormat="1" x14ac:dyDescent="0.25">
      <c r="A77" s="64" t="s">
        <v>2141</v>
      </c>
      <c r="B77" s="77">
        <v>10.44</v>
      </c>
      <c r="C77" s="77">
        <v>23.35</v>
      </c>
      <c r="D77" s="77">
        <v>21.9</v>
      </c>
      <c r="E77" s="77">
        <v>2.72</v>
      </c>
      <c r="F77" s="77">
        <v>11.52</v>
      </c>
      <c r="G77" s="77">
        <v>86.09</v>
      </c>
      <c r="H77" s="77">
        <v>23.93</v>
      </c>
      <c r="I77" s="9" t="s">
        <v>36</v>
      </c>
      <c r="J77" s="77">
        <v>0.69</v>
      </c>
      <c r="K77" s="77">
        <v>25.1</v>
      </c>
      <c r="L77" s="77">
        <v>30.3</v>
      </c>
      <c r="M77" s="77">
        <v>64.63</v>
      </c>
      <c r="N77" s="77">
        <v>172.7</v>
      </c>
      <c r="O77" s="77">
        <v>0</v>
      </c>
      <c r="P77" s="77">
        <v>0.56999999999999995</v>
      </c>
      <c r="Q77" s="77">
        <v>2.17</v>
      </c>
    </row>
    <row r="78" spans="1:17" s="12" customFormat="1" x14ac:dyDescent="0.25">
      <c r="A78" s="64" t="s">
        <v>2142</v>
      </c>
      <c r="B78" s="77">
        <v>8.07</v>
      </c>
      <c r="C78" s="77">
        <v>28.48</v>
      </c>
      <c r="D78" s="77">
        <v>22.84</v>
      </c>
      <c r="E78" s="77">
        <v>2.46</v>
      </c>
      <c r="F78" s="77">
        <v>17.559999999999999</v>
      </c>
      <c r="G78" s="77">
        <v>86.09</v>
      </c>
      <c r="H78" s="77">
        <v>23.93</v>
      </c>
      <c r="I78" s="9" t="s">
        <v>36</v>
      </c>
      <c r="J78" s="77">
        <v>0.81</v>
      </c>
      <c r="K78" s="77">
        <v>112.62</v>
      </c>
      <c r="L78" s="77">
        <v>29.69</v>
      </c>
      <c r="M78" s="77">
        <v>65.09</v>
      </c>
      <c r="N78" s="77">
        <v>145.4</v>
      </c>
      <c r="O78" s="77">
        <v>0</v>
      </c>
      <c r="P78" s="77">
        <v>0.61</v>
      </c>
      <c r="Q78" s="77">
        <v>3.51</v>
      </c>
    </row>
    <row r="79" spans="1:17" s="12" customFormat="1" x14ac:dyDescent="0.25">
      <c r="A79" s="64" t="s">
        <v>2143</v>
      </c>
      <c r="B79" s="77">
        <v>7.64</v>
      </c>
      <c r="C79" s="77">
        <v>32.159999999999997</v>
      </c>
      <c r="D79" s="77">
        <v>24.52</v>
      </c>
      <c r="E79" s="77">
        <v>3.1</v>
      </c>
      <c r="F79" s="77">
        <v>26.6</v>
      </c>
      <c r="G79" s="77">
        <v>86.09</v>
      </c>
      <c r="H79" s="77">
        <v>23.93</v>
      </c>
      <c r="I79" s="9" t="s">
        <v>36</v>
      </c>
      <c r="J79" s="77">
        <v>0.55000000000000004</v>
      </c>
      <c r="K79" s="77">
        <v>106.8</v>
      </c>
      <c r="L79" s="77">
        <v>29.52</v>
      </c>
      <c r="M79" s="77">
        <v>64.430000000000007</v>
      </c>
      <c r="N79" s="77">
        <v>125.1</v>
      </c>
      <c r="O79" s="77">
        <v>0</v>
      </c>
      <c r="P79" s="77">
        <v>0.62</v>
      </c>
      <c r="Q79" s="77">
        <v>5.61</v>
      </c>
    </row>
    <row r="80" spans="1:17" s="12" customFormat="1" x14ac:dyDescent="0.25">
      <c r="A80" s="64" t="s">
        <v>2144</v>
      </c>
      <c r="B80" s="77">
        <v>7.19</v>
      </c>
      <c r="C80" s="77">
        <v>26.96</v>
      </c>
      <c r="D80" s="77">
        <v>21.29</v>
      </c>
      <c r="E80" s="77">
        <v>3.27</v>
      </c>
      <c r="F80" s="77">
        <v>32.85</v>
      </c>
      <c r="G80" s="77">
        <v>91.09</v>
      </c>
      <c r="H80" s="77">
        <v>26.78</v>
      </c>
      <c r="I80" s="9" t="s">
        <v>36</v>
      </c>
      <c r="J80" s="77">
        <v>0.54</v>
      </c>
      <c r="K80" s="77">
        <v>106.87</v>
      </c>
      <c r="L80" s="77">
        <v>29.33</v>
      </c>
      <c r="M80" s="77">
        <v>63.83</v>
      </c>
      <c r="N80" s="77">
        <v>93.8</v>
      </c>
      <c r="O80" s="77">
        <v>0</v>
      </c>
      <c r="P80" s="77">
        <v>0.55000000000000004</v>
      </c>
      <c r="Q80" s="77">
        <v>6.76</v>
      </c>
    </row>
    <row r="81" spans="1:17" s="12" customFormat="1" x14ac:dyDescent="0.25">
      <c r="A81" s="64" t="s">
        <v>2145</v>
      </c>
      <c r="B81" s="77">
        <v>6.48</v>
      </c>
      <c r="C81" s="77">
        <v>31.31</v>
      </c>
      <c r="D81" s="77">
        <v>23.13</v>
      </c>
      <c r="E81" s="77">
        <v>3.04</v>
      </c>
      <c r="F81" s="77">
        <v>31.34</v>
      </c>
      <c r="G81" s="77">
        <v>91.26</v>
      </c>
      <c r="H81" s="77">
        <v>26.78</v>
      </c>
      <c r="I81" s="9" t="s">
        <v>36</v>
      </c>
      <c r="J81" s="77">
        <v>0.48</v>
      </c>
      <c r="K81" s="77">
        <v>116.57</v>
      </c>
      <c r="L81" s="77">
        <v>29.13</v>
      </c>
      <c r="M81" s="77">
        <v>65.430000000000007</v>
      </c>
      <c r="N81" s="77">
        <v>61.9</v>
      </c>
      <c r="O81" s="77">
        <v>0</v>
      </c>
      <c r="P81" s="77">
        <v>0.66</v>
      </c>
      <c r="Q81" s="77">
        <v>7.32</v>
      </c>
    </row>
    <row r="82" spans="1:17" s="12" customFormat="1" x14ac:dyDescent="0.25">
      <c r="A82" s="64" t="s">
        <v>2146</v>
      </c>
      <c r="B82" s="77">
        <v>5.64</v>
      </c>
      <c r="C82" s="77">
        <v>31.01</v>
      </c>
      <c r="D82" s="77">
        <v>22.28</v>
      </c>
      <c r="E82" s="77">
        <v>3.5</v>
      </c>
      <c r="F82" s="77">
        <v>34.71</v>
      </c>
      <c r="G82" s="77">
        <v>91.26</v>
      </c>
      <c r="H82" s="77">
        <v>26.78</v>
      </c>
      <c r="I82" s="9" t="s">
        <v>36</v>
      </c>
      <c r="J82" s="77">
        <v>0.31</v>
      </c>
      <c r="K82" s="77">
        <v>102.19</v>
      </c>
      <c r="L82" s="77">
        <v>28.82</v>
      </c>
      <c r="M82" s="77">
        <v>67.45</v>
      </c>
      <c r="N82" s="77">
        <v>37.6</v>
      </c>
      <c r="O82" s="77">
        <v>0</v>
      </c>
      <c r="P82" s="77">
        <v>0.62</v>
      </c>
      <c r="Q82" s="77">
        <v>7.67</v>
      </c>
    </row>
    <row r="83" spans="1:17" s="12" customFormat="1" x14ac:dyDescent="0.25">
      <c r="A83" s="64" t="s">
        <v>2147</v>
      </c>
      <c r="B83" s="77">
        <v>6.38</v>
      </c>
      <c r="C83" s="77">
        <v>34.17</v>
      </c>
      <c r="D83" s="77">
        <v>24.62</v>
      </c>
      <c r="E83" s="77">
        <v>3.6</v>
      </c>
      <c r="F83" s="77">
        <v>26.55</v>
      </c>
      <c r="G83" s="77">
        <v>91.26</v>
      </c>
      <c r="H83" s="77">
        <v>26.78</v>
      </c>
      <c r="I83" s="9" t="s">
        <v>36</v>
      </c>
      <c r="J83" s="77">
        <v>0.27</v>
      </c>
      <c r="K83" s="77">
        <v>96.56</v>
      </c>
      <c r="L83" s="77">
        <v>28.7</v>
      </c>
      <c r="M83" s="77">
        <v>68.05</v>
      </c>
      <c r="N83" s="77">
        <v>25.8</v>
      </c>
      <c r="O83" s="77">
        <v>0</v>
      </c>
      <c r="P83" s="77">
        <v>0.87</v>
      </c>
      <c r="Q83" s="77">
        <v>7.29</v>
      </c>
    </row>
    <row r="84" spans="1:17" s="12" customFormat="1" x14ac:dyDescent="0.25">
      <c r="A84" s="64" t="s">
        <v>2148</v>
      </c>
      <c r="B84" s="77">
        <v>13.24</v>
      </c>
      <c r="C84" s="77">
        <v>40.630000000000003</v>
      </c>
      <c r="D84" s="77">
        <v>33.69</v>
      </c>
      <c r="E84" s="77">
        <v>3.54</v>
      </c>
      <c r="F84" s="77">
        <v>22.97</v>
      </c>
      <c r="G84" s="77">
        <v>85.36</v>
      </c>
      <c r="H84" s="77">
        <v>25.02</v>
      </c>
      <c r="I84" s="9" t="s">
        <v>36</v>
      </c>
      <c r="J84" s="77">
        <v>0.16</v>
      </c>
      <c r="K84" s="77">
        <v>28.83</v>
      </c>
      <c r="L84" s="77">
        <v>28.4</v>
      </c>
      <c r="M84" s="77">
        <v>71.040000000000006</v>
      </c>
      <c r="N84" s="77">
        <v>21.3</v>
      </c>
      <c r="O84" s="77">
        <v>0</v>
      </c>
      <c r="P84" s="77">
        <v>1.34</v>
      </c>
      <c r="Q84" s="77">
        <v>5.37</v>
      </c>
    </row>
    <row r="85" spans="1:17" s="12" customFormat="1" x14ac:dyDescent="0.25">
      <c r="A85" s="64" t="s">
        <v>2149</v>
      </c>
      <c r="B85" s="77">
        <v>14.49</v>
      </c>
      <c r="C85" s="77">
        <v>37.520000000000003</v>
      </c>
      <c r="D85" s="77">
        <v>32.97</v>
      </c>
      <c r="E85" s="77">
        <v>3.48</v>
      </c>
      <c r="F85" s="77">
        <v>15.13</v>
      </c>
      <c r="G85" s="77">
        <v>85.16</v>
      </c>
      <c r="H85" s="77">
        <v>25.02</v>
      </c>
      <c r="I85" s="9" t="s">
        <v>36</v>
      </c>
      <c r="J85" s="77">
        <v>0.13</v>
      </c>
      <c r="K85" s="77">
        <v>48.3</v>
      </c>
      <c r="L85" s="77">
        <v>28.06</v>
      </c>
      <c r="M85" s="77">
        <v>76.569999999999993</v>
      </c>
      <c r="N85" s="77">
        <v>21.1</v>
      </c>
      <c r="O85" s="77">
        <v>0</v>
      </c>
      <c r="P85" s="77">
        <v>1.34</v>
      </c>
      <c r="Q85" s="77">
        <v>3.77</v>
      </c>
    </row>
    <row r="86" spans="1:17" s="12" customFormat="1" x14ac:dyDescent="0.25">
      <c r="A86" s="64" t="s">
        <v>2150</v>
      </c>
      <c r="B86" s="77">
        <v>4.28</v>
      </c>
      <c r="C86" s="77">
        <v>31.84</v>
      </c>
      <c r="D86" s="77">
        <v>21.65</v>
      </c>
      <c r="E86" s="77">
        <v>3.12</v>
      </c>
      <c r="F86" s="77">
        <v>25.09</v>
      </c>
      <c r="G86" s="77">
        <v>85.16</v>
      </c>
      <c r="H86" s="77">
        <v>25.02</v>
      </c>
      <c r="I86" s="9" t="s">
        <v>36</v>
      </c>
      <c r="J86" s="77">
        <v>0.2</v>
      </c>
      <c r="K86" s="77">
        <v>154.84</v>
      </c>
      <c r="L86" s="77">
        <v>27.96</v>
      </c>
      <c r="M86" s="77">
        <v>73.069999999999993</v>
      </c>
      <c r="N86" s="77">
        <v>20.7</v>
      </c>
      <c r="O86" s="77">
        <v>0</v>
      </c>
      <c r="P86" s="77">
        <v>0.72</v>
      </c>
      <c r="Q86" s="77">
        <v>3.93</v>
      </c>
    </row>
    <row r="87" spans="1:17" s="12" customFormat="1" x14ac:dyDescent="0.25">
      <c r="A87" s="64" t="s">
        <v>2151</v>
      </c>
      <c r="B87" s="77">
        <v>4.3099999999999996</v>
      </c>
      <c r="C87" s="77">
        <v>23.62</v>
      </c>
      <c r="D87" s="77">
        <v>17.14</v>
      </c>
      <c r="E87" s="77">
        <v>2.87</v>
      </c>
      <c r="F87" s="77">
        <v>11.61</v>
      </c>
      <c r="G87" s="77">
        <v>85.16</v>
      </c>
      <c r="H87" s="77">
        <v>25.02</v>
      </c>
      <c r="I87" s="9" t="s">
        <v>36</v>
      </c>
      <c r="J87" s="77">
        <v>0.34</v>
      </c>
      <c r="K87" s="77">
        <v>185.17</v>
      </c>
      <c r="L87" s="77">
        <v>27.39</v>
      </c>
      <c r="M87" s="77">
        <v>83.76</v>
      </c>
      <c r="N87" s="77">
        <v>21.6</v>
      </c>
      <c r="O87" s="77">
        <v>0</v>
      </c>
      <c r="P87" s="77">
        <v>0.7</v>
      </c>
      <c r="Q87" s="77">
        <v>2.8</v>
      </c>
    </row>
    <row r="88" spans="1:17" s="12" customFormat="1" x14ac:dyDescent="0.25">
      <c r="A88" s="64" t="s">
        <v>2152</v>
      </c>
      <c r="B88" s="77">
        <v>5.03</v>
      </c>
      <c r="C88" s="77">
        <v>20.079999999999998</v>
      </c>
      <c r="D88" s="77">
        <v>15.76</v>
      </c>
      <c r="E88" s="77">
        <v>2.1800000000000002</v>
      </c>
      <c r="F88" s="77">
        <v>10.92</v>
      </c>
      <c r="G88" s="77">
        <v>96.31</v>
      </c>
      <c r="H88" s="77">
        <v>28.69</v>
      </c>
      <c r="I88" s="9" t="s">
        <v>36</v>
      </c>
      <c r="J88" s="77">
        <v>0.33</v>
      </c>
      <c r="K88" s="77">
        <v>201.35</v>
      </c>
      <c r="L88" s="77">
        <v>26.9</v>
      </c>
      <c r="M88" s="77">
        <v>87.18</v>
      </c>
      <c r="N88" s="77">
        <v>21.2</v>
      </c>
      <c r="O88" s="77">
        <v>0</v>
      </c>
      <c r="P88" s="77">
        <v>0.67</v>
      </c>
      <c r="Q88" s="77">
        <v>0.48</v>
      </c>
    </row>
    <row r="89" spans="1:17" s="12" customFormat="1" x14ac:dyDescent="0.25">
      <c r="A89" s="64" t="s">
        <v>2153</v>
      </c>
      <c r="B89" s="77">
        <v>4.68</v>
      </c>
      <c r="C89" s="77">
        <v>19.37</v>
      </c>
      <c r="D89" s="77">
        <v>15.09</v>
      </c>
      <c r="E89" s="77">
        <v>2.4300000000000002</v>
      </c>
      <c r="F89" s="77">
        <v>9.33</v>
      </c>
      <c r="G89" s="77">
        <v>96.7</v>
      </c>
      <c r="H89" s="77">
        <v>28.69</v>
      </c>
      <c r="I89" s="9" t="s">
        <v>36</v>
      </c>
      <c r="J89" s="77">
        <v>0.13</v>
      </c>
      <c r="K89" s="77">
        <v>211.49</v>
      </c>
      <c r="L89" s="77">
        <v>26.35</v>
      </c>
      <c r="M89" s="77">
        <v>91.37</v>
      </c>
      <c r="N89" s="77">
        <v>22.9</v>
      </c>
      <c r="O89" s="77">
        <v>0.4</v>
      </c>
      <c r="P89" s="77">
        <v>0.65</v>
      </c>
      <c r="Q89" s="77">
        <v>0.23</v>
      </c>
    </row>
    <row r="90" spans="1:17" s="12" customFormat="1" x14ac:dyDescent="0.25">
      <c r="A90" s="64" t="s">
        <v>2154</v>
      </c>
      <c r="B90" s="77">
        <v>7.36</v>
      </c>
      <c r="C90" s="77">
        <v>22.14</v>
      </c>
      <c r="D90" s="77">
        <v>18.760000000000002</v>
      </c>
      <c r="E90" s="77">
        <v>3.12</v>
      </c>
      <c r="F90" s="77">
        <v>13.85</v>
      </c>
      <c r="G90" s="77">
        <v>96.7</v>
      </c>
      <c r="H90" s="77">
        <v>28.69</v>
      </c>
      <c r="I90" s="9" t="s">
        <v>36</v>
      </c>
      <c r="J90" s="77">
        <v>0.06</v>
      </c>
      <c r="K90" s="77">
        <v>22.08</v>
      </c>
      <c r="L90" s="77">
        <v>25.62</v>
      </c>
      <c r="M90" s="77">
        <v>96.74</v>
      </c>
      <c r="N90" s="77">
        <v>21.2</v>
      </c>
      <c r="O90" s="77">
        <v>0.2</v>
      </c>
      <c r="P90" s="77">
        <v>0.78</v>
      </c>
      <c r="Q90" s="77">
        <v>0.01</v>
      </c>
    </row>
    <row r="91" spans="1:17" s="12" customFormat="1" x14ac:dyDescent="0.25">
      <c r="A91" s="64" t="s">
        <v>2155</v>
      </c>
      <c r="B91" s="77">
        <v>5.15</v>
      </c>
      <c r="C91" s="77">
        <v>27.13</v>
      </c>
      <c r="D91" s="77">
        <v>19.75</v>
      </c>
      <c r="E91" s="77">
        <v>2.74</v>
      </c>
      <c r="F91" s="77">
        <v>7.85</v>
      </c>
      <c r="G91" s="77">
        <v>96.7</v>
      </c>
      <c r="H91" s="77">
        <v>28.69</v>
      </c>
      <c r="I91" s="9" t="s">
        <v>36</v>
      </c>
      <c r="J91" s="77">
        <v>1.1200000000000001</v>
      </c>
      <c r="K91" s="77">
        <v>167.54</v>
      </c>
      <c r="L91" s="77">
        <v>25.3</v>
      </c>
      <c r="M91" s="77">
        <v>95.18</v>
      </c>
      <c r="N91" s="77">
        <v>23</v>
      </c>
      <c r="O91" s="77">
        <v>0</v>
      </c>
      <c r="P91" s="77">
        <v>0.67</v>
      </c>
      <c r="Q91" s="77">
        <v>1.08</v>
      </c>
    </row>
    <row r="92" spans="1:17" s="12" customFormat="1" x14ac:dyDescent="0.25">
      <c r="A92" s="64" t="s">
        <v>2156</v>
      </c>
      <c r="B92" s="77">
        <v>9.27</v>
      </c>
      <c r="C92" s="77">
        <v>22.33</v>
      </c>
      <c r="D92" s="77">
        <v>20.399999999999999</v>
      </c>
      <c r="E92" s="77">
        <v>3.11</v>
      </c>
      <c r="F92" s="77">
        <v>16.09</v>
      </c>
      <c r="G92" s="77">
        <v>59.5</v>
      </c>
      <c r="H92" s="77">
        <v>20.28</v>
      </c>
      <c r="I92" s="9" t="s">
        <v>36</v>
      </c>
      <c r="J92" s="77">
        <v>0.28999999999999998</v>
      </c>
      <c r="K92" s="77">
        <v>151.06</v>
      </c>
      <c r="L92" s="77">
        <v>24.33</v>
      </c>
      <c r="M92" s="77">
        <v>96.84</v>
      </c>
      <c r="N92" s="77">
        <v>21.9</v>
      </c>
      <c r="O92" s="77">
        <v>0</v>
      </c>
      <c r="P92" s="77">
        <v>0.66</v>
      </c>
      <c r="Q92" s="77">
        <v>2.13</v>
      </c>
    </row>
    <row r="93" spans="1:17" s="12" customFormat="1" x14ac:dyDescent="0.25">
      <c r="A93" s="64" t="s">
        <v>2157</v>
      </c>
      <c r="B93" s="77">
        <v>11.79</v>
      </c>
      <c r="C93" s="77">
        <v>25.16</v>
      </c>
      <c r="D93" s="77">
        <v>23.99</v>
      </c>
      <c r="E93" s="77">
        <v>2.85</v>
      </c>
      <c r="F93" s="77">
        <v>18.59</v>
      </c>
      <c r="G93" s="77">
        <v>58.22</v>
      </c>
      <c r="H93" s="77">
        <v>20.28</v>
      </c>
      <c r="I93" s="9" t="s">
        <v>36</v>
      </c>
      <c r="J93" s="77">
        <v>0.17</v>
      </c>
      <c r="K93" s="77">
        <v>339.64</v>
      </c>
      <c r="L93" s="77">
        <v>24.07</v>
      </c>
      <c r="M93" s="77">
        <v>97.21</v>
      </c>
      <c r="N93" s="77">
        <v>21.2</v>
      </c>
      <c r="O93" s="77">
        <v>0</v>
      </c>
      <c r="P93" s="77">
        <v>0.7</v>
      </c>
      <c r="Q93" s="77">
        <v>2.65</v>
      </c>
    </row>
    <row r="94" spans="1:17" s="12" customFormat="1" x14ac:dyDescent="0.25">
      <c r="A94" s="64" t="s">
        <v>2158</v>
      </c>
      <c r="B94" s="77">
        <v>8.09</v>
      </c>
      <c r="C94" s="77">
        <v>24.11</v>
      </c>
      <c r="D94" s="77">
        <v>20.440000000000001</v>
      </c>
      <c r="E94" s="77">
        <v>3.58</v>
      </c>
      <c r="F94" s="77">
        <v>12.63</v>
      </c>
      <c r="G94" s="77">
        <v>58.22</v>
      </c>
      <c r="H94" s="77">
        <v>20.28</v>
      </c>
      <c r="I94" s="9" t="s">
        <v>36</v>
      </c>
      <c r="J94" s="77">
        <v>0.18</v>
      </c>
      <c r="K94" s="77">
        <v>28.36</v>
      </c>
      <c r="L94" s="77">
        <v>24.3</v>
      </c>
      <c r="M94" s="77">
        <v>96.71</v>
      </c>
      <c r="N94" s="77">
        <v>20.7</v>
      </c>
      <c r="O94" s="77">
        <v>0</v>
      </c>
      <c r="P94" s="77">
        <v>0.75</v>
      </c>
      <c r="Q94" s="77">
        <v>3.37</v>
      </c>
    </row>
    <row r="95" spans="1:17" s="12" customFormat="1" x14ac:dyDescent="0.25">
      <c r="A95" s="64" t="s">
        <v>2159</v>
      </c>
      <c r="B95" s="77">
        <v>6.64</v>
      </c>
      <c r="C95" s="77">
        <v>18.73</v>
      </c>
      <c r="D95" s="77">
        <v>16.309999999999999</v>
      </c>
      <c r="E95" s="77">
        <v>2.93</v>
      </c>
      <c r="F95" s="77">
        <v>5.55</v>
      </c>
      <c r="G95" s="77">
        <v>58.22</v>
      </c>
      <c r="H95" s="77">
        <v>20.28</v>
      </c>
      <c r="I95" s="9" t="s">
        <v>36</v>
      </c>
      <c r="J95" s="77">
        <v>0.1</v>
      </c>
      <c r="K95" s="77">
        <v>33.630000000000003</v>
      </c>
      <c r="L95" s="77">
        <v>24.37</v>
      </c>
      <c r="M95" s="77">
        <v>96.1</v>
      </c>
      <c r="N95" s="77">
        <v>21.5</v>
      </c>
      <c r="O95" s="77">
        <v>0</v>
      </c>
      <c r="P95" s="77">
        <v>0.69</v>
      </c>
      <c r="Q95" s="77">
        <v>2.69</v>
      </c>
    </row>
    <row r="96" spans="1:17" s="12" customFormat="1" x14ac:dyDescent="0.25">
      <c r="A96" s="64" t="s">
        <v>2160</v>
      </c>
      <c r="B96" s="77">
        <v>5.4</v>
      </c>
      <c r="C96" s="77">
        <v>17.22</v>
      </c>
      <c r="D96" s="77">
        <v>14.48</v>
      </c>
      <c r="E96" s="77">
        <v>3.17</v>
      </c>
      <c r="F96" s="77">
        <v>9.58</v>
      </c>
      <c r="G96" s="77">
        <v>38.409999999999997</v>
      </c>
      <c r="H96" s="77">
        <v>16.2</v>
      </c>
      <c r="I96" s="9" t="s">
        <v>36</v>
      </c>
      <c r="J96" s="77">
        <v>0.4</v>
      </c>
      <c r="K96" s="77">
        <v>187.72</v>
      </c>
      <c r="L96" s="77">
        <v>24.1</v>
      </c>
      <c r="M96" s="77">
        <v>95.9</v>
      </c>
      <c r="N96" s="77">
        <v>21.8</v>
      </c>
      <c r="O96" s="77">
        <v>0</v>
      </c>
      <c r="P96" s="77">
        <v>0.6</v>
      </c>
      <c r="Q96" s="77">
        <v>0.21</v>
      </c>
    </row>
    <row r="97" spans="1:22" s="12" customFormat="1" x14ac:dyDescent="0.25">
      <c r="A97" s="64" t="s">
        <v>2161</v>
      </c>
      <c r="B97" s="77">
        <v>4.67</v>
      </c>
      <c r="C97" s="77">
        <v>16.47</v>
      </c>
      <c r="D97" s="77">
        <v>13.48</v>
      </c>
      <c r="E97" s="77">
        <v>3.03</v>
      </c>
      <c r="F97" s="77">
        <v>7.72</v>
      </c>
      <c r="G97" s="77">
        <v>37.729999999999997</v>
      </c>
      <c r="H97" s="77">
        <v>16.2</v>
      </c>
      <c r="I97" s="9" t="s">
        <v>36</v>
      </c>
      <c r="J97" s="77">
        <v>0.35</v>
      </c>
      <c r="K97" s="77">
        <v>186.63</v>
      </c>
      <c r="L97" s="77">
        <v>23.82</v>
      </c>
      <c r="M97" s="77">
        <v>97.12</v>
      </c>
      <c r="N97" s="77">
        <v>21.5</v>
      </c>
      <c r="O97" s="77">
        <v>0</v>
      </c>
      <c r="P97" s="77">
        <v>0.59</v>
      </c>
      <c r="Q97" s="213" t="s">
        <v>42</v>
      </c>
    </row>
    <row r="98" spans="1:22" s="12" customFormat="1" x14ac:dyDescent="0.25">
      <c r="A98" s="64" t="s">
        <v>2162</v>
      </c>
      <c r="B98" s="77">
        <v>4.01</v>
      </c>
      <c r="C98" s="77">
        <v>16.2</v>
      </c>
      <c r="D98" s="77">
        <v>12.8</v>
      </c>
      <c r="E98" s="77">
        <v>2.74</v>
      </c>
      <c r="F98" s="77">
        <v>9.1</v>
      </c>
      <c r="G98" s="77">
        <v>37.729999999999997</v>
      </c>
      <c r="H98" s="77">
        <v>16.2</v>
      </c>
      <c r="I98" s="9" t="s">
        <v>36</v>
      </c>
      <c r="J98" s="77">
        <v>0.19</v>
      </c>
      <c r="K98" s="77">
        <v>196.91</v>
      </c>
      <c r="L98" s="77">
        <v>23.73</v>
      </c>
      <c r="M98" s="77">
        <v>96.71</v>
      </c>
      <c r="N98" s="77">
        <v>21.2</v>
      </c>
      <c r="O98" s="77">
        <v>0</v>
      </c>
      <c r="P98" s="77">
        <v>0.56000000000000005</v>
      </c>
      <c r="Q98" s="213" t="s">
        <v>42</v>
      </c>
    </row>
    <row r="99" spans="1:22" s="12" customFormat="1" x14ac:dyDescent="0.25">
      <c r="A99" s="64" t="s">
        <v>2163</v>
      </c>
      <c r="B99" s="77">
        <v>3.17</v>
      </c>
      <c r="C99" s="77">
        <v>15.8</v>
      </c>
      <c r="D99" s="77">
        <v>11.91</v>
      </c>
      <c r="E99" s="77">
        <v>2.96</v>
      </c>
      <c r="F99" s="77">
        <v>13.48</v>
      </c>
      <c r="G99" s="77">
        <v>37.729999999999997</v>
      </c>
      <c r="H99" s="77">
        <v>16.2</v>
      </c>
      <c r="I99" s="9" t="s">
        <v>36</v>
      </c>
      <c r="J99" s="77">
        <v>0.09</v>
      </c>
      <c r="K99" s="77">
        <v>207.96</v>
      </c>
      <c r="L99" s="77">
        <v>23.95</v>
      </c>
      <c r="M99" s="77">
        <v>96.61</v>
      </c>
      <c r="N99" s="77">
        <v>21</v>
      </c>
      <c r="O99" s="77">
        <v>0</v>
      </c>
      <c r="P99" s="77">
        <v>0.48</v>
      </c>
      <c r="Q99" s="213" t="s">
        <v>42</v>
      </c>
    </row>
    <row r="100" spans="1:22" s="12" customFormat="1" x14ac:dyDescent="0.25">
      <c r="A100" s="64" t="s">
        <v>2164</v>
      </c>
      <c r="B100" s="77">
        <v>3.25</v>
      </c>
      <c r="C100" s="77">
        <v>15.85</v>
      </c>
      <c r="D100" s="77">
        <v>12</v>
      </c>
      <c r="E100" s="77">
        <v>2.92</v>
      </c>
      <c r="F100" s="77">
        <v>7.95</v>
      </c>
      <c r="G100" s="77">
        <v>24.42</v>
      </c>
      <c r="H100" s="77">
        <v>14.68</v>
      </c>
      <c r="I100" s="9" t="s">
        <v>36</v>
      </c>
      <c r="J100" s="77">
        <v>0.03</v>
      </c>
      <c r="K100" s="77">
        <v>90.09</v>
      </c>
      <c r="L100" s="77">
        <v>24.07</v>
      </c>
      <c r="M100" s="77">
        <v>95.74</v>
      </c>
      <c r="N100" s="77">
        <v>21.1</v>
      </c>
      <c r="O100" s="77">
        <v>0</v>
      </c>
      <c r="P100" s="77">
        <v>0.54</v>
      </c>
      <c r="Q100" s="213" t="s">
        <v>42</v>
      </c>
    </row>
    <row r="101" spans="1:22" s="12" customFormat="1" x14ac:dyDescent="0.25">
      <c r="A101" s="64" t="s">
        <v>2165</v>
      </c>
      <c r="B101" s="77">
        <v>2.95</v>
      </c>
      <c r="C101" s="77">
        <v>15.43</v>
      </c>
      <c r="D101" s="77">
        <v>11.53</v>
      </c>
      <c r="E101" s="77">
        <v>2.87</v>
      </c>
      <c r="F101" s="77">
        <v>9.4700000000000006</v>
      </c>
      <c r="G101" s="77">
        <v>23.96</v>
      </c>
      <c r="H101" s="77">
        <v>14.68</v>
      </c>
      <c r="I101" s="9" t="s">
        <v>36</v>
      </c>
      <c r="J101" s="77">
        <v>0.32</v>
      </c>
      <c r="K101" s="77">
        <v>201.11</v>
      </c>
      <c r="L101" s="77">
        <v>24.02</v>
      </c>
      <c r="M101" s="77">
        <v>96.98</v>
      </c>
      <c r="N101" s="77">
        <v>20.8</v>
      </c>
      <c r="O101" s="77">
        <v>0</v>
      </c>
      <c r="P101" s="77">
        <v>0.47</v>
      </c>
      <c r="Q101" s="213" t="s">
        <v>42</v>
      </c>
    </row>
    <row r="102" spans="1:22" s="12" customFormat="1" x14ac:dyDescent="0.25">
      <c r="A102" s="64" t="s">
        <v>2166</v>
      </c>
      <c r="B102" s="77">
        <v>2.81</v>
      </c>
      <c r="C102" s="77">
        <v>14.55</v>
      </c>
      <c r="D102" s="77">
        <v>10.93</v>
      </c>
      <c r="E102" s="77">
        <v>2.8</v>
      </c>
      <c r="F102" s="77">
        <v>15.93</v>
      </c>
      <c r="G102" s="77">
        <v>23.96</v>
      </c>
      <c r="H102" s="77">
        <v>14.68</v>
      </c>
      <c r="I102" s="9" t="s">
        <v>36</v>
      </c>
      <c r="J102" s="77">
        <v>7.0000000000000007E-2</v>
      </c>
      <c r="K102" s="77">
        <v>199.11</v>
      </c>
      <c r="L102" s="77">
        <v>23.89</v>
      </c>
      <c r="M102" s="77">
        <v>96.72</v>
      </c>
      <c r="N102" s="77">
        <v>20.7</v>
      </c>
      <c r="O102" s="77">
        <v>0</v>
      </c>
      <c r="P102" s="77">
        <v>0.39</v>
      </c>
      <c r="Q102" s="213" t="s">
        <v>42</v>
      </c>
    </row>
    <row r="103" spans="1:22" s="12" customFormat="1" x14ac:dyDescent="0.25">
      <c r="A103" s="64" t="s">
        <v>2167</v>
      </c>
      <c r="B103" s="77">
        <v>2.58</v>
      </c>
      <c r="C103" s="77">
        <v>13.52</v>
      </c>
      <c r="D103" s="77">
        <v>10.18</v>
      </c>
      <c r="E103" s="77">
        <v>3.2</v>
      </c>
      <c r="F103" s="77">
        <v>15.2</v>
      </c>
      <c r="G103" s="77">
        <v>23.96</v>
      </c>
      <c r="H103" s="77">
        <v>14.68</v>
      </c>
      <c r="I103" s="9" t="s">
        <v>36</v>
      </c>
      <c r="J103" s="77">
        <v>0.01</v>
      </c>
      <c r="K103" s="77">
        <v>222.83</v>
      </c>
      <c r="L103" s="77">
        <v>23.92</v>
      </c>
      <c r="M103" s="77">
        <v>96.76</v>
      </c>
      <c r="N103" s="77">
        <v>20.399999999999999</v>
      </c>
      <c r="O103" s="77">
        <v>0</v>
      </c>
      <c r="P103" s="77">
        <v>0.37</v>
      </c>
      <c r="Q103" s="213" t="s">
        <v>42</v>
      </c>
    </row>
    <row r="104" spans="1:22" s="12" customFormat="1" x14ac:dyDescent="0.25">
      <c r="A104" s="64" t="s">
        <v>2168</v>
      </c>
      <c r="B104" s="77">
        <v>2.27</v>
      </c>
      <c r="C104" s="77">
        <v>12.68</v>
      </c>
      <c r="D104" s="77">
        <v>9.4600000000000009</v>
      </c>
      <c r="E104" s="77">
        <v>1.52</v>
      </c>
      <c r="F104" s="77">
        <v>14.54</v>
      </c>
      <c r="G104" s="77">
        <v>21.52</v>
      </c>
      <c r="H104" s="77">
        <v>18.72</v>
      </c>
      <c r="I104" s="9" t="s">
        <v>36</v>
      </c>
      <c r="J104" s="77">
        <v>0.03</v>
      </c>
      <c r="K104" s="77">
        <v>335.38</v>
      </c>
      <c r="L104" s="77">
        <v>24.03</v>
      </c>
      <c r="M104" s="77">
        <v>96.77</v>
      </c>
      <c r="N104" s="77">
        <v>20.5</v>
      </c>
      <c r="O104" s="77">
        <v>0</v>
      </c>
      <c r="P104" s="77">
        <v>0.35</v>
      </c>
      <c r="Q104" s="213" t="s">
        <v>42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2.27</v>
      </c>
      <c r="C106" s="67">
        <f>MIN(C9:C104)</f>
        <v>12.68</v>
      </c>
      <c r="D106" s="67">
        <f t="shared" ref="D106:Q106" si="0">MIN(D9:D104)</f>
        <v>9.4600000000000009</v>
      </c>
      <c r="E106" s="67">
        <f t="shared" si="0"/>
        <v>1.52</v>
      </c>
      <c r="F106" s="67">
        <f t="shared" si="0"/>
        <v>3.92</v>
      </c>
      <c r="G106" s="67">
        <f t="shared" si="0"/>
        <v>21.52</v>
      </c>
      <c r="H106" s="67">
        <f t="shared" si="0"/>
        <v>11.54</v>
      </c>
      <c r="I106" s="67">
        <f t="shared" si="0"/>
        <v>3.42</v>
      </c>
      <c r="J106" s="67">
        <f t="shared" si="0"/>
        <v>0.01</v>
      </c>
      <c r="K106" s="67">
        <f t="shared" si="0"/>
        <v>0</v>
      </c>
      <c r="L106" s="67">
        <f t="shared" si="0"/>
        <v>23.69</v>
      </c>
      <c r="M106" s="67">
        <f t="shared" si="0"/>
        <v>61.51</v>
      </c>
      <c r="N106" s="67">
        <f t="shared" si="0"/>
        <v>20.399999999999999</v>
      </c>
      <c r="O106" s="67">
        <f t="shared" si="0"/>
        <v>0</v>
      </c>
      <c r="P106" s="67">
        <f t="shared" si="0"/>
        <v>0.35</v>
      </c>
      <c r="Q106" s="67">
        <f t="shared" si="0"/>
        <v>0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26.8</v>
      </c>
      <c r="C107" s="66">
        <f t="shared" ref="C107:Q107" si="1">MAX(C9:C104)</f>
        <v>40.630000000000003</v>
      </c>
      <c r="D107" s="66">
        <f t="shared" si="1"/>
        <v>42.59</v>
      </c>
      <c r="E107" s="66">
        <f t="shared" si="1"/>
        <v>3.71</v>
      </c>
      <c r="F107" s="66">
        <f t="shared" si="1"/>
        <v>34.71</v>
      </c>
      <c r="G107" s="66">
        <f t="shared" si="1"/>
        <v>96.7</v>
      </c>
      <c r="H107" s="66">
        <f t="shared" si="1"/>
        <v>46.36</v>
      </c>
      <c r="I107" s="66">
        <f t="shared" si="1"/>
        <v>8.4499999999999993</v>
      </c>
      <c r="J107" s="66">
        <f t="shared" si="1"/>
        <v>1.79</v>
      </c>
      <c r="K107" s="66">
        <f t="shared" si="1"/>
        <v>358.97</v>
      </c>
      <c r="L107" s="66">
        <f t="shared" si="1"/>
        <v>31.05</v>
      </c>
      <c r="M107" s="66">
        <f t="shared" si="1"/>
        <v>97.25</v>
      </c>
      <c r="N107" s="66">
        <f t="shared" si="1"/>
        <v>1038.7</v>
      </c>
      <c r="O107" s="66">
        <f t="shared" si="1"/>
        <v>0.4</v>
      </c>
      <c r="P107" s="66">
        <f t="shared" si="1"/>
        <v>2</v>
      </c>
      <c r="Q107" s="66">
        <f t="shared" si="1"/>
        <v>16.78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13.571875000000004</v>
      </c>
      <c r="C108" s="67">
        <f t="shared" ref="C108:Q108" si="2">AVERAGE(C9:C104)</f>
        <v>21.920624999999998</v>
      </c>
      <c r="D108" s="67">
        <f t="shared" si="2"/>
        <v>23.614791666666665</v>
      </c>
      <c r="E108" s="67">
        <f t="shared" si="2"/>
        <v>2.9618749999999996</v>
      </c>
      <c r="F108" s="67">
        <f t="shared" si="2"/>
        <v>10.60760416666667</v>
      </c>
      <c r="G108" s="67">
        <f t="shared" si="2"/>
        <v>59.365937500000001</v>
      </c>
      <c r="H108" s="67">
        <f t="shared" si="2"/>
        <v>23.086145833333322</v>
      </c>
      <c r="I108" s="67">
        <f t="shared" si="2"/>
        <v>5.0805357142857144</v>
      </c>
      <c r="J108" s="67">
        <f t="shared" si="2"/>
        <v>0.46864583333333343</v>
      </c>
      <c r="K108" s="67">
        <f t="shared" si="2"/>
        <v>109.11104166666665</v>
      </c>
      <c r="L108" s="67">
        <f t="shared" si="2"/>
        <v>26.509375000000009</v>
      </c>
      <c r="M108" s="67">
        <f t="shared" si="2"/>
        <v>85.010104166666665</v>
      </c>
      <c r="N108" s="67">
        <f t="shared" si="2"/>
        <v>204.03020833333332</v>
      </c>
      <c r="O108" s="67">
        <f t="shared" si="2"/>
        <v>8.3333333333333332E-3</v>
      </c>
      <c r="P108" s="67">
        <f t="shared" si="2"/>
        <v>0.78145833333333359</v>
      </c>
      <c r="Q108" s="67">
        <f t="shared" si="2"/>
        <v>8.4053409090909099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6.8943218913904243</v>
      </c>
      <c r="C109" s="67">
        <f t="shared" ref="C109:Q109" si="3">STDEV(C9:C104)</f>
        <v>6.8994284755676647</v>
      </c>
      <c r="D109" s="67">
        <f t="shared" si="3"/>
        <v>6.8228762231291196</v>
      </c>
      <c r="E109" s="67">
        <f t="shared" si="3"/>
        <v>0.44513348086779314</v>
      </c>
      <c r="F109" s="67">
        <f t="shared" si="3"/>
        <v>6.6237711861051771</v>
      </c>
      <c r="G109" s="67">
        <f t="shared" si="3"/>
        <v>21.403867854008102</v>
      </c>
      <c r="H109" s="67">
        <f t="shared" si="3"/>
        <v>8.9402146883196441</v>
      </c>
      <c r="I109" s="67">
        <f t="shared" si="3"/>
        <v>1.3374472559086854</v>
      </c>
      <c r="J109" s="67">
        <f t="shared" si="3"/>
        <v>0.37186760459991247</v>
      </c>
      <c r="K109" s="67">
        <f t="shared" si="3"/>
        <v>95.849243617575823</v>
      </c>
      <c r="L109" s="67">
        <f t="shared" si="3"/>
        <v>2.4554690033302777</v>
      </c>
      <c r="M109" s="67">
        <f t="shared" si="3"/>
        <v>13.287763543540237</v>
      </c>
      <c r="N109" s="67">
        <f t="shared" si="3"/>
        <v>243.48400276849122</v>
      </c>
      <c r="O109" s="67">
        <f t="shared" si="3"/>
        <v>4.9559462778335214E-2</v>
      </c>
      <c r="P109" s="67">
        <f t="shared" si="3"/>
        <v>0.32456928273982688</v>
      </c>
      <c r="Q109" s="67">
        <f t="shared" si="3"/>
        <v>4.2528346054479673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>COUNT(B9:B104)</f>
        <v>96</v>
      </c>
      <c r="C110" s="66">
        <f t="shared" ref="C110:P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COUNT(I9:I104)+40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COUNT(Q9:Q104)+8</f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9" activePane="bottomRight" state="frozen"/>
      <selection activeCell="B115" sqref="B115:D115"/>
      <selection pane="topRight" activeCell="B115" sqref="B115:D115"/>
      <selection pane="bottomLeft" activeCell="B115" sqref="B115:D115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2169</v>
      </c>
      <c r="B9" s="77">
        <v>3.28</v>
      </c>
      <c r="C9" s="77">
        <v>12.89</v>
      </c>
      <c r="D9" s="77">
        <v>10.39</v>
      </c>
      <c r="E9" s="77">
        <v>1.68</v>
      </c>
      <c r="F9" s="77">
        <v>13.94</v>
      </c>
      <c r="G9" s="77">
        <v>21.44</v>
      </c>
      <c r="H9" s="77">
        <v>18.72</v>
      </c>
      <c r="I9" s="210" t="s">
        <v>36</v>
      </c>
      <c r="J9" s="77">
        <v>0.15</v>
      </c>
      <c r="K9" s="77">
        <v>4.79</v>
      </c>
      <c r="L9" s="77">
        <v>24.1</v>
      </c>
      <c r="M9" s="77">
        <v>97.25</v>
      </c>
      <c r="N9" s="77">
        <v>20.6</v>
      </c>
      <c r="O9" s="77">
        <v>0</v>
      </c>
      <c r="P9" s="77">
        <v>0.37</v>
      </c>
      <c r="Q9" s="6" t="s">
        <v>42</v>
      </c>
    </row>
    <row r="10" spans="1:21" s="12" customFormat="1" x14ac:dyDescent="0.25">
      <c r="A10" s="64" t="s">
        <v>2170</v>
      </c>
      <c r="B10" s="77">
        <v>3.09</v>
      </c>
      <c r="C10" s="77">
        <v>12.47</v>
      </c>
      <c r="D10" s="77">
        <v>10</v>
      </c>
      <c r="E10" s="77">
        <v>1.64</v>
      </c>
      <c r="F10" s="77">
        <v>10.33</v>
      </c>
      <c r="G10" s="77">
        <v>21.44</v>
      </c>
      <c r="H10" s="77">
        <v>18.72</v>
      </c>
      <c r="I10" s="210" t="s">
        <v>36</v>
      </c>
      <c r="J10" s="77">
        <v>0.13</v>
      </c>
      <c r="K10" s="77">
        <v>20.53</v>
      </c>
      <c r="L10" s="77">
        <v>24.18</v>
      </c>
      <c r="M10" s="77">
        <v>96.76</v>
      </c>
      <c r="N10" s="77">
        <v>20.7</v>
      </c>
      <c r="O10" s="77">
        <v>0</v>
      </c>
      <c r="P10" s="77">
        <v>0.42</v>
      </c>
      <c r="Q10" s="77">
        <v>0.36</v>
      </c>
    </row>
    <row r="11" spans="1:21" s="12" customFormat="1" x14ac:dyDescent="0.25">
      <c r="A11" s="64" t="s">
        <v>2171</v>
      </c>
      <c r="B11" s="77">
        <v>5.15</v>
      </c>
      <c r="C11" s="77">
        <v>15.52</v>
      </c>
      <c r="D11" s="77">
        <v>13.34</v>
      </c>
      <c r="E11" s="77">
        <v>1.73</v>
      </c>
      <c r="F11" s="77">
        <v>7.06</v>
      </c>
      <c r="G11" s="77">
        <v>21.44</v>
      </c>
      <c r="H11" s="77">
        <v>18.72</v>
      </c>
      <c r="I11" s="210" t="s">
        <v>36</v>
      </c>
      <c r="J11" s="77">
        <v>0.25</v>
      </c>
      <c r="K11" s="77">
        <v>353.18</v>
      </c>
      <c r="L11" s="77">
        <v>24.23</v>
      </c>
      <c r="M11" s="77">
        <v>96.73</v>
      </c>
      <c r="N11" s="77">
        <v>20.8</v>
      </c>
      <c r="O11" s="77">
        <v>0</v>
      </c>
      <c r="P11" s="77">
        <v>0.43</v>
      </c>
      <c r="Q11" s="77">
        <v>0.12</v>
      </c>
    </row>
    <row r="12" spans="1:21" s="12" customFormat="1" x14ac:dyDescent="0.25">
      <c r="A12" s="64" t="s">
        <v>2172</v>
      </c>
      <c r="B12" s="77">
        <v>3.98</v>
      </c>
      <c r="C12" s="77">
        <v>13.18</v>
      </c>
      <c r="D12" s="77">
        <v>11.11</v>
      </c>
      <c r="E12" s="77">
        <v>1.79</v>
      </c>
      <c r="F12" s="77">
        <v>10.47</v>
      </c>
      <c r="G12" s="77">
        <v>19.5</v>
      </c>
      <c r="H12" s="77">
        <v>13.97</v>
      </c>
      <c r="I12" s="210" t="s">
        <v>36</v>
      </c>
      <c r="J12" s="77">
        <v>0.05</v>
      </c>
      <c r="K12" s="77">
        <v>1.33</v>
      </c>
      <c r="L12" s="77">
        <v>24.11</v>
      </c>
      <c r="M12" s="77">
        <v>96.72</v>
      </c>
      <c r="N12" s="77">
        <v>21</v>
      </c>
      <c r="O12" s="77">
        <v>0</v>
      </c>
      <c r="P12" s="77">
        <v>0.4</v>
      </c>
      <c r="Q12" s="9" t="s">
        <v>36</v>
      </c>
    </row>
    <row r="13" spans="1:21" s="12" customFormat="1" x14ac:dyDescent="0.25">
      <c r="A13" s="64" t="s">
        <v>2173</v>
      </c>
      <c r="B13" s="77">
        <v>3.74</v>
      </c>
      <c r="C13" s="77">
        <v>13.07</v>
      </c>
      <c r="D13" s="77">
        <v>10.86</v>
      </c>
      <c r="E13" s="77">
        <v>1.57</v>
      </c>
      <c r="F13" s="77">
        <v>8.42</v>
      </c>
      <c r="G13" s="77">
        <v>19.440000000000001</v>
      </c>
      <c r="H13" s="77">
        <v>13.97</v>
      </c>
      <c r="I13" s="210" t="s">
        <v>36</v>
      </c>
      <c r="J13" s="77">
        <v>0</v>
      </c>
      <c r="K13" s="77">
        <v>66.569999999999993</v>
      </c>
      <c r="L13" s="77">
        <v>23.91</v>
      </c>
      <c r="M13" s="77">
        <v>97.2</v>
      </c>
      <c r="N13" s="77">
        <v>20.9</v>
      </c>
      <c r="O13" s="77">
        <v>0</v>
      </c>
      <c r="P13" s="77">
        <v>0.39</v>
      </c>
      <c r="Q13" s="9" t="s">
        <v>36</v>
      </c>
    </row>
    <row r="14" spans="1:21" s="12" customFormat="1" x14ac:dyDescent="0.25">
      <c r="A14" s="64" t="s">
        <v>2174</v>
      </c>
      <c r="B14" s="77">
        <v>2.64</v>
      </c>
      <c r="C14" s="77">
        <v>12.14</v>
      </c>
      <c r="D14" s="77">
        <v>9.4600000000000009</v>
      </c>
      <c r="E14" s="77">
        <v>1.43</v>
      </c>
      <c r="F14" s="77">
        <v>14.43</v>
      </c>
      <c r="G14" s="77">
        <v>19.440000000000001</v>
      </c>
      <c r="H14" s="77">
        <v>13.97</v>
      </c>
      <c r="I14" s="210" t="s">
        <v>36</v>
      </c>
      <c r="J14" s="77">
        <v>0.15</v>
      </c>
      <c r="K14" s="77">
        <v>161.82</v>
      </c>
      <c r="L14" s="77">
        <v>23.82</v>
      </c>
      <c r="M14" s="77">
        <v>97.05</v>
      </c>
      <c r="N14" s="77">
        <v>21</v>
      </c>
      <c r="O14" s="77">
        <v>0</v>
      </c>
      <c r="P14" s="77">
        <v>0.33</v>
      </c>
      <c r="Q14" s="9" t="s">
        <v>36</v>
      </c>
    </row>
    <row r="15" spans="1:21" s="12" customFormat="1" x14ac:dyDescent="0.25">
      <c r="A15" s="64" t="s">
        <v>2175</v>
      </c>
      <c r="B15" s="77">
        <v>2.5299999999999998</v>
      </c>
      <c r="C15" s="77">
        <v>11.63</v>
      </c>
      <c r="D15" s="77">
        <v>9.09</v>
      </c>
      <c r="E15" s="77">
        <v>1.4</v>
      </c>
      <c r="F15" s="77">
        <v>11.93</v>
      </c>
      <c r="G15" s="77">
        <v>19.440000000000001</v>
      </c>
      <c r="H15" s="77">
        <v>13.97</v>
      </c>
      <c r="I15" s="210" t="s">
        <v>36</v>
      </c>
      <c r="J15" s="77">
        <v>0.16</v>
      </c>
      <c r="K15" s="77">
        <v>7.97</v>
      </c>
      <c r="L15" s="77">
        <v>23.79</v>
      </c>
      <c r="M15" s="77">
        <v>97.23</v>
      </c>
      <c r="N15" s="77">
        <v>20.7</v>
      </c>
      <c r="O15" s="77">
        <v>0</v>
      </c>
      <c r="P15" s="77">
        <v>0.35</v>
      </c>
      <c r="Q15" s="9" t="s">
        <v>36</v>
      </c>
    </row>
    <row r="16" spans="1:21" s="12" customFormat="1" x14ac:dyDescent="0.25">
      <c r="A16" s="64" t="s">
        <v>2176</v>
      </c>
      <c r="B16" s="77">
        <v>3.22</v>
      </c>
      <c r="C16" s="77">
        <v>13</v>
      </c>
      <c r="D16" s="77">
        <v>10.4</v>
      </c>
      <c r="E16" s="77">
        <v>1.79</v>
      </c>
      <c r="F16" s="77">
        <v>8.52</v>
      </c>
      <c r="G16" s="77">
        <v>12.32</v>
      </c>
      <c r="H16" s="77">
        <v>10.46</v>
      </c>
      <c r="I16" s="210" t="s">
        <v>36</v>
      </c>
      <c r="J16" s="77">
        <v>0.12</v>
      </c>
      <c r="K16" s="77">
        <v>7.48</v>
      </c>
      <c r="L16" s="77">
        <v>23.76</v>
      </c>
      <c r="M16" s="77">
        <v>97.2</v>
      </c>
      <c r="N16" s="77">
        <v>20.9</v>
      </c>
      <c r="O16" s="77">
        <v>0</v>
      </c>
      <c r="P16" s="77">
        <v>0.37</v>
      </c>
      <c r="Q16" s="9" t="s">
        <v>36</v>
      </c>
    </row>
    <row r="17" spans="1:17" s="12" customFormat="1" x14ac:dyDescent="0.25">
      <c r="A17" s="64" t="s">
        <v>2177</v>
      </c>
      <c r="B17" s="77">
        <v>2.4</v>
      </c>
      <c r="C17" s="77">
        <v>11.92</v>
      </c>
      <c r="D17" s="77">
        <v>9.15</v>
      </c>
      <c r="E17" s="77">
        <v>1.87</v>
      </c>
      <c r="F17" s="77">
        <v>16.170000000000002</v>
      </c>
      <c r="G17" s="77">
        <v>12.08</v>
      </c>
      <c r="H17" s="77">
        <v>10.46</v>
      </c>
      <c r="I17" s="210" t="s">
        <v>36</v>
      </c>
      <c r="J17" s="77">
        <v>0.04</v>
      </c>
      <c r="K17" s="77">
        <v>216.56</v>
      </c>
      <c r="L17" s="77">
        <v>23.61</v>
      </c>
      <c r="M17" s="77">
        <v>97.2</v>
      </c>
      <c r="N17" s="77">
        <v>20.7</v>
      </c>
      <c r="O17" s="77">
        <v>0</v>
      </c>
      <c r="P17" s="77">
        <v>0.3</v>
      </c>
      <c r="Q17" s="9" t="s">
        <v>36</v>
      </c>
    </row>
    <row r="18" spans="1:17" s="12" customFormat="1" x14ac:dyDescent="0.25">
      <c r="A18" s="64" t="s">
        <v>2178</v>
      </c>
      <c r="B18" s="77">
        <v>1.57</v>
      </c>
      <c r="C18" s="77">
        <v>10.53</v>
      </c>
      <c r="D18" s="77">
        <v>7.72</v>
      </c>
      <c r="E18" s="77">
        <v>1.61</v>
      </c>
      <c r="F18" s="77">
        <v>20.23</v>
      </c>
      <c r="G18" s="77">
        <v>12.08</v>
      </c>
      <c r="H18" s="77">
        <v>10.46</v>
      </c>
      <c r="I18" s="210" t="s">
        <v>36</v>
      </c>
      <c r="J18" s="77">
        <v>0.05</v>
      </c>
      <c r="K18" s="77">
        <v>232.21</v>
      </c>
      <c r="L18" s="77">
        <v>23.53</v>
      </c>
      <c r="M18" s="77">
        <v>97.2</v>
      </c>
      <c r="N18" s="77">
        <v>20.5</v>
      </c>
      <c r="O18" s="77">
        <v>0</v>
      </c>
      <c r="P18" s="77">
        <v>0.25</v>
      </c>
      <c r="Q18" s="9" t="s">
        <v>36</v>
      </c>
    </row>
    <row r="19" spans="1:17" s="12" customFormat="1" x14ac:dyDescent="0.25">
      <c r="A19" s="64" t="s">
        <v>2179</v>
      </c>
      <c r="B19" s="77">
        <v>1.58</v>
      </c>
      <c r="C19" s="77">
        <v>11.03</v>
      </c>
      <c r="D19" s="77">
        <v>8</v>
      </c>
      <c r="E19" s="77">
        <v>1.99</v>
      </c>
      <c r="F19" s="77">
        <v>17.39</v>
      </c>
      <c r="G19" s="77">
        <v>12.08</v>
      </c>
      <c r="H19" s="77">
        <v>10.46</v>
      </c>
      <c r="I19" s="210" t="s">
        <v>36</v>
      </c>
      <c r="J19" s="77">
        <v>0.1</v>
      </c>
      <c r="K19" s="77">
        <v>35.96</v>
      </c>
      <c r="L19" s="77">
        <v>23.66</v>
      </c>
      <c r="M19" s="77">
        <v>97.2</v>
      </c>
      <c r="N19" s="77">
        <v>21</v>
      </c>
      <c r="O19" s="77">
        <v>0</v>
      </c>
      <c r="P19" s="77">
        <v>0.27</v>
      </c>
      <c r="Q19" s="9" t="s">
        <v>36</v>
      </c>
    </row>
    <row r="20" spans="1:17" s="12" customFormat="1" x14ac:dyDescent="0.25">
      <c r="A20" s="64" t="s">
        <v>2180</v>
      </c>
      <c r="B20" s="77">
        <v>2.04</v>
      </c>
      <c r="C20" s="77">
        <v>11.16</v>
      </c>
      <c r="D20" s="77">
        <v>8.44</v>
      </c>
      <c r="E20" s="77">
        <v>1.97</v>
      </c>
      <c r="F20" s="77">
        <v>16.600000000000001</v>
      </c>
      <c r="G20" s="77">
        <v>12.14</v>
      </c>
      <c r="H20" s="77">
        <v>8.0299999999999994</v>
      </c>
      <c r="I20" s="210" t="s">
        <v>36</v>
      </c>
      <c r="J20" s="77">
        <v>0.13</v>
      </c>
      <c r="K20" s="77">
        <v>0.56000000000000005</v>
      </c>
      <c r="L20" s="77">
        <v>23.75</v>
      </c>
      <c r="M20" s="77">
        <v>97.2</v>
      </c>
      <c r="N20" s="77">
        <v>21.1</v>
      </c>
      <c r="O20" s="77">
        <v>0</v>
      </c>
      <c r="P20" s="77">
        <v>0.28000000000000003</v>
      </c>
      <c r="Q20" s="9" t="s">
        <v>36</v>
      </c>
    </row>
    <row r="21" spans="1:17" s="12" customFormat="1" x14ac:dyDescent="0.25">
      <c r="A21" s="64" t="s">
        <v>2181</v>
      </c>
      <c r="B21" s="77">
        <v>3.83</v>
      </c>
      <c r="C21" s="77">
        <v>13.58</v>
      </c>
      <c r="D21" s="77">
        <v>11.21</v>
      </c>
      <c r="E21" s="77">
        <v>1.74</v>
      </c>
      <c r="F21" s="77">
        <v>15.37</v>
      </c>
      <c r="G21" s="77">
        <v>12.14</v>
      </c>
      <c r="H21" s="77">
        <v>8.0299999999999994</v>
      </c>
      <c r="I21" s="210" t="s">
        <v>36</v>
      </c>
      <c r="J21" s="77">
        <v>0.04</v>
      </c>
      <c r="K21" s="77">
        <v>334.75</v>
      </c>
      <c r="L21" s="77">
        <v>23.72</v>
      </c>
      <c r="M21" s="77">
        <v>97.2</v>
      </c>
      <c r="N21" s="77">
        <v>21</v>
      </c>
      <c r="O21" s="77">
        <v>0</v>
      </c>
      <c r="P21" s="77">
        <v>0.28999999999999998</v>
      </c>
      <c r="Q21" s="9" t="s">
        <v>36</v>
      </c>
    </row>
    <row r="22" spans="1:17" s="12" customFormat="1" x14ac:dyDescent="0.25">
      <c r="A22" s="64" t="s">
        <v>2182</v>
      </c>
      <c r="B22" s="77">
        <v>3.28</v>
      </c>
      <c r="C22" s="77">
        <v>12.86</v>
      </c>
      <c r="D22" s="77">
        <v>10.37</v>
      </c>
      <c r="E22" s="77">
        <v>2.0099999999999998</v>
      </c>
      <c r="F22" s="77">
        <v>9.82</v>
      </c>
      <c r="G22" s="77">
        <v>12.14</v>
      </c>
      <c r="H22" s="77">
        <v>8.0299999999999994</v>
      </c>
      <c r="I22" s="210" t="s">
        <v>36</v>
      </c>
      <c r="J22" s="77">
        <v>0.06</v>
      </c>
      <c r="K22" s="77">
        <v>26.3</v>
      </c>
      <c r="L22" s="77">
        <v>23.67</v>
      </c>
      <c r="M22" s="77">
        <v>97.2</v>
      </c>
      <c r="N22" s="77">
        <v>21.1</v>
      </c>
      <c r="O22" s="77">
        <v>0</v>
      </c>
      <c r="P22" s="77">
        <v>0.32</v>
      </c>
      <c r="Q22" s="77">
        <v>0.28000000000000003</v>
      </c>
    </row>
    <row r="23" spans="1:17" s="12" customFormat="1" x14ac:dyDescent="0.25">
      <c r="A23" s="64" t="s">
        <v>2183</v>
      </c>
      <c r="B23" s="77">
        <v>4.6100000000000003</v>
      </c>
      <c r="C23" s="77">
        <v>13.7</v>
      </c>
      <c r="D23" s="77">
        <v>11.91</v>
      </c>
      <c r="E23" s="77">
        <v>2.25</v>
      </c>
      <c r="F23" s="77">
        <v>10.87</v>
      </c>
      <c r="G23" s="77">
        <v>12.14</v>
      </c>
      <c r="H23" s="77">
        <v>8.0299999999999994</v>
      </c>
      <c r="I23" s="210" t="s">
        <v>36</v>
      </c>
      <c r="J23" s="77">
        <v>0.02</v>
      </c>
      <c r="K23" s="77">
        <v>2.31</v>
      </c>
      <c r="L23" s="77">
        <v>23.73</v>
      </c>
      <c r="M23" s="77">
        <v>97.21</v>
      </c>
      <c r="N23" s="77">
        <v>21.1</v>
      </c>
      <c r="O23" s="77">
        <v>0</v>
      </c>
      <c r="P23" s="77">
        <v>0.35</v>
      </c>
      <c r="Q23" s="9" t="s">
        <v>36</v>
      </c>
    </row>
    <row r="24" spans="1:17" s="12" customFormat="1" x14ac:dyDescent="0.25">
      <c r="A24" s="64" t="s">
        <v>2184</v>
      </c>
      <c r="B24" s="77">
        <v>4.67</v>
      </c>
      <c r="C24" s="77">
        <v>14.07</v>
      </c>
      <c r="D24" s="77">
        <v>12.16</v>
      </c>
      <c r="E24" s="77">
        <v>1.9</v>
      </c>
      <c r="F24" s="77">
        <v>7.87</v>
      </c>
      <c r="G24" s="77">
        <v>12.68</v>
      </c>
      <c r="H24" s="77">
        <v>7.65</v>
      </c>
      <c r="I24" s="210" t="s">
        <v>36</v>
      </c>
      <c r="J24" s="77">
        <v>0.28999999999999998</v>
      </c>
      <c r="K24" s="77">
        <v>358.68</v>
      </c>
      <c r="L24" s="77">
        <v>23.77</v>
      </c>
      <c r="M24" s="77">
        <v>97.22</v>
      </c>
      <c r="N24" s="77">
        <v>21.1</v>
      </c>
      <c r="O24" s="77">
        <v>0</v>
      </c>
      <c r="P24" s="77">
        <v>0.35</v>
      </c>
      <c r="Q24" s="9" t="s">
        <v>36</v>
      </c>
    </row>
    <row r="25" spans="1:17" s="12" customFormat="1" x14ac:dyDescent="0.25">
      <c r="A25" s="64" t="s">
        <v>2185</v>
      </c>
      <c r="B25" s="77">
        <v>4.6399999999999997</v>
      </c>
      <c r="C25" s="77">
        <v>14.04</v>
      </c>
      <c r="D25" s="77">
        <v>12.11</v>
      </c>
      <c r="E25" s="77">
        <v>2.4</v>
      </c>
      <c r="F25" s="77">
        <v>8.6199999999999992</v>
      </c>
      <c r="G25" s="77">
        <v>12.7</v>
      </c>
      <c r="H25" s="77">
        <v>7.65</v>
      </c>
      <c r="I25" s="210" t="s">
        <v>36</v>
      </c>
      <c r="J25" s="77">
        <v>0.18</v>
      </c>
      <c r="K25" s="77">
        <v>57.77</v>
      </c>
      <c r="L25" s="77">
        <v>23.84</v>
      </c>
      <c r="M25" s="77">
        <v>97.2</v>
      </c>
      <c r="N25" s="77">
        <v>21.1</v>
      </c>
      <c r="O25" s="77">
        <v>0</v>
      </c>
      <c r="P25" s="77">
        <v>0.34</v>
      </c>
      <c r="Q25" s="9" t="s">
        <v>36</v>
      </c>
    </row>
    <row r="26" spans="1:17" s="12" customFormat="1" x14ac:dyDescent="0.25">
      <c r="A26" s="64" t="s">
        <v>2186</v>
      </c>
      <c r="B26" s="77">
        <v>6.34</v>
      </c>
      <c r="C26" s="77">
        <v>15.15</v>
      </c>
      <c r="D26" s="77">
        <v>14.09</v>
      </c>
      <c r="E26" s="77">
        <v>2.52</v>
      </c>
      <c r="F26" s="77">
        <v>8.7200000000000006</v>
      </c>
      <c r="G26" s="77">
        <v>12.7</v>
      </c>
      <c r="H26" s="77">
        <v>7.65</v>
      </c>
      <c r="I26" s="210" t="s">
        <v>36</v>
      </c>
      <c r="J26" s="77">
        <v>0.22</v>
      </c>
      <c r="K26" s="77">
        <v>359.7</v>
      </c>
      <c r="L26" s="77">
        <v>23.85</v>
      </c>
      <c r="M26" s="77">
        <v>97.2</v>
      </c>
      <c r="N26" s="77">
        <v>21.1</v>
      </c>
      <c r="O26" s="77">
        <v>0</v>
      </c>
      <c r="P26" s="77">
        <v>0.34</v>
      </c>
      <c r="Q26" s="9" t="s">
        <v>36</v>
      </c>
    </row>
    <row r="27" spans="1:17" s="12" customFormat="1" x14ac:dyDescent="0.25">
      <c r="A27" s="64" t="s">
        <v>2187</v>
      </c>
      <c r="B27" s="77">
        <v>6.27</v>
      </c>
      <c r="C27" s="77">
        <v>15.81</v>
      </c>
      <c r="D27" s="77">
        <v>14.4</v>
      </c>
      <c r="E27" s="77">
        <v>2.09</v>
      </c>
      <c r="F27" s="77">
        <v>6.62</v>
      </c>
      <c r="G27" s="77">
        <v>12.7</v>
      </c>
      <c r="H27" s="77">
        <v>7.65</v>
      </c>
      <c r="I27" s="210" t="s">
        <v>36</v>
      </c>
      <c r="J27" s="77">
        <v>0.35</v>
      </c>
      <c r="K27" s="77">
        <v>355.7</v>
      </c>
      <c r="L27" s="77">
        <v>23.82</v>
      </c>
      <c r="M27" s="77">
        <v>97.21</v>
      </c>
      <c r="N27" s="77">
        <v>20.9</v>
      </c>
      <c r="O27" s="77">
        <v>0</v>
      </c>
      <c r="P27" s="77">
        <v>0.37</v>
      </c>
      <c r="Q27" s="9" t="s">
        <v>36</v>
      </c>
    </row>
    <row r="28" spans="1:17" s="12" customFormat="1" x14ac:dyDescent="0.25">
      <c r="A28" s="64" t="s">
        <v>2188</v>
      </c>
      <c r="B28" s="77">
        <v>6.51</v>
      </c>
      <c r="C28" s="77">
        <v>20.23</v>
      </c>
      <c r="D28" s="77">
        <v>17.03</v>
      </c>
      <c r="E28" s="77">
        <v>2.27</v>
      </c>
      <c r="F28" s="77">
        <v>7.98</v>
      </c>
      <c r="G28" s="77">
        <v>26.47</v>
      </c>
      <c r="H28" s="77">
        <v>12.05</v>
      </c>
      <c r="I28" s="210" t="s">
        <v>36</v>
      </c>
      <c r="J28" s="77">
        <v>0.15</v>
      </c>
      <c r="K28" s="77">
        <v>135.79</v>
      </c>
      <c r="L28" s="77">
        <v>23.76</v>
      </c>
      <c r="M28" s="77">
        <v>97.21</v>
      </c>
      <c r="N28" s="77">
        <v>21.1</v>
      </c>
      <c r="O28" s="77">
        <v>0</v>
      </c>
      <c r="P28" s="77">
        <v>0.37</v>
      </c>
      <c r="Q28" s="9" t="s">
        <v>36</v>
      </c>
    </row>
    <row r="29" spans="1:17" s="12" customFormat="1" x14ac:dyDescent="0.25">
      <c r="A29" s="64" t="s">
        <v>2189</v>
      </c>
      <c r="B29" s="77">
        <v>8.32</v>
      </c>
      <c r="C29" s="77">
        <v>18.920000000000002</v>
      </c>
      <c r="D29" s="77">
        <v>17.760000000000002</v>
      </c>
      <c r="E29" s="77">
        <v>2.46</v>
      </c>
      <c r="F29" s="77">
        <v>8.5399999999999991</v>
      </c>
      <c r="G29" s="77">
        <v>26.94</v>
      </c>
      <c r="H29" s="77">
        <v>12.05</v>
      </c>
      <c r="I29" s="210" t="s">
        <v>36</v>
      </c>
      <c r="J29" s="77">
        <v>0.21</v>
      </c>
      <c r="K29" s="77">
        <v>10.199999999999999</v>
      </c>
      <c r="L29" s="77">
        <v>23.75</v>
      </c>
      <c r="M29" s="77">
        <v>97.25</v>
      </c>
      <c r="N29" s="77">
        <v>21.1</v>
      </c>
      <c r="O29" s="77">
        <v>0</v>
      </c>
      <c r="P29" s="77">
        <v>0.46</v>
      </c>
      <c r="Q29" s="9" t="s">
        <v>36</v>
      </c>
    </row>
    <row r="30" spans="1:17" s="12" customFormat="1" x14ac:dyDescent="0.25">
      <c r="A30" s="64" t="s">
        <v>2190</v>
      </c>
      <c r="B30" s="77">
        <v>12.08</v>
      </c>
      <c r="C30" s="77">
        <v>18.34</v>
      </c>
      <c r="D30" s="77">
        <v>20.46</v>
      </c>
      <c r="E30" s="77">
        <v>2.4900000000000002</v>
      </c>
      <c r="F30" s="77">
        <v>8.85</v>
      </c>
      <c r="G30" s="77">
        <v>26.94</v>
      </c>
      <c r="H30" s="77">
        <v>12.05</v>
      </c>
      <c r="I30" s="210" t="s">
        <v>36</v>
      </c>
      <c r="J30" s="77">
        <v>0.42</v>
      </c>
      <c r="K30" s="77">
        <v>9.2799999999999994</v>
      </c>
      <c r="L30" s="77">
        <v>23.92</v>
      </c>
      <c r="M30" s="77">
        <v>97.25</v>
      </c>
      <c r="N30" s="77">
        <v>22.8</v>
      </c>
      <c r="O30" s="77">
        <v>0</v>
      </c>
      <c r="P30" s="77">
        <v>0.5</v>
      </c>
      <c r="Q30" s="9" t="s">
        <v>36</v>
      </c>
    </row>
    <row r="31" spans="1:17" s="12" customFormat="1" x14ac:dyDescent="0.25">
      <c r="A31" s="64" t="s">
        <v>2191</v>
      </c>
      <c r="B31" s="77">
        <v>12.26</v>
      </c>
      <c r="C31" s="77">
        <v>21.72</v>
      </c>
      <c r="D31" s="77">
        <v>22.47</v>
      </c>
      <c r="E31" s="77">
        <v>2.52</v>
      </c>
      <c r="F31" s="77">
        <v>8.01</v>
      </c>
      <c r="G31" s="77">
        <v>26.94</v>
      </c>
      <c r="H31" s="77">
        <v>12.05</v>
      </c>
      <c r="I31" s="210" t="s">
        <v>36</v>
      </c>
      <c r="J31" s="77">
        <v>0.47</v>
      </c>
      <c r="K31" s="77">
        <v>7.73</v>
      </c>
      <c r="L31" s="77">
        <v>23.97</v>
      </c>
      <c r="M31" s="77">
        <v>97.25</v>
      </c>
      <c r="N31" s="77">
        <v>31</v>
      </c>
      <c r="O31" s="77">
        <v>0.2</v>
      </c>
      <c r="P31" s="77">
        <v>0.52</v>
      </c>
      <c r="Q31" s="77">
        <v>0.76</v>
      </c>
    </row>
    <row r="32" spans="1:17" s="12" customFormat="1" x14ac:dyDescent="0.25">
      <c r="A32" s="64" t="s">
        <v>2192</v>
      </c>
      <c r="B32" s="77">
        <v>13.47</v>
      </c>
      <c r="C32" s="77">
        <v>19.170000000000002</v>
      </c>
      <c r="D32" s="77">
        <v>22.03</v>
      </c>
      <c r="E32" s="77">
        <v>2.36</v>
      </c>
      <c r="F32" s="77">
        <v>5.75</v>
      </c>
      <c r="G32" s="77">
        <v>40.869999999999997</v>
      </c>
      <c r="H32" s="77">
        <v>16.07</v>
      </c>
      <c r="I32" s="210" t="s">
        <v>36</v>
      </c>
      <c r="J32" s="77">
        <v>0.78</v>
      </c>
      <c r="K32" s="77">
        <v>11.46</v>
      </c>
      <c r="L32" s="77">
        <v>24.03</v>
      </c>
      <c r="M32" s="77">
        <v>97.25</v>
      </c>
      <c r="N32" s="77">
        <v>40.299999999999997</v>
      </c>
      <c r="O32" s="77">
        <v>0</v>
      </c>
      <c r="P32" s="77">
        <v>0.56999999999999995</v>
      </c>
      <c r="Q32" s="77">
        <v>2.38</v>
      </c>
    </row>
    <row r="33" spans="1:17" s="12" customFormat="1" x14ac:dyDescent="0.25">
      <c r="A33" s="64" t="s">
        <v>2193</v>
      </c>
      <c r="B33" s="77">
        <v>10.87</v>
      </c>
      <c r="C33" s="77">
        <v>22.68</v>
      </c>
      <c r="D33" s="77">
        <v>21.88</v>
      </c>
      <c r="E33" s="77">
        <v>2.54</v>
      </c>
      <c r="F33" s="77">
        <v>6.94</v>
      </c>
      <c r="G33" s="77">
        <v>41.35</v>
      </c>
      <c r="H33" s="77">
        <v>16.07</v>
      </c>
      <c r="I33" s="210" t="s">
        <v>36</v>
      </c>
      <c r="J33" s="77">
        <v>0.52</v>
      </c>
      <c r="K33" s="77">
        <v>11.77</v>
      </c>
      <c r="L33" s="77">
        <v>24.11</v>
      </c>
      <c r="M33" s="77">
        <v>97.25</v>
      </c>
      <c r="N33" s="77">
        <v>50.9</v>
      </c>
      <c r="O33" s="77">
        <v>0</v>
      </c>
      <c r="P33" s="77">
        <v>0.61</v>
      </c>
      <c r="Q33" s="77">
        <v>3.56</v>
      </c>
    </row>
    <row r="34" spans="1:17" s="12" customFormat="1" x14ac:dyDescent="0.25">
      <c r="A34" s="64" t="s">
        <v>2194</v>
      </c>
      <c r="B34" s="77">
        <v>16.850000000000001</v>
      </c>
      <c r="C34" s="77">
        <v>21.7</v>
      </c>
      <c r="D34" s="77">
        <v>26.13</v>
      </c>
      <c r="E34" s="77">
        <v>2.81</v>
      </c>
      <c r="F34" s="77">
        <v>5.8</v>
      </c>
      <c r="G34" s="77">
        <v>41.35</v>
      </c>
      <c r="H34" s="77">
        <v>16.07</v>
      </c>
      <c r="I34" s="210" t="s">
        <v>36</v>
      </c>
      <c r="J34" s="77">
        <v>0.28999999999999998</v>
      </c>
      <c r="K34" s="77">
        <v>20.100000000000001</v>
      </c>
      <c r="L34" s="77">
        <v>24.25</v>
      </c>
      <c r="M34" s="77">
        <v>97.25</v>
      </c>
      <c r="N34" s="77">
        <v>39</v>
      </c>
      <c r="O34" s="77">
        <v>0</v>
      </c>
      <c r="P34" s="77">
        <v>0.65</v>
      </c>
      <c r="Q34" s="77">
        <v>4.09</v>
      </c>
    </row>
    <row r="35" spans="1:17" s="12" customFormat="1" x14ac:dyDescent="0.25">
      <c r="A35" s="64" t="s">
        <v>2195</v>
      </c>
      <c r="B35" s="77">
        <v>25.91</v>
      </c>
      <c r="C35" s="77">
        <v>22.49</v>
      </c>
      <c r="D35" s="77">
        <v>33.840000000000003</v>
      </c>
      <c r="E35" s="77">
        <v>2.57</v>
      </c>
      <c r="F35" s="77">
        <v>4.68</v>
      </c>
      <c r="G35" s="77">
        <v>41.35</v>
      </c>
      <c r="H35" s="77">
        <v>16.07</v>
      </c>
      <c r="I35" s="210" t="s">
        <v>36</v>
      </c>
      <c r="J35" s="77">
        <v>0.39</v>
      </c>
      <c r="K35" s="77">
        <v>11.85</v>
      </c>
      <c r="L35" s="77">
        <v>24.35</v>
      </c>
      <c r="M35" s="77">
        <v>97.25</v>
      </c>
      <c r="N35" s="77">
        <v>48.6</v>
      </c>
      <c r="O35" s="77">
        <v>0</v>
      </c>
      <c r="P35" s="77">
        <v>0.71</v>
      </c>
      <c r="Q35" s="77">
        <v>2.17</v>
      </c>
    </row>
    <row r="36" spans="1:17" s="12" customFormat="1" x14ac:dyDescent="0.25">
      <c r="A36" s="64" t="s">
        <v>2196</v>
      </c>
      <c r="B36" s="77">
        <v>19.329999999999998</v>
      </c>
      <c r="C36" s="77">
        <v>18.899999999999999</v>
      </c>
      <c r="D36" s="77">
        <v>26.58</v>
      </c>
      <c r="E36" s="77">
        <v>2.4500000000000002</v>
      </c>
      <c r="F36" s="77">
        <v>5.52</v>
      </c>
      <c r="G36" s="77">
        <v>35.520000000000003</v>
      </c>
      <c r="H36" s="77">
        <v>21.33</v>
      </c>
      <c r="I36" s="210" t="s">
        <v>36</v>
      </c>
      <c r="J36" s="77">
        <v>0.49</v>
      </c>
      <c r="K36" s="77">
        <v>16.5</v>
      </c>
      <c r="L36" s="77">
        <v>24.48</v>
      </c>
      <c r="M36" s="77">
        <v>97.24</v>
      </c>
      <c r="N36" s="77">
        <v>40.6</v>
      </c>
      <c r="O36" s="77">
        <v>0</v>
      </c>
      <c r="P36" s="77">
        <v>0.63</v>
      </c>
      <c r="Q36" s="77">
        <v>1.33</v>
      </c>
    </row>
    <row r="37" spans="1:17" s="12" customFormat="1" x14ac:dyDescent="0.25">
      <c r="A37" s="64" t="s">
        <v>2197</v>
      </c>
      <c r="B37" s="77">
        <v>20.11</v>
      </c>
      <c r="C37" s="77">
        <v>16.829999999999998</v>
      </c>
      <c r="D37" s="77">
        <v>26.06</v>
      </c>
      <c r="E37" s="77">
        <v>2.56</v>
      </c>
      <c r="F37" s="77">
        <v>4.16</v>
      </c>
      <c r="G37" s="77">
        <v>35.25</v>
      </c>
      <c r="H37" s="77">
        <v>21.58</v>
      </c>
      <c r="I37" s="210" t="s">
        <v>36</v>
      </c>
      <c r="J37" s="77">
        <v>0.71</v>
      </c>
      <c r="K37" s="77">
        <v>19.91</v>
      </c>
      <c r="L37" s="77">
        <v>24.22</v>
      </c>
      <c r="M37" s="77">
        <v>97.25</v>
      </c>
      <c r="N37" s="77">
        <v>59.6</v>
      </c>
      <c r="O37" s="77">
        <v>3.4</v>
      </c>
      <c r="P37" s="77">
        <v>0.55000000000000004</v>
      </c>
      <c r="Q37" s="77">
        <v>2.81</v>
      </c>
    </row>
    <row r="38" spans="1:17" s="12" customFormat="1" x14ac:dyDescent="0.25">
      <c r="A38" s="64" t="s">
        <v>2198</v>
      </c>
      <c r="B38" s="77">
        <v>18.25</v>
      </c>
      <c r="C38" s="77">
        <v>15.27</v>
      </c>
      <c r="D38" s="77">
        <v>23.71</v>
      </c>
      <c r="E38" s="77">
        <v>2.63</v>
      </c>
      <c r="F38" s="77">
        <v>4.95</v>
      </c>
      <c r="G38" s="77">
        <v>35.25</v>
      </c>
      <c r="H38" s="77">
        <v>21.58</v>
      </c>
      <c r="I38" s="210" t="s">
        <v>36</v>
      </c>
      <c r="J38" s="77">
        <v>0.31</v>
      </c>
      <c r="K38" s="77">
        <v>90.07</v>
      </c>
      <c r="L38" s="77">
        <v>23.35</v>
      </c>
      <c r="M38" s="77">
        <v>97.25</v>
      </c>
      <c r="N38" s="77">
        <v>61</v>
      </c>
      <c r="O38" s="77">
        <v>2.2000000000000002</v>
      </c>
      <c r="P38" s="77">
        <v>0.57999999999999996</v>
      </c>
      <c r="Q38" s="77">
        <v>2.21</v>
      </c>
    </row>
    <row r="39" spans="1:17" s="12" customFormat="1" x14ac:dyDescent="0.25">
      <c r="A39" s="64" t="s">
        <v>2199</v>
      </c>
      <c r="B39" s="77">
        <v>17.690000000000001</v>
      </c>
      <c r="C39" s="77">
        <v>14.25</v>
      </c>
      <c r="D39" s="77">
        <v>22.7</v>
      </c>
      <c r="E39" s="77">
        <v>2.5</v>
      </c>
      <c r="F39" s="77">
        <v>4.6399999999999997</v>
      </c>
      <c r="G39" s="77">
        <v>35.25</v>
      </c>
      <c r="H39" s="77">
        <v>21.58</v>
      </c>
      <c r="I39" s="210" t="s">
        <v>36</v>
      </c>
      <c r="J39" s="77">
        <v>0.21</v>
      </c>
      <c r="K39" s="77">
        <v>66.599999999999994</v>
      </c>
      <c r="L39" s="77">
        <v>23.14</v>
      </c>
      <c r="M39" s="77">
        <v>97.25</v>
      </c>
      <c r="N39" s="77">
        <v>234.2</v>
      </c>
      <c r="O39" s="77">
        <v>0</v>
      </c>
      <c r="P39" s="77">
        <v>0.56999999999999995</v>
      </c>
      <c r="Q39" s="77">
        <v>3.1</v>
      </c>
    </row>
    <row r="40" spans="1:17" s="12" customFormat="1" x14ac:dyDescent="0.25">
      <c r="A40" s="64" t="s">
        <v>2200</v>
      </c>
      <c r="B40" s="77">
        <v>19.39</v>
      </c>
      <c r="C40" s="77">
        <v>13.38</v>
      </c>
      <c r="D40" s="77">
        <v>23.58</v>
      </c>
      <c r="E40" s="77">
        <v>1.67</v>
      </c>
      <c r="F40" s="77">
        <v>5.33</v>
      </c>
      <c r="G40" s="77">
        <v>23.08</v>
      </c>
      <c r="H40" s="77">
        <v>22.24</v>
      </c>
      <c r="I40" s="210" t="s">
        <v>36</v>
      </c>
      <c r="J40" s="77">
        <v>0.54</v>
      </c>
      <c r="K40" s="77">
        <v>119.92</v>
      </c>
      <c r="L40" s="77">
        <v>23.97</v>
      </c>
      <c r="M40" s="77">
        <v>97.25</v>
      </c>
      <c r="N40" s="77">
        <v>232.2</v>
      </c>
      <c r="O40" s="77">
        <v>0</v>
      </c>
      <c r="P40" s="77">
        <v>0.55000000000000004</v>
      </c>
      <c r="Q40" s="77">
        <v>2.41</v>
      </c>
    </row>
    <row r="41" spans="1:17" s="12" customFormat="1" x14ac:dyDescent="0.25">
      <c r="A41" s="64" t="s">
        <v>2201</v>
      </c>
      <c r="B41" s="77">
        <v>21.2</v>
      </c>
      <c r="C41" s="77">
        <v>13.92</v>
      </c>
      <c r="D41" s="77">
        <v>25.33</v>
      </c>
      <c r="E41" s="77">
        <v>1.8</v>
      </c>
      <c r="F41" s="77">
        <v>6.68</v>
      </c>
      <c r="G41" s="77">
        <v>22.66</v>
      </c>
      <c r="H41" s="77">
        <v>22.24</v>
      </c>
      <c r="I41" s="210" t="s">
        <v>36</v>
      </c>
      <c r="J41" s="77">
        <v>0.54</v>
      </c>
      <c r="K41" s="77">
        <v>118.31</v>
      </c>
      <c r="L41" s="77">
        <v>24.29</v>
      </c>
      <c r="M41" s="77">
        <v>97.23</v>
      </c>
      <c r="N41" s="77">
        <v>134.6</v>
      </c>
      <c r="O41" s="77">
        <v>0</v>
      </c>
      <c r="P41" s="77">
        <v>0.55000000000000004</v>
      </c>
      <c r="Q41" s="77">
        <v>4.9800000000000004</v>
      </c>
    </row>
    <row r="42" spans="1:17" s="12" customFormat="1" x14ac:dyDescent="0.25">
      <c r="A42" s="64" t="s">
        <v>2202</v>
      </c>
      <c r="B42" s="77">
        <v>17.38</v>
      </c>
      <c r="C42" s="77">
        <v>15.85</v>
      </c>
      <c r="D42" s="77">
        <v>23.33</v>
      </c>
      <c r="E42" s="77">
        <v>2.33</v>
      </c>
      <c r="F42" s="77">
        <v>7.71</v>
      </c>
      <c r="G42" s="77">
        <v>22.66</v>
      </c>
      <c r="H42" s="77">
        <v>22.24</v>
      </c>
      <c r="I42" s="210" t="s">
        <v>36</v>
      </c>
      <c r="J42" s="77">
        <v>0.48</v>
      </c>
      <c r="K42" s="77">
        <v>124.95</v>
      </c>
      <c r="L42" s="77">
        <v>24.35</v>
      </c>
      <c r="M42" s="77">
        <v>97.24</v>
      </c>
      <c r="N42" s="77">
        <v>87.9</v>
      </c>
      <c r="O42" s="77">
        <v>0.2</v>
      </c>
      <c r="P42" s="77">
        <v>0.54</v>
      </c>
      <c r="Q42" s="77">
        <v>8.01</v>
      </c>
    </row>
    <row r="43" spans="1:17" s="12" customFormat="1" x14ac:dyDescent="0.25">
      <c r="A43" s="64" t="s">
        <v>2203</v>
      </c>
      <c r="B43" s="77">
        <v>16.07</v>
      </c>
      <c r="C43" s="77">
        <v>15.41</v>
      </c>
      <c r="D43" s="77">
        <v>22.03</v>
      </c>
      <c r="E43" s="77">
        <v>2.46</v>
      </c>
      <c r="F43" s="77">
        <v>7.58</v>
      </c>
      <c r="G43" s="77">
        <v>22.66</v>
      </c>
      <c r="H43" s="77">
        <v>22.24</v>
      </c>
      <c r="I43" s="210" t="s">
        <v>36</v>
      </c>
      <c r="J43" s="77">
        <v>0.61</v>
      </c>
      <c r="K43" s="77">
        <v>145.58000000000001</v>
      </c>
      <c r="L43" s="77">
        <v>24.32</v>
      </c>
      <c r="M43" s="77">
        <v>97.2</v>
      </c>
      <c r="N43" s="77">
        <v>105.3</v>
      </c>
      <c r="O43" s="77">
        <v>0</v>
      </c>
      <c r="P43" s="77">
        <v>0.51</v>
      </c>
      <c r="Q43" s="77">
        <v>9.2899999999999991</v>
      </c>
    </row>
    <row r="44" spans="1:17" s="12" customFormat="1" x14ac:dyDescent="0.25">
      <c r="A44" s="64" t="s">
        <v>2204</v>
      </c>
      <c r="B44" s="77">
        <v>16.38</v>
      </c>
      <c r="C44" s="77">
        <v>15.94</v>
      </c>
      <c r="D44" s="77">
        <v>22.58</v>
      </c>
      <c r="E44" s="77">
        <v>2.2599999999999998</v>
      </c>
      <c r="F44" s="77">
        <v>7.27</v>
      </c>
      <c r="G44" s="77">
        <v>23.18</v>
      </c>
      <c r="H44" s="77">
        <v>18.170000000000002</v>
      </c>
      <c r="I44" s="210" t="s">
        <v>36</v>
      </c>
      <c r="J44" s="77">
        <v>0.16</v>
      </c>
      <c r="K44" s="77">
        <v>213.22</v>
      </c>
      <c r="L44" s="77">
        <v>23.84</v>
      </c>
      <c r="M44" s="77">
        <v>97.22</v>
      </c>
      <c r="N44" s="77">
        <v>144.69999999999999</v>
      </c>
      <c r="O44" s="77">
        <v>0</v>
      </c>
      <c r="P44" s="77">
        <v>0.5</v>
      </c>
      <c r="Q44" s="77">
        <v>10.08</v>
      </c>
    </row>
    <row r="45" spans="1:17" s="12" customFormat="1" x14ac:dyDescent="0.25">
      <c r="A45" s="64" t="s">
        <v>2205</v>
      </c>
      <c r="B45" s="77">
        <v>16.64</v>
      </c>
      <c r="C45" s="77">
        <v>13.9</v>
      </c>
      <c r="D45" s="77">
        <v>21.66</v>
      </c>
      <c r="E45" s="77">
        <v>3.04</v>
      </c>
      <c r="F45" s="77">
        <v>5.0199999999999996</v>
      </c>
      <c r="G45" s="77">
        <v>23.2</v>
      </c>
      <c r="H45" s="77">
        <v>18.170000000000002</v>
      </c>
      <c r="I45" s="210" t="s">
        <v>36</v>
      </c>
      <c r="J45" s="77">
        <v>0.23</v>
      </c>
      <c r="K45" s="77">
        <v>223.93</v>
      </c>
      <c r="L45" s="77">
        <v>23.58</v>
      </c>
      <c r="M45" s="77">
        <v>97.2</v>
      </c>
      <c r="N45" s="77">
        <v>264.7</v>
      </c>
      <c r="O45" s="77">
        <v>0</v>
      </c>
      <c r="P45" s="77">
        <v>0.52</v>
      </c>
      <c r="Q45" s="77">
        <v>10.09</v>
      </c>
    </row>
    <row r="46" spans="1:17" s="12" customFormat="1" x14ac:dyDescent="0.25">
      <c r="A46" s="64" t="s">
        <v>2206</v>
      </c>
      <c r="B46" s="77">
        <v>17.170000000000002</v>
      </c>
      <c r="C46" s="77">
        <v>13.23</v>
      </c>
      <c r="D46" s="77">
        <v>21.72</v>
      </c>
      <c r="E46" s="77">
        <v>2.48</v>
      </c>
      <c r="F46" s="77">
        <v>5.75</v>
      </c>
      <c r="G46" s="77">
        <v>23.2</v>
      </c>
      <c r="H46" s="77">
        <v>18.170000000000002</v>
      </c>
      <c r="I46" s="210" t="s">
        <v>36</v>
      </c>
      <c r="J46" s="77">
        <v>0.33</v>
      </c>
      <c r="K46" s="77">
        <v>141.15</v>
      </c>
      <c r="L46" s="77">
        <v>24.62</v>
      </c>
      <c r="M46" s="77">
        <v>96.32</v>
      </c>
      <c r="N46" s="77">
        <v>519.4</v>
      </c>
      <c r="O46" s="77">
        <v>0</v>
      </c>
      <c r="P46" s="77">
        <v>0.5</v>
      </c>
      <c r="Q46" s="77">
        <v>8.1300000000000008</v>
      </c>
    </row>
    <row r="47" spans="1:17" s="12" customFormat="1" x14ac:dyDescent="0.25">
      <c r="A47" s="64" t="s">
        <v>2207</v>
      </c>
      <c r="B47" s="77">
        <v>18.98</v>
      </c>
      <c r="C47" s="77">
        <v>11.72</v>
      </c>
      <c r="D47" s="77">
        <v>22.33</v>
      </c>
      <c r="E47" s="77">
        <v>2.54</v>
      </c>
      <c r="F47" s="77">
        <v>6.77</v>
      </c>
      <c r="G47" s="77">
        <v>23.2</v>
      </c>
      <c r="H47" s="77">
        <v>18.170000000000002</v>
      </c>
      <c r="I47" s="210" t="s">
        <v>36</v>
      </c>
      <c r="J47" s="77">
        <v>0.87</v>
      </c>
      <c r="K47" s="77">
        <v>134.19999999999999</v>
      </c>
      <c r="L47" s="77">
        <v>26.39</v>
      </c>
      <c r="M47" s="77">
        <v>88.16</v>
      </c>
      <c r="N47" s="77">
        <v>519.5</v>
      </c>
      <c r="O47" s="77">
        <v>0</v>
      </c>
      <c r="P47" s="77">
        <v>0.49</v>
      </c>
      <c r="Q47" s="77">
        <v>5.8</v>
      </c>
    </row>
    <row r="48" spans="1:17" s="12" customFormat="1" x14ac:dyDescent="0.25">
      <c r="A48" s="64" t="s">
        <v>2208</v>
      </c>
      <c r="B48" s="77">
        <v>18.079999999999998</v>
      </c>
      <c r="C48" s="77">
        <v>12.18</v>
      </c>
      <c r="D48" s="77">
        <v>21.87</v>
      </c>
      <c r="E48" s="77">
        <v>2.5</v>
      </c>
      <c r="F48" s="77">
        <v>5.27</v>
      </c>
      <c r="G48" s="77">
        <v>20.64</v>
      </c>
      <c r="H48" s="77">
        <v>14.2</v>
      </c>
      <c r="I48" s="210" t="s">
        <v>36</v>
      </c>
      <c r="J48" s="77">
        <v>1.06</v>
      </c>
      <c r="K48" s="77">
        <v>119.55</v>
      </c>
      <c r="L48" s="77">
        <v>27.22</v>
      </c>
      <c r="M48" s="77">
        <v>82.25</v>
      </c>
      <c r="N48" s="77">
        <v>716.8</v>
      </c>
      <c r="O48" s="77">
        <v>0</v>
      </c>
      <c r="P48" s="77">
        <v>0.51</v>
      </c>
      <c r="Q48" s="77">
        <v>5.88</v>
      </c>
    </row>
    <row r="49" spans="1:17" s="12" customFormat="1" x14ac:dyDescent="0.25">
      <c r="A49" s="64" t="s">
        <v>2209</v>
      </c>
      <c r="B49" s="77">
        <v>16.03</v>
      </c>
      <c r="C49" s="77">
        <v>14.85</v>
      </c>
      <c r="D49" s="77">
        <v>21.7</v>
      </c>
      <c r="E49" s="77">
        <v>2.61</v>
      </c>
      <c r="F49" s="77">
        <v>4.92</v>
      </c>
      <c r="G49" s="77">
        <v>20.55</v>
      </c>
      <c r="H49" s="77">
        <v>14.2</v>
      </c>
      <c r="I49" s="210" t="s">
        <v>36</v>
      </c>
      <c r="J49" s="77">
        <v>0.75</v>
      </c>
      <c r="K49" s="77">
        <v>112.31</v>
      </c>
      <c r="L49" s="77">
        <v>27.52</v>
      </c>
      <c r="M49" s="77">
        <v>80.069999999999993</v>
      </c>
      <c r="N49" s="77">
        <v>400.9</v>
      </c>
      <c r="O49" s="77">
        <v>0</v>
      </c>
      <c r="P49" s="77">
        <v>0.5</v>
      </c>
      <c r="Q49" s="77">
        <v>7.98</v>
      </c>
    </row>
    <row r="50" spans="1:17" s="12" customFormat="1" x14ac:dyDescent="0.25">
      <c r="A50" s="64" t="s">
        <v>2210</v>
      </c>
      <c r="B50" s="77">
        <v>18.04</v>
      </c>
      <c r="C50" s="77">
        <v>18.190000000000001</v>
      </c>
      <c r="D50" s="77">
        <v>25.15</v>
      </c>
      <c r="E50" s="77">
        <v>2.3199999999999998</v>
      </c>
      <c r="F50" s="77">
        <v>6.73</v>
      </c>
      <c r="G50" s="77">
        <v>20.55</v>
      </c>
      <c r="H50" s="77">
        <v>14.2</v>
      </c>
      <c r="I50" s="210" t="s">
        <v>36</v>
      </c>
      <c r="J50" s="77">
        <v>0.56999999999999995</v>
      </c>
      <c r="K50" s="77">
        <v>95.96</v>
      </c>
      <c r="L50" s="77">
        <v>27.3</v>
      </c>
      <c r="M50" s="77">
        <v>80.989999999999995</v>
      </c>
      <c r="N50" s="77">
        <v>444.9</v>
      </c>
      <c r="O50" s="77">
        <v>0</v>
      </c>
      <c r="P50" s="77">
        <v>0.54</v>
      </c>
      <c r="Q50" s="77">
        <v>6.99</v>
      </c>
    </row>
    <row r="51" spans="1:17" s="12" customFormat="1" x14ac:dyDescent="0.25">
      <c r="A51" s="64" t="s">
        <v>2211</v>
      </c>
      <c r="B51" s="77">
        <v>22.75</v>
      </c>
      <c r="C51" s="77">
        <v>31.43</v>
      </c>
      <c r="D51" s="77">
        <v>36.24</v>
      </c>
      <c r="E51" s="77">
        <v>2.41</v>
      </c>
      <c r="F51" s="77">
        <v>7.38</v>
      </c>
      <c r="G51" s="77">
        <v>20.55</v>
      </c>
      <c r="H51" s="77">
        <v>14.2</v>
      </c>
      <c r="I51" s="210" t="s">
        <v>36</v>
      </c>
      <c r="J51" s="77">
        <v>0.35</v>
      </c>
      <c r="K51" s="77">
        <v>51.89</v>
      </c>
      <c r="L51" s="77">
        <v>27.33</v>
      </c>
      <c r="M51" s="77">
        <v>81.239999999999995</v>
      </c>
      <c r="N51" s="77">
        <v>330.9</v>
      </c>
      <c r="O51" s="77">
        <v>0</v>
      </c>
      <c r="P51" s="77">
        <v>0.7</v>
      </c>
      <c r="Q51" s="77">
        <v>4.0199999999999996</v>
      </c>
    </row>
    <row r="52" spans="1:17" s="12" customFormat="1" x14ac:dyDescent="0.25">
      <c r="A52" s="64" t="s">
        <v>2212</v>
      </c>
      <c r="B52" s="77">
        <v>21.3</v>
      </c>
      <c r="C52" s="77">
        <v>25.4</v>
      </c>
      <c r="D52" s="77">
        <v>31.75</v>
      </c>
      <c r="E52" s="77">
        <v>2.4300000000000002</v>
      </c>
      <c r="F52" s="77">
        <v>9.4499999999999993</v>
      </c>
      <c r="G52" s="77">
        <v>27.14</v>
      </c>
      <c r="H52" s="77">
        <v>14.53</v>
      </c>
      <c r="I52" s="77">
        <v>2.6</v>
      </c>
      <c r="J52" s="77">
        <v>0.38</v>
      </c>
      <c r="K52" s="77">
        <v>72.8</v>
      </c>
      <c r="L52" s="77">
        <v>27.81</v>
      </c>
      <c r="M52" s="77">
        <v>78.98</v>
      </c>
      <c r="N52" s="77">
        <v>588.4</v>
      </c>
      <c r="O52" s="77">
        <v>0</v>
      </c>
      <c r="P52" s="77">
        <v>0.66</v>
      </c>
      <c r="Q52" s="77">
        <v>3.08</v>
      </c>
    </row>
    <row r="53" spans="1:17" s="12" customFormat="1" x14ac:dyDescent="0.25">
      <c r="A53" s="64" t="s">
        <v>2213</v>
      </c>
      <c r="B53" s="77">
        <v>17.899999999999999</v>
      </c>
      <c r="C53" s="77">
        <v>23.51</v>
      </c>
      <c r="D53" s="77">
        <v>27.98</v>
      </c>
      <c r="E53" s="77">
        <v>2.29</v>
      </c>
      <c r="F53" s="77">
        <v>9.07</v>
      </c>
      <c r="G53" s="77">
        <v>27.36</v>
      </c>
      <c r="H53" s="77">
        <v>14.54</v>
      </c>
      <c r="I53" s="77">
        <v>3.2</v>
      </c>
      <c r="J53" s="77">
        <v>0.8</v>
      </c>
      <c r="K53" s="77">
        <v>96.93</v>
      </c>
      <c r="L53" s="77">
        <v>28.19</v>
      </c>
      <c r="M53" s="77">
        <v>77.239999999999995</v>
      </c>
      <c r="N53" s="77">
        <v>580.29999999999995</v>
      </c>
      <c r="O53" s="77">
        <v>0</v>
      </c>
      <c r="P53" s="77">
        <v>0.65</v>
      </c>
      <c r="Q53" s="77">
        <v>4.0199999999999996</v>
      </c>
    </row>
    <row r="54" spans="1:17" s="12" customFormat="1" x14ac:dyDescent="0.25">
      <c r="A54" s="64" t="s">
        <v>2214</v>
      </c>
      <c r="B54" s="77">
        <v>16.25</v>
      </c>
      <c r="C54" s="77">
        <v>21.74</v>
      </c>
      <c r="D54" s="77">
        <v>25.67</v>
      </c>
      <c r="E54" s="77">
        <v>2.12</v>
      </c>
      <c r="F54" s="77">
        <v>8.6999999999999993</v>
      </c>
      <c r="G54" s="77">
        <v>27.36</v>
      </c>
      <c r="H54" s="77">
        <v>14.54</v>
      </c>
      <c r="I54" s="77">
        <v>3.31</v>
      </c>
      <c r="J54" s="77">
        <v>0.82</v>
      </c>
      <c r="K54" s="77">
        <v>96.79</v>
      </c>
      <c r="L54" s="77">
        <v>27.83</v>
      </c>
      <c r="M54" s="77">
        <v>77.89</v>
      </c>
      <c r="N54" s="77">
        <v>557.79999999999995</v>
      </c>
      <c r="O54" s="77">
        <v>0</v>
      </c>
      <c r="P54" s="77">
        <v>0.65</v>
      </c>
      <c r="Q54" s="77">
        <v>4.71</v>
      </c>
    </row>
    <row r="55" spans="1:17" s="12" customFormat="1" x14ac:dyDescent="0.25">
      <c r="A55" s="64" t="s">
        <v>2215</v>
      </c>
      <c r="B55" s="77">
        <v>16.11</v>
      </c>
      <c r="C55" s="77">
        <v>21.41</v>
      </c>
      <c r="D55" s="77">
        <v>25.38</v>
      </c>
      <c r="E55" s="77">
        <v>2.09</v>
      </c>
      <c r="F55" s="77">
        <v>7.54</v>
      </c>
      <c r="G55" s="77">
        <v>27.36</v>
      </c>
      <c r="H55" s="77">
        <v>14.54</v>
      </c>
      <c r="I55" s="77">
        <v>3.84</v>
      </c>
      <c r="J55" s="77">
        <v>1.1499999999999999</v>
      </c>
      <c r="K55" s="77">
        <v>108.26</v>
      </c>
      <c r="L55" s="77">
        <v>28.21</v>
      </c>
      <c r="M55" s="77">
        <v>76.010000000000005</v>
      </c>
      <c r="N55" s="77">
        <v>959.3</v>
      </c>
      <c r="O55" s="77">
        <v>0</v>
      </c>
      <c r="P55" s="77">
        <v>0.65</v>
      </c>
      <c r="Q55" s="77">
        <v>5.19</v>
      </c>
    </row>
    <row r="56" spans="1:17" s="12" customFormat="1" x14ac:dyDescent="0.25">
      <c r="A56" s="64" t="s">
        <v>2216</v>
      </c>
      <c r="B56" s="77">
        <v>17.850000000000001</v>
      </c>
      <c r="C56" s="77">
        <v>20.62</v>
      </c>
      <c r="D56" s="77">
        <v>26.34</v>
      </c>
      <c r="E56" s="77">
        <v>2.8</v>
      </c>
      <c r="F56" s="77">
        <v>7.3</v>
      </c>
      <c r="G56" s="77">
        <v>31.98</v>
      </c>
      <c r="H56" s="77">
        <v>15.7</v>
      </c>
      <c r="I56" s="77">
        <v>4.3600000000000003</v>
      </c>
      <c r="J56" s="77">
        <v>0.91</v>
      </c>
      <c r="K56" s="77">
        <v>95.5</v>
      </c>
      <c r="L56" s="77">
        <v>28.57</v>
      </c>
      <c r="M56" s="77">
        <v>74.75</v>
      </c>
      <c r="N56" s="77">
        <v>880.7</v>
      </c>
      <c r="O56" s="77">
        <v>0</v>
      </c>
      <c r="P56" s="77">
        <v>0.6</v>
      </c>
      <c r="Q56" s="77">
        <v>6.41</v>
      </c>
    </row>
    <row r="57" spans="1:17" s="12" customFormat="1" x14ac:dyDescent="0.25">
      <c r="A57" s="64" t="s">
        <v>2217</v>
      </c>
      <c r="B57" s="77">
        <v>15.7</v>
      </c>
      <c r="C57" s="77">
        <v>20.23</v>
      </c>
      <c r="D57" s="77">
        <v>24.4</v>
      </c>
      <c r="E57" s="77">
        <v>2.9</v>
      </c>
      <c r="F57" s="77">
        <v>5.48</v>
      </c>
      <c r="G57" s="77">
        <v>32.14</v>
      </c>
      <c r="H57" s="77">
        <v>15.7</v>
      </c>
      <c r="I57" s="77">
        <v>4.6900000000000004</v>
      </c>
      <c r="J57" s="77">
        <v>0.91</v>
      </c>
      <c r="K57" s="77">
        <v>100.54</v>
      </c>
      <c r="L57" s="77">
        <v>28.37</v>
      </c>
      <c r="M57" s="77">
        <v>75.08</v>
      </c>
      <c r="N57" s="77">
        <v>566</v>
      </c>
      <c r="O57" s="77">
        <v>0</v>
      </c>
      <c r="P57" s="77">
        <v>0.6</v>
      </c>
      <c r="Q57" s="77">
        <v>6.94</v>
      </c>
    </row>
    <row r="58" spans="1:17" s="12" customFormat="1" x14ac:dyDescent="0.25">
      <c r="A58" s="64" t="s">
        <v>2218</v>
      </c>
      <c r="B58" s="77">
        <v>14.36</v>
      </c>
      <c r="C58" s="77">
        <v>18.39</v>
      </c>
      <c r="D58" s="77">
        <v>22.31</v>
      </c>
      <c r="E58" s="77">
        <v>3.4</v>
      </c>
      <c r="F58" s="77">
        <v>6.21</v>
      </c>
      <c r="G58" s="77">
        <v>32.14</v>
      </c>
      <c r="H58" s="77">
        <v>15.7</v>
      </c>
      <c r="I58" s="77">
        <v>4.8499999999999996</v>
      </c>
      <c r="J58" s="77">
        <v>0.91</v>
      </c>
      <c r="K58" s="77">
        <v>106.53</v>
      </c>
      <c r="L58" s="77">
        <v>27.86</v>
      </c>
      <c r="M58" s="77">
        <v>76.66</v>
      </c>
      <c r="N58" s="77">
        <v>424.7</v>
      </c>
      <c r="O58" s="77">
        <v>0</v>
      </c>
      <c r="P58" s="77">
        <v>0.56000000000000005</v>
      </c>
      <c r="Q58" s="77">
        <v>6.2</v>
      </c>
    </row>
    <row r="59" spans="1:17" s="12" customFormat="1" x14ac:dyDescent="0.25">
      <c r="A59" s="64" t="s">
        <v>2219</v>
      </c>
      <c r="B59" s="77">
        <v>13.22</v>
      </c>
      <c r="C59" s="77">
        <v>17.45</v>
      </c>
      <c r="D59" s="77">
        <v>20.88</v>
      </c>
      <c r="E59" s="77">
        <v>3.81</v>
      </c>
      <c r="F59" s="77">
        <v>6.68</v>
      </c>
      <c r="G59" s="77">
        <v>32.14</v>
      </c>
      <c r="H59" s="77">
        <v>15.7</v>
      </c>
      <c r="I59" s="77">
        <v>4.4800000000000004</v>
      </c>
      <c r="J59" s="77">
        <v>1.27</v>
      </c>
      <c r="K59" s="77">
        <v>109.36</v>
      </c>
      <c r="L59" s="77">
        <v>27.95</v>
      </c>
      <c r="M59" s="77">
        <v>75.459999999999994</v>
      </c>
      <c r="N59" s="77">
        <v>456.1</v>
      </c>
      <c r="O59" s="77">
        <v>0</v>
      </c>
      <c r="P59" s="77">
        <v>0.56000000000000005</v>
      </c>
      <c r="Q59" s="77">
        <v>4.6100000000000003</v>
      </c>
    </row>
    <row r="60" spans="1:17" s="12" customFormat="1" x14ac:dyDescent="0.25">
      <c r="A60" s="64" t="s">
        <v>2220</v>
      </c>
      <c r="B60" s="77">
        <v>11.68</v>
      </c>
      <c r="C60" s="77">
        <v>16.79</v>
      </c>
      <c r="D60" s="77">
        <v>19.28</v>
      </c>
      <c r="E60" s="77">
        <v>3.78</v>
      </c>
      <c r="F60" s="77">
        <v>5.68</v>
      </c>
      <c r="G60" s="77">
        <v>38.25</v>
      </c>
      <c r="H60" s="77">
        <v>15.04</v>
      </c>
      <c r="I60" s="77">
        <v>3.99</v>
      </c>
      <c r="J60" s="77">
        <v>2.0099999999999998</v>
      </c>
      <c r="K60" s="77">
        <v>116.84</v>
      </c>
      <c r="L60" s="77">
        <v>27.46</v>
      </c>
      <c r="M60" s="77">
        <v>75.97</v>
      </c>
      <c r="N60" s="77">
        <v>577.5</v>
      </c>
      <c r="O60" s="77">
        <v>0</v>
      </c>
      <c r="P60" s="77">
        <v>0.54</v>
      </c>
      <c r="Q60" s="77">
        <v>3.78</v>
      </c>
    </row>
    <row r="61" spans="1:17" s="12" customFormat="1" x14ac:dyDescent="0.25">
      <c r="A61" s="64" t="s">
        <v>2221</v>
      </c>
      <c r="B61" s="77">
        <v>10.48</v>
      </c>
      <c r="C61" s="77">
        <v>16.88</v>
      </c>
      <c r="D61" s="77">
        <v>18.36</v>
      </c>
      <c r="E61" s="77">
        <v>3.62</v>
      </c>
      <c r="F61" s="77">
        <v>4.16</v>
      </c>
      <c r="G61" s="77">
        <v>38.46</v>
      </c>
      <c r="H61" s="77">
        <v>15.01</v>
      </c>
      <c r="I61" s="77">
        <v>3.96</v>
      </c>
      <c r="J61" s="77">
        <v>1.83</v>
      </c>
      <c r="K61" s="77">
        <v>109.06</v>
      </c>
      <c r="L61" s="77">
        <v>27.49</v>
      </c>
      <c r="M61" s="77">
        <v>73.53</v>
      </c>
      <c r="N61" s="77">
        <v>399.1</v>
      </c>
      <c r="O61" s="77">
        <v>0</v>
      </c>
      <c r="P61" s="77">
        <v>0.53</v>
      </c>
      <c r="Q61" s="77">
        <v>4.84</v>
      </c>
    </row>
    <row r="62" spans="1:17" s="12" customFormat="1" x14ac:dyDescent="0.25">
      <c r="A62" s="64" t="s">
        <v>2222</v>
      </c>
      <c r="B62" s="77">
        <v>9.1</v>
      </c>
      <c r="C62" s="77">
        <v>16.34</v>
      </c>
      <c r="D62" s="77">
        <v>16.96</v>
      </c>
      <c r="E62" s="77">
        <v>3.81</v>
      </c>
      <c r="F62" s="77">
        <v>6.1</v>
      </c>
      <c r="G62" s="77">
        <v>38.46</v>
      </c>
      <c r="H62" s="77">
        <v>15.01</v>
      </c>
      <c r="I62" s="77">
        <v>4.18</v>
      </c>
      <c r="J62" s="77">
        <v>2.2000000000000002</v>
      </c>
      <c r="K62" s="77">
        <v>113.1</v>
      </c>
      <c r="L62" s="77">
        <v>27.42</v>
      </c>
      <c r="M62" s="77">
        <v>72.87</v>
      </c>
      <c r="N62" s="77">
        <v>658.8</v>
      </c>
      <c r="O62" s="77">
        <v>0</v>
      </c>
      <c r="P62" s="77">
        <v>0.55000000000000004</v>
      </c>
      <c r="Q62" s="77">
        <v>4.4800000000000004</v>
      </c>
    </row>
    <row r="63" spans="1:17" s="12" customFormat="1" x14ac:dyDescent="0.25">
      <c r="A63" s="64" t="s">
        <v>2223</v>
      </c>
      <c r="B63" s="77">
        <v>7.99</v>
      </c>
      <c r="C63" s="77">
        <v>18.09</v>
      </c>
      <c r="D63" s="77">
        <v>17.04</v>
      </c>
      <c r="E63" s="77">
        <v>3.27</v>
      </c>
      <c r="F63" s="77">
        <v>6.45</v>
      </c>
      <c r="G63" s="77">
        <v>38.46</v>
      </c>
      <c r="H63" s="77">
        <v>15.01</v>
      </c>
      <c r="I63" s="77">
        <v>4.1100000000000003</v>
      </c>
      <c r="J63" s="77">
        <v>1.27</v>
      </c>
      <c r="K63" s="77">
        <v>114.5</v>
      </c>
      <c r="L63" s="77">
        <v>28.19</v>
      </c>
      <c r="M63" s="77">
        <v>71.680000000000007</v>
      </c>
      <c r="N63" s="77">
        <v>724.9</v>
      </c>
      <c r="O63" s="77">
        <v>0</v>
      </c>
      <c r="P63" s="77">
        <v>0.5</v>
      </c>
      <c r="Q63" s="77">
        <v>5.28</v>
      </c>
    </row>
    <row r="64" spans="1:17" s="12" customFormat="1" x14ac:dyDescent="0.25">
      <c r="A64" s="64" t="s">
        <v>2224</v>
      </c>
      <c r="B64" s="77">
        <v>6.88</v>
      </c>
      <c r="C64" s="77">
        <v>16.52</v>
      </c>
      <c r="D64" s="77">
        <v>15.28</v>
      </c>
      <c r="E64" s="77">
        <v>3.08</v>
      </c>
      <c r="F64" s="77">
        <v>7.81</v>
      </c>
      <c r="G64" s="77">
        <v>32.270000000000003</v>
      </c>
      <c r="H64" s="77">
        <v>11.62</v>
      </c>
      <c r="I64" s="77">
        <v>4.07</v>
      </c>
      <c r="J64" s="77">
        <v>1.86</v>
      </c>
      <c r="K64" s="77">
        <v>119.62</v>
      </c>
      <c r="L64" s="77">
        <v>28</v>
      </c>
      <c r="M64" s="77">
        <v>72.31</v>
      </c>
      <c r="N64" s="77">
        <v>655.8</v>
      </c>
      <c r="O64" s="77">
        <v>0</v>
      </c>
      <c r="P64" s="77">
        <v>0.48</v>
      </c>
      <c r="Q64" s="77">
        <v>4.78</v>
      </c>
    </row>
    <row r="65" spans="1:17" s="12" customFormat="1" x14ac:dyDescent="0.25">
      <c r="A65" s="64" t="s">
        <v>2225</v>
      </c>
      <c r="B65" s="77">
        <v>6.25</v>
      </c>
      <c r="C65" s="77">
        <v>16.25</v>
      </c>
      <c r="D65" s="77">
        <v>14.63</v>
      </c>
      <c r="E65" s="77">
        <v>3.51</v>
      </c>
      <c r="F65" s="77">
        <v>11.37</v>
      </c>
      <c r="G65" s="77">
        <v>32.06</v>
      </c>
      <c r="H65" s="77">
        <v>11.62</v>
      </c>
      <c r="I65" s="77">
        <v>4.13</v>
      </c>
      <c r="J65" s="77">
        <v>1.17</v>
      </c>
      <c r="K65" s="77">
        <v>116.39</v>
      </c>
      <c r="L65" s="77">
        <v>28.35</v>
      </c>
      <c r="M65" s="77">
        <v>72.19</v>
      </c>
      <c r="N65" s="77">
        <v>589.5</v>
      </c>
      <c r="O65" s="77">
        <v>0</v>
      </c>
      <c r="P65" s="77">
        <v>0.47</v>
      </c>
      <c r="Q65" s="77">
        <v>5.59</v>
      </c>
    </row>
    <row r="66" spans="1:17" s="12" customFormat="1" x14ac:dyDescent="0.25">
      <c r="A66" s="64" t="s">
        <v>2226</v>
      </c>
      <c r="B66" s="77">
        <v>5.84</v>
      </c>
      <c r="C66" s="77">
        <v>16.18</v>
      </c>
      <c r="D66" s="77">
        <v>14.26</v>
      </c>
      <c r="E66" s="77">
        <v>3.88</v>
      </c>
      <c r="F66" s="77">
        <v>6.56</v>
      </c>
      <c r="G66" s="77">
        <v>32.06</v>
      </c>
      <c r="H66" s="77">
        <v>11.62</v>
      </c>
      <c r="I66" s="77">
        <v>4.2</v>
      </c>
      <c r="J66" s="77">
        <v>1.1000000000000001</v>
      </c>
      <c r="K66" s="77">
        <v>131.52000000000001</v>
      </c>
      <c r="L66" s="77">
        <v>26.59</v>
      </c>
      <c r="M66" s="77">
        <v>83.15</v>
      </c>
      <c r="N66" s="77">
        <v>94.1</v>
      </c>
      <c r="O66" s="77">
        <v>5.2</v>
      </c>
      <c r="P66" s="77">
        <v>0.46</v>
      </c>
      <c r="Q66" s="77">
        <v>5.9</v>
      </c>
    </row>
    <row r="67" spans="1:17" s="12" customFormat="1" x14ac:dyDescent="0.25">
      <c r="A67" s="64" t="s">
        <v>2227</v>
      </c>
      <c r="B67" s="77">
        <v>5.4</v>
      </c>
      <c r="C67" s="77">
        <v>16.010000000000002</v>
      </c>
      <c r="D67" s="77">
        <v>13.81</v>
      </c>
      <c r="E67" s="77">
        <v>4.0599999999999996</v>
      </c>
      <c r="F67" s="77">
        <v>6.11</v>
      </c>
      <c r="G67" s="77">
        <v>32.06</v>
      </c>
      <c r="H67" s="77">
        <v>11.62</v>
      </c>
      <c r="I67" s="77">
        <v>4.6500000000000004</v>
      </c>
      <c r="J67" s="77">
        <v>1.66</v>
      </c>
      <c r="K67" s="77">
        <v>128.22</v>
      </c>
      <c r="L67" s="77">
        <v>23.09</v>
      </c>
      <c r="M67" s="77">
        <v>97.25</v>
      </c>
      <c r="N67" s="77">
        <v>93.7</v>
      </c>
      <c r="O67" s="77">
        <v>1.4</v>
      </c>
      <c r="P67" s="77">
        <v>0.44</v>
      </c>
      <c r="Q67" s="77">
        <v>5.93</v>
      </c>
    </row>
    <row r="68" spans="1:17" s="12" customFormat="1" x14ac:dyDescent="0.25">
      <c r="A68" s="64" t="s">
        <v>2228</v>
      </c>
      <c r="B68" s="77">
        <v>7.32</v>
      </c>
      <c r="C68" s="77">
        <v>18.739999999999998</v>
      </c>
      <c r="D68" s="77">
        <v>16.86</v>
      </c>
      <c r="E68" s="77">
        <v>3.82</v>
      </c>
      <c r="F68" s="77">
        <v>13.75</v>
      </c>
      <c r="G68" s="77">
        <v>26</v>
      </c>
      <c r="H68" s="77">
        <v>9.5500000000000007</v>
      </c>
      <c r="I68" s="77">
        <v>4.82</v>
      </c>
      <c r="J68" s="77">
        <v>0.55000000000000004</v>
      </c>
      <c r="K68" s="77">
        <v>107.98</v>
      </c>
      <c r="L68" s="77">
        <v>22.95</v>
      </c>
      <c r="M68" s="77">
        <v>97.25</v>
      </c>
      <c r="N68" s="77">
        <v>138</v>
      </c>
      <c r="O68" s="77">
        <v>0.2</v>
      </c>
      <c r="P68" s="77">
        <v>0.4</v>
      </c>
      <c r="Q68" s="77">
        <v>6.04</v>
      </c>
    </row>
    <row r="69" spans="1:17" s="12" customFormat="1" x14ac:dyDescent="0.25">
      <c r="A69" s="64" t="s">
        <v>2229</v>
      </c>
      <c r="B69" s="77">
        <v>7.64</v>
      </c>
      <c r="C69" s="77">
        <v>19.55</v>
      </c>
      <c r="D69" s="77">
        <v>17.57</v>
      </c>
      <c r="E69" s="77">
        <v>3.59</v>
      </c>
      <c r="F69" s="77">
        <v>7.7</v>
      </c>
      <c r="G69" s="77">
        <v>25.79</v>
      </c>
      <c r="H69" s="77">
        <v>9.5500000000000007</v>
      </c>
      <c r="I69" s="77">
        <v>5.0199999999999996</v>
      </c>
      <c r="J69" s="77">
        <v>0.41</v>
      </c>
      <c r="K69" s="77">
        <v>104.22</v>
      </c>
      <c r="L69" s="77">
        <v>23.6</v>
      </c>
      <c r="M69" s="77">
        <v>97.25</v>
      </c>
      <c r="N69" s="77">
        <v>217.2</v>
      </c>
      <c r="O69" s="77">
        <v>0</v>
      </c>
      <c r="P69" s="77">
        <v>0.41</v>
      </c>
      <c r="Q69" s="77">
        <v>5.8</v>
      </c>
    </row>
    <row r="70" spans="1:17" s="12" customFormat="1" x14ac:dyDescent="0.25">
      <c r="A70" s="64" t="s">
        <v>2230</v>
      </c>
      <c r="B70" s="77">
        <v>5.51</v>
      </c>
      <c r="C70" s="77">
        <v>16.61</v>
      </c>
      <c r="D70" s="77">
        <v>14.23</v>
      </c>
      <c r="E70" s="77">
        <v>4.03</v>
      </c>
      <c r="F70" s="77">
        <v>7.68</v>
      </c>
      <c r="G70" s="77">
        <v>25.79</v>
      </c>
      <c r="H70" s="77">
        <v>9.5500000000000007</v>
      </c>
      <c r="I70" s="77">
        <v>4.66</v>
      </c>
      <c r="J70" s="77">
        <v>1.1299999999999999</v>
      </c>
      <c r="K70" s="77">
        <v>124.88</v>
      </c>
      <c r="L70" s="77">
        <v>24.45</v>
      </c>
      <c r="M70" s="77">
        <v>96.85</v>
      </c>
      <c r="N70" s="77">
        <v>329.6</v>
      </c>
      <c r="O70" s="77">
        <v>0</v>
      </c>
      <c r="P70" s="77">
        <v>0.4</v>
      </c>
      <c r="Q70" s="77">
        <v>3.99</v>
      </c>
    </row>
    <row r="71" spans="1:17" s="12" customFormat="1" x14ac:dyDescent="0.25">
      <c r="A71" s="64" t="s">
        <v>2231</v>
      </c>
      <c r="B71" s="77">
        <v>5.08</v>
      </c>
      <c r="C71" s="77">
        <v>15.68</v>
      </c>
      <c r="D71" s="77">
        <v>13.37</v>
      </c>
      <c r="E71" s="77">
        <v>4.34</v>
      </c>
      <c r="F71" s="77">
        <v>7.17</v>
      </c>
      <c r="G71" s="77">
        <v>25.79</v>
      </c>
      <c r="H71" s="77">
        <v>9.5500000000000007</v>
      </c>
      <c r="I71" s="77">
        <v>3.78</v>
      </c>
      <c r="J71" s="77">
        <v>1.25</v>
      </c>
      <c r="K71" s="77">
        <v>123.97</v>
      </c>
      <c r="L71" s="77">
        <v>25.19</v>
      </c>
      <c r="M71" s="77">
        <v>89.61</v>
      </c>
      <c r="N71" s="77">
        <v>332.2</v>
      </c>
      <c r="O71" s="77">
        <v>0</v>
      </c>
      <c r="P71" s="77">
        <v>0.4</v>
      </c>
      <c r="Q71" s="77">
        <v>3.37</v>
      </c>
    </row>
    <row r="72" spans="1:17" s="12" customFormat="1" x14ac:dyDescent="0.25">
      <c r="A72" s="64" t="s">
        <v>2232</v>
      </c>
      <c r="B72" s="77">
        <v>4.8</v>
      </c>
      <c r="C72" s="77">
        <v>15.48</v>
      </c>
      <c r="D72" s="77">
        <v>13.04</v>
      </c>
      <c r="E72" s="77">
        <v>2.39</v>
      </c>
      <c r="F72" s="77">
        <v>5.63</v>
      </c>
      <c r="G72" s="77">
        <v>23.1</v>
      </c>
      <c r="H72" s="77">
        <v>8.39</v>
      </c>
      <c r="I72" s="77">
        <v>3.8</v>
      </c>
      <c r="J72" s="77">
        <v>2.04</v>
      </c>
      <c r="K72" s="77">
        <v>127.95</v>
      </c>
      <c r="L72" s="77">
        <v>25.2</v>
      </c>
      <c r="M72" s="77">
        <v>89.42</v>
      </c>
      <c r="N72" s="77">
        <v>173</v>
      </c>
      <c r="O72" s="77">
        <v>0</v>
      </c>
      <c r="P72" s="77">
        <v>0.39</v>
      </c>
      <c r="Q72" s="77">
        <v>3.64</v>
      </c>
    </row>
    <row r="73" spans="1:17" s="12" customFormat="1" x14ac:dyDescent="0.25">
      <c r="A73" s="64" t="s">
        <v>2233</v>
      </c>
      <c r="B73" s="77">
        <v>4.42</v>
      </c>
      <c r="C73" s="77">
        <v>15.51</v>
      </c>
      <c r="D73" s="77">
        <v>12.75</v>
      </c>
      <c r="E73" s="77">
        <v>3.27</v>
      </c>
      <c r="F73" s="77">
        <v>3.27</v>
      </c>
      <c r="G73" s="77">
        <v>23</v>
      </c>
      <c r="H73" s="77">
        <v>8.39</v>
      </c>
      <c r="I73" s="77">
        <v>3.96</v>
      </c>
      <c r="J73" s="77">
        <v>2.16</v>
      </c>
      <c r="K73" s="77">
        <v>116.41</v>
      </c>
      <c r="L73" s="77">
        <v>25.1</v>
      </c>
      <c r="M73" s="77">
        <v>90.28</v>
      </c>
      <c r="N73" s="77">
        <v>93.5</v>
      </c>
      <c r="O73" s="77">
        <v>0</v>
      </c>
      <c r="P73" s="77">
        <v>0.39</v>
      </c>
      <c r="Q73" s="77">
        <v>4.6100000000000003</v>
      </c>
    </row>
    <row r="74" spans="1:17" s="12" customFormat="1" x14ac:dyDescent="0.25">
      <c r="A74" s="64" t="s">
        <v>2234</v>
      </c>
      <c r="B74" s="77">
        <v>4.08</v>
      </c>
      <c r="C74" s="77">
        <v>15.45</v>
      </c>
      <c r="D74" s="77">
        <v>12.44</v>
      </c>
      <c r="E74" s="77">
        <v>3.58</v>
      </c>
      <c r="F74" s="77">
        <v>4.6900000000000004</v>
      </c>
      <c r="G74" s="77">
        <v>23</v>
      </c>
      <c r="H74" s="77">
        <v>8.39</v>
      </c>
      <c r="I74" s="77">
        <v>4.1399999999999997</v>
      </c>
      <c r="J74" s="77">
        <v>1.78</v>
      </c>
      <c r="K74" s="77">
        <v>120.64</v>
      </c>
      <c r="L74" s="77">
        <v>24.91</v>
      </c>
      <c r="M74" s="77">
        <v>93.47</v>
      </c>
      <c r="N74" s="77">
        <v>59.5</v>
      </c>
      <c r="O74" s="77">
        <v>0</v>
      </c>
      <c r="P74" s="77">
        <v>0.36</v>
      </c>
      <c r="Q74" s="77">
        <v>5.4</v>
      </c>
    </row>
    <row r="75" spans="1:17" s="12" customFormat="1" x14ac:dyDescent="0.25">
      <c r="A75" s="64" t="s">
        <v>2235</v>
      </c>
      <c r="B75" s="77">
        <v>3.74</v>
      </c>
      <c r="C75" s="77">
        <v>15.2</v>
      </c>
      <c r="D75" s="77">
        <v>12.04</v>
      </c>
      <c r="E75" s="77">
        <v>4.1399999999999997</v>
      </c>
      <c r="F75" s="77">
        <v>7.23</v>
      </c>
      <c r="G75" s="77">
        <v>23</v>
      </c>
      <c r="H75" s="77">
        <v>8.39</v>
      </c>
      <c r="I75" s="77">
        <v>4.49</v>
      </c>
      <c r="J75" s="77">
        <v>1.42</v>
      </c>
      <c r="K75" s="77">
        <v>126.19</v>
      </c>
      <c r="L75" s="77">
        <v>24.8</v>
      </c>
      <c r="M75" s="77">
        <v>94.3</v>
      </c>
      <c r="N75" s="77">
        <v>56.5</v>
      </c>
      <c r="O75" s="77">
        <v>0</v>
      </c>
      <c r="P75" s="77">
        <v>0.36</v>
      </c>
      <c r="Q75" s="77">
        <v>5.75</v>
      </c>
    </row>
    <row r="76" spans="1:17" s="12" customFormat="1" x14ac:dyDescent="0.25">
      <c r="A76" s="64" t="s">
        <v>2236</v>
      </c>
      <c r="B76" s="77">
        <v>7.29</v>
      </c>
      <c r="C76" s="77">
        <v>17.600000000000001</v>
      </c>
      <c r="D76" s="77">
        <v>16.2</v>
      </c>
      <c r="E76" s="77">
        <v>3.78</v>
      </c>
      <c r="F76" s="77">
        <v>9.24</v>
      </c>
      <c r="G76" s="77">
        <v>16.5</v>
      </c>
      <c r="H76" s="77">
        <v>7.06</v>
      </c>
      <c r="I76" s="77">
        <v>4.3099999999999996</v>
      </c>
      <c r="J76" s="77">
        <v>0.33</v>
      </c>
      <c r="K76" s="77">
        <v>72.23</v>
      </c>
      <c r="L76" s="77">
        <v>24.61</v>
      </c>
      <c r="M76" s="77">
        <v>94.26</v>
      </c>
      <c r="N76" s="77">
        <v>59.2</v>
      </c>
      <c r="O76" s="77">
        <v>0</v>
      </c>
      <c r="P76" s="77">
        <v>0.48</v>
      </c>
      <c r="Q76" s="77">
        <v>6.52</v>
      </c>
    </row>
    <row r="77" spans="1:17" s="12" customFormat="1" x14ac:dyDescent="0.25">
      <c r="A77" s="64" t="s">
        <v>2237</v>
      </c>
      <c r="B77" s="77">
        <v>6.15</v>
      </c>
      <c r="C77" s="77">
        <v>17.899999999999999</v>
      </c>
      <c r="D77" s="77">
        <v>15.46</v>
      </c>
      <c r="E77" s="77">
        <v>3.57</v>
      </c>
      <c r="F77" s="77">
        <v>12.27</v>
      </c>
      <c r="G77" s="77">
        <v>16.28</v>
      </c>
      <c r="H77" s="77">
        <v>7.06</v>
      </c>
      <c r="I77" s="77">
        <v>4.95</v>
      </c>
      <c r="J77" s="77">
        <v>1.03</v>
      </c>
      <c r="K77" s="77">
        <v>118.68</v>
      </c>
      <c r="L77" s="77">
        <v>24.27</v>
      </c>
      <c r="M77" s="77">
        <v>94.58</v>
      </c>
      <c r="N77" s="77">
        <v>56.9</v>
      </c>
      <c r="O77" s="77">
        <v>0</v>
      </c>
      <c r="P77" s="77">
        <v>0.42</v>
      </c>
      <c r="Q77" s="77">
        <v>7.44</v>
      </c>
    </row>
    <row r="78" spans="1:17" s="12" customFormat="1" x14ac:dyDescent="0.25">
      <c r="A78" s="64" t="s">
        <v>2238</v>
      </c>
      <c r="B78" s="77">
        <v>13.43</v>
      </c>
      <c r="C78" s="77">
        <v>24.89</v>
      </c>
      <c r="D78" s="77">
        <v>25.16</v>
      </c>
      <c r="E78" s="77">
        <v>4.0999999999999996</v>
      </c>
      <c r="F78" s="77">
        <v>11.01</v>
      </c>
      <c r="G78" s="77">
        <v>16.28</v>
      </c>
      <c r="H78" s="77">
        <v>7.06</v>
      </c>
      <c r="I78" s="77">
        <v>5.65</v>
      </c>
      <c r="J78" s="77">
        <v>0.15</v>
      </c>
      <c r="K78" s="77">
        <v>51.75</v>
      </c>
      <c r="L78" s="77">
        <v>24.25</v>
      </c>
      <c r="M78" s="77">
        <v>95.55</v>
      </c>
      <c r="N78" s="77">
        <v>58.1</v>
      </c>
      <c r="O78" s="77">
        <v>0</v>
      </c>
      <c r="P78" s="77">
        <v>0.72</v>
      </c>
      <c r="Q78" s="77">
        <v>8.0500000000000007</v>
      </c>
    </row>
    <row r="79" spans="1:17" s="12" customFormat="1" x14ac:dyDescent="0.25">
      <c r="A79" s="64" t="s">
        <v>2239</v>
      </c>
      <c r="B79" s="77">
        <v>9.27</v>
      </c>
      <c r="C79" s="77">
        <v>26.3</v>
      </c>
      <c r="D79" s="77">
        <v>22.6</v>
      </c>
      <c r="E79" s="77">
        <v>3.94</v>
      </c>
      <c r="F79" s="77">
        <v>13.37</v>
      </c>
      <c r="G79" s="77">
        <v>16.28</v>
      </c>
      <c r="H79" s="77">
        <v>7.06</v>
      </c>
      <c r="I79" s="210" t="s">
        <v>36</v>
      </c>
      <c r="J79" s="77">
        <v>0.09</v>
      </c>
      <c r="K79" s="77">
        <v>86.01</v>
      </c>
      <c r="L79" s="77">
        <v>24.22</v>
      </c>
      <c r="M79" s="77">
        <v>95.41</v>
      </c>
      <c r="N79" s="77">
        <v>56.5</v>
      </c>
      <c r="O79" s="77">
        <v>0</v>
      </c>
      <c r="P79" s="77">
        <v>0.68</v>
      </c>
      <c r="Q79" s="77">
        <v>8.0500000000000007</v>
      </c>
    </row>
    <row r="80" spans="1:17" s="12" customFormat="1" x14ac:dyDescent="0.25">
      <c r="A80" s="64" t="s">
        <v>2240</v>
      </c>
      <c r="B80" s="77">
        <v>6.29</v>
      </c>
      <c r="C80" s="77">
        <v>21.69</v>
      </c>
      <c r="D80" s="77">
        <v>17.66</v>
      </c>
      <c r="E80" s="77">
        <v>3.95</v>
      </c>
      <c r="F80" s="77">
        <v>11.59</v>
      </c>
      <c r="G80" s="77">
        <v>30.02</v>
      </c>
      <c r="H80" s="77">
        <v>10.38</v>
      </c>
      <c r="I80" s="210" t="s">
        <v>36</v>
      </c>
      <c r="J80" s="77">
        <v>0.66</v>
      </c>
      <c r="K80" s="77">
        <v>107.42</v>
      </c>
      <c r="L80" s="77">
        <v>24.19</v>
      </c>
      <c r="M80" s="77">
        <v>93.83</v>
      </c>
      <c r="N80" s="77">
        <v>50.9</v>
      </c>
      <c r="O80" s="77">
        <v>0</v>
      </c>
      <c r="P80" s="77">
        <v>0.47</v>
      </c>
      <c r="Q80" s="77">
        <v>8.18</v>
      </c>
    </row>
    <row r="81" spans="1:17" s="12" customFormat="1" x14ac:dyDescent="0.25">
      <c r="A81" s="64" t="s">
        <v>2241</v>
      </c>
      <c r="B81" s="77">
        <v>8.92</v>
      </c>
      <c r="C81" s="77">
        <v>20.38</v>
      </c>
      <c r="D81" s="77">
        <v>19.05</v>
      </c>
      <c r="E81" s="77">
        <v>3.98</v>
      </c>
      <c r="F81" s="77">
        <v>8.61</v>
      </c>
      <c r="G81" s="77">
        <v>30.49</v>
      </c>
      <c r="H81" s="77">
        <v>10.38</v>
      </c>
      <c r="I81" s="210" t="s">
        <v>36</v>
      </c>
      <c r="J81" s="77">
        <v>0.32</v>
      </c>
      <c r="K81" s="77">
        <v>102.82</v>
      </c>
      <c r="L81" s="77">
        <v>24.14</v>
      </c>
      <c r="M81" s="77">
        <v>94.3</v>
      </c>
      <c r="N81" s="77">
        <v>41.9</v>
      </c>
      <c r="O81" s="77">
        <v>0</v>
      </c>
      <c r="P81" s="77">
        <v>0.51</v>
      </c>
      <c r="Q81" s="77">
        <v>7.51</v>
      </c>
    </row>
    <row r="82" spans="1:17" s="12" customFormat="1" x14ac:dyDescent="0.25">
      <c r="A82" s="64" t="s">
        <v>2242</v>
      </c>
      <c r="B82" s="77">
        <v>11.05</v>
      </c>
      <c r="C82" s="77">
        <v>24.67</v>
      </c>
      <c r="D82" s="77">
        <v>23.12</v>
      </c>
      <c r="E82" s="77">
        <v>3.7</v>
      </c>
      <c r="F82" s="77">
        <v>7.41</v>
      </c>
      <c r="G82" s="77">
        <v>30.49</v>
      </c>
      <c r="H82" s="77">
        <v>10.38</v>
      </c>
      <c r="I82" s="210" t="s">
        <v>36</v>
      </c>
      <c r="J82" s="77">
        <v>0.26</v>
      </c>
      <c r="K82" s="77">
        <v>105.03</v>
      </c>
      <c r="L82" s="77">
        <v>24.04</v>
      </c>
      <c r="M82" s="77">
        <v>96.35</v>
      </c>
      <c r="N82" s="77">
        <v>32.6</v>
      </c>
      <c r="O82" s="77">
        <v>0</v>
      </c>
      <c r="P82" s="77">
        <v>0.63</v>
      </c>
      <c r="Q82" s="77">
        <v>5.65</v>
      </c>
    </row>
    <row r="83" spans="1:17" s="12" customFormat="1" x14ac:dyDescent="0.25">
      <c r="A83" s="64" t="s">
        <v>2243</v>
      </c>
      <c r="B83" s="77">
        <v>14.11</v>
      </c>
      <c r="C83" s="77">
        <v>24.89</v>
      </c>
      <c r="D83" s="77">
        <v>25.7</v>
      </c>
      <c r="E83" s="77">
        <v>3.73</v>
      </c>
      <c r="F83" s="77">
        <v>7.79</v>
      </c>
      <c r="G83" s="77">
        <v>30.49</v>
      </c>
      <c r="H83" s="77">
        <v>10.38</v>
      </c>
      <c r="I83" s="210" t="s">
        <v>36</v>
      </c>
      <c r="J83" s="77">
        <v>0.14000000000000001</v>
      </c>
      <c r="K83" s="77">
        <v>85.57</v>
      </c>
      <c r="L83" s="77">
        <v>23.95</v>
      </c>
      <c r="M83" s="77">
        <v>96.93</v>
      </c>
      <c r="N83" s="77">
        <v>26.9</v>
      </c>
      <c r="O83" s="77">
        <v>0</v>
      </c>
      <c r="P83" s="77">
        <v>0.81</v>
      </c>
      <c r="Q83" s="77">
        <v>5.94</v>
      </c>
    </row>
    <row r="84" spans="1:17" s="12" customFormat="1" x14ac:dyDescent="0.25">
      <c r="A84" s="64" t="s">
        <v>2244</v>
      </c>
      <c r="B84" s="77">
        <v>9.56</v>
      </c>
      <c r="C84" s="77">
        <v>22.01</v>
      </c>
      <c r="D84" s="77">
        <v>20.46</v>
      </c>
      <c r="E84" s="77">
        <v>3.61</v>
      </c>
      <c r="F84" s="77">
        <v>9.27</v>
      </c>
      <c r="G84" s="77">
        <v>33.57</v>
      </c>
      <c r="H84" s="77">
        <v>10.62</v>
      </c>
      <c r="I84" s="210" t="s">
        <v>36</v>
      </c>
      <c r="J84" s="77">
        <v>0.48</v>
      </c>
      <c r="K84" s="77">
        <v>117.35</v>
      </c>
      <c r="L84" s="77">
        <v>23.98</v>
      </c>
      <c r="M84" s="77">
        <v>96.34</v>
      </c>
      <c r="N84" s="77">
        <v>25.9</v>
      </c>
      <c r="O84" s="77">
        <v>0</v>
      </c>
      <c r="P84" s="77">
        <v>0.57999999999999996</v>
      </c>
      <c r="Q84" s="77">
        <v>4.66</v>
      </c>
    </row>
    <row r="85" spans="1:17" s="12" customFormat="1" x14ac:dyDescent="0.25">
      <c r="A85" s="64" t="s">
        <v>2245</v>
      </c>
      <c r="B85" s="77">
        <v>11.78</v>
      </c>
      <c r="C85" s="77">
        <v>23.49</v>
      </c>
      <c r="D85" s="77">
        <v>23.06</v>
      </c>
      <c r="E85" s="77">
        <v>3.29</v>
      </c>
      <c r="F85" s="77">
        <v>6.8</v>
      </c>
      <c r="G85" s="77">
        <v>33.68</v>
      </c>
      <c r="H85" s="77">
        <v>10.62</v>
      </c>
      <c r="I85" s="210" t="s">
        <v>36</v>
      </c>
      <c r="J85" s="77">
        <v>0.51</v>
      </c>
      <c r="K85" s="77">
        <v>113.33</v>
      </c>
      <c r="L85" s="77">
        <v>24.01</v>
      </c>
      <c r="M85" s="77">
        <v>96.31</v>
      </c>
      <c r="N85" s="77">
        <v>25.8</v>
      </c>
      <c r="O85" s="77">
        <v>0</v>
      </c>
      <c r="P85" s="77">
        <v>0.67</v>
      </c>
      <c r="Q85" s="77">
        <v>5.0999999999999996</v>
      </c>
    </row>
    <row r="86" spans="1:17" s="12" customFormat="1" x14ac:dyDescent="0.25">
      <c r="A86" s="64" t="s">
        <v>2246</v>
      </c>
      <c r="B86" s="77">
        <v>9.41</v>
      </c>
      <c r="C86" s="77">
        <v>18.32</v>
      </c>
      <c r="D86" s="77">
        <v>18.309999999999999</v>
      </c>
      <c r="E86" s="77">
        <v>3.8</v>
      </c>
      <c r="F86" s="77">
        <v>5.73</v>
      </c>
      <c r="G86" s="77">
        <v>33.68</v>
      </c>
      <c r="H86" s="77">
        <v>10.62</v>
      </c>
      <c r="I86" s="210" t="s">
        <v>36</v>
      </c>
      <c r="J86" s="77">
        <v>1.21</v>
      </c>
      <c r="K86" s="77">
        <v>120.86</v>
      </c>
      <c r="L86" s="77">
        <v>24.13</v>
      </c>
      <c r="M86" s="77">
        <v>95.73</v>
      </c>
      <c r="N86" s="77">
        <v>25.7</v>
      </c>
      <c r="O86" s="77">
        <v>0</v>
      </c>
      <c r="P86" s="77">
        <v>0.6</v>
      </c>
      <c r="Q86" s="77">
        <v>4.59</v>
      </c>
    </row>
    <row r="87" spans="1:17" s="12" customFormat="1" x14ac:dyDescent="0.25">
      <c r="A87" s="64" t="s">
        <v>2247</v>
      </c>
      <c r="B87" s="77">
        <v>7.67</v>
      </c>
      <c r="C87" s="77">
        <v>17.489999999999998</v>
      </c>
      <c r="D87" s="77">
        <v>16.45</v>
      </c>
      <c r="E87" s="77">
        <v>3.91</v>
      </c>
      <c r="F87" s="77">
        <v>8.11</v>
      </c>
      <c r="G87" s="77">
        <v>33.68</v>
      </c>
      <c r="H87" s="77">
        <v>10.62</v>
      </c>
      <c r="I87" s="210" t="s">
        <v>36</v>
      </c>
      <c r="J87" s="77">
        <v>1.18</v>
      </c>
      <c r="K87" s="77">
        <v>127.81</v>
      </c>
      <c r="L87" s="77">
        <v>24.24</v>
      </c>
      <c r="M87" s="77">
        <v>96.05</v>
      </c>
      <c r="N87" s="77">
        <v>25.8</v>
      </c>
      <c r="O87" s="77">
        <v>0</v>
      </c>
      <c r="P87" s="77">
        <v>0.56999999999999995</v>
      </c>
      <c r="Q87" s="77">
        <v>5.46</v>
      </c>
    </row>
    <row r="88" spans="1:17" s="12" customFormat="1" x14ac:dyDescent="0.25">
      <c r="A88" s="64" t="s">
        <v>2248</v>
      </c>
      <c r="B88" s="77">
        <v>6.62</v>
      </c>
      <c r="C88" s="77">
        <v>17.48</v>
      </c>
      <c r="D88" s="77">
        <v>15.6</v>
      </c>
      <c r="E88" s="77">
        <v>2.48</v>
      </c>
      <c r="F88" s="77">
        <v>9.69</v>
      </c>
      <c r="G88" s="77">
        <v>34.630000000000003</v>
      </c>
      <c r="H88" s="77">
        <v>10.89</v>
      </c>
      <c r="I88" s="210" t="s">
        <v>36</v>
      </c>
      <c r="J88" s="77">
        <v>1.2</v>
      </c>
      <c r="K88" s="77">
        <v>122.63</v>
      </c>
      <c r="L88" s="77">
        <v>24.3</v>
      </c>
      <c r="M88" s="77">
        <v>96.39</v>
      </c>
      <c r="N88" s="77">
        <v>26</v>
      </c>
      <c r="O88" s="77">
        <v>0</v>
      </c>
      <c r="P88" s="77">
        <v>0.56999999999999995</v>
      </c>
      <c r="Q88" s="77">
        <v>6.79</v>
      </c>
    </row>
    <row r="89" spans="1:17" s="12" customFormat="1" x14ac:dyDescent="0.25">
      <c r="A89" s="64" t="s">
        <v>2249</v>
      </c>
      <c r="B89" s="77">
        <v>8.83</v>
      </c>
      <c r="C89" s="77">
        <v>20.25</v>
      </c>
      <c r="D89" s="77">
        <v>18.899999999999999</v>
      </c>
      <c r="E89" s="77">
        <v>2.83</v>
      </c>
      <c r="F89" s="77">
        <v>10.09</v>
      </c>
      <c r="G89" s="77">
        <v>34.659999999999997</v>
      </c>
      <c r="H89" s="77">
        <v>10.89</v>
      </c>
      <c r="I89" s="210" t="s">
        <v>36</v>
      </c>
      <c r="J89" s="77">
        <v>0.59</v>
      </c>
      <c r="K89" s="77">
        <v>119.08</v>
      </c>
      <c r="L89" s="77">
        <v>24.3</v>
      </c>
      <c r="M89" s="77">
        <v>96.83</v>
      </c>
      <c r="N89" s="77">
        <v>26</v>
      </c>
      <c r="O89" s="77">
        <v>0</v>
      </c>
      <c r="P89" s="77">
        <v>0.66</v>
      </c>
      <c r="Q89" s="77">
        <v>8.64</v>
      </c>
    </row>
    <row r="90" spans="1:17" s="12" customFormat="1" x14ac:dyDescent="0.25">
      <c r="A90" s="64" t="s">
        <v>2250</v>
      </c>
      <c r="B90" s="77">
        <v>7.88</v>
      </c>
      <c r="C90" s="77">
        <v>22.92</v>
      </c>
      <c r="D90" s="77">
        <v>19.61</v>
      </c>
      <c r="E90" s="77">
        <v>3.05</v>
      </c>
      <c r="F90" s="77">
        <v>12.26</v>
      </c>
      <c r="G90" s="77">
        <v>34.659999999999997</v>
      </c>
      <c r="H90" s="77">
        <v>10.89</v>
      </c>
      <c r="I90" s="210" t="s">
        <v>36</v>
      </c>
      <c r="J90" s="77">
        <v>0.63</v>
      </c>
      <c r="K90" s="77">
        <v>115.22</v>
      </c>
      <c r="L90" s="77">
        <v>24.28</v>
      </c>
      <c r="M90" s="77">
        <v>96.88</v>
      </c>
      <c r="N90" s="77">
        <v>25.9</v>
      </c>
      <c r="O90" s="77">
        <v>0</v>
      </c>
      <c r="P90" s="77">
        <v>0.63</v>
      </c>
      <c r="Q90" s="77">
        <v>9.4499999999999993</v>
      </c>
    </row>
    <row r="91" spans="1:17" s="12" customFormat="1" x14ac:dyDescent="0.25">
      <c r="A91" s="64" t="s">
        <v>2251</v>
      </c>
      <c r="B91" s="77">
        <v>7.21</v>
      </c>
      <c r="C91" s="77">
        <v>21.19</v>
      </c>
      <c r="D91" s="77">
        <v>18.12</v>
      </c>
      <c r="E91" s="77">
        <v>3.18</v>
      </c>
      <c r="F91" s="77">
        <v>8.75</v>
      </c>
      <c r="G91" s="77">
        <v>34.659999999999997</v>
      </c>
      <c r="H91" s="77">
        <v>10.89</v>
      </c>
      <c r="I91" s="210" t="s">
        <v>36</v>
      </c>
      <c r="J91" s="77">
        <v>1.31</v>
      </c>
      <c r="K91" s="77">
        <v>122.78</v>
      </c>
      <c r="L91" s="77">
        <v>24.33</v>
      </c>
      <c r="M91" s="77">
        <v>96.74</v>
      </c>
      <c r="N91" s="77">
        <v>25.7</v>
      </c>
      <c r="O91" s="77">
        <v>0</v>
      </c>
      <c r="P91" s="77">
        <v>0.61</v>
      </c>
      <c r="Q91" s="77">
        <v>10.06</v>
      </c>
    </row>
    <row r="92" spans="1:17" s="12" customFormat="1" x14ac:dyDescent="0.25">
      <c r="A92" s="64" t="s">
        <v>2252</v>
      </c>
      <c r="B92" s="77">
        <v>6.65</v>
      </c>
      <c r="C92" s="77">
        <v>17.11</v>
      </c>
      <c r="D92" s="77">
        <v>15.42</v>
      </c>
      <c r="E92" s="77">
        <v>3</v>
      </c>
      <c r="F92" s="77">
        <v>7.14</v>
      </c>
      <c r="G92" s="77">
        <v>29.19</v>
      </c>
      <c r="H92" s="77">
        <v>29.37</v>
      </c>
      <c r="I92" s="210" t="s">
        <v>36</v>
      </c>
      <c r="J92" s="77">
        <v>1.46</v>
      </c>
      <c r="K92" s="77">
        <v>126.66</v>
      </c>
      <c r="L92" s="77">
        <v>24.47</v>
      </c>
      <c r="M92" s="77">
        <v>95.62</v>
      </c>
      <c r="N92" s="77">
        <v>25.6</v>
      </c>
      <c r="O92" s="77">
        <v>0</v>
      </c>
      <c r="P92" s="77">
        <v>0.59</v>
      </c>
      <c r="Q92" s="77">
        <v>10.99</v>
      </c>
    </row>
    <row r="93" spans="1:17" s="12" customFormat="1" x14ac:dyDescent="0.25">
      <c r="A93" s="64" t="s">
        <v>2253</v>
      </c>
      <c r="B93" s="77">
        <v>7.04</v>
      </c>
      <c r="C93" s="77">
        <v>15.94</v>
      </c>
      <c r="D93" s="77">
        <v>15.09</v>
      </c>
      <c r="E93" s="77">
        <v>3.27</v>
      </c>
      <c r="F93" s="77">
        <v>5.54</v>
      </c>
      <c r="G93" s="77">
        <v>29.01</v>
      </c>
      <c r="H93" s="77">
        <v>29.37</v>
      </c>
      <c r="I93" s="210" t="s">
        <v>36</v>
      </c>
      <c r="J93" s="77">
        <v>1.51</v>
      </c>
      <c r="K93" s="77">
        <v>128.24</v>
      </c>
      <c r="L93" s="77">
        <v>24.45</v>
      </c>
      <c r="M93" s="77">
        <v>96.27</v>
      </c>
      <c r="N93" s="77">
        <v>25.9</v>
      </c>
      <c r="O93" s="77">
        <v>0</v>
      </c>
      <c r="P93" s="77">
        <v>0.57999999999999996</v>
      </c>
      <c r="Q93" s="77">
        <v>11.14</v>
      </c>
    </row>
    <row r="94" spans="1:17" s="12" customFormat="1" x14ac:dyDescent="0.25">
      <c r="A94" s="64" t="s">
        <v>2254</v>
      </c>
      <c r="B94" s="77">
        <v>6.98</v>
      </c>
      <c r="C94" s="77">
        <v>15.14</v>
      </c>
      <c r="D94" s="77">
        <v>14.6</v>
      </c>
      <c r="E94" s="77">
        <v>2.94</v>
      </c>
      <c r="F94" s="77">
        <v>5.16</v>
      </c>
      <c r="G94" s="77">
        <v>29.01</v>
      </c>
      <c r="H94" s="77">
        <v>29.37</v>
      </c>
      <c r="I94" s="210" t="s">
        <v>36</v>
      </c>
      <c r="J94" s="77">
        <v>1.46</v>
      </c>
      <c r="K94" s="77">
        <v>124.19</v>
      </c>
      <c r="L94" s="77">
        <v>24.49</v>
      </c>
      <c r="M94" s="77">
        <v>95.86</v>
      </c>
      <c r="N94" s="77">
        <v>25.7</v>
      </c>
      <c r="O94" s="77">
        <v>0</v>
      </c>
      <c r="P94" s="77">
        <v>0.56999999999999995</v>
      </c>
      <c r="Q94" s="77">
        <v>11.29</v>
      </c>
    </row>
    <row r="95" spans="1:17" s="12" customFormat="1" x14ac:dyDescent="0.25">
      <c r="A95" s="64" t="s">
        <v>2255</v>
      </c>
      <c r="B95" s="77">
        <v>6.25</v>
      </c>
      <c r="C95" s="77">
        <v>15.18</v>
      </c>
      <c r="D95" s="77">
        <v>14.04</v>
      </c>
      <c r="E95" s="77">
        <v>3.2</v>
      </c>
      <c r="F95" s="77">
        <v>7.13</v>
      </c>
      <c r="G95" s="77">
        <v>29.01</v>
      </c>
      <c r="H95" s="77">
        <v>29.37</v>
      </c>
      <c r="I95" s="210" t="s">
        <v>36</v>
      </c>
      <c r="J95" s="77">
        <v>1.06</v>
      </c>
      <c r="K95" s="77">
        <v>125.96</v>
      </c>
      <c r="L95" s="77">
        <v>24.54</v>
      </c>
      <c r="M95" s="77">
        <v>95.43</v>
      </c>
      <c r="N95" s="77">
        <v>26</v>
      </c>
      <c r="O95" s="77">
        <v>0</v>
      </c>
      <c r="P95" s="77">
        <v>0.54</v>
      </c>
      <c r="Q95" s="77">
        <v>11.65</v>
      </c>
    </row>
    <row r="96" spans="1:17" s="12" customFormat="1" x14ac:dyDescent="0.25">
      <c r="A96" s="64" t="s">
        <v>2256</v>
      </c>
      <c r="B96" s="77">
        <v>6.8</v>
      </c>
      <c r="C96" s="77">
        <v>16.899999999999999</v>
      </c>
      <c r="D96" s="77">
        <v>15.43</v>
      </c>
      <c r="E96" s="77">
        <v>2.95</v>
      </c>
      <c r="F96" s="77">
        <v>7.15</v>
      </c>
      <c r="G96" s="77">
        <v>28.62</v>
      </c>
      <c r="H96" s="77">
        <v>22.92</v>
      </c>
      <c r="I96" s="210" t="s">
        <v>36</v>
      </c>
      <c r="J96" s="77">
        <v>0.45</v>
      </c>
      <c r="K96" s="77">
        <v>110.01</v>
      </c>
      <c r="L96" s="77">
        <v>24.51</v>
      </c>
      <c r="M96" s="77">
        <v>96.02</v>
      </c>
      <c r="N96" s="77">
        <v>26.1</v>
      </c>
      <c r="O96" s="77">
        <v>0</v>
      </c>
      <c r="P96" s="77">
        <v>0.56000000000000005</v>
      </c>
      <c r="Q96" s="77">
        <v>11.38</v>
      </c>
    </row>
    <row r="97" spans="1:22" s="12" customFormat="1" x14ac:dyDescent="0.25">
      <c r="A97" s="64" t="s">
        <v>2257</v>
      </c>
      <c r="B97" s="77">
        <v>7.24</v>
      </c>
      <c r="C97" s="77">
        <v>16.690000000000001</v>
      </c>
      <c r="D97" s="77">
        <v>15.67</v>
      </c>
      <c r="E97" s="77">
        <v>3.09</v>
      </c>
      <c r="F97" s="77">
        <v>7.18</v>
      </c>
      <c r="G97" s="77">
        <v>28.61</v>
      </c>
      <c r="H97" s="77">
        <v>22.92</v>
      </c>
      <c r="I97" s="210" t="s">
        <v>36</v>
      </c>
      <c r="J97" s="77">
        <v>0.89</v>
      </c>
      <c r="K97" s="77">
        <v>120.91</v>
      </c>
      <c r="L97" s="77">
        <v>24.51</v>
      </c>
      <c r="M97" s="77">
        <v>95.45</v>
      </c>
      <c r="N97" s="77">
        <v>26</v>
      </c>
      <c r="O97" s="77">
        <v>0</v>
      </c>
      <c r="P97" s="77">
        <v>0.54</v>
      </c>
      <c r="Q97" s="77">
        <v>10.57</v>
      </c>
    </row>
    <row r="98" spans="1:22" s="12" customFormat="1" x14ac:dyDescent="0.25">
      <c r="A98" s="64" t="s">
        <v>2258</v>
      </c>
      <c r="B98" s="77">
        <v>6.37</v>
      </c>
      <c r="C98" s="77">
        <v>15.58</v>
      </c>
      <c r="D98" s="77">
        <v>14.35</v>
      </c>
      <c r="E98" s="77">
        <v>2.94</v>
      </c>
      <c r="F98" s="77">
        <v>5.91</v>
      </c>
      <c r="G98" s="77">
        <v>28.61</v>
      </c>
      <c r="H98" s="77">
        <v>22.92</v>
      </c>
      <c r="I98" s="210" t="s">
        <v>36</v>
      </c>
      <c r="J98" s="77">
        <v>1.31</v>
      </c>
      <c r="K98" s="77">
        <v>126.28</v>
      </c>
      <c r="L98" s="77">
        <v>24.56</v>
      </c>
      <c r="M98" s="77">
        <v>95</v>
      </c>
      <c r="N98" s="77">
        <v>26</v>
      </c>
      <c r="O98" s="77">
        <v>0</v>
      </c>
      <c r="P98" s="77">
        <v>0.53</v>
      </c>
      <c r="Q98" s="77">
        <v>10.31</v>
      </c>
    </row>
    <row r="99" spans="1:22" s="12" customFormat="1" x14ac:dyDescent="0.25">
      <c r="A99" s="64" t="s">
        <v>2259</v>
      </c>
      <c r="B99" s="77">
        <v>5.77</v>
      </c>
      <c r="C99" s="77">
        <v>15.42</v>
      </c>
      <c r="D99" s="77">
        <v>13.78</v>
      </c>
      <c r="E99" s="77">
        <v>3.44</v>
      </c>
      <c r="F99" s="77">
        <v>5.32</v>
      </c>
      <c r="G99" s="77">
        <v>28.61</v>
      </c>
      <c r="H99" s="77">
        <v>22.92</v>
      </c>
      <c r="I99" s="210" t="s">
        <v>36</v>
      </c>
      <c r="J99" s="77">
        <v>1.76</v>
      </c>
      <c r="K99" s="77">
        <v>119.09</v>
      </c>
      <c r="L99" s="77">
        <v>24.58</v>
      </c>
      <c r="M99" s="77">
        <v>94.48</v>
      </c>
      <c r="N99" s="77">
        <v>26.1</v>
      </c>
      <c r="O99" s="77">
        <v>0</v>
      </c>
      <c r="P99" s="77">
        <v>0.52</v>
      </c>
      <c r="Q99" s="77">
        <v>10.050000000000001</v>
      </c>
    </row>
    <row r="100" spans="1:22" s="12" customFormat="1" x14ac:dyDescent="0.25">
      <c r="A100" s="64" t="s">
        <v>2260</v>
      </c>
      <c r="B100" s="77">
        <v>5.51</v>
      </c>
      <c r="C100" s="77">
        <v>15.29</v>
      </c>
      <c r="D100" s="77">
        <v>13.51</v>
      </c>
      <c r="E100" s="77">
        <v>2.83</v>
      </c>
      <c r="F100" s="77">
        <v>5.75</v>
      </c>
      <c r="G100" s="77">
        <v>23.38</v>
      </c>
      <c r="H100" s="77">
        <v>29.98</v>
      </c>
      <c r="I100" s="210" t="s">
        <v>36</v>
      </c>
      <c r="J100" s="77">
        <v>1.8</v>
      </c>
      <c r="K100" s="77">
        <v>121.64</v>
      </c>
      <c r="L100" s="77">
        <v>24.47</v>
      </c>
      <c r="M100" s="77">
        <v>95.43</v>
      </c>
      <c r="N100" s="77">
        <v>26.2</v>
      </c>
      <c r="O100" s="77">
        <v>0</v>
      </c>
      <c r="P100" s="77">
        <v>0.51</v>
      </c>
      <c r="Q100" s="77">
        <v>12.12</v>
      </c>
    </row>
    <row r="101" spans="1:22" s="12" customFormat="1" x14ac:dyDescent="0.25">
      <c r="A101" s="64" t="s">
        <v>2261</v>
      </c>
      <c r="B101" s="77">
        <v>4.84</v>
      </c>
      <c r="C101" s="77">
        <v>15.13</v>
      </c>
      <c r="D101" s="77">
        <v>12.88</v>
      </c>
      <c r="E101" s="77">
        <v>3.23</v>
      </c>
      <c r="F101" s="77">
        <v>10.09</v>
      </c>
      <c r="G101" s="77">
        <v>23.2</v>
      </c>
      <c r="H101" s="77">
        <v>29.98</v>
      </c>
      <c r="I101" s="210" t="s">
        <v>36</v>
      </c>
      <c r="J101" s="77">
        <v>1.23</v>
      </c>
      <c r="K101" s="77">
        <v>127.86</v>
      </c>
      <c r="L101" s="77">
        <v>24.4</v>
      </c>
      <c r="M101" s="77">
        <v>96.49</v>
      </c>
      <c r="N101" s="77">
        <v>26</v>
      </c>
      <c r="O101" s="77">
        <v>0</v>
      </c>
      <c r="P101" s="77">
        <v>0.46</v>
      </c>
      <c r="Q101" s="77">
        <v>13.78</v>
      </c>
    </row>
    <row r="102" spans="1:22" s="12" customFormat="1" x14ac:dyDescent="0.25">
      <c r="A102" s="64" t="s">
        <v>2262</v>
      </c>
      <c r="B102" s="77">
        <v>4.54</v>
      </c>
      <c r="C102" s="77">
        <v>14.07</v>
      </c>
      <c r="D102" s="77">
        <v>12.05</v>
      </c>
      <c r="E102" s="77">
        <v>3.17</v>
      </c>
      <c r="F102" s="77">
        <v>8.24</v>
      </c>
      <c r="G102" s="77">
        <v>23.2</v>
      </c>
      <c r="H102" s="77">
        <v>29.98</v>
      </c>
      <c r="I102" s="210" t="s">
        <v>36</v>
      </c>
      <c r="J102" s="77">
        <v>1.58</v>
      </c>
      <c r="K102" s="77">
        <v>134.19999999999999</v>
      </c>
      <c r="L102" s="77">
        <v>24.33</v>
      </c>
      <c r="M102" s="77">
        <v>96.73</v>
      </c>
      <c r="N102" s="77">
        <v>25.9</v>
      </c>
      <c r="O102" s="77">
        <v>0</v>
      </c>
      <c r="P102" s="77">
        <v>0.46</v>
      </c>
      <c r="Q102" s="77">
        <v>14.59</v>
      </c>
    </row>
    <row r="103" spans="1:22" s="12" customFormat="1" x14ac:dyDescent="0.25">
      <c r="A103" s="64" t="s">
        <v>2263</v>
      </c>
      <c r="B103" s="77">
        <v>4.17</v>
      </c>
      <c r="C103" s="77">
        <v>13.63</v>
      </c>
      <c r="D103" s="77">
        <v>11.51</v>
      </c>
      <c r="E103" s="77">
        <v>2.84</v>
      </c>
      <c r="F103" s="77">
        <v>11.96</v>
      </c>
      <c r="G103" s="77">
        <v>23.2</v>
      </c>
      <c r="H103" s="77">
        <v>29.98</v>
      </c>
      <c r="I103" s="210" t="s">
        <v>36</v>
      </c>
      <c r="J103" s="77">
        <v>1.1399999999999999</v>
      </c>
      <c r="K103" s="77">
        <v>130.06</v>
      </c>
      <c r="L103" s="77">
        <v>24.32</v>
      </c>
      <c r="M103" s="77">
        <v>97.08</v>
      </c>
      <c r="N103" s="77">
        <v>26</v>
      </c>
      <c r="O103" s="77">
        <v>0</v>
      </c>
      <c r="P103" s="77">
        <v>0.44</v>
      </c>
      <c r="Q103" s="77">
        <v>15.17</v>
      </c>
    </row>
    <row r="104" spans="1:22" s="12" customFormat="1" x14ac:dyDescent="0.25">
      <c r="A104" s="64" t="s">
        <v>2264</v>
      </c>
      <c r="B104" s="77">
        <v>4.6500000000000004</v>
      </c>
      <c r="C104" s="77">
        <v>13.57</v>
      </c>
      <c r="D104" s="77">
        <v>11.87</v>
      </c>
      <c r="E104" s="77">
        <v>2</v>
      </c>
      <c r="F104" s="77">
        <v>6.26</v>
      </c>
      <c r="G104" s="77">
        <v>23.28</v>
      </c>
      <c r="H104" s="77">
        <v>20.16</v>
      </c>
      <c r="I104" s="210" t="s">
        <v>36</v>
      </c>
      <c r="J104" s="77">
        <v>1.26</v>
      </c>
      <c r="K104" s="77">
        <v>117.94</v>
      </c>
      <c r="L104" s="77">
        <v>24.29</v>
      </c>
      <c r="M104" s="77">
        <v>97.17</v>
      </c>
      <c r="N104" s="77">
        <v>26</v>
      </c>
      <c r="O104" s="77">
        <v>0</v>
      </c>
      <c r="P104" s="77">
        <v>0.47</v>
      </c>
      <c r="Q104" s="77">
        <v>14.94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1.57</v>
      </c>
      <c r="C106" s="67">
        <f>MIN(C9:C104)</f>
        <v>10.53</v>
      </c>
      <c r="D106" s="67">
        <f t="shared" ref="D106:Q106" si="0">MIN(D9:D104)</f>
        <v>7.72</v>
      </c>
      <c r="E106" s="67">
        <f t="shared" si="0"/>
        <v>1.4</v>
      </c>
      <c r="F106" s="67">
        <f t="shared" si="0"/>
        <v>3.27</v>
      </c>
      <c r="G106" s="67">
        <f t="shared" si="0"/>
        <v>12.08</v>
      </c>
      <c r="H106" s="67">
        <f t="shared" si="0"/>
        <v>7.06</v>
      </c>
      <c r="I106" s="67">
        <f t="shared" si="0"/>
        <v>2.6</v>
      </c>
      <c r="J106" s="67">
        <f t="shared" si="0"/>
        <v>0</v>
      </c>
      <c r="K106" s="67">
        <f t="shared" si="0"/>
        <v>0.56000000000000005</v>
      </c>
      <c r="L106" s="67">
        <f t="shared" si="0"/>
        <v>22.95</v>
      </c>
      <c r="M106" s="67">
        <f t="shared" si="0"/>
        <v>71.680000000000007</v>
      </c>
      <c r="N106" s="67">
        <f t="shared" si="0"/>
        <v>20.5</v>
      </c>
      <c r="O106" s="67">
        <f t="shared" si="0"/>
        <v>0</v>
      </c>
      <c r="P106" s="67">
        <f t="shared" si="0"/>
        <v>0.25</v>
      </c>
      <c r="Q106" s="67">
        <f t="shared" si="0"/>
        <v>0.12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25.91</v>
      </c>
      <c r="C107" s="66">
        <f t="shared" ref="C107:Q107" si="1">MAX(C9:C104)</f>
        <v>31.43</v>
      </c>
      <c r="D107" s="66">
        <f t="shared" si="1"/>
        <v>36.24</v>
      </c>
      <c r="E107" s="66">
        <f t="shared" si="1"/>
        <v>4.34</v>
      </c>
      <c r="F107" s="66">
        <f t="shared" si="1"/>
        <v>20.23</v>
      </c>
      <c r="G107" s="66">
        <f t="shared" si="1"/>
        <v>41.35</v>
      </c>
      <c r="H107" s="66">
        <f t="shared" si="1"/>
        <v>29.98</v>
      </c>
      <c r="I107" s="66">
        <f t="shared" si="1"/>
        <v>5.65</v>
      </c>
      <c r="J107" s="66">
        <f t="shared" si="1"/>
        <v>2.2000000000000002</v>
      </c>
      <c r="K107" s="66">
        <f t="shared" si="1"/>
        <v>359.7</v>
      </c>
      <c r="L107" s="66">
        <f t="shared" si="1"/>
        <v>28.57</v>
      </c>
      <c r="M107" s="66">
        <f t="shared" si="1"/>
        <v>97.25</v>
      </c>
      <c r="N107" s="66">
        <f t="shared" si="1"/>
        <v>959.3</v>
      </c>
      <c r="O107" s="66">
        <f t="shared" si="1"/>
        <v>5.2</v>
      </c>
      <c r="P107" s="66">
        <f t="shared" si="1"/>
        <v>0.81</v>
      </c>
      <c r="Q107" s="66">
        <f t="shared" si="1"/>
        <v>15.17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9.6854166666666632</v>
      </c>
      <c r="C108" s="67">
        <f t="shared" ref="C108:Q108" si="2">AVERAGE(C9:C104)</f>
        <v>17.118750000000009</v>
      </c>
      <c r="D108" s="67">
        <f t="shared" si="2"/>
        <v>17.861145833333328</v>
      </c>
      <c r="E108" s="67">
        <f t="shared" si="2"/>
        <v>2.8101041666666671</v>
      </c>
      <c r="F108" s="67">
        <f t="shared" si="2"/>
        <v>8.2522916666666664</v>
      </c>
      <c r="G108" s="67">
        <f t="shared" si="2"/>
        <v>25.956250000000001</v>
      </c>
      <c r="H108" s="67">
        <f t="shared" si="2"/>
        <v>14.978020833333332</v>
      </c>
      <c r="I108" s="67">
        <f t="shared" si="2"/>
        <v>4.2296296296296294</v>
      </c>
      <c r="J108" s="67">
        <f t="shared" si="2"/>
        <v>0.74916666666666687</v>
      </c>
      <c r="K108" s="67">
        <f t="shared" si="2"/>
        <v>110.48135416666668</v>
      </c>
      <c r="L108" s="67">
        <f t="shared" si="2"/>
        <v>24.871354166666663</v>
      </c>
      <c r="M108" s="67">
        <f t="shared" si="2"/>
        <v>92.329791666666679</v>
      </c>
      <c r="N108" s="67">
        <f t="shared" si="2"/>
        <v>167.73750000000004</v>
      </c>
      <c r="O108" s="67">
        <f t="shared" si="2"/>
        <v>0.13333333333333333</v>
      </c>
      <c r="P108" s="67">
        <f t="shared" si="2"/>
        <v>0.50041666666666662</v>
      </c>
      <c r="Q108" s="67">
        <f t="shared" si="2"/>
        <v>6.4576623376623372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5.8804297939354395</v>
      </c>
      <c r="C109" s="67">
        <f t="shared" ref="C109:Q109" si="3">STDEV(C9:C104)</f>
        <v>3.9581208327078081</v>
      </c>
      <c r="D109" s="67">
        <f t="shared" si="3"/>
        <v>6.0262956885534189</v>
      </c>
      <c r="E109" s="67">
        <f t="shared" si="3"/>
        <v>0.75947973160532645</v>
      </c>
      <c r="F109" s="67">
        <f t="shared" si="3"/>
        <v>3.160949051077663</v>
      </c>
      <c r="G109" s="67">
        <f t="shared" si="3"/>
        <v>7.9412245177998484</v>
      </c>
      <c r="H109" s="67">
        <f t="shared" si="3"/>
        <v>6.3456724781193534</v>
      </c>
      <c r="I109" s="67">
        <f t="shared" si="3"/>
        <v>0.61974859345408884</v>
      </c>
      <c r="J109" s="67">
        <f t="shared" si="3"/>
        <v>0.58810608900930805</v>
      </c>
      <c r="K109" s="67">
        <f t="shared" si="3"/>
        <v>75.947874681739762</v>
      </c>
      <c r="L109" s="67">
        <f t="shared" si="3"/>
        <v>1.5324171616946018</v>
      </c>
      <c r="M109" s="67">
        <f t="shared" si="3"/>
        <v>8.106366955628042</v>
      </c>
      <c r="N109" s="67">
        <f t="shared" si="3"/>
        <v>231.59367332963947</v>
      </c>
      <c r="O109" s="67">
        <f t="shared" si="3"/>
        <v>0.67911190716710335</v>
      </c>
      <c r="P109" s="67">
        <f t="shared" si="3"/>
        <v>0.11580306937725382</v>
      </c>
      <c r="Q109" s="67">
        <f t="shared" si="3"/>
        <v>3.4721136805697679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>COUNT(B9:B104)</f>
        <v>96</v>
      </c>
      <c r="C110" s="66">
        <f t="shared" ref="C110:P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COUNT(I9:I104)+69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COUNT(Q9:Q104)+19</f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105" activePane="bottomRight" state="frozen"/>
      <selection activeCell="B115" sqref="B115:D115"/>
      <selection pane="topRight" activeCell="B115" sqref="B115:D115"/>
      <selection pane="bottomLeft" activeCell="B115" sqref="B115:D115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2265</v>
      </c>
      <c r="B9" s="77">
        <v>5.1100000000000003</v>
      </c>
      <c r="C9" s="77">
        <v>13.65</v>
      </c>
      <c r="D9" s="77">
        <v>12.27</v>
      </c>
      <c r="E9" s="77">
        <v>2.87</v>
      </c>
      <c r="F9" s="77">
        <v>5.36</v>
      </c>
      <c r="G9" s="77">
        <v>23.28</v>
      </c>
      <c r="H9" s="77">
        <v>20.16</v>
      </c>
      <c r="I9" s="9" t="s">
        <v>36</v>
      </c>
      <c r="J9" s="77">
        <v>1.31</v>
      </c>
      <c r="K9" s="77">
        <v>135.18</v>
      </c>
      <c r="L9" s="77">
        <v>24.25</v>
      </c>
      <c r="M9" s="77">
        <v>96.9</v>
      </c>
      <c r="N9" s="77">
        <v>26.1</v>
      </c>
      <c r="O9" s="77">
        <v>0</v>
      </c>
      <c r="P9" s="77">
        <v>0.45</v>
      </c>
      <c r="Q9" s="77">
        <v>14.02</v>
      </c>
    </row>
    <row r="10" spans="1:21" s="12" customFormat="1" x14ac:dyDescent="0.25">
      <c r="A10" s="64" t="s">
        <v>2266</v>
      </c>
      <c r="B10" s="77">
        <v>4.8600000000000003</v>
      </c>
      <c r="C10" s="77">
        <v>13.5</v>
      </c>
      <c r="D10" s="77">
        <v>12</v>
      </c>
      <c r="E10" s="77">
        <v>2.7</v>
      </c>
      <c r="F10" s="77">
        <v>6.19</v>
      </c>
      <c r="G10" s="77">
        <v>23.28</v>
      </c>
      <c r="H10" s="77">
        <v>20.16</v>
      </c>
      <c r="I10" s="9" t="s">
        <v>36</v>
      </c>
      <c r="J10" s="77">
        <v>1.2</v>
      </c>
      <c r="K10" s="77">
        <v>153.93</v>
      </c>
      <c r="L10" s="77">
        <v>23.85</v>
      </c>
      <c r="M10" s="77">
        <v>96</v>
      </c>
      <c r="N10" s="77">
        <v>26.7</v>
      </c>
      <c r="O10" s="77">
        <v>0</v>
      </c>
      <c r="P10" s="77">
        <v>0.42</v>
      </c>
      <c r="Q10" s="77">
        <v>13.81</v>
      </c>
    </row>
    <row r="11" spans="1:21" s="12" customFormat="1" x14ac:dyDescent="0.25">
      <c r="A11" s="64" t="s">
        <v>2267</v>
      </c>
      <c r="B11" s="77">
        <v>4.4400000000000004</v>
      </c>
      <c r="C11" s="77">
        <v>12.99</v>
      </c>
      <c r="D11" s="77">
        <v>11.37</v>
      </c>
      <c r="E11" s="77">
        <v>2.7</v>
      </c>
      <c r="F11" s="77">
        <v>5.7</v>
      </c>
      <c r="G11" s="77">
        <v>23.28</v>
      </c>
      <c r="H11" s="77">
        <v>20.16</v>
      </c>
      <c r="I11" s="9" t="s">
        <v>36</v>
      </c>
      <c r="J11" s="77">
        <v>0.8</v>
      </c>
      <c r="K11" s="77">
        <v>164.55</v>
      </c>
      <c r="L11" s="77">
        <v>23.35</v>
      </c>
      <c r="M11" s="77">
        <v>97.21</v>
      </c>
      <c r="N11" s="77">
        <v>27.8</v>
      </c>
      <c r="O11" s="77">
        <v>1</v>
      </c>
      <c r="P11" s="77">
        <v>0.41</v>
      </c>
      <c r="Q11" s="77">
        <v>12.62</v>
      </c>
    </row>
    <row r="12" spans="1:21" s="12" customFormat="1" x14ac:dyDescent="0.25">
      <c r="A12" s="64" t="s">
        <v>2268</v>
      </c>
      <c r="B12" s="77">
        <v>3.92</v>
      </c>
      <c r="C12" s="77">
        <v>12.99</v>
      </c>
      <c r="D12" s="77">
        <v>10.96</v>
      </c>
      <c r="E12" s="77">
        <v>2.2799999999999998</v>
      </c>
      <c r="F12" s="77">
        <v>8.73</v>
      </c>
      <c r="G12" s="77">
        <v>18.62</v>
      </c>
      <c r="H12" s="77">
        <v>14.31</v>
      </c>
      <c r="I12" s="9" t="s">
        <v>36</v>
      </c>
      <c r="J12" s="77">
        <v>0.36</v>
      </c>
      <c r="K12" s="77">
        <v>175.38</v>
      </c>
      <c r="L12" s="77">
        <v>23</v>
      </c>
      <c r="M12" s="77">
        <v>97.25</v>
      </c>
      <c r="N12" s="77">
        <v>26.1</v>
      </c>
      <c r="O12" s="77">
        <v>0</v>
      </c>
      <c r="P12" s="77">
        <v>0.37</v>
      </c>
      <c r="Q12" s="77">
        <v>11.79</v>
      </c>
    </row>
    <row r="13" spans="1:21" s="12" customFormat="1" x14ac:dyDescent="0.25">
      <c r="A13" s="64" t="s">
        <v>2269</v>
      </c>
      <c r="B13" s="77">
        <v>4.2300000000000004</v>
      </c>
      <c r="C13" s="77">
        <v>13.41</v>
      </c>
      <c r="D13" s="77">
        <v>11.44</v>
      </c>
      <c r="E13" s="77">
        <v>2.34</v>
      </c>
      <c r="F13" s="77">
        <v>5.82</v>
      </c>
      <c r="G13" s="77">
        <v>18.46</v>
      </c>
      <c r="H13" s="77">
        <v>14.31</v>
      </c>
      <c r="I13" s="9" t="s">
        <v>36</v>
      </c>
      <c r="J13" s="77">
        <v>0.48</v>
      </c>
      <c r="K13" s="77">
        <v>163.41999999999999</v>
      </c>
      <c r="L13" s="77">
        <v>23.07</v>
      </c>
      <c r="M13" s="77">
        <v>97.25</v>
      </c>
      <c r="N13" s="77">
        <v>26.4</v>
      </c>
      <c r="O13" s="77">
        <v>0</v>
      </c>
      <c r="P13" s="77">
        <v>0.37</v>
      </c>
      <c r="Q13" s="77">
        <v>10.41</v>
      </c>
    </row>
    <row r="14" spans="1:21" s="12" customFormat="1" x14ac:dyDescent="0.25">
      <c r="A14" s="64" t="s">
        <v>2270</v>
      </c>
      <c r="B14" s="77">
        <v>4.3600000000000003</v>
      </c>
      <c r="C14" s="77">
        <v>13.38</v>
      </c>
      <c r="D14" s="77">
        <v>11.53</v>
      </c>
      <c r="E14" s="77">
        <v>2.4300000000000002</v>
      </c>
      <c r="F14" s="77">
        <v>4.8600000000000003</v>
      </c>
      <c r="G14" s="77">
        <v>18.46</v>
      </c>
      <c r="H14" s="77">
        <v>14.31</v>
      </c>
      <c r="I14" s="9" t="s">
        <v>36</v>
      </c>
      <c r="J14" s="77">
        <v>0.7</v>
      </c>
      <c r="K14" s="77">
        <v>168.03</v>
      </c>
      <c r="L14" s="77">
        <v>23.12</v>
      </c>
      <c r="M14" s="77">
        <v>97.25</v>
      </c>
      <c r="N14" s="77">
        <v>26.5</v>
      </c>
      <c r="O14" s="77">
        <v>0</v>
      </c>
      <c r="P14" s="77">
        <v>0.38</v>
      </c>
      <c r="Q14" s="77">
        <v>9.1</v>
      </c>
    </row>
    <row r="15" spans="1:21" s="12" customFormat="1" x14ac:dyDescent="0.25">
      <c r="A15" s="64" t="s">
        <v>2271</v>
      </c>
      <c r="B15" s="77">
        <v>3.77</v>
      </c>
      <c r="C15" s="77">
        <v>12.92</v>
      </c>
      <c r="D15" s="77">
        <v>10.8</v>
      </c>
      <c r="E15" s="77">
        <v>2.91</v>
      </c>
      <c r="F15" s="77">
        <v>9.84</v>
      </c>
      <c r="G15" s="77">
        <v>18.46</v>
      </c>
      <c r="H15" s="77">
        <v>14.31</v>
      </c>
      <c r="I15" s="9" t="s">
        <v>36</v>
      </c>
      <c r="J15" s="77">
        <v>0.5</v>
      </c>
      <c r="K15" s="77">
        <v>158.49</v>
      </c>
      <c r="L15" s="77">
        <v>23.09</v>
      </c>
      <c r="M15" s="77">
        <v>97.25</v>
      </c>
      <c r="N15" s="77">
        <v>26.7</v>
      </c>
      <c r="O15" s="77">
        <v>0</v>
      </c>
      <c r="P15" s="77">
        <v>0.33</v>
      </c>
      <c r="Q15" s="77">
        <v>9.43</v>
      </c>
    </row>
    <row r="16" spans="1:21" s="12" customFormat="1" x14ac:dyDescent="0.25">
      <c r="A16" s="64" t="s">
        <v>2272</v>
      </c>
      <c r="B16" s="77">
        <v>2.98</v>
      </c>
      <c r="C16" s="77">
        <v>11.2</v>
      </c>
      <c r="D16" s="77">
        <v>9.2200000000000006</v>
      </c>
      <c r="E16" s="77">
        <v>2.65</v>
      </c>
      <c r="F16" s="77">
        <v>13.48</v>
      </c>
      <c r="G16" s="77">
        <v>18.97</v>
      </c>
      <c r="H16" s="77">
        <v>10.45</v>
      </c>
      <c r="I16" s="9" t="s">
        <v>36</v>
      </c>
      <c r="J16" s="77">
        <v>0.31</v>
      </c>
      <c r="K16" s="77">
        <v>154.30000000000001</v>
      </c>
      <c r="L16" s="77">
        <v>23.02</v>
      </c>
      <c r="M16" s="77">
        <v>97.25</v>
      </c>
      <c r="N16" s="77">
        <v>26.4</v>
      </c>
      <c r="O16" s="77">
        <v>0</v>
      </c>
      <c r="P16" s="77">
        <v>0.28999999999999998</v>
      </c>
      <c r="Q16" s="77">
        <v>10.07</v>
      </c>
    </row>
    <row r="17" spans="1:17" s="12" customFormat="1" x14ac:dyDescent="0.25">
      <c r="A17" s="64" t="s">
        <v>2273</v>
      </c>
      <c r="B17" s="77">
        <v>2.69</v>
      </c>
      <c r="C17" s="77">
        <v>10.58</v>
      </c>
      <c r="D17" s="77">
        <v>8.64</v>
      </c>
      <c r="E17" s="77">
        <v>2.81</v>
      </c>
      <c r="F17" s="77">
        <v>13.16</v>
      </c>
      <c r="G17" s="77">
        <v>18.989999999999998</v>
      </c>
      <c r="H17" s="77">
        <v>10.45</v>
      </c>
      <c r="I17" s="9" t="s">
        <v>36</v>
      </c>
      <c r="J17" s="77">
        <v>0.21</v>
      </c>
      <c r="K17" s="77">
        <v>137.80000000000001</v>
      </c>
      <c r="L17" s="77">
        <v>22.95</v>
      </c>
      <c r="M17" s="77">
        <v>97.25</v>
      </c>
      <c r="N17" s="77">
        <v>25.9</v>
      </c>
      <c r="O17" s="77">
        <v>0.2</v>
      </c>
      <c r="P17" s="77">
        <v>0.28000000000000003</v>
      </c>
      <c r="Q17" s="77">
        <v>10.18</v>
      </c>
    </row>
    <row r="18" spans="1:17" s="12" customFormat="1" x14ac:dyDescent="0.25">
      <c r="A18" s="64" t="s">
        <v>2274</v>
      </c>
      <c r="B18" s="77">
        <v>2.91</v>
      </c>
      <c r="C18" s="77">
        <v>10.87</v>
      </c>
      <c r="D18" s="77">
        <v>8.98</v>
      </c>
      <c r="E18" s="77">
        <v>2.91</v>
      </c>
      <c r="F18" s="77">
        <v>11.28</v>
      </c>
      <c r="G18" s="77">
        <v>18.989999999999998</v>
      </c>
      <c r="H18" s="77">
        <v>10.45</v>
      </c>
      <c r="I18" s="9" t="s">
        <v>36</v>
      </c>
      <c r="J18" s="77">
        <v>0.72</v>
      </c>
      <c r="K18" s="77">
        <v>117.58</v>
      </c>
      <c r="L18" s="77">
        <v>22.94</v>
      </c>
      <c r="M18" s="77">
        <v>97.25</v>
      </c>
      <c r="N18" s="77">
        <v>26.1</v>
      </c>
      <c r="O18" s="77">
        <v>0.2</v>
      </c>
      <c r="P18" s="77">
        <v>0.3</v>
      </c>
      <c r="Q18" s="77">
        <v>10.4</v>
      </c>
    </row>
    <row r="19" spans="1:17" s="12" customFormat="1" x14ac:dyDescent="0.25">
      <c r="A19" s="64" t="s">
        <v>2275</v>
      </c>
      <c r="B19" s="77">
        <v>3.27</v>
      </c>
      <c r="C19" s="77">
        <v>11.13</v>
      </c>
      <c r="D19" s="77">
        <v>9.41</v>
      </c>
      <c r="E19" s="77">
        <v>2.64</v>
      </c>
      <c r="F19" s="77">
        <v>11.64</v>
      </c>
      <c r="G19" s="77">
        <v>18.989999999999998</v>
      </c>
      <c r="H19" s="77">
        <v>10.45</v>
      </c>
      <c r="I19" s="9" t="s">
        <v>36</v>
      </c>
      <c r="J19" s="77">
        <v>0.66</v>
      </c>
      <c r="K19" s="77">
        <v>111.28</v>
      </c>
      <c r="L19" s="77">
        <v>22.9</v>
      </c>
      <c r="M19" s="77">
        <v>97.25</v>
      </c>
      <c r="N19" s="77">
        <v>26.1</v>
      </c>
      <c r="O19" s="77">
        <v>0.2</v>
      </c>
      <c r="P19" s="77">
        <v>0.31</v>
      </c>
      <c r="Q19" s="77">
        <v>10.85</v>
      </c>
    </row>
    <row r="20" spans="1:17" s="12" customFormat="1" x14ac:dyDescent="0.25">
      <c r="A20" s="64" t="s">
        <v>2276</v>
      </c>
      <c r="B20" s="77">
        <v>3.76</v>
      </c>
      <c r="C20" s="77">
        <v>12.18</v>
      </c>
      <c r="D20" s="77">
        <v>10.38</v>
      </c>
      <c r="E20" s="77">
        <v>2.95</v>
      </c>
      <c r="F20" s="77">
        <v>7.92</v>
      </c>
      <c r="G20" s="77">
        <v>13.81</v>
      </c>
      <c r="H20" s="77">
        <v>15.04</v>
      </c>
      <c r="I20" s="9" t="s">
        <v>36</v>
      </c>
      <c r="J20" s="77">
        <v>0.52</v>
      </c>
      <c r="K20" s="77">
        <v>105.31</v>
      </c>
      <c r="L20" s="77">
        <v>22.94</v>
      </c>
      <c r="M20" s="77">
        <v>97.25</v>
      </c>
      <c r="N20" s="77">
        <v>26.3</v>
      </c>
      <c r="O20" s="77">
        <v>0</v>
      </c>
      <c r="P20" s="77">
        <v>0.31</v>
      </c>
      <c r="Q20" s="77">
        <v>10.34</v>
      </c>
    </row>
    <row r="21" spans="1:17" s="12" customFormat="1" x14ac:dyDescent="0.25">
      <c r="A21" s="64" t="s">
        <v>2277</v>
      </c>
      <c r="B21" s="77">
        <v>4.45</v>
      </c>
      <c r="C21" s="77">
        <v>12.37</v>
      </c>
      <c r="D21" s="77">
        <v>11.04</v>
      </c>
      <c r="E21" s="77">
        <v>3.33</v>
      </c>
      <c r="F21" s="77">
        <v>5.96</v>
      </c>
      <c r="G21" s="77">
        <v>13.56</v>
      </c>
      <c r="H21" s="77">
        <v>15.14</v>
      </c>
      <c r="I21" s="9" t="s">
        <v>36</v>
      </c>
      <c r="J21" s="77">
        <v>1.04</v>
      </c>
      <c r="K21" s="77">
        <v>122.04</v>
      </c>
      <c r="L21" s="77">
        <v>22.96</v>
      </c>
      <c r="M21" s="77">
        <v>97.25</v>
      </c>
      <c r="N21" s="77">
        <v>26.2</v>
      </c>
      <c r="O21" s="77">
        <v>0.6</v>
      </c>
      <c r="P21" s="77">
        <v>0.32</v>
      </c>
      <c r="Q21" s="77">
        <v>8.3699999999999992</v>
      </c>
    </row>
    <row r="22" spans="1:17" s="12" customFormat="1" x14ac:dyDescent="0.25">
      <c r="A22" s="64" t="s">
        <v>2278</v>
      </c>
      <c r="B22" s="77">
        <v>4.6500000000000004</v>
      </c>
      <c r="C22" s="77">
        <v>13.06</v>
      </c>
      <c r="D22" s="77">
        <v>11.58</v>
      </c>
      <c r="E22" s="77">
        <v>2.77</v>
      </c>
      <c r="F22" s="77">
        <v>6.07</v>
      </c>
      <c r="G22" s="77">
        <v>13.56</v>
      </c>
      <c r="H22" s="77">
        <v>15.14</v>
      </c>
      <c r="I22" s="9" t="s">
        <v>36</v>
      </c>
      <c r="J22" s="77">
        <v>0.73</v>
      </c>
      <c r="K22" s="77">
        <v>111.43</v>
      </c>
      <c r="L22" s="77">
        <v>22.71</v>
      </c>
      <c r="M22" s="77">
        <v>97.25</v>
      </c>
      <c r="N22" s="77">
        <v>26.2</v>
      </c>
      <c r="O22" s="77">
        <v>3</v>
      </c>
      <c r="P22" s="77">
        <v>0.32</v>
      </c>
      <c r="Q22" s="77">
        <v>8.8000000000000007</v>
      </c>
    </row>
    <row r="23" spans="1:17" s="12" customFormat="1" x14ac:dyDescent="0.25">
      <c r="A23" s="64" t="s">
        <v>2279</v>
      </c>
      <c r="B23" s="77">
        <v>4.3899999999999997</v>
      </c>
      <c r="C23" s="77">
        <v>12.59</v>
      </c>
      <c r="D23" s="77">
        <v>11.11</v>
      </c>
      <c r="E23" s="77">
        <v>2.97</v>
      </c>
      <c r="F23" s="77">
        <v>7.05</v>
      </c>
      <c r="G23" s="77">
        <v>13.56</v>
      </c>
      <c r="H23" s="77">
        <v>15.14</v>
      </c>
      <c r="I23" s="9" t="s">
        <v>36</v>
      </c>
      <c r="J23" s="77">
        <v>0.26</v>
      </c>
      <c r="K23" s="77">
        <v>123.56</v>
      </c>
      <c r="L23" s="77">
        <v>22.49</v>
      </c>
      <c r="M23" s="77">
        <v>97.25</v>
      </c>
      <c r="N23" s="77">
        <v>26.1</v>
      </c>
      <c r="O23" s="77">
        <v>0.2</v>
      </c>
      <c r="P23" s="77">
        <v>0.3</v>
      </c>
      <c r="Q23" s="77">
        <v>8.19</v>
      </c>
    </row>
    <row r="24" spans="1:17" s="12" customFormat="1" x14ac:dyDescent="0.25">
      <c r="A24" s="64" t="s">
        <v>2280</v>
      </c>
      <c r="B24" s="77">
        <v>3.86</v>
      </c>
      <c r="C24" s="77">
        <v>12.21</v>
      </c>
      <c r="D24" s="77">
        <v>10.48</v>
      </c>
      <c r="E24" s="77">
        <v>1.71</v>
      </c>
      <c r="F24" s="77">
        <v>6.91</v>
      </c>
      <c r="G24" s="213" t="s">
        <v>42</v>
      </c>
      <c r="H24" s="213" t="s">
        <v>42</v>
      </c>
      <c r="I24" s="9" t="s">
        <v>36</v>
      </c>
      <c r="J24" s="77">
        <v>0.33</v>
      </c>
      <c r="K24" s="77">
        <v>112.63</v>
      </c>
      <c r="L24" s="77">
        <v>22.49</v>
      </c>
      <c r="M24" s="77">
        <v>97.25</v>
      </c>
      <c r="N24" s="77">
        <v>26.1</v>
      </c>
      <c r="O24" s="77">
        <v>0.2</v>
      </c>
      <c r="P24" s="77">
        <v>0.28000000000000003</v>
      </c>
      <c r="Q24" s="77">
        <v>7.49</v>
      </c>
    </row>
    <row r="25" spans="1:17" s="12" customFormat="1" x14ac:dyDescent="0.25">
      <c r="A25" s="64" t="s">
        <v>2281</v>
      </c>
      <c r="B25" s="77">
        <v>4.05</v>
      </c>
      <c r="C25" s="77">
        <v>12.8</v>
      </c>
      <c r="D25" s="77">
        <v>10.96</v>
      </c>
      <c r="E25" s="77">
        <v>2.25</v>
      </c>
      <c r="F25" s="77">
        <v>6.69</v>
      </c>
      <c r="G25" s="213" t="s">
        <v>42</v>
      </c>
      <c r="H25" s="213" t="s">
        <v>42</v>
      </c>
      <c r="I25" s="9" t="s">
        <v>36</v>
      </c>
      <c r="J25" s="77">
        <v>0.56000000000000005</v>
      </c>
      <c r="K25" s="77">
        <v>112.12</v>
      </c>
      <c r="L25" s="77">
        <v>22.53</v>
      </c>
      <c r="M25" s="77">
        <v>97.25</v>
      </c>
      <c r="N25" s="77">
        <v>26.1</v>
      </c>
      <c r="O25" s="77">
        <v>1.8</v>
      </c>
      <c r="P25" s="77">
        <v>0.28999999999999998</v>
      </c>
      <c r="Q25" s="77">
        <v>7.03</v>
      </c>
    </row>
    <row r="26" spans="1:17" s="12" customFormat="1" x14ac:dyDescent="0.25">
      <c r="A26" s="64" t="s">
        <v>2282</v>
      </c>
      <c r="B26" s="77">
        <v>4.2699999999999996</v>
      </c>
      <c r="C26" s="77">
        <v>13.08</v>
      </c>
      <c r="D26" s="77">
        <v>11.28</v>
      </c>
      <c r="E26" s="77">
        <v>2.0699999999999998</v>
      </c>
      <c r="F26" s="77">
        <v>6.09</v>
      </c>
      <c r="G26" s="213" t="s">
        <v>42</v>
      </c>
      <c r="H26" s="213" t="s">
        <v>42</v>
      </c>
      <c r="I26" s="9" t="s">
        <v>36</v>
      </c>
      <c r="J26" s="77">
        <v>0.09</v>
      </c>
      <c r="K26" s="77">
        <v>71.739999999999995</v>
      </c>
      <c r="L26" s="77">
        <v>22.46</v>
      </c>
      <c r="M26" s="77">
        <v>97.25</v>
      </c>
      <c r="N26" s="77">
        <v>26.2</v>
      </c>
      <c r="O26" s="77">
        <v>0.4</v>
      </c>
      <c r="P26" s="77">
        <v>0.3</v>
      </c>
      <c r="Q26" s="77">
        <v>6.42</v>
      </c>
    </row>
    <row r="27" spans="1:17" s="12" customFormat="1" x14ac:dyDescent="0.25">
      <c r="A27" s="64" t="s">
        <v>2283</v>
      </c>
      <c r="B27" s="77">
        <v>3.64</v>
      </c>
      <c r="C27" s="77">
        <v>12.57</v>
      </c>
      <c r="D27" s="77">
        <v>10.5</v>
      </c>
      <c r="E27" s="77">
        <v>2.33</v>
      </c>
      <c r="F27" s="77">
        <v>12.32</v>
      </c>
      <c r="G27" s="213" t="s">
        <v>42</v>
      </c>
      <c r="H27" s="213" t="s">
        <v>42</v>
      </c>
      <c r="I27" s="9" t="s">
        <v>36</v>
      </c>
      <c r="J27" s="77">
        <v>0.25</v>
      </c>
      <c r="K27" s="77">
        <v>114.55</v>
      </c>
      <c r="L27" s="77">
        <v>22.4</v>
      </c>
      <c r="M27" s="77">
        <v>97.28</v>
      </c>
      <c r="N27" s="77">
        <v>26.2</v>
      </c>
      <c r="O27" s="77">
        <v>0</v>
      </c>
      <c r="P27" s="77">
        <v>0.28999999999999998</v>
      </c>
      <c r="Q27" s="77">
        <v>7.5</v>
      </c>
    </row>
    <row r="28" spans="1:17" s="12" customFormat="1" x14ac:dyDescent="0.25">
      <c r="A28" s="64" t="s">
        <v>2284</v>
      </c>
      <c r="B28" s="77">
        <v>4.8600000000000003</v>
      </c>
      <c r="C28" s="77">
        <v>12.94</v>
      </c>
      <c r="D28" s="77">
        <v>11.68</v>
      </c>
      <c r="E28" s="77">
        <v>2.3199999999999998</v>
      </c>
      <c r="F28" s="77">
        <v>11.43</v>
      </c>
      <c r="G28" s="213" t="s">
        <v>42</v>
      </c>
      <c r="H28" s="213" t="s">
        <v>42</v>
      </c>
      <c r="I28" s="9" t="s">
        <v>36</v>
      </c>
      <c r="J28" s="77">
        <v>0.21</v>
      </c>
      <c r="K28" s="77">
        <v>123.8</v>
      </c>
      <c r="L28" s="77">
        <v>22.43</v>
      </c>
      <c r="M28" s="77">
        <v>97.27</v>
      </c>
      <c r="N28" s="77">
        <v>26.1</v>
      </c>
      <c r="O28" s="77">
        <v>0.2</v>
      </c>
      <c r="P28" s="77">
        <v>0.28999999999999998</v>
      </c>
      <c r="Q28" s="77">
        <v>8.1999999999999993</v>
      </c>
    </row>
    <row r="29" spans="1:17" s="12" customFormat="1" x14ac:dyDescent="0.25">
      <c r="A29" s="64" t="s">
        <v>2285</v>
      </c>
      <c r="B29" s="77">
        <v>3.79</v>
      </c>
      <c r="C29" s="77">
        <v>11.95</v>
      </c>
      <c r="D29" s="77">
        <v>10.28</v>
      </c>
      <c r="E29" s="77">
        <v>2.31</v>
      </c>
      <c r="F29" s="77">
        <v>7.57</v>
      </c>
      <c r="G29" s="213" t="s">
        <v>42</v>
      </c>
      <c r="H29" s="213" t="s">
        <v>42</v>
      </c>
      <c r="I29" s="9" t="s">
        <v>36</v>
      </c>
      <c r="J29" s="77">
        <v>0.87</v>
      </c>
      <c r="K29" s="77">
        <v>128.21</v>
      </c>
      <c r="L29" s="77">
        <v>22.39</v>
      </c>
      <c r="M29" s="77">
        <v>97.25</v>
      </c>
      <c r="N29" s="77">
        <v>26.4</v>
      </c>
      <c r="O29" s="77">
        <v>0.2</v>
      </c>
      <c r="P29" s="77">
        <v>0.28000000000000003</v>
      </c>
      <c r="Q29" s="77">
        <v>8.67</v>
      </c>
    </row>
    <row r="30" spans="1:17" s="12" customFormat="1" x14ac:dyDescent="0.25">
      <c r="A30" s="64" t="s">
        <v>2286</v>
      </c>
      <c r="B30" s="77">
        <v>4.03</v>
      </c>
      <c r="C30" s="77">
        <v>12.1</v>
      </c>
      <c r="D30" s="77">
        <v>10.56</v>
      </c>
      <c r="E30" s="77">
        <v>2.4</v>
      </c>
      <c r="F30" s="77">
        <v>10.18</v>
      </c>
      <c r="G30" s="213" t="s">
        <v>42</v>
      </c>
      <c r="H30" s="213" t="s">
        <v>42</v>
      </c>
      <c r="I30" s="9" t="s">
        <v>36</v>
      </c>
      <c r="J30" s="77">
        <v>0.8</v>
      </c>
      <c r="K30" s="77">
        <v>130.13999999999999</v>
      </c>
      <c r="L30" s="77">
        <v>22.33</v>
      </c>
      <c r="M30" s="77">
        <v>97.25</v>
      </c>
      <c r="N30" s="77">
        <v>27.5</v>
      </c>
      <c r="O30" s="77">
        <v>0</v>
      </c>
      <c r="P30" s="77">
        <v>0.27</v>
      </c>
      <c r="Q30" s="77">
        <v>9.94</v>
      </c>
    </row>
    <row r="31" spans="1:17" s="12" customFormat="1" x14ac:dyDescent="0.25">
      <c r="A31" s="64" t="s">
        <v>2287</v>
      </c>
      <c r="B31" s="77">
        <v>4.49</v>
      </c>
      <c r="C31" s="77">
        <v>12.88</v>
      </c>
      <c r="D31" s="77">
        <v>11.36</v>
      </c>
      <c r="E31" s="77">
        <v>2.67</v>
      </c>
      <c r="F31" s="77">
        <v>5.52</v>
      </c>
      <c r="G31" s="213" t="s">
        <v>42</v>
      </c>
      <c r="H31" s="213" t="s">
        <v>42</v>
      </c>
      <c r="I31" s="9" t="s">
        <v>36</v>
      </c>
      <c r="J31" s="77">
        <v>1.04</v>
      </c>
      <c r="K31" s="77">
        <v>134.5</v>
      </c>
      <c r="L31" s="77">
        <v>22.41</v>
      </c>
      <c r="M31" s="77">
        <v>97.25</v>
      </c>
      <c r="N31" s="77">
        <v>35.700000000000003</v>
      </c>
      <c r="O31" s="77">
        <v>0</v>
      </c>
      <c r="P31" s="77">
        <v>0.3</v>
      </c>
      <c r="Q31" s="77">
        <v>11.13</v>
      </c>
    </row>
    <row r="32" spans="1:17" s="12" customFormat="1" x14ac:dyDescent="0.25">
      <c r="A32" s="64" t="s">
        <v>2288</v>
      </c>
      <c r="B32" s="77">
        <v>5.3</v>
      </c>
      <c r="C32" s="77">
        <v>13.91</v>
      </c>
      <c r="D32" s="77">
        <v>12.57</v>
      </c>
      <c r="E32" s="77">
        <v>3</v>
      </c>
      <c r="F32" s="77">
        <v>3.75</v>
      </c>
      <c r="G32" s="213" t="s">
        <v>42</v>
      </c>
      <c r="H32" s="213" t="s">
        <v>42</v>
      </c>
      <c r="I32" s="9" t="s">
        <v>36</v>
      </c>
      <c r="J32" s="77">
        <v>1.47</v>
      </c>
      <c r="K32" s="77">
        <v>129.61000000000001</v>
      </c>
      <c r="L32" s="77">
        <v>22.55</v>
      </c>
      <c r="M32" s="77">
        <v>97.25</v>
      </c>
      <c r="N32" s="77">
        <v>48.7</v>
      </c>
      <c r="O32" s="77">
        <v>0</v>
      </c>
      <c r="P32" s="77">
        <v>0.28000000000000003</v>
      </c>
      <c r="Q32" s="77">
        <v>11.35</v>
      </c>
    </row>
    <row r="33" spans="1:17" s="12" customFormat="1" x14ac:dyDescent="0.25">
      <c r="A33" s="64" t="s">
        <v>2289</v>
      </c>
      <c r="B33" s="77">
        <v>5.53</v>
      </c>
      <c r="C33" s="77">
        <v>13.31</v>
      </c>
      <c r="D33" s="77">
        <v>12.42</v>
      </c>
      <c r="E33" s="77">
        <v>2.95</v>
      </c>
      <c r="F33" s="77">
        <v>4.1399999999999997</v>
      </c>
      <c r="G33" s="213" t="s">
        <v>42</v>
      </c>
      <c r="H33" s="213" t="s">
        <v>42</v>
      </c>
      <c r="I33" s="9" t="s">
        <v>36</v>
      </c>
      <c r="J33" s="77">
        <v>1.57</v>
      </c>
      <c r="K33" s="77">
        <v>118.11</v>
      </c>
      <c r="L33" s="77">
        <v>22.65</v>
      </c>
      <c r="M33" s="77">
        <v>97.25</v>
      </c>
      <c r="N33" s="77">
        <v>54.4</v>
      </c>
      <c r="O33" s="77">
        <v>0</v>
      </c>
      <c r="P33" s="77">
        <v>0.28999999999999998</v>
      </c>
      <c r="Q33" s="77">
        <v>11.85</v>
      </c>
    </row>
    <row r="34" spans="1:17" s="12" customFormat="1" x14ac:dyDescent="0.25">
      <c r="A34" s="64" t="s">
        <v>2290</v>
      </c>
      <c r="B34" s="77">
        <v>5.46</v>
      </c>
      <c r="C34" s="77">
        <v>13.34</v>
      </c>
      <c r="D34" s="77">
        <v>12.39</v>
      </c>
      <c r="E34" s="77">
        <v>2.66</v>
      </c>
      <c r="F34" s="77">
        <v>4.22</v>
      </c>
      <c r="G34" s="213" t="s">
        <v>42</v>
      </c>
      <c r="H34" s="213" t="s">
        <v>42</v>
      </c>
      <c r="I34" s="9" t="s">
        <v>36</v>
      </c>
      <c r="J34" s="77">
        <v>1.4</v>
      </c>
      <c r="K34" s="77">
        <v>116.64</v>
      </c>
      <c r="L34" s="77">
        <v>22.76</v>
      </c>
      <c r="M34" s="77">
        <v>97.25</v>
      </c>
      <c r="N34" s="77">
        <v>62.1</v>
      </c>
      <c r="O34" s="77">
        <v>0</v>
      </c>
      <c r="P34" s="77">
        <v>0.28000000000000003</v>
      </c>
      <c r="Q34" s="77">
        <v>13.21</v>
      </c>
    </row>
    <row r="35" spans="1:17" s="12" customFormat="1" x14ac:dyDescent="0.25">
      <c r="A35" s="64" t="s">
        <v>2291</v>
      </c>
      <c r="B35" s="77">
        <v>5.52</v>
      </c>
      <c r="C35" s="77">
        <v>13.57</v>
      </c>
      <c r="D35" s="77">
        <v>12.57</v>
      </c>
      <c r="E35" s="77">
        <v>2.6</v>
      </c>
      <c r="F35" s="77">
        <v>3.31</v>
      </c>
      <c r="G35" s="213" t="s">
        <v>42</v>
      </c>
      <c r="H35" s="213" t="s">
        <v>42</v>
      </c>
      <c r="I35" s="9" t="s">
        <v>36</v>
      </c>
      <c r="J35" s="77">
        <v>2.06</v>
      </c>
      <c r="K35" s="77">
        <v>130.33000000000001</v>
      </c>
      <c r="L35" s="77">
        <v>22.78</v>
      </c>
      <c r="M35" s="77">
        <v>97.25</v>
      </c>
      <c r="N35" s="77">
        <v>85.8</v>
      </c>
      <c r="O35" s="77">
        <v>0.6</v>
      </c>
      <c r="P35" s="77">
        <v>0.28000000000000003</v>
      </c>
      <c r="Q35" s="77">
        <v>14.53</v>
      </c>
    </row>
    <row r="36" spans="1:17" s="12" customFormat="1" x14ac:dyDescent="0.25">
      <c r="A36" s="64" t="s">
        <v>2292</v>
      </c>
      <c r="B36" s="77">
        <v>5.49</v>
      </c>
      <c r="C36" s="77">
        <v>13.32</v>
      </c>
      <c r="D36" s="77">
        <v>12.39</v>
      </c>
      <c r="E36" s="77">
        <v>2.4300000000000002</v>
      </c>
      <c r="F36" s="77">
        <v>3.99</v>
      </c>
      <c r="G36" s="213" t="s">
        <v>42</v>
      </c>
      <c r="H36" s="213" t="s">
        <v>42</v>
      </c>
      <c r="I36" s="9" t="s">
        <v>36</v>
      </c>
      <c r="J36" s="77">
        <v>1.75</v>
      </c>
      <c r="K36" s="77">
        <v>125.69</v>
      </c>
      <c r="L36" s="77">
        <v>22.65</v>
      </c>
      <c r="M36" s="77">
        <v>97.25</v>
      </c>
      <c r="N36" s="77">
        <v>126</v>
      </c>
      <c r="O36" s="77">
        <v>0.4</v>
      </c>
      <c r="P36" s="77">
        <v>0.28000000000000003</v>
      </c>
      <c r="Q36" s="77">
        <v>15.86</v>
      </c>
    </row>
    <row r="37" spans="1:17" s="12" customFormat="1" x14ac:dyDescent="0.25">
      <c r="A37" s="64" t="s">
        <v>2293</v>
      </c>
      <c r="B37" s="77">
        <v>5.41</v>
      </c>
      <c r="C37" s="77">
        <v>13.92</v>
      </c>
      <c r="D37" s="77">
        <v>12.67</v>
      </c>
      <c r="E37" s="77">
        <v>2.5499999999999998</v>
      </c>
      <c r="F37" s="77">
        <v>3.66</v>
      </c>
      <c r="G37" s="213" t="s">
        <v>42</v>
      </c>
      <c r="H37" s="213" t="s">
        <v>42</v>
      </c>
      <c r="I37" s="9" t="s">
        <v>36</v>
      </c>
      <c r="J37" s="77">
        <v>1.73</v>
      </c>
      <c r="K37" s="77">
        <v>123.45</v>
      </c>
      <c r="L37" s="77">
        <v>22.67</v>
      </c>
      <c r="M37" s="77">
        <v>97.25</v>
      </c>
      <c r="N37" s="77">
        <v>177.5</v>
      </c>
      <c r="O37" s="77">
        <v>0.2</v>
      </c>
      <c r="P37" s="77">
        <v>0.24</v>
      </c>
      <c r="Q37" s="77">
        <v>17.25</v>
      </c>
    </row>
    <row r="38" spans="1:17" s="12" customFormat="1" x14ac:dyDescent="0.25">
      <c r="A38" s="64" t="s">
        <v>2294</v>
      </c>
      <c r="B38" s="77">
        <v>5.33</v>
      </c>
      <c r="C38" s="77">
        <v>13.39</v>
      </c>
      <c r="D38" s="77">
        <v>12.31</v>
      </c>
      <c r="E38" s="77">
        <v>2.5</v>
      </c>
      <c r="F38" s="77">
        <v>4.16</v>
      </c>
      <c r="G38" s="213" t="s">
        <v>42</v>
      </c>
      <c r="H38" s="213" t="s">
        <v>42</v>
      </c>
      <c r="I38" s="9" t="s">
        <v>36</v>
      </c>
      <c r="J38" s="77">
        <v>1.8</v>
      </c>
      <c r="K38" s="77">
        <v>120.49</v>
      </c>
      <c r="L38" s="77">
        <v>22.79</v>
      </c>
      <c r="M38" s="77">
        <v>97.25</v>
      </c>
      <c r="N38" s="77">
        <v>191.2</v>
      </c>
      <c r="O38" s="77">
        <v>0</v>
      </c>
      <c r="P38" s="77">
        <v>0.28000000000000003</v>
      </c>
      <c r="Q38" s="77">
        <v>17.62</v>
      </c>
    </row>
    <row r="39" spans="1:17" s="12" customFormat="1" x14ac:dyDescent="0.25">
      <c r="A39" s="64" t="s">
        <v>2295</v>
      </c>
      <c r="B39" s="77">
        <v>5.53</v>
      </c>
      <c r="C39" s="77">
        <v>13.58</v>
      </c>
      <c r="D39" s="77">
        <v>12.57</v>
      </c>
      <c r="E39" s="77">
        <v>2.74</v>
      </c>
      <c r="F39" s="77">
        <v>6.48</v>
      </c>
      <c r="G39" s="213" t="s">
        <v>42</v>
      </c>
      <c r="H39" s="213" t="s">
        <v>42</v>
      </c>
      <c r="I39" s="9" t="s">
        <v>36</v>
      </c>
      <c r="J39" s="77">
        <v>1.18</v>
      </c>
      <c r="K39" s="77">
        <v>117.63</v>
      </c>
      <c r="L39" s="77">
        <v>23.41</v>
      </c>
      <c r="M39" s="77">
        <v>97.24</v>
      </c>
      <c r="N39" s="77">
        <v>379.8</v>
      </c>
      <c r="O39" s="77">
        <v>0</v>
      </c>
      <c r="P39" s="77">
        <v>0.28999999999999998</v>
      </c>
      <c r="Q39" s="77">
        <v>19.57</v>
      </c>
    </row>
    <row r="40" spans="1:17" s="12" customFormat="1" x14ac:dyDescent="0.25">
      <c r="A40" s="64" t="s">
        <v>2296</v>
      </c>
      <c r="B40" s="77">
        <v>5.3</v>
      </c>
      <c r="C40" s="77">
        <v>13.2</v>
      </c>
      <c r="D40" s="77">
        <v>12.18</v>
      </c>
      <c r="E40" s="77">
        <v>1.91</v>
      </c>
      <c r="F40" s="77">
        <v>5.96</v>
      </c>
      <c r="G40" s="213" t="s">
        <v>42</v>
      </c>
      <c r="H40" s="213" t="s">
        <v>42</v>
      </c>
      <c r="I40" s="9" t="s">
        <v>36</v>
      </c>
      <c r="J40" s="77">
        <v>1.75</v>
      </c>
      <c r="K40" s="77">
        <v>125.78</v>
      </c>
      <c r="L40" s="77">
        <v>24.32</v>
      </c>
      <c r="M40" s="77">
        <v>96.87</v>
      </c>
      <c r="N40" s="77">
        <v>540.79999999999995</v>
      </c>
      <c r="O40" s="77">
        <v>0</v>
      </c>
      <c r="P40" s="77">
        <v>0.28000000000000003</v>
      </c>
      <c r="Q40" s="77">
        <v>20.149999999999999</v>
      </c>
    </row>
    <row r="41" spans="1:17" s="12" customFormat="1" x14ac:dyDescent="0.25">
      <c r="A41" s="64" t="s">
        <v>2297</v>
      </c>
      <c r="B41" s="77">
        <v>5.15</v>
      </c>
      <c r="C41" s="77">
        <v>13.01</v>
      </c>
      <c r="D41" s="77">
        <v>11.95</v>
      </c>
      <c r="E41" s="77">
        <v>2.19</v>
      </c>
      <c r="F41" s="77">
        <v>6.02</v>
      </c>
      <c r="G41" s="213" t="s">
        <v>42</v>
      </c>
      <c r="H41" s="213" t="s">
        <v>42</v>
      </c>
      <c r="I41" s="9" t="s">
        <v>36</v>
      </c>
      <c r="J41" s="77">
        <v>1.71</v>
      </c>
      <c r="K41" s="77">
        <v>122.27</v>
      </c>
      <c r="L41" s="77">
        <v>24.53</v>
      </c>
      <c r="M41" s="77">
        <v>96.18</v>
      </c>
      <c r="N41" s="77">
        <v>389.4</v>
      </c>
      <c r="O41" s="77">
        <v>0</v>
      </c>
      <c r="P41" s="77">
        <v>0.28999999999999998</v>
      </c>
      <c r="Q41" s="77">
        <v>20.7</v>
      </c>
    </row>
    <row r="42" spans="1:17" s="12" customFormat="1" x14ac:dyDescent="0.25">
      <c r="A42" s="64" t="s">
        <v>2298</v>
      </c>
      <c r="B42" s="77">
        <v>5.0599999999999996</v>
      </c>
      <c r="C42" s="77">
        <v>13</v>
      </c>
      <c r="D42" s="77">
        <v>11.88</v>
      </c>
      <c r="E42" s="77">
        <v>2.4900000000000002</v>
      </c>
      <c r="F42" s="77">
        <v>5.08</v>
      </c>
      <c r="G42" s="213" t="s">
        <v>42</v>
      </c>
      <c r="H42" s="213" t="s">
        <v>42</v>
      </c>
      <c r="I42" s="9" t="s">
        <v>36</v>
      </c>
      <c r="J42" s="77">
        <v>2.13</v>
      </c>
      <c r="K42" s="77">
        <v>120.33</v>
      </c>
      <c r="L42" s="77">
        <v>24.45</v>
      </c>
      <c r="M42" s="77">
        <v>95.4</v>
      </c>
      <c r="N42" s="77">
        <v>395.3</v>
      </c>
      <c r="O42" s="77">
        <v>0</v>
      </c>
      <c r="P42" s="77">
        <v>0.28999999999999998</v>
      </c>
      <c r="Q42" s="77">
        <v>20.88</v>
      </c>
    </row>
    <row r="43" spans="1:17" s="12" customFormat="1" x14ac:dyDescent="0.25">
      <c r="A43" s="64" t="s">
        <v>2299</v>
      </c>
      <c r="B43" s="77">
        <v>5.23</v>
      </c>
      <c r="C43" s="77">
        <v>13.78</v>
      </c>
      <c r="D43" s="77">
        <v>12.44</v>
      </c>
      <c r="E43" s="77">
        <v>2.76</v>
      </c>
      <c r="F43" s="77">
        <v>4.29</v>
      </c>
      <c r="G43" s="213" t="s">
        <v>42</v>
      </c>
      <c r="H43" s="213" t="s">
        <v>42</v>
      </c>
      <c r="I43" s="9" t="s">
        <v>36</v>
      </c>
      <c r="J43" s="77">
        <v>2.4900000000000002</v>
      </c>
      <c r="K43" s="77">
        <v>121.86</v>
      </c>
      <c r="L43" s="77">
        <v>24.62</v>
      </c>
      <c r="M43" s="77">
        <v>93.39</v>
      </c>
      <c r="N43" s="77">
        <v>382.5</v>
      </c>
      <c r="O43" s="77">
        <v>0</v>
      </c>
      <c r="P43" s="77">
        <v>0.28000000000000003</v>
      </c>
      <c r="Q43" s="77">
        <v>21.03</v>
      </c>
    </row>
    <row r="44" spans="1:17" s="12" customFormat="1" x14ac:dyDescent="0.25">
      <c r="A44" s="64" t="s">
        <v>2300</v>
      </c>
      <c r="B44" s="77">
        <v>5.04</v>
      </c>
      <c r="C44" s="77">
        <v>13.16</v>
      </c>
      <c r="D44" s="77">
        <v>11.95</v>
      </c>
      <c r="E44" s="77">
        <v>2.5499999999999998</v>
      </c>
      <c r="F44" s="77">
        <v>4.54</v>
      </c>
      <c r="G44" s="213" t="s">
        <v>42</v>
      </c>
      <c r="H44" s="213" t="s">
        <v>42</v>
      </c>
      <c r="I44" s="9" t="s">
        <v>36</v>
      </c>
      <c r="J44" s="77">
        <v>2.16</v>
      </c>
      <c r="K44" s="77">
        <v>116.56</v>
      </c>
      <c r="L44" s="77">
        <v>24.72</v>
      </c>
      <c r="M44" s="77">
        <v>92.57</v>
      </c>
      <c r="N44" s="77">
        <v>326.5</v>
      </c>
      <c r="O44" s="77">
        <v>0</v>
      </c>
      <c r="P44" s="77">
        <v>0.27</v>
      </c>
      <c r="Q44" s="77">
        <v>19.57</v>
      </c>
    </row>
    <row r="45" spans="1:17" s="12" customFormat="1" x14ac:dyDescent="0.25">
      <c r="A45" s="64" t="s">
        <v>2301</v>
      </c>
      <c r="B45" s="77">
        <v>4.7699999999999996</v>
      </c>
      <c r="C45" s="77">
        <v>13.39</v>
      </c>
      <c r="D45" s="77">
        <v>11.86</v>
      </c>
      <c r="E45" s="77">
        <v>2.7</v>
      </c>
      <c r="F45" s="77">
        <v>4.6100000000000003</v>
      </c>
      <c r="G45" s="213" t="s">
        <v>42</v>
      </c>
      <c r="H45" s="213" t="s">
        <v>42</v>
      </c>
      <c r="I45" s="9" t="s">
        <v>36</v>
      </c>
      <c r="J45" s="77">
        <v>1.66</v>
      </c>
      <c r="K45" s="77">
        <v>117.83</v>
      </c>
      <c r="L45" s="77">
        <v>25.38</v>
      </c>
      <c r="M45" s="77">
        <v>90.3</v>
      </c>
      <c r="N45" s="77">
        <v>712</v>
      </c>
      <c r="O45" s="77">
        <v>0</v>
      </c>
      <c r="P45" s="77">
        <v>0.27</v>
      </c>
      <c r="Q45" s="77">
        <v>18.98</v>
      </c>
    </row>
    <row r="46" spans="1:17" s="12" customFormat="1" x14ac:dyDescent="0.25">
      <c r="A46" s="64" t="s">
        <v>2302</v>
      </c>
      <c r="B46" s="77">
        <v>4.49</v>
      </c>
      <c r="C46" s="77">
        <v>13.43</v>
      </c>
      <c r="D46" s="77">
        <v>11.66</v>
      </c>
      <c r="E46" s="77">
        <v>2.63</v>
      </c>
      <c r="F46" s="77">
        <v>4.57</v>
      </c>
      <c r="G46" s="213" t="s">
        <v>42</v>
      </c>
      <c r="H46" s="213" t="s">
        <v>42</v>
      </c>
      <c r="I46" s="9" t="s">
        <v>36</v>
      </c>
      <c r="J46" s="77">
        <v>1.64</v>
      </c>
      <c r="K46" s="77">
        <v>116.04</v>
      </c>
      <c r="L46" s="77">
        <v>25.54</v>
      </c>
      <c r="M46" s="77">
        <v>88.8</v>
      </c>
      <c r="N46" s="77">
        <v>280.10000000000002</v>
      </c>
      <c r="O46" s="77">
        <v>0</v>
      </c>
      <c r="P46" s="77">
        <v>0.27</v>
      </c>
      <c r="Q46" s="77">
        <v>17.920000000000002</v>
      </c>
    </row>
    <row r="47" spans="1:17" s="12" customFormat="1" x14ac:dyDescent="0.25">
      <c r="A47" s="64" t="s">
        <v>2303</v>
      </c>
      <c r="B47" s="77">
        <v>4.29</v>
      </c>
      <c r="C47" s="77">
        <v>13.78</v>
      </c>
      <c r="D47" s="77">
        <v>11.69</v>
      </c>
      <c r="E47" s="77">
        <v>2.35</v>
      </c>
      <c r="F47" s="77">
        <v>5.08</v>
      </c>
      <c r="G47" s="213" t="s">
        <v>42</v>
      </c>
      <c r="H47" s="213" t="s">
        <v>42</v>
      </c>
      <c r="I47" s="9" t="s">
        <v>36</v>
      </c>
      <c r="J47" s="77">
        <v>0.95</v>
      </c>
      <c r="K47" s="77">
        <v>127.93</v>
      </c>
      <c r="L47" s="77">
        <v>24.89</v>
      </c>
      <c r="M47" s="77">
        <v>92.51</v>
      </c>
      <c r="N47" s="77">
        <v>280.3</v>
      </c>
      <c r="O47" s="77">
        <v>0</v>
      </c>
      <c r="P47" s="77">
        <v>0.26</v>
      </c>
      <c r="Q47" s="77">
        <v>17.12</v>
      </c>
    </row>
    <row r="48" spans="1:17" s="12" customFormat="1" x14ac:dyDescent="0.25">
      <c r="A48" s="64" t="s">
        <v>2304</v>
      </c>
      <c r="B48" s="77">
        <v>4.17</v>
      </c>
      <c r="C48" s="77">
        <v>13.98</v>
      </c>
      <c r="D48" s="77">
        <v>11.7</v>
      </c>
      <c r="E48" s="77">
        <v>2.58</v>
      </c>
      <c r="F48" s="77">
        <v>5.49</v>
      </c>
      <c r="G48" s="213" t="s">
        <v>42</v>
      </c>
      <c r="H48" s="213" t="s">
        <v>42</v>
      </c>
      <c r="I48" s="9" t="s">
        <v>36</v>
      </c>
      <c r="J48" s="77">
        <v>1.57</v>
      </c>
      <c r="K48" s="77">
        <v>115.03</v>
      </c>
      <c r="L48" s="77">
        <v>25.08</v>
      </c>
      <c r="M48" s="77">
        <v>90.57</v>
      </c>
      <c r="N48" s="77">
        <v>303.3</v>
      </c>
      <c r="O48" s="77">
        <v>0</v>
      </c>
      <c r="P48" s="77">
        <v>0.27</v>
      </c>
      <c r="Q48" s="77">
        <v>15.65</v>
      </c>
    </row>
    <row r="49" spans="1:17" s="12" customFormat="1" x14ac:dyDescent="0.25">
      <c r="A49" s="64" t="s">
        <v>2305</v>
      </c>
      <c r="B49" s="77">
        <v>4.09</v>
      </c>
      <c r="C49" s="77">
        <v>13.7</v>
      </c>
      <c r="D49" s="77">
        <v>11.48</v>
      </c>
      <c r="E49" s="77">
        <v>2.87</v>
      </c>
      <c r="F49" s="77">
        <v>5.6</v>
      </c>
      <c r="G49" s="213" t="s">
        <v>42</v>
      </c>
      <c r="H49" s="213" t="s">
        <v>42</v>
      </c>
      <c r="I49" s="9" t="s">
        <v>36</v>
      </c>
      <c r="J49" s="77">
        <v>1.51</v>
      </c>
      <c r="K49" s="77">
        <v>109.31</v>
      </c>
      <c r="L49" s="77">
        <v>25.83</v>
      </c>
      <c r="M49" s="77">
        <v>85.59</v>
      </c>
      <c r="N49" s="77">
        <v>607.4</v>
      </c>
      <c r="O49" s="77">
        <v>0</v>
      </c>
      <c r="P49" s="77">
        <v>0.26</v>
      </c>
      <c r="Q49" s="77">
        <v>14.49</v>
      </c>
    </row>
    <row r="50" spans="1:17" s="12" customFormat="1" x14ac:dyDescent="0.25">
      <c r="A50" s="64" t="s">
        <v>2306</v>
      </c>
      <c r="B50" s="77">
        <v>3.91</v>
      </c>
      <c r="C50" s="77">
        <v>13.67</v>
      </c>
      <c r="D50" s="77">
        <v>11.32</v>
      </c>
      <c r="E50" s="77">
        <v>2.41</v>
      </c>
      <c r="F50" s="77">
        <v>6.41</v>
      </c>
      <c r="G50" s="213" t="s">
        <v>42</v>
      </c>
      <c r="H50" s="213" t="s">
        <v>42</v>
      </c>
      <c r="I50" s="9" t="s">
        <v>36</v>
      </c>
      <c r="J50" s="77">
        <v>0.8</v>
      </c>
      <c r="K50" s="77">
        <v>129.04</v>
      </c>
      <c r="L50" s="77">
        <v>26.23</v>
      </c>
      <c r="M50" s="77">
        <v>83.45</v>
      </c>
      <c r="N50" s="77">
        <v>472.4</v>
      </c>
      <c r="O50" s="77">
        <v>0</v>
      </c>
      <c r="P50" s="77">
        <v>0.28999999999999998</v>
      </c>
      <c r="Q50" s="77">
        <v>14.61</v>
      </c>
    </row>
    <row r="51" spans="1:17" s="12" customFormat="1" x14ac:dyDescent="0.25">
      <c r="A51" s="64" t="s">
        <v>2307</v>
      </c>
      <c r="B51" s="77">
        <v>3.89</v>
      </c>
      <c r="C51" s="77">
        <v>13.68</v>
      </c>
      <c r="D51" s="77">
        <v>11.31</v>
      </c>
      <c r="E51" s="77">
        <v>2.62</v>
      </c>
      <c r="F51" s="77">
        <v>6.95</v>
      </c>
      <c r="G51" s="213" t="s">
        <v>42</v>
      </c>
      <c r="H51" s="213" t="s">
        <v>42</v>
      </c>
      <c r="I51" s="9" t="s">
        <v>36</v>
      </c>
      <c r="J51" s="77">
        <v>1.05</v>
      </c>
      <c r="K51" s="77">
        <v>112.17</v>
      </c>
      <c r="L51" s="77">
        <v>26.16</v>
      </c>
      <c r="M51" s="77">
        <v>83.27</v>
      </c>
      <c r="N51" s="77">
        <v>368.6</v>
      </c>
      <c r="O51" s="77">
        <v>0</v>
      </c>
      <c r="P51" s="77">
        <v>0.28999999999999998</v>
      </c>
      <c r="Q51" s="77">
        <v>15.14</v>
      </c>
    </row>
    <row r="52" spans="1:17" s="12" customFormat="1" x14ac:dyDescent="0.25">
      <c r="A52" s="64" t="s">
        <v>2308</v>
      </c>
      <c r="B52" s="77">
        <v>4.09</v>
      </c>
      <c r="C52" s="77">
        <v>13.82</v>
      </c>
      <c r="D52" s="77">
        <v>11.56</v>
      </c>
      <c r="E52" s="77">
        <v>2.69</v>
      </c>
      <c r="F52" s="77">
        <v>7.97</v>
      </c>
      <c r="G52" s="213" t="s">
        <v>42</v>
      </c>
      <c r="H52" s="213" t="s">
        <v>42</v>
      </c>
      <c r="I52" s="9" t="s">
        <v>36</v>
      </c>
      <c r="J52" s="77">
        <v>1.46</v>
      </c>
      <c r="K52" s="77">
        <v>108.77</v>
      </c>
      <c r="L52" s="77">
        <v>26.02</v>
      </c>
      <c r="M52" s="77">
        <v>84.01</v>
      </c>
      <c r="N52" s="77">
        <v>489.2</v>
      </c>
      <c r="O52" s="77">
        <v>0</v>
      </c>
      <c r="P52" s="77">
        <v>0.28999999999999998</v>
      </c>
      <c r="Q52" s="77">
        <v>15.26</v>
      </c>
    </row>
    <row r="53" spans="1:17" s="12" customFormat="1" x14ac:dyDescent="0.25">
      <c r="A53" s="64" t="s">
        <v>2309</v>
      </c>
      <c r="B53" s="77">
        <v>4.3499999999999996</v>
      </c>
      <c r="C53" s="77">
        <v>13.62</v>
      </c>
      <c r="D53" s="77">
        <v>11.65</v>
      </c>
      <c r="E53" s="77">
        <v>2.4300000000000002</v>
      </c>
      <c r="F53" s="77">
        <v>7.28</v>
      </c>
      <c r="G53" s="213" t="s">
        <v>42</v>
      </c>
      <c r="H53" s="213" t="s">
        <v>42</v>
      </c>
      <c r="I53" s="9" t="s">
        <v>36</v>
      </c>
      <c r="J53" s="77">
        <v>1.65</v>
      </c>
      <c r="K53" s="77">
        <v>113.81</v>
      </c>
      <c r="L53" s="77">
        <v>26.86</v>
      </c>
      <c r="M53" s="77">
        <v>82.71</v>
      </c>
      <c r="N53" s="77">
        <v>982.6</v>
      </c>
      <c r="O53" s="77">
        <v>0</v>
      </c>
      <c r="P53" s="77">
        <v>0.28999999999999998</v>
      </c>
      <c r="Q53" s="77">
        <v>15.54</v>
      </c>
    </row>
    <row r="54" spans="1:17" s="12" customFormat="1" x14ac:dyDescent="0.25">
      <c r="A54" s="64" t="s">
        <v>2310</v>
      </c>
      <c r="B54" s="77">
        <v>4.53</v>
      </c>
      <c r="C54" s="77">
        <v>13.48</v>
      </c>
      <c r="D54" s="77">
        <v>11.72</v>
      </c>
      <c r="E54" s="77">
        <v>2.25</v>
      </c>
      <c r="F54" s="77">
        <v>5.72</v>
      </c>
      <c r="G54" s="213" t="s">
        <v>42</v>
      </c>
      <c r="H54" s="213" t="s">
        <v>42</v>
      </c>
      <c r="I54" s="9" t="s">
        <v>36</v>
      </c>
      <c r="J54" s="77">
        <v>2.14</v>
      </c>
      <c r="K54" s="77">
        <v>108.66</v>
      </c>
      <c r="L54" s="77">
        <v>26.82</v>
      </c>
      <c r="M54" s="77">
        <v>81.72</v>
      </c>
      <c r="N54" s="77">
        <v>593.4</v>
      </c>
      <c r="O54" s="77">
        <v>0</v>
      </c>
      <c r="P54" s="77">
        <v>0.28999999999999998</v>
      </c>
      <c r="Q54" s="77">
        <v>15.74</v>
      </c>
    </row>
    <row r="55" spans="1:17" s="12" customFormat="1" x14ac:dyDescent="0.25">
      <c r="A55" s="64" t="s">
        <v>2311</v>
      </c>
      <c r="B55" s="77">
        <v>4.43</v>
      </c>
      <c r="C55" s="77">
        <v>14.36</v>
      </c>
      <c r="D55" s="77">
        <v>12.12</v>
      </c>
      <c r="E55" s="77">
        <v>2.41</v>
      </c>
      <c r="F55" s="77">
        <v>5.14</v>
      </c>
      <c r="G55" s="213" t="s">
        <v>42</v>
      </c>
      <c r="H55" s="213" t="s">
        <v>42</v>
      </c>
      <c r="I55" s="9" t="s">
        <v>36</v>
      </c>
      <c r="J55" s="77">
        <v>1.76</v>
      </c>
      <c r="K55" s="77">
        <v>117.26</v>
      </c>
      <c r="L55" s="77">
        <v>26.59</v>
      </c>
      <c r="M55" s="77">
        <v>83.23</v>
      </c>
      <c r="N55" s="77">
        <v>428.9</v>
      </c>
      <c r="O55" s="77">
        <v>0</v>
      </c>
      <c r="P55" s="77">
        <v>0.27</v>
      </c>
      <c r="Q55" s="77">
        <v>15.58</v>
      </c>
    </row>
    <row r="56" spans="1:17" s="12" customFormat="1" x14ac:dyDescent="0.25">
      <c r="A56" s="64" t="s">
        <v>2312</v>
      </c>
      <c r="B56" s="77">
        <v>4.18</v>
      </c>
      <c r="C56" s="77">
        <v>13.44</v>
      </c>
      <c r="D56" s="77">
        <v>11.41</v>
      </c>
      <c r="E56" s="77">
        <v>2.2400000000000002</v>
      </c>
      <c r="F56" s="77">
        <v>4.72</v>
      </c>
      <c r="G56" s="213" t="s">
        <v>42</v>
      </c>
      <c r="H56" s="213" t="s">
        <v>42</v>
      </c>
      <c r="I56" s="9" t="s">
        <v>36</v>
      </c>
      <c r="J56" s="77">
        <v>1.95</v>
      </c>
      <c r="K56" s="77">
        <v>116.9</v>
      </c>
      <c r="L56" s="77">
        <v>26.37</v>
      </c>
      <c r="M56" s="77">
        <v>84.54</v>
      </c>
      <c r="N56" s="77">
        <v>389.4</v>
      </c>
      <c r="O56" s="77">
        <v>0</v>
      </c>
      <c r="P56" s="77">
        <v>0.27</v>
      </c>
      <c r="Q56" s="77">
        <v>13.75</v>
      </c>
    </row>
    <row r="57" spans="1:17" s="12" customFormat="1" x14ac:dyDescent="0.25">
      <c r="A57" s="64" t="s">
        <v>2313</v>
      </c>
      <c r="B57" s="77">
        <v>4.04</v>
      </c>
      <c r="C57" s="77">
        <v>13.04</v>
      </c>
      <c r="D57" s="77">
        <v>11.08</v>
      </c>
      <c r="E57" s="77">
        <v>2.84</v>
      </c>
      <c r="F57" s="77">
        <v>5.7</v>
      </c>
      <c r="G57" s="213" t="s">
        <v>42</v>
      </c>
      <c r="H57" s="213" t="s">
        <v>42</v>
      </c>
      <c r="I57" s="9" t="s">
        <v>36</v>
      </c>
      <c r="J57" s="77">
        <v>2</v>
      </c>
      <c r="K57" s="77">
        <v>110.54</v>
      </c>
      <c r="L57" s="77">
        <v>26.98</v>
      </c>
      <c r="M57" s="77">
        <v>81.22</v>
      </c>
      <c r="N57" s="77">
        <v>668</v>
      </c>
      <c r="O57" s="77">
        <v>0</v>
      </c>
      <c r="P57" s="77">
        <v>0.27</v>
      </c>
      <c r="Q57" s="77">
        <v>12.21</v>
      </c>
    </row>
    <row r="58" spans="1:17" s="12" customFormat="1" x14ac:dyDescent="0.25">
      <c r="A58" s="64" t="s">
        <v>2314</v>
      </c>
      <c r="B58" s="77">
        <v>3.85</v>
      </c>
      <c r="C58" s="77">
        <v>13.99</v>
      </c>
      <c r="D58" s="77">
        <v>11.45</v>
      </c>
      <c r="E58" s="77">
        <v>3.1</v>
      </c>
      <c r="F58" s="77">
        <v>3.82</v>
      </c>
      <c r="G58" s="213" t="s">
        <v>42</v>
      </c>
      <c r="H58" s="213" t="s">
        <v>42</v>
      </c>
      <c r="I58" s="9" t="s">
        <v>36</v>
      </c>
      <c r="J58" s="77">
        <v>1.73</v>
      </c>
      <c r="K58" s="77">
        <v>111.18</v>
      </c>
      <c r="L58" s="77">
        <v>27.37</v>
      </c>
      <c r="M58" s="77">
        <v>78.099999999999994</v>
      </c>
      <c r="N58" s="77">
        <v>617.9</v>
      </c>
      <c r="O58" s="77">
        <v>0</v>
      </c>
      <c r="P58" s="77">
        <v>0.27</v>
      </c>
      <c r="Q58" s="77">
        <v>12.49</v>
      </c>
    </row>
    <row r="59" spans="1:17" s="12" customFormat="1" x14ac:dyDescent="0.25">
      <c r="A59" s="64" t="s">
        <v>2315</v>
      </c>
      <c r="B59" s="77">
        <v>3.61</v>
      </c>
      <c r="C59" s="77">
        <v>13.62</v>
      </c>
      <c r="D59" s="77">
        <v>11.05</v>
      </c>
      <c r="E59" s="77">
        <v>2.95</v>
      </c>
      <c r="F59" s="77">
        <v>5.93</v>
      </c>
      <c r="G59" s="213" t="s">
        <v>42</v>
      </c>
      <c r="H59" s="213" t="s">
        <v>42</v>
      </c>
      <c r="I59" s="9" t="s">
        <v>36</v>
      </c>
      <c r="J59" s="77">
        <v>2.0499999999999998</v>
      </c>
      <c r="K59" s="77">
        <v>119.9</v>
      </c>
      <c r="L59" s="77">
        <v>27.88</v>
      </c>
      <c r="M59" s="77">
        <v>77.67</v>
      </c>
      <c r="N59" s="77">
        <v>782.8</v>
      </c>
      <c r="O59" s="77">
        <v>0</v>
      </c>
      <c r="P59" s="77">
        <v>0.26</v>
      </c>
      <c r="Q59" s="77">
        <v>11.22</v>
      </c>
    </row>
    <row r="60" spans="1:17" s="12" customFormat="1" x14ac:dyDescent="0.25">
      <c r="A60" s="64" t="s">
        <v>2316</v>
      </c>
      <c r="B60" s="77">
        <v>3.42</v>
      </c>
      <c r="C60" s="77">
        <v>13.38</v>
      </c>
      <c r="D60" s="77">
        <v>10.77</v>
      </c>
      <c r="E60" s="77">
        <v>2.94</v>
      </c>
      <c r="F60" s="77">
        <v>5.67</v>
      </c>
      <c r="G60" s="213" t="s">
        <v>42</v>
      </c>
      <c r="H60" s="213" t="s">
        <v>42</v>
      </c>
      <c r="I60" s="9" t="s">
        <v>36</v>
      </c>
      <c r="J60" s="77">
        <v>2.0499999999999998</v>
      </c>
      <c r="K60" s="77">
        <v>113.14</v>
      </c>
      <c r="L60" s="77">
        <v>27.85</v>
      </c>
      <c r="M60" s="77">
        <v>75.930000000000007</v>
      </c>
      <c r="N60" s="77">
        <v>966.7</v>
      </c>
      <c r="O60" s="77">
        <v>0</v>
      </c>
      <c r="P60" s="77">
        <v>0.26</v>
      </c>
      <c r="Q60" s="77">
        <v>10.35</v>
      </c>
    </row>
    <row r="61" spans="1:17" s="12" customFormat="1" x14ac:dyDescent="0.25">
      <c r="A61" s="64" t="s">
        <v>2317</v>
      </c>
      <c r="B61" s="77">
        <v>3.25</v>
      </c>
      <c r="C61" s="77">
        <v>14.14</v>
      </c>
      <c r="D61" s="77">
        <v>11.06</v>
      </c>
      <c r="E61" s="77">
        <v>2.91</v>
      </c>
      <c r="F61" s="77">
        <v>5</v>
      </c>
      <c r="G61" s="213" t="s">
        <v>42</v>
      </c>
      <c r="H61" s="213" t="s">
        <v>42</v>
      </c>
      <c r="I61" s="9" t="s">
        <v>36</v>
      </c>
      <c r="J61" s="77">
        <v>2.04</v>
      </c>
      <c r="K61" s="77">
        <v>156.19999999999999</v>
      </c>
      <c r="L61" s="77">
        <v>27.11</v>
      </c>
      <c r="M61" s="77">
        <v>76.900000000000006</v>
      </c>
      <c r="N61" s="77">
        <v>421.6</v>
      </c>
      <c r="O61" s="77">
        <v>0</v>
      </c>
      <c r="P61" s="77">
        <v>0.2</v>
      </c>
      <c r="Q61" s="77">
        <v>10.72</v>
      </c>
    </row>
    <row r="62" spans="1:17" s="12" customFormat="1" x14ac:dyDescent="0.25">
      <c r="A62" s="64" t="s">
        <v>2318</v>
      </c>
      <c r="B62" s="77">
        <v>3.28</v>
      </c>
      <c r="C62" s="77">
        <v>15.3</v>
      </c>
      <c r="D62" s="77">
        <v>11.72</v>
      </c>
      <c r="E62" s="77">
        <v>3.38</v>
      </c>
      <c r="F62" s="77">
        <v>4.92</v>
      </c>
      <c r="G62" s="213" t="s">
        <v>42</v>
      </c>
      <c r="H62" s="213" t="s">
        <v>42</v>
      </c>
      <c r="I62" s="9" t="s">
        <v>36</v>
      </c>
      <c r="J62" s="77">
        <v>1.48</v>
      </c>
      <c r="K62" s="77">
        <v>164.06</v>
      </c>
      <c r="L62" s="77">
        <v>26.35</v>
      </c>
      <c r="M62" s="77">
        <v>80.86</v>
      </c>
      <c r="N62" s="77">
        <v>606.4</v>
      </c>
      <c r="O62" s="77">
        <v>0</v>
      </c>
      <c r="P62" s="77">
        <v>0.22</v>
      </c>
      <c r="Q62" s="77">
        <v>10.32</v>
      </c>
    </row>
    <row r="63" spans="1:17" s="12" customFormat="1" x14ac:dyDescent="0.25">
      <c r="A63" s="64" t="s">
        <v>2319</v>
      </c>
      <c r="B63" s="77">
        <v>3.59</v>
      </c>
      <c r="C63" s="77">
        <v>15.51</v>
      </c>
      <c r="D63" s="77">
        <v>12.08</v>
      </c>
      <c r="E63" s="77">
        <v>2.83</v>
      </c>
      <c r="F63" s="77">
        <v>4.93</v>
      </c>
      <c r="G63" s="213" t="s">
        <v>42</v>
      </c>
      <c r="H63" s="213" t="s">
        <v>42</v>
      </c>
      <c r="I63" s="9" t="s">
        <v>36</v>
      </c>
      <c r="J63" s="77">
        <v>1.55</v>
      </c>
      <c r="K63" s="77">
        <v>162.78</v>
      </c>
      <c r="L63" s="77">
        <v>27.03</v>
      </c>
      <c r="M63" s="77">
        <v>77.290000000000006</v>
      </c>
      <c r="N63" s="77">
        <v>697.8</v>
      </c>
      <c r="O63" s="77">
        <v>0</v>
      </c>
      <c r="P63" s="77">
        <v>0.22</v>
      </c>
      <c r="Q63" s="77">
        <v>10.37</v>
      </c>
    </row>
    <row r="64" spans="1:17" s="12" customFormat="1" x14ac:dyDescent="0.25">
      <c r="A64" s="64" t="s">
        <v>2320</v>
      </c>
      <c r="B64" s="77">
        <v>3.76</v>
      </c>
      <c r="C64" s="77">
        <v>15.16</v>
      </c>
      <c r="D64" s="77">
        <v>12.03</v>
      </c>
      <c r="E64" s="77">
        <v>3.02</v>
      </c>
      <c r="F64" s="77">
        <v>6.51</v>
      </c>
      <c r="G64" s="213" t="s">
        <v>42</v>
      </c>
      <c r="H64" s="213" t="s">
        <v>42</v>
      </c>
      <c r="I64" s="9" t="s">
        <v>36</v>
      </c>
      <c r="J64" s="77">
        <v>1.1299999999999999</v>
      </c>
      <c r="K64" s="77">
        <v>164.85</v>
      </c>
      <c r="L64" s="77">
        <v>27.37</v>
      </c>
      <c r="M64" s="77">
        <v>77.38</v>
      </c>
      <c r="N64" s="77">
        <v>723.3</v>
      </c>
      <c r="O64" s="77">
        <v>0</v>
      </c>
      <c r="P64" s="77">
        <v>0.22</v>
      </c>
      <c r="Q64" s="77">
        <v>9.86</v>
      </c>
    </row>
    <row r="65" spans="1:17" s="12" customFormat="1" x14ac:dyDescent="0.25">
      <c r="A65" s="64" t="s">
        <v>2321</v>
      </c>
      <c r="B65" s="77">
        <v>3.85</v>
      </c>
      <c r="C65" s="77">
        <v>14.34</v>
      </c>
      <c r="D65" s="77">
        <v>11.65</v>
      </c>
      <c r="E65" s="77">
        <v>3.23</v>
      </c>
      <c r="F65" s="77">
        <v>10.38</v>
      </c>
      <c r="G65" s="213" t="s">
        <v>42</v>
      </c>
      <c r="H65" s="213" t="s">
        <v>42</v>
      </c>
      <c r="I65" s="9" t="s">
        <v>36</v>
      </c>
      <c r="J65" s="77">
        <v>0.54</v>
      </c>
      <c r="K65" s="77">
        <v>148.77000000000001</v>
      </c>
      <c r="L65" s="77">
        <v>28.2</v>
      </c>
      <c r="M65" s="77">
        <v>75.81</v>
      </c>
      <c r="N65" s="77">
        <v>621.29999999999995</v>
      </c>
      <c r="O65" s="77">
        <v>0</v>
      </c>
      <c r="P65" s="77">
        <v>0.22</v>
      </c>
      <c r="Q65" s="77">
        <v>9.4</v>
      </c>
    </row>
    <row r="66" spans="1:17" s="12" customFormat="1" x14ac:dyDescent="0.25">
      <c r="A66" s="64" t="s">
        <v>2322</v>
      </c>
      <c r="B66" s="77">
        <v>3.86</v>
      </c>
      <c r="C66" s="77">
        <v>13.28</v>
      </c>
      <c r="D66" s="77">
        <v>11.07</v>
      </c>
      <c r="E66" s="77">
        <v>3.55</v>
      </c>
      <c r="F66" s="77">
        <v>9.3000000000000007</v>
      </c>
      <c r="G66" s="213" t="s">
        <v>42</v>
      </c>
      <c r="H66" s="213" t="s">
        <v>42</v>
      </c>
      <c r="I66" s="9" t="s">
        <v>36</v>
      </c>
      <c r="J66" s="77">
        <v>0.97</v>
      </c>
      <c r="K66" s="77">
        <v>110.08</v>
      </c>
      <c r="L66" s="77">
        <v>28.02</v>
      </c>
      <c r="M66" s="77">
        <v>75.83</v>
      </c>
      <c r="N66" s="77">
        <v>665.3</v>
      </c>
      <c r="O66" s="77">
        <v>0</v>
      </c>
      <c r="P66" s="77">
        <v>0.21</v>
      </c>
      <c r="Q66" s="77">
        <v>9.0399999999999991</v>
      </c>
    </row>
    <row r="67" spans="1:17" s="12" customFormat="1" x14ac:dyDescent="0.25">
      <c r="A67" s="64" t="s">
        <v>2323</v>
      </c>
      <c r="B67" s="77">
        <v>4.0599999999999996</v>
      </c>
      <c r="C67" s="77">
        <v>13.4</v>
      </c>
      <c r="D67" s="77">
        <v>11.3</v>
      </c>
      <c r="E67" s="77">
        <v>3.44</v>
      </c>
      <c r="F67" s="77">
        <v>8.43</v>
      </c>
      <c r="G67" s="213" t="s">
        <v>42</v>
      </c>
      <c r="H67" s="213" t="s">
        <v>42</v>
      </c>
      <c r="I67" s="9" t="s">
        <v>36</v>
      </c>
      <c r="J67" s="77">
        <v>0.66</v>
      </c>
      <c r="K67" s="77">
        <v>128.91999999999999</v>
      </c>
      <c r="L67" s="77">
        <v>28.67</v>
      </c>
      <c r="M67" s="77">
        <v>74.36</v>
      </c>
      <c r="N67" s="77">
        <v>888.2</v>
      </c>
      <c r="O67" s="77">
        <v>0</v>
      </c>
      <c r="P67" s="77">
        <v>0.21</v>
      </c>
      <c r="Q67" s="77">
        <v>8.3699999999999992</v>
      </c>
    </row>
    <row r="68" spans="1:17" s="12" customFormat="1" x14ac:dyDescent="0.25">
      <c r="A68" s="64" t="s">
        <v>2324</v>
      </c>
      <c r="B68" s="77">
        <v>4.34</v>
      </c>
      <c r="C68" s="77">
        <v>13.2</v>
      </c>
      <c r="D68" s="77">
        <v>11.41</v>
      </c>
      <c r="E68" s="77">
        <v>3.1</v>
      </c>
      <c r="F68" s="77">
        <v>8.2899999999999991</v>
      </c>
      <c r="G68" s="77">
        <v>10.78</v>
      </c>
      <c r="H68" s="77">
        <v>7.13</v>
      </c>
      <c r="I68" s="9" t="s">
        <v>36</v>
      </c>
      <c r="J68" s="77">
        <v>0.98</v>
      </c>
      <c r="K68" s="77">
        <v>109.98</v>
      </c>
      <c r="L68" s="77">
        <v>28.85</v>
      </c>
      <c r="M68" s="77">
        <v>72.36</v>
      </c>
      <c r="N68" s="77">
        <v>743.3</v>
      </c>
      <c r="O68" s="77">
        <v>0</v>
      </c>
      <c r="P68" s="77">
        <v>0.2</v>
      </c>
      <c r="Q68" s="77">
        <v>6.86</v>
      </c>
    </row>
    <row r="69" spans="1:17" s="12" customFormat="1" x14ac:dyDescent="0.25">
      <c r="A69" s="64" t="s">
        <v>2325</v>
      </c>
      <c r="B69" s="77">
        <v>4.47</v>
      </c>
      <c r="C69" s="77">
        <v>13.31</v>
      </c>
      <c r="D69" s="77">
        <v>11.57</v>
      </c>
      <c r="E69" s="77">
        <v>2.9</v>
      </c>
      <c r="F69" s="77">
        <v>7.49</v>
      </c>
      <c r="G69" s="77">
        <v>10.87</v>
      </c>
      <c r="H69" s="77">
        <v>7.13</v>
      </c>
      <c r="I69" s="9" t="s">
        <v>36</v>
      </c>
      <c r="J69" s="77">
        <v>0.97</v>
      </c>
      <c r="K69" s="77">
        <v>117.78</v>
      </c>
      <c r="L69" s="77">
        <v>28.9</v>
      </c>
      <c r="M69" s="77">
        <v>70.819999999999993</v>
      </c>
      <c r="N69" s="77">
        <v>351.7</v>
      </c>
      <c r="O69" s="77">
        <v>0</v>
      </c>
      <c r="P69" s="77">
        <v>0.19</v>
      </c>
      <c r="Q69" s="77">
        <v>6.56</v>
      </c>
    </row>
    <row r="70" spans="1:17" s="12" customFormat="1" x14ac:dyDescent="0.25">
      <c r="A70" s="64" t="s">
        <v>2326</v>
      </c>
      <c r="B70" s="77">
        <v>4.9400000000000004</v>
      </c>
      <c r="C70" s="77">
        <v>14.27</v>
      </c>
      <c r="D70" s="77">
        <v>12.48</v>
      </c>
      <c r="E70" s="77">
        <v>3.34</v>
      </c>
      <c r="F70" s="77">
        <v>6.64</v>
      </c>
      <c r="G70" s="77">
        <v>10.87</v>
      </c>
      <c r="H70" s="77">
        <v>7.13</v>
      </c>
      <c r="I70" s="9" t="s">
        <v>36</v>
      </c>
      <c r="J70" s="77">
        <v>1.1100000000000001</v>
      </c>
      <c r="K70" s="77">
        <v>118.41</v>
      </c>
      <c r="L70" s="77">
        <v>28.63</v>
      </c>
      <c r="M70" s="77">
        <v>71.349999999999994</v>
      </c>
      <c r="N70" s="77">
        <v>224.7</v>
      </c>
      <c r="O70" s="77">
        <v>0</v>
      </c>
      <c r="P70" s="77">
        <v>0.19</v>
      </c>
      <c r="Q70" s="77">
        <v>6.99</v>
      </c>
    </row>
    <row r="71" spans="1:17" s="12" customFormat="1" x14ac:dyDescent="0.25">
      <c r="A71" s="64" t="s">
        <v>2327</v>
      </c>
      <c r="B71" s="77">
        <v>6.29</v>
      </c>
      <c r="C71" s="77">
        <v>15.61</v>
      </c>
      <c r="D71" s="77">
        <v>14.3</v>
      </c>
      <c r="E71" s="77">
        <v>2.82</v>
      </c>
      <c r="F71" s="77">
        <v>7.55</v>
      </c>
      <c r="G71" s="77">
        <v>10.87</v>
      </c>
      <c r="H71" s="77">
        <v>7.13</v>
      </c>
      <c r="I71" s="9" t="s">
        <v>36</v>
      </c>
      <c r="J71" s="77">
        <v>0.9</v>
      </c>
      <c r="K71" s="77">
        <v>107.76</v>
      </c>
      <c r="L71" s="77">
        <v>27.89</v>
      </c>
      <c r="M71" s="77">
        <v>73.5</v>
      </c>
      <c r="N71" s="77">
        <v>233.2</v>
      </c>
      <c r="O71" s="77">
        <v>0</v>
      </c>
      <c r="P71" s="77">
        <v>0.22</v>
      </c>
      <c r="Q71" s="77">
        <v>6.57</v>
      </c>
    </row>
    <row r="72" spans="1:17" s="12" customFormat="1" x14ac:dyDescent="0.25">
      <c r="A72" s="64" t="s">
        <v>2328</v>
      </c>
      <c r="B72" s="77">
        <v>6.31</v>
      </c>
      <c r="C72" s="77">
        <v>15.49</v>
      </c>
      <c r="D72" s="77">
        <v>14.26</v>
      </c>
      <c r="E72" s="77">
        <v>1.83</v>
      </c>
      <c r="F72" s="77">
        <v>7.93</v>
      </c>
      <c r="G72" s="77">
        <v>8.31</v>
      </c>
      <c r="H72" s="77">
        <v>5.85</v>
      </c>
      <c r="I72" s="9" t="s">
        <v>36</v>
      </c>
      <c r="J72" s="77">
        <v>1.01</v>
      </c>
      <c r="K72" s="77">
        <v>112.93</v>
      </c>
      <c r="L72" s="77">
        <v>27.89</v>
      </c>
      <c r="M72" s="77">
        <v>72.36</v>
      </c>
      <c r="N72" s="77">
        <v>346.3</v>
      </c>
      <c r="O72" s="77">
        <v>0</v>
      </c>
      <c r="P72" s="77">
        <v>0.25</v>
      </c>
      <c r="Q72" s="77">
        <v>6.37</v>
      </c>
    </row>
    <row r="73" spans="1:17" s="12" customFormat="1" x14ac:dyDescent="0.25">
      <c r="A73" s="64" t="s">
        <v>2329</v>
      </c>
      <c r="B73" s="77">
        <v>5.54</v>
      </c>
      <c r="C73" s="77">
        <v>15.05</v>
      </c>
      <c r="D73" s="77">
        <v>13.39</v>
      </c>
      <c r="E73" s="77">
        <v>1.94</v>
      </c>
      <c r="F73" s="77">
        <v>12.73</v>
      </c>
      <c r="G73" s="77">
        <v>8.2200000000000006</v>
      </c>
      <c r="H73" s="77">
        <v>5.85</v>
      </c>
      <c r="I73" s="9" t="s">
        <v>36</v>
      </c>
      <c r="J73" s="77">
        <v>0.66</v>
      </c>
      <c r="K73" s="77">
        <v>123.73</v>
      </c>
      <c r="L73" s="77">
        <v>28.53</v>
      </c>
      <c r="M73" s="77">
        <v>71.23</v>
      </c>
      <c r="N73" s="77">
        <v>357.2</v>
      </c>
      <c r="O73" s="77">
        <v>0</v>
      </c>
      <c r="P73" s="77">
        <v>0.24</v>
      </c>
      <c r="Q73" s="77">
        <v>7.62</v>
      </c>
    </row>
    <row r="74" spans="1:17" s="12" customFormat="1" x14ac:dyDescent="0.25">
      <c r="A74" s="64" t="s">
        <v>2330</v>
      </c>
      <c r="B74" s="77">
        <v>4.1399999999999997</v>
      </c>
      <c r="C74" s="77">
        <v>14.37</v>
      </c>
      <c r="D74" s="77">
        <v>11.89</v>
      </c>
      <c r="E74" s="77">
        <v>2.41</v>
      </c>
      <c r="F74" s="77">
        <v>19.82</v>
      </c>
      <c r="G74" s="77">
        <v>8.2200000000000006</v>
      </c>
      <c r="H74" s="77">
        <v>5.85</v>
      </c>
      <c r="I74" s="9" t="s">
        <v>36</v>
      </c>
      <c r="J74" s="77">
        <v>0.59</v>
      </c>
      <c r="K74" s="77">
        <v>114.75</v>
      </c>
      <c r="L74" s="77">
        <v>28.63</v>
      </c>
      <c r="M74" s="77">
        <v>69.73</v>
      </c>
      <c r="N74" s="77">
        <v>240.9</v>
      </c>
      <c r="O74" s="77">
        <v>0</v>
      </c>
      <c r="P74" s="77">
        <v>0.22</v>
      </c>
      <c r="Q74" s="77">
        <v>8.99</v>
      </c>
    </row>
    <row r="75" spans="1:17" s="12" customFormat="1" x14ac:dyDescent="0.25">
      <c r="A75" s="64" t="s">
        <v>2331</v>
      </c>
      <c r="B75" s="77">
        <v>5.72</v>
      </c>
      <c r="C75" s="77">
        <v>14.5</v>
      </c>
      <c r="D75" s="77">
        <v>13.22</v>
      </c>
      <c r="E75" s="77">
        <v>2.38</v>
      </c>
      <c r="F75" s="77">
        <v>18.96</v>
      </c>
      <c r="G75" s="77">
        <v>8.2200000000000006</v>
      </c>
      <c r="H75" s="77">
        <v>5.85</v>
      </c>
      <c r="I75" s="9" t="s">
        <v>36</v>
      </c>
      <c r="J75" s="77">
        <v>0.75</v>
      </c>
      <c r="K75" s="77">
        <v>114.71</v>
      </c>
      <c r="L75" s="77">
        <v>28.51</v>
      </c>
      <c r="M75" s="77">
        <v>70.59</v>
      </c>
      <c r="N75" s="77">
        <v>165.6</v>
      </c>
      <c r="O75" s="77">
        <v>0</v>
      </c>
      <c r="P75" s="77">
        <v>0.25</v>
      </c>
      <c r="Q75" s="77">
        <v>10.26</v>
      </c>
    </row>
    <row r="76" spans="1:17" s="12" customFormat="1" x14ac:dyDescent="0.25">
      <c r="A76" s="64" t="s">
        <v>2332</v>
      </c>
      <c r="B76" s="77">
        <v>4.84</v>
      </c>
      <c r="C76" s="77">
        <v>14.27</v>
      </c>
      <c r="D76" s="77">
        <v>12.41</v>
      </c>
      <c r="E76" s="77">
        <v>2.2599999999999998</v>
      </c>
      <c r="F76" s="77">
        <v>3.23</v>
      </c>
      <c r="G76" s="77">
        <v>27.36</v>
      </c>
      <c r="H76" s="77">
        <v>4.9400000000000004</v>
      </c>
      <c r="I76" s="9" t="s">
        <v>36</v>
      </c>
      <c r="J76" s="77">
        <v>1.49</v>
      </c>
      <c r="K76" s="77">
        <v>167.47</v>
      </c>
      <c r="L76" s="77">
        <v>28.22</v>
      </c>
      <c r="M76" s="77">
        <v>73.3</v>
      </c>
      <c r="N76" s="77">
        <v>102.4</v>
      </c>
      <c r="O76" s="77">
        <v>0</v>
      </c>
      <c r="P76" s="77">
        <v>0.24</v>
      </c>
      <c r="Q76" s="213" t="s">
        <v>42</v>
      </c>
    </row>
    <row r="77" spans="1:17" s="12" customFormat="1" x14ac:dyDescent="0.25">
      <c r="A77" s="64" t="s">
        <v>2333</v>
      </c>
      <c r="B77" s="213" t="s">
        <v>42</v>
      </c>
      <c r="C77" s="213" t="s">
        <v>42</v>
      </c>
      <c r="D77" s="213" t="s">
        <v>42</v>
      </c>
      <c r="E77" s="213" t="s">
        <v>42</v>
      </c>
      <c r="F77" s="77">
        <v>10.08</v>
      </c>
      <c r="G77" s="77">
        <v>8.94</v>
      </c>
      <c r="H77" s="77">
        <v>4.9400000000000004</v>
      </c>
      <c r="I77" s="9" t="s">
        <v>36</v>
      </c>
      <c r="J77" s="77">
        <v>0.33</v>
      </c>
      <c r="K77" s="77">
        <v>181.01</v>
      </c>
      <c r="L77" s="77">
        <v>25.43</v>
      </c>
      <c r="M77" s="77">
        <v>88.56</v>
      </c>
      <c r="N77" s="77">
        <v>112.2</v>
      </c>
      <c r="O77" s="77">
        <v>0</v>
      </c>
      <c r="P77" s="77">
        <v>0.17</v>
      </c>
      <c r="Q77" s="213" t="s">
        <v>42</v>
      </c>
    </row>
    <row r="78" spans="1:17" s="12" customFormat="1" x14ac:dyDescent="0.25">
      <c r="A78" s="64" t="s">
        <v>2334</v>
      </c>
      <c r="B78" s="77">
        <v>2.59</v>
      </c>
      <c r="C78" s="77">
        <v>9.11</v>
      </c>
      <c r="D78" s="77">
        <v>7.73</v>
      </c>
      <c r="E78" s="77">
        <v>2.77</v>
      </c>
      <c r="F78" s="77">
        <v>7.16</v>
      </c>
      <c r="G78" s="77">
        <v>8.94</v>
      </c>
      <c r="H78" s="77">
        <v>4.9400000000000004</v>
      </c>
      <c r="I78" s="9" t="s">
        <v>36</v>
      </c>
      <c r="J78" s="77">
        <v>0.46</v>
      </c>
      <c r="K78" s="77">
        <v>166.28</v>
      </c>
      <c r="L78" s="77">
        <v>25.63</v>
      </c>
      <c r="M78" s="77">
        <v>87.97</v>
      </c>
      <c r="N78" s="77">
        <v>115.6</v>
      </c>
      <c r="O78" s="77">
        <v>0</v>
      </c>
      <c r="P78" s="77">
        <v>0.21</v>
      </c>
      <c r="Q78" s="213" t="s">
        <v>42</v>
      </c>
    </row>
    <row r="79" spans="1:17" s="12" customFormat="1" x14ac:dyDescent="0.25">
      <c r="A79" s="64" t="s">
        <v>2335</v>
      </c>
      <c r="B79" s="77">
        <v>4.4400000000000004</v>
      </c>
      <c r="C79" s="77">
        <v>13.95</v>
      </c>
      <c r="D79" s="77">
        <v>11.91</v>
      </c>
      <c r="E79" s="77">
        <v>1.44</v>
      </c>
      <c r="F79" s="77">
        <v>5.0999999999999996</v>
      </c>
      <c r="G79" s="77">
        <v>8.94</v>
      </c>
      <c r="H79" s="77">
        <v>4.9400000000000004</v>
      </c>
      <c r="I79" s="9" t="s">
        <v>36</v>
      </c>
      <c r="J79" s="77">
        <v>0.71</v>
      </c>
      <c r="K79" s="77">
        <v>197.94</v>
      </c>
      <c r="L79" s="77">
        <v>25.61</v>
      </c>
      <c r="M79" s="77">
        <v>89.67</v>
      </c>
      <c r="N79" s="77">
        <v>87.6</v>
      </c>
      <c r="O79" s="77">
        <v>0</v>
      </c>
      <c r="P79" s="77">
        <v>0.15</v>
      </c>
      <c r="Q79" s="77">
        <v>30.47</v>
      </c>
    </row>
    <row r="80" spans="1:17" s="12" customFormat="1" x14ac:dyDescent="0.25">
      <c r="A80" s="64" t="s">
        <v>2336</v>
      </c>
      <c r="B80" s="77">
        <v>4.6900000000000004</v>
      </c>
      <c r="C80" s="77">
        <v>14.81</v>
      </c>
      <c r="D80" s="77">
        <v>12.58</v>
      </c>
      <c r="E80" s="77">
        <v>0.11</v>
      </c>
      <c r="F80" s="77">
        <v>5.39</v>
      </c>
      <c r="G80" s="77">
        <v>14.54</v>
      </c>
      <c r="H80" s="77">
        <v>4.7300000000000004</v>
      </c>
      <c r="I80" s="9" t="s">
        <v>36</v>
      </c>
      <c r="J80" s="77">
        <v>0.47</v>
      </c>
      <c r="K80" s="77">
        <v>193.24</v>
      </c>
      <c r="L80" s="77">
        <v>24.96</v>
      </c>
      <c r="M80" s="77">
        <v>89.78</v>
      </c>
      <c r="N80" s="77">
        <v>70.5</v>
      </c>
      <c r="O80" s="77">
        <v>0</v>
      </c>
      <c r="P80" s="77">
        <v>0.14000000000000001</v>
      </c>
      <c r="Q80" s="77">
        <v>29.46</v>
      </c>
    </row>
    <row r="81" spans="1:17" s="12" customFormat="1" x14ac:dyDescent="0.25">
      <c r="A81" s="64" t="s">
        <v>2337</v>
      </c>
      <c r="B81" s="77">
        <v>4.4400000000000004</v>
      </c>
      <c r="C81" s="77">
        <v>15.24</v>
      </c>
      <c r="D81" s="77">
        <v>12.62</v>
      </c>
      <c r="E81" s="77">
        <v>0.01</v>
      </c>
      <c r="F81" s="77">
        <v>5.86</v>
      </c>
      <c r="G81" s="77">
        <v>14.73</v>
      </c>
      <c r="H81" s="77">
        <v>4.7300000000000004</v>
      </c>
      <c r="I81" s="9" t="s">
        <v>36</v>
      </c>
      <c r="J81" s="77">
        <v>0.2</v>
      </c>
      <c r="K81" s="77">
        <v>149.85</v>
      </c>
      <c r="L81" s="77">
        <v>24.65</v>
      </c>
      <c r="M81" s="77">
        <v>90.69</v>
      </c>
      <c r="N81" s="77">
        <v>54.8</v>
      </c>
      <c r="O81" s="77">
        <v>0</v>
      </c>
      <c r="P81" s="77">
        <v>0.14000000000000001</v>
      </c>
      <c r="Q81" s="77">
        <v>26.98</v>
      </c>
    </row>
    <row r="82" spans="1:17" s="12" customFormat="1" x14ac:dyDescent="0.25">
      <c r="A82" s="64" t="s">
        <v>2338</v>
      </c>
      <c r="B82" s="77">
        <v>4.8499999999999996</v>
      </c>
      <c r="C82" s="77">
        <v>16.670000000000002</v>
      </c>
      <c r="D82" s="77">
        <v>13.74</v>
      </c>
      <c r="E82" s="213" t="s">
        <v>42</v>
      </c>
      <c r="F82" s="77">
        <v>5.36</v>
      </c>
      <c r="G82" s="77">
        <v>14.73</v>
      </c>
      <c r="H82" s="77">
        <v>4.7300000000000004</v>
      </c>
      <c r="I82" s="9" t="s">
        <v>36</v>
      </c>
      <c r="J82" s="77">
        <v>0.37</v>
      </c>
      <c r="K82" s="77">
        <v>347.74</v>
      </c>
      <c r="L82" s="77">
        <v>24.58</v>
      </c>
      <c r="M82" s="77">
        <v>92.49</v>
      </c>
      <c r="N82" s="77">
        <v>45.8</v>
      </c>
      <c r="O82" s="77">
        <v>0</v>
      </c>
      <c r="P82" s="77">
        <v>0.18</v>
      </c>
      <c r="Q82" s="77">
        <v>24.42</v>
      </c>
    </row>
    <row r="83" spans="1:17" s="12" customFormat="1" x14ac:dyDescent="0.25">
      <c r="A83" s="64" t="s">
        <v>2339</v>
      </c>
      <c r="B83" s="77">
        <v>7.56</v>
      </c>
      <c r="C83" s="77">
        <v>17.399999999999999</v>
      </c>
      <c r="D83" s="77">
        <v>16.309999999999999</v>
      </c>
      <c r="E83" s="213" t="s">
        <v>42</v>
      </c>
      <c r="F83" s="77">
        <v>6.62</v>
      </c>
      <c r="G83" s="77">
        <v>14.73</v>
      </c>
      <c r="H83" s="77">
        <v>4.7300000000000004</v>
      </c>
      <c r="I83" s="9" t="s">
        <v>36</v>
      </c>
      <c r="J83" s="77">
        <v>0.45</v>
      </c>
      <c r="K83" s="77">
        <v>356.91</v>
      </c>
      <c r="L83" s="77">
        <v>24.73</v>
      </c>
      <c r="M83" s="77">
        <v>92.38</v>
      </c>
      <c r="N83" s="77">
        <v>41</v>
      </c>
      <c r="O83" s="77">
        <v>0</v>
      </c>
      <c r="P83" s="77">
        <v>0.35</v>
      </c>
      <c r="Q83" s="77">
        <v>22.31</v>
      </c>
    </row>
    <row r="84" spans="1:17" s="12" customFormat="1" x14ac:dyDescent="0.25">
      <c r="A84" s="64" t="s">
        <v>2340</v>
      </c>
      <c r="B84" s="77">
        <v>10.210000000000001</v>
      </c>
      <c r="C84" s="77">
        <v>17.54</v>
      </c>
      <c r="D84" s="77">
        <v>18.510000000000002</v>
      </c>
      <c r="E84" s="213" t="s">
        <v>42</v>
      </c>
      <c r="F84" s="77">
        <v>6.12</v>
      </c>
      <c r="G84" s="77">
        <v>19.38</v>
      </c>
      <c r="H84" s="77">
        <v>4.37</v>
      </c>
      <c r="I84" s="9" t="s">
        <v>36</v>
      </c>
      <c r="J84" s="77">
        <v>0.17</v>
      </c>
      <c r="K84" s="77">
        <v>358.67</v>
      </c>
      <c r="L84" s="77">
        <v>24.87</v>
      </c>
      <c r="M84" s="77">
        <v>89.48</v>
      </c>
      <c r="N84" s="77">
        <v>40.299999999999997</v>
      </c>
      <c r="O84" s="77">
        <v>0</v>
      </c>
      <c r="P84" s="77">
        <v>0.36</v>
      </c>
      <c r="Q84" s="77">
        <v>19.920000000000002</v>
      </c>
    </row>
    <row r="85" spans="1:17" s="12" customFormat="1" x14ac:dyDescent="0.25">
      <c r="A85" s="64" t="s">
        <v>2341</v>
      </c>
      <c r="B85" s="77">
        <v>13.74</v>
      </c>
      <c r="C85" s="77">
        <v>18.940000000000001</v>
      </c>
      <c r="D85" s="77">
        <v>22.12</v>
      </c>
      <c r="E85" s="213" t="s">
        <v>42</v>
      </c>
      <c r="F85" s="77">
        <v>8.5299999999999994</v>
      </c>
      <c r="G85" s="77">
        <v>19.54</v>
      </c>
      <c r="H85" s="77">
        <v>4.37</v>
      </c>
      <c r="I85" s="9" t="s">
        <v>36</v>
      </c>
      <c r="J85" s="77">
        <v>0.16</v>
      </c>
      <c r="K85" s="77">
        <v>340.52</v>
      </c>
      <c r="L85" s="77">
        <v>24.75</v>
      </c>
      <c r="M85" s="77">
        <v>89.51</v>
      </c>
      <c r="N85" s="77">
        <v>40.299999999999997</v>
      </c>
      <c r="O85" s="77">
        <v>0</v>
      </c>
      <c r="P85" s="77">
        <v>0.74</v>
      </c>
      <c r="Q85" s="77">
        <v>20.399999999999999</v>
      </c>
    </row>
    <row r="86" spans="1:17" s="12" customFormat="1" x14ac:dyDescent="0.25">
      <c r="A86" s="64" t="s">
        <v>2342</v>
      </c>
      <c r="B86" s="77">
        <v>6.83</v>
      </c>
      <c r="C86" s="77">
        <v>17.89</v>
      </c>
      <c r="D86" s="77">
        <v>16</v>
      </c>
      <c r="E86" s="213" t="s">
        <v>42</v>
      </c>
      <c r="F86" s="77">
        <v>7.33</v>
      </c>
      <c r="G86" s="77">
        <v>19.54</v>
      </c>
      <c r="H86" s="77">
        <v>4.37</v>
      </c>
      <c r="I86" s="9" t="s">
        <v>36</v>
      </c>
      <c r="J86" s="77">
        <v>0.15</v>
      </c>
      <c r="K86" s="77">
        <v>29.64</v>
      </c>
      <c r="L86" s="77">
        <v>24.31</v>
      </c>
      <c r="M86" s="77">
        <v>93.85</v>
      </c>
      <c r="N86" s="77">
        <v>40.200000000000003</v>
      </c>
      <c r="O86" s="77">
        <v>1.2</v>
      </c>
      <c r="P86" s="77">
        <v>0.48</v>
      </c>
      <c r="Q86" s="77">
        <v>20.45</v>
      </c>
    </row>
    <row r="87" spans="1:17" s="12" customFormat="1" x14ac:dyDescent="0.25">
      <c r="A87" s="64" t="s">
        <v>2343</v>
      </c>
      <c r="B87" s="77">
        <v>8.02</v>
      </c>
      <c r="C87" s="77">
        <v>16.32</v>
      </c>
      <c r="D87" s="77">
        <v>16.079999999999998</v>
      </c>
      <c r="E87" s="213" t="s">
        <v>42</v>
      </c>
      <c r="F87" s="77">
        <v>7.42</v>
      </c>
      <c r="G87" s="77">
        <v>19.54</v>
      </c>
      <c r="H87" s="77">
        <v>4.37</v>
      </c>
      <c r="I87" s="9" t="s">
        <v>36</v>
      </c>
      <c r="J87" s="77">
        <v>0.56999999999999995</v>
      </c>
      <c r="K87" s="77">
        <v>127.96</v>
      </c>
      <c r="L87" s="77">
        <v>23.21</v>
      </c>
      <c r="M87" s="77">
        <v>97.27</v>
      </c>
      <c r="N87" s="77">
        <v>42.2</v>
      </c>
      <c r="O87" s="77">
        <v>13.8</v>
      </c>
      <c r="P87" s="77">
        <v>0.49</v>
      </c>
      <c r="Q87" s="77">
        <v>19.760000000000002</v>
      </c>
    </row>
    <row r="88" spans="1:17" s="12" customFormat="1" x14ac:dyDescent="0.25">
      <c r="A88" s="64" t="s">
        <v>2344</v>
      </c>
      <c r="B88" s="77">
        <v>7.75</v>
      </c>
      <c r="C88" s="77">
        <v>15.51</v>
      </c>
      <c r="D88" s="77">
        <v>15.42</v>
      </c>
      <c r="E88" s="77">
        <v>1.39</v>
      </c>
      <c r="F88" s="77">
        <v>4.6399999999999997</v>
      </c>
      <c r="G88" s="77">
        <v>26.2</v>
      </c>
      <c r="H88" s="77">
        <v>5.39</v>
      </c>
      <c r="I88" s="9" t="s">
        <v>36</v>
      </c>
      <c r="J88" s="77">
        <v>0.56000000000000005</v>
      </c>
      <c r="K88" s="77">
        <v>168.56</v>
      </c>
      <c r="L88" s="77">
        <v>22.86</v>
      </c>
      <c r="M88" s="77">
        <v>97.27</v>
      </c>
      <c r="N88" s="77">
        <v>40.700000000000003</v>
      </c>
      <c r="O88" s="77">
        <v>16.2</v>
      </c>
      <c r="P88" s="77">
        <v>0.46</v>
      </c>
      <c r="Q88" s="77">
        <v>20.29</v>
      </c>
    </row>
    <row r="89" spans="1:17" s="12" customFormat="1" x14ac:dyDescent="0.25">
      <c r="A89" s="64" t="s">
        <v>2345</v>
      </c>
      <c r="B89" s="77">
        <v>8.8000000000000007</v>
      </c>
      <c r="C89" s="77">
        <v>15.82</v>
      </c>
      <c r="D89" s="77">
        <v>16.43</v>
      </c>
      <c r="E89" s="77">
        <v>2.5299999999999998</v>
      </c>
      <c r="F89" s="77">
        <v>4.9800000000000004</v>
      </c>
      <c r="G89" s="77">
        <v>26.43</v>
      </c>
      <c r="H89" s="77">
        <v>5.39</v>
      </c>
      <c r="I89" s="9" t="s">
        <v>36</v>
      </c>
      <c r="J89" s="77">
        <v>0.13</v>
      </c>
      <c r="K89" s="77">
        <v>343.99</v>
      </c>
      <c r="L89" s="77">
        <v>22.79</v>
      </c>
      <c r="M89" s="77">
        <v>97.27</v>
      </c>
      <c r="N89" s="77">
        <v>40.5</v>
      </c>
      <c r="O89" s="77">
        <v>0.2</v>
      </c>
      <c r="P89" s="77">
        <v>0.5</v>
      </c>
      <c r="Q89" s="77">
        <v>20.23</v>
      </c>
    </row>
    <row r="90" spans="1:17" s="12" customFormat="1" x14ac:dyDescent="0.25">
      <c r="A90" s="64" t="s">
        <v>2346</v>
      </c>
      <c r="B90" s="77">
        <v>10.06</v>
      </c>
      <c r="C90" s="77">
        <v>16.41</v>
      </c>
      <c r="D90" s="77">
        <v>17.77</v>
      </c>
      <c r="E90" s="77">
        <v>2.66</v>
      </c>
      <c r="F90" s="77">
        <v>5.94</v>
      </c>
      <c r="G90" s="77">
        <v>26.43</v>
      </c>
      <c r="H90" s="77">
        <v>5.39</v>
      </c>
      <c r="I90" s="9" t="s">
        <v>36</v>
      </c>
      <c r="J90" s="77">
        <v>0.09</v>
      </c>
      <c r="K90" s="77">
        <v>52.28</v>
      </c>
      <c r="L90" s="77">
        <v>22.81</v>
      </c>
      <c r="M90" s="77">
        <v>97.26</v>
      </c>
      <c r="N90" s="77">
        <v>40.1</v>
      </c>
      <c r="O90" s="77">
        <v>0.2</v>
      </c>
      <c r="P90" s="77">
        <v>0.54</v>
      </c>
      <c r="Q90" s="77">
        <v>18.079999999999998</v>
      </c>
    </row>
    <row r="91" spans="1:17" s="12" customFormat="1" x14ac:dyDescent="0.25">
      <c r="A91" s="64" t="s">
        <v>2347</v>
      </c>
      <c r="B91" s="77">
        <v>11.57</v>
      </c>
      <c r="C91" s="77">
        <v>17.5</v>
      </c>
      <c r="D91" s="77">
        <v>19.59</v>
      </c>
      <c r="E91" s="77">
        <v>2.2599999999999998</v>
      </c>
      <c r="F91" s="77">
        <v>4.71</v>
      </c>
      <c r="G91" s="77">
        <v>26.43</v>
      </c>
      <c r="H91" s="77">
        <v>5.39</v>
      </c>
      <c r="I91" s="9" t="s">
        <v>36</v>
      </c>
      <c r="J91" s="77">
        <v>0.03</v>
      </c>
      <c r="K91" s="77">
        <v>39.950000000000003</v>
      </c>
      <c r="L91" s="77">
        <v>22.97</v>
      </c>
      <c r="M91" s="77">
        <v>97.25</v>
      </c>
      <c r="N91" s="77">
        <v>40.200000000000003</v>
      </c>
      <c r="O91" s="77">
        <v>0</v>
      </c>
      <c r="P91" s="77">
        <v>0.62</v>
      </c>
      <c r="Q91" s="77">
        <v>17.36</v>
      </c>
    </row>
    <row r="92" spans="1:17" s="12" customFormat="1" x14ac:dyDescent="0.25">
      <c r="A92" s="64" t="s">
        <v>2348</v>
      </c>
      <c r="B92" s="77">
        <v>12.65</v>
      </c>
      <c r="C92" s="77">
        <v>15.42</v>
      </c>
      <c r="D92" s="77">
        <v>19.3</v>
      </c>
      <c r="E92" s="77">
        <v>2.6</v>
      </c>
      <c r="F92" s="77">
        <v>4.01</v>
      </c>
      <c r="G92" s="77">
        <v>18.93</v>
      </c>
      <c r="H92" s="77">
        <v>6.03</v>
      </c>
      <c r="I92" s="9" t="s">
        <v>36</v>
      </c>
      <c r="J92" s="77">
        <v>0.22</v>
      </c>
      <c r="K92" s="77">
        <v>11.01</v>
      </c>
      <c r="L92" s="77">
        <v>23.08</v>
      </c>
      <c r="M92" s="77">
        <v>97.25</v>
      </c>
      <c r="N92" s="77">
        <v>40.6</v>
      </c>
      <c r="O92" s="77">
        <v>0.2</v>
      </c>
      <c r="P92" s="77">
        <v>0.56999999999999995</v>
      </c>
      <c r="Q92" s="77">
        <v>16.54</v>
      </c>
    </row>
    <row r="93" spans="1:17" s="12" customFormat="1" x14ac:dyDescent="0.25">
      <c r="A93" s="64" t="s">
        <v>2349</v>
      </c>
      <c r="B93" s="77">
        <v>13.99</v>
      </c>
      <c r="C93" s="77">
        <v>18.170000000000002</v>
      </c>
      <c r="D93" s="77">
        <v>21.89</v>
      </c>
      <c r="E93" s="77">
        <v>1.9</v>
      </c>
      <c r="F93" s="77">
        <v>5.53</v>
      </c>
      <c r="G93" s="77">
        <v>18.579999999999998</v>
      </c>
      <c r="H93" s="77">
        <v>6.03</v>
      </c>
      <c r="I93" s="9" t="s">
        <v>36</v>
      </c>
      <c r="J93" s="77">
        <v>0.03</v>
      </c>
      <c r="K93" s="77">
        <v>82.49</v>
      </c>
      <c r="L93" s="77">
        <v>22.99</v>
      </c>
      <c r="M93" s="77">
        <v>97.25</v>
      </c>
      <c r="N93" s="77">
        <v>40.4</v>
      </c>
      <c r="O93" s="77">
        <v>0</v>
      </c>
      <c r="P93" s="77">
        <v>0.61</v>
      </c>
      <c r="Q93" s="77">
        <v>16.32</v>
      </c>
    </row>
    <row r="94" spans="1:17" s="12" customFormat="1" x14ac:dyDescent="0.25">
      <c r="A94" s="64" t="s">
        <v>2350</v>
      </c>
      <c r="B94" s="77">
        <v>12.32</v>
      </c>
      <c r="C94" s="77">
        <v>18.399999999999999</v>
      </c>
      <c r="D94" s="77">
        <v>20.68</v>
      </c>
      <c r="E94" s="77">
        <v>2.2000000000000002</v>
      </c>
      <c r="F94" s="77">
        <v>6.19</v>
      </c>
      <c r="G94" s="77">
        <v>18.579999999999998</v>
      </c>
      <c r="H94" s="77">
        <v>6.03</v>
      </c>
      <c r="I94" s="9" t="s">
        <v>36</v>
      </c>
      <c r="J94" s="77">
        <v>0.08</v>
      </c>
      <c r="K94" s="77">
        <v>177.15</v>
      </c>
      <c r="L94" s="77">
        <v>22.97</v>
      </c>
      <c r="M94" s="77">
        <v>97.25</v>
      </c>
      <c r="N94" s="77">
        <v>40.700000000000003</v>
      </c>
      <c r="O94" s="77">
        <v>0</v>
      </c>
      <c r="P94" s="77">
        <v>0.57999999999999996</v>
      </c>
      <c r="Q94" s="77">
        <v>15.89</v>
      </c>
    </row>
    <row r="95" spans="1:17" s="12" customFormat="1" x14ac:dyDescent="0.25">
      <c r="A95" s="64" t="s">
        <v>2351</v>
      </c>
      <c r="B95" s="77">
        <v>10.87</v>
      </c>
      <c r="C95" s="77">
        <v>16.23</v>
      </c>
      <c r="D95" s="77">
        <v>18.309999999999999</v>
      </c>
      <c r="E95" s="77">
        <v>2.3199999999999998</v>
      </c>
      <c r="F95" s="77">
        <v>6.27</v>
      </c>
      <c r="G95" s="77">
        <v>18.579999999999998</v>
      </c>
      <c r="H95" s="77">
        <v>6.03</v>
      </c>
      <c r="I95" s="9" t="s">
        <v>36</v>
      </c>
      <c r="J95" s="77">
        <v>0.28000000000000003</v>
      </c>
      <c r="K95" s="77">
        <v>162.26</v>
      </c>
      <c r="L95" s="77">
        <v>22.98</v>
      </c>
      <c r="M95" s="77">
        <v>97.25</v>
      </c>
      <c r="N95" s="77">
        <v>40.6</v>
      </c>
      <c r="O95" s="77">
        <v>0</v>
      </c>
      <c r="P95" s="77">
        <v>0.55000000000000004</v>
      </c>
      <c r="Q95" s="77">
        <v>14.58</v>
      </c>
    </row>
    <row r="96" spans="1:17" s="12" customFormat="1" x14ac:dyDescent="0.25">
      <c r="A96" s="64" t="s">
        <v>2352</v>
      </c>
      <c r="B96" s="77">
        <v>9.2100000000000009</v>
      </c>
      <c r="C96" s="77">
        <v>15.95</v>
      </c>
      <c r="D96" s="77">
        <v>16.84</v>
      </c>
      <c r="E96" s="77">
        <v>1.93</v>
      </c>
      <c r="F96" s="77">
        <v>8.66</v>
      </c>
      <c r="G96" s="77">
        <v>15.28</v>
      </c>
      <c r="H96" s="77">
        <v>6.04</v>
      </c>
      <c r="I96" s="9" t="s">
        <v>36</v>
      </c>
      <c r="J96" s="77">
        <v>0.46</v>
      </c>
      <c r="K96" s="77">
        <v>157.05000000000001</v>
      </c>
      <c r="L96" s="77">
        <v>22.96</v>
      </c>
      <c r="M96" s="77">
        <v>97.25</v>
      </c>
      <c r="N96" s="77">
        <v>40.700000000000003</v>
      </c>
      <c r="O96" s="77">
        <v>0</v>
      </c>
      <c r="P96" s="77">
        <v>0.49</v>
      </c>
      <c r="Q96" s="77">
        <v>14.66</v>
      </c>
    </row>
    <row r="97" spans="1:22" s="12" customFormat="1" x14ac:dyDescent="0.25">
      <c r="A97" s="64" t="s">
        <v>2353</v>
      </c>
      <c r="B97" s="77">
        <v>8.7100000000000009</v>
      </c>
      <c r="C97" s="77">
        <v>17.87</v>
      </c>
      <c r="D97" s="77">
        <v>17.5</v>
      </c>
      <c r="E97" s="77">
        <v>1.9</v>
      </c>
      <c r="F97" s="77">
        <v>7.69</v>
      </c>
      <c r="G97" s="77">
        <v>15.17</v>
      </c>
      <c r="H97" s="77">
        <v>6.04</v>
      </c>
      <c r="I97" s="9" t="s">
        <v>36</v>
      </c>
      <c r="J97" s="77">
        <v>0.49</v>
      </c>
      <c r="K97" s="77">
        <v>154.85</v>
      </c>
      <c r="L97" s="77">
        <v>22.97</v>
      </c>
      <c r="M97" s="77">
        <v>97.26</v>
      </c>
      <c r="N97" s="77">
        <v>40.6</v>
      </c>
      <c r="O97" s="77">
        <v>0.2</v>
      </c>
      <c r="P97" s="77">
        <v>0.48</v>
      </c>
      <c r="Q97" s="77">
        <v>15.8</v>
      </c>
    </row>
    <row r="98" spans="1:22" s="12" customFormat="1" x14ac:dyDescent="0.25">
      <c r="A98" s="64" t="s">
        <v>2354</v>
      </c>
      <c r="B98" s="77">
        <v>8.75</v>
      </c>
      <c r="C98" s="77">
        <v>16.239999999999998</v>
      </c>
      <c r="D98" s="77">
        <v>16.62</v>
      </c>
      <c r="E98" s="77">
        <v>2.2400000000000002</v>
      </c>
      <c r="F98" s="77">
        <v>8.33</v>
      </c>
      <c r="G98" s="77">
        <v>15.17</v>
      </c>
      <c r="H98" s="77">
        <v>6.04</v>
      </c>
      <c r="I98" s="9" t="s">
        <v>36</v>
      </c>
      <c r="J98" s="77">
        <v>0.66</v>
      </c>
      <c r="K98" s="77">
        <v>157.38999999999999</v>
      </c>
      <c r="L98" s="77">
        <v>22.91</v>
      </c>
      <c r="M98" s="77">
        <v>97.27</v>
      </c>
      <c r="N98" s="77">
        <v>40.799999999999997</v>
      </c>
      <c r="O98" s="77">
        <v>0.4</v>
      </c>
      <c r="P98" s="77">
        <v>0.5</v>
      </c>
      <c r="Q98" s="77">
        <v>16.850000000000001</v>
      </c>
    </row>
    <row r="99" spans="1:22" s="12" customFormat="1" x14ac:dyDescent="0.25">
      <c r="A99" s="64" t="s">
        <v>2355</v>
      </c>
      <c r="B99" s="77">
        <v>8.32</v>
      </c>
      <c r="C99" s="77">
        <v>14.35</v>
      </c>
      <c r="D99" s="77">
        <v>15.24</v>
      </c>
      <c r="E99" s="77">
        <v>2.57</v>
      </c>
      <c r="F99" s="77">
        <v>10.5</v>
      </c>
      <c r="G99" s="77">
        <v>15.17</v>
      </c>
      <c r="H99" s="77">
        <v>6.04</v>
      </c>
      <c r="I99" s="9" t="s">
        <v>36</v>
      </c>
      <c r="J99" s="77">
        <v>0.33</v>
      </c>
      <c r="K99" s="77">
        <v>180.35</v>
      </c>
      <c r="L99" s="77">
        <v>22.96</v>
      </c>
      <c r="M99" s="77">
        <v>97.27</v>
      </c>
      <c r="N99" s="77">
        <v>40.5</v>
      </c>
      <c r="O99" s="77">
        <v>0.4</v>
      </c>
      <c r="P99" s="77">
        <v>0.46</v>
      </c>
      <c r="Q99" s="77">
        <v>17.77</v>
      </c>
    </row>
    <row r="100" spans="1:22" s="12" customFormat="1" x14ac:dyDescent="0.25">
      <c r="A100" s="64" t="s">
        <v>2356</v>
      </c>
      <c r="B100" s="77">
        <v>7.56</v>
      </c>
      <c r="C100" s="77">
        <v>13.75</v>
      </c>
      <c r="D100" s="77">
        <v>14.29</v>
      </c>
      <c r="E100" s="77">
        <v>2.16</v>
      </c>
      <c r="F100" s="77">
        <v>10.01</v>
      </c>
      <c r="G100" s="77">
        <v>11.2</v>
      </c>
      <c r="H100" s="77">
        <v>4.9000000000000004</v>
      </c>
      <c r="I100" s="9" t="s">
        <v>36</v>
      </c>
      <c r="J100" s="77">
        <v>0.39</v>
      </c>
      <c r="K100" s="77">
        <v>172</v>
      </c>
      <c r="L100" s="77">
        <v>22.8</v>
      </c>
      <c r="M100" s="77">
        <v>97.27</v>
      </c>
      <c r="N100" s="77">
        <v>40.799999999999997</v>
      </c>
      <c r="O100" s="77">
        <v>0</v>
      </c>
      <c r="P100" s="77">
        <v>0.43</v>
      </c>
      <c r="Q100" s="77">
        <v>18.14</v>
      </c>
    </row>
    <row r="101" spans="1:22" s="12" customFormat="1" x14ac:dyDescent="0.25">
      <c r="A101" s="64" t="s">
        <v>2357</v>
      </c>
      <c r="B101" s="77">
        <v>8.0299999999999994</v>
      </c>
      <c r="C101" s="77">
        <v>13.29</v>
      </c>
      <c r="D101" s="77">
        <v>14.42</v>
      </c>
      <c r="E101" s="77">
        <v>2.12</v>
      </c>
      <c r="F101" s="77">
        <v>7.58</v>
      </c>
      <c r="G101" s="77">
        <v>11.07</v>
      </c>
      <c r="H101" s="77">
        <v>4.9000000000000004</v>
      </c>
      <c r="I101" s="9" t="s">
        <v>36</v>
      </c>
      <c r="J101" s="77">
        <v>0.23</v>
      </c>
      <c r="K101" s="77">
        <v>169.17</v>
      </c>
      <c r="L101" s="77">
        <v>22.79</v>
      </c>
      <c r="M101" s="77">
        <v>97.27</v>
      </c>
      <c r="N101" s="77">
        <v>40.4</v>
      </c>
      <c r="O101" s="77">
        <v>0</v>
      </c>
      <c r="P101" s="77">
        <v>0.47</v>
      </c>
      <c r="Q101" s="77">
        <v>17.75</v>
      </c>
    </row>
    <row r="102" spans="1:22" s="12" customFormat="1" x14ac:dyDescent="0.25">
      <c r="A102" s="64" t="s">
        <v>2358</v>
      </c>
      <c r="B102" s="77">
        <v>7.21</v>
      </c>
      <c r="C102" s="77">
        <v>13.07</v>
      </c>
      <c r="D102" s="77">
        <v>13.64</v>
      </c>
      <c r="E102" s="77">
        <v>1.87</v>
      </c>
      <c r="F102" s="77">
        <v>8.6199999999999992</v>
      </c>
      <c r="G102" s="77">
        <v>11.07</v>
      </c>
      <c r="H102" s="77">
        <v>4.9000000000000004</v>
      </c>
      <c r="I102" s="9" t="s">
        <v>36</v>
      </c>
      <c r="J102" s="77">
        <v>0.17</v>
      </c>
      <c r="K102" s="77">
        <v>184.13</v>
      </c>
      <c r="L102" s="77">
        <v>22.83</v>
      </c>
      <c r="M102" s="77">
        <v>97.25</v>
      </c>
      <c r="N102" s="77">
        <v>40.4</v>
      </c>
      <c r="O102" s="77">
        <v>0</v>
      </c>
      <c r="P102" s="77">
        <v>0.43</v>
      </c>
      <c r="Q102" s="77">
        <v>16</v>
      </c>
    </row>
    <row r="103" spans="1:22" s="12" customFormat="1" x14ac:dyDescent="0.25">
      <c r="A103" s="64" t="s">
        <v>2359</v>
      </c>
      <c r="B103" s="77">
        <v>7.33</v>
      </c>
      <c r="C103" s="77">
        <v>13.4</v>
      </c>
      <c r="D103" s="77">
        <v>13.92</v>
      </c>
      <c r="E103" s="77">
        <v>2.0499999999999998</v>
      </c>
      <c r="F103" s="77">
        <v>9.27</v>
      </c>
      <c r="G103" s="77">
        <v>11.07</v>
      </c>
      <c r="H103" s="77">
        <v>4.9000000000000004</v>
      </c>
      <c r="I103" s="9" t="s">
        <v>36</v>
      </c>
      <c r="J103" s="77">
        <v>0.33</v>
      </c>
      <c r="K103" s="77">
        <v>154.93</v>
      </c>
      <c r="L103" s="77">
        <v>22.85</v>
      </c>
      <c r="M103" s="77">
        <v>97.25</v>
      </c>
      <c r="N103" s="77">
        <v>40.4</v>
      </c>
      <c r="O103" s="77">
        <v>0</v>
      </c>
      <c r="P103" s="77">
        <v>0.42</v>
      </c>
      <c r="Q103" s="77">
        <v>15.39</v>
      </c>
    </row>
    <row r="104" spans="1:22" s="12" customFormat="1" x14ac:dyDescent="0.25">
      <c r="A104" s="64" t="s">
        <v>2360</v>
      </c>
      <c r="B104" s="77">
        <v>6.83</v>
      </c>
      <c r="C104" s="77">
        <v>12.95</v>
      </c>
      <c r="D104" s="77">
        <v>13.27</v>
      </c>
      <c r="E104" s="77">
        <v>2.2999999999999998</v>
      </c>
      <c r="F104" s="77">
        <v>6.83</v>
      </c>
      <c r="G104" s="77">
        <v>8.4700000000000006</v>
      </c>
      <c r="H104" s="77">
        <v>4.32</v>
      </c>
      <c r="I104" s="9" t="s">
        <v>36</v>
      </c>
      <c r="J104" s="77">
        <v>0.25</v>
      </c>
      <c r="K104" s="77">
        <v>172.74</v>
      </c>
      <c r="L104" s="77">
        <v>22.93</v>
      </c>
      <c r="M104" s="77">
        <v>97.26</v>
      </c>
      <c r="N104" s="77">
        <v>40.299999999999997</v>
      </c>
      <c r="O104" s="77">
        <v>0</v>
      </c>
      <c r="P104" s="77">
        <v>0.42</v>
      </c>
      <c r="Q104" s="77">
        <v>14.4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2.59</v>
      </c>
      <c r="C106" s="67">
        <f>MIN(C9:C104)</f>
        <v>9.11</v>
      </c>
      <c r="D106" s="67">
        <f t="shared" ref="D106:Q106" si="0">MIN(D9:D104)</f>
        <v>7.73</v>
      </c>
      <c r="E106" s="67">
        <f t="shared" si="0"/>
        <v>0.01</v>
      </c>
      <c r="F106" s="67">
        <f t="shared" si="0"/>
        <v>3.23</v>
      </c>
      <c r="G106" s="67">
        <f t="shared" si="0"/>
        <v>8.2200000000000006</v>
      </c>
      <c r="H106" s="67">
        <f t="shared" si="0"/>
        <v>4.32</v>
      </c>
      <c r="I106" s="67">
        <f t="shared" si="0"/>
        <v>0</v>
      </c>
      <c r="J106" s="67">
        <f t="shared" si="0"/>
        <v>0.03</v>
      </c>
      <c r="K106" s="67">
        <f t="shared" si="0"/>
        <v>11.01</v>
      </c>
      <c r="L106" s="67">
        <f t="shared" si="0"/>
        <v>22.33</v>
      </c>
      <c r="M106" s="67">
        <f t="shared" si="0"/>
        <v>69.73</v>
      </c>
      <c r="N106" s="67">
        <f t="shared" si="0"/>
        <v>25.9</v>
      </c>
      <c r="O106" s="67">
        <f t="shared" si="0"/>
        <v>0</v>
      </c>
      <c r="P106" s="67">
        <f t="shared" si="0"/>
        <v>0.14000000000000001</v>
      </c>
      <c r="Q106" s="67">
        <f t="shared" si="0"/>
        <v>6.37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13.99</v>
      </c>
      <c r="C107" s="66">
        <f t="shared" ref="C107:Q107" si="1">MAX(C9:C104)</f>
        <v>18.940000000000001</v>
      </c>
      <c r="D107" s="66">
        <f t="shared" si="1"/>
        <v>22.12</v>
      </c>
      <c r="E107" s="66">
        <f t="shared" si="1"/>
        <v>3.55</v>
      </c>
      <c r="F107" s="66">
        <f t="shared" si="1"/>
        <v>19.82</v>
      </c>
      <c r="G107" s="66">
        <f t="shared" si="1"/>
        <v>27.36</v>
      </c>
      <c r="H107" s="66">
        <f t="shared" si="1"/>
        <v>20.16</v>
      </c>
      <c r="I107" s="66">
        <f t="shared" si="1"/>
        <v>0</v>
      </c>
      <c r="J107" s="66">
        <f t="shared" si="1"/>
        <v>2.4900000000000002</v>
      </c>
      <c r="K107" s="66">
        <f t="shared" si="1"/>
        <v>358.67</v>
      </c>
      <c r="L107" s="66">
        <f t="shared" si="1"/>
        <v>28.9</v>
      </c>
      <c r="M107" s="66">
        <f t="shared" si="1"/>
        <v>97.28</v>
      </c>
      <c r="N107" s="66">
        <f t="shared" si="1"/>
        <v>982.6</v>
      </c>
      <c r="O107" s="66">
        <f t="shared" si="1"/>
        <v>16.2</v>
      </c>
      <c r="P107" s="66">
        <f t="shared" si="1"/>
        <v>0.74</v>
      </c>
      <c r="Q107" s="66">
        <f t="shared" si="1"/>
        <v>30.47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5.555894736842105</v>
      </c>
      <c r="C108" s="67">
        <f t="shared" ref="C108:Q108" si="2">AVERAGE(C9:C104)</f>
        <v>14.038105263157894</v>
      </c>
      <c r="D108" s="67">
        <f t="shared" si="2"/>
        <v>12.847578947368421</v>
      </c>
      <c r="E108" s="67">
        <f t="shared" si="2"/>
        <v>2.4868539325842693</v>
      </c>
      <c r="F108" s="67">
        <f t="shared" si="2"/>
        <v>7.0507291666666703</v>
      </c>
      <c r="G108" s="67">
        <f t="shared" si="2"/>
        <v>16.064807692307696</v>
      </c>
      <c r="H108" s="67">
        <f t="shared" si="2"/>
        <v>8.111923076923075</v>
      </c>
      <c r="I108" s="9" t="s">
        <v>36</v>
      </c>
      <c r="J108" s="67">
        <f t="shared" si="2"/>
        <v>0.92416666666666647</v>
      </c>
      <c r="K108" s="67">
        <f t="shared" si="2"/>
        <v>141.45281249999999</v>
      </c>
      <c r="L108" s="67">
        <f t="shared" si="2"/>
        <v>24.623020833333317</v>
      </c>
      <c r="M108" s="67">
        <f t="shared" si="2"/>
        <v>90.311458333333363</v>
      </c>
      <c r="N108" s="67">
        <f t="shared" si="2"/>
        <v>223.82604166666661</v>
      </c>
      <c r="O108" s="67">
        <f t="shared" si="2"/>
        <v>0.43958333333333338</v>
      </c>
      <c r="P108" s="67">
        <f t="shared" si="2"/>
        <v>0.32197916666666648</v>
      </c>
      <c r="Q108" s="67">
        <f t="shared" si="2"/>
        <v>14.117204301075271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2.4597346746453925</v>
      </c>
      <c r="C109" s="67">
        <f t="shared" ref="C109:Q109" si="3">STDEV(C9:C104)</f>
        <v>1.7489719136565016</v>
      </c>
      <c r="D109" s="67">
        <f t="shared" si="3"/>
        <v>2.7728665234733048</v>
      </c>
      <c r="E109" s="67">
        <f t="shared" si="3"/>
        <v>0.56303680548517854</v>
      </c>
      <c r="F109" s="67">
        <f t="shared" si="3"/>
        <v>2.9286879565651533</v>
      </c>
      <c r="G109" s="67">
        <f t="shared" si="3"/>
        <v>5.4911227790004116</v>
      </c>
      <c r="H109" s="67">
        <f t="shared" si="3"/>
        <v>4.6300218262567476</v>
      </c>
      <c r="I109" s="9" t="s">
        <v>36</v>
      </c>
      <c r="J109" s="67">
        <f t="shared" si="3"/>
        <v>0.65188740820977387</v>
      </c>
      <c r="K109" s="67">
        <f t="shared" si="3"/>
        <v>58.700440735422838</v>
      </c>
      <c r="L109" s="67">
        <f t="shared" si="3"/>
        <v>2.0908593648956715</v>
      </c>
      <c r="M109" s="67">
        <f t="shared" si="3"/>
        <v>9.1095185590234671</v>
      </c>
      <c r="N109" s="67">
        <f t="shared" si="3"/>
        <v>260.2521567714025</v>
      </c>
      <c r="O109" s="67">
        <f t="shared" si="3"/>
        <v>2.1784822899714609</v>
      </c>
      <c r="P109" s="67">
        <f t="shared" si="3"/>
        <v>0.11686807489569018</v>
      </c>
      <c r="Q109" s="67">
        <f t="shared" si="3"/>
        <v>5.259237910901116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>COUNT(B9:B104)+1</f>
        <v>96</v>
      </c>
      <c r="C110" s="66">
        <f>COUNT(C9:C104)+1</f>
        <v>96</v>
      </c>
      <c r="D110" s="66">
        <f>COUNT(D9:D104)+1</f>
        <v>96</v>
      </c>
      <c r="E110" s="66">
        <f>COUNT(E9:E104)+7</f>
        <v>96</v>
      </c>
      <c r="F110" s="66">
        <f t="shared" ref="F110:P110" si="4">COUNT(F9:F104)</f>
        <v>96</v>
      </c>
      <c r="G110" s="66">
        <f>COUNT(G9:G104)+44</f>
        <v>96</v>
      </c>
      <c r="H110" s="66">
        <f>COUNT(H9:H104)+44</f>
        <v>96</v>
      </c>
      <c r="I110" s="66">
        <f>COUNT(I9:I104)+96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COUNT(Q9:Q104)+3</f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9" activePane="bottomRight" state="frozen"/>
      <selection activeCell="B115" sqref="B115:D115"/>
      <selection pane="topRight" activeCell="B115" sqref="B115:D115"/>
      <selection pane="bottomLeft" activeCell="B115" sqref="B115:D115"/>
      <selection pane="bottomRight" activeCell="F144" sqref="F14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2361</v>
      </c>
      <c r="B9" s="77">
        <v>6.09</v>
      </c>
      <c r="C9" s="77">
        <v>12.8</v>
      </c>
      <c r="D9" s="77">
        <v>12.6</v>
      </c>
      <c r="E9" s="77">
        <v>2.0699999999999998</v>
      </c>
      <c r="F9" s="77">
        <v>8.6999999999999993</v>
      </c>
      <c r="G9" s="77">
        <v>8.3800000000000008</v>
      </c>
      <c r="H9" s="77">
        <v>4.32</v>
      </c>
      <c r="I9" s="210" t="s">
        <v>36</v>
      </c>
      <c r="J9" s="77">
        <v>0.16</v>
      </c>
      <c r="K9" s="77">
        <v>189.03</v>
      </c>
      <c r="L9" s="77">
        <v>23</v>
      </c>
      <c r="M9" s="77">
        <v>97.28</v>
      </c>
      <c r="N9" s="77">
        <v>40.200000000000003</v>
      </c>
      <c r="O9" s="77">
        <v>0</v>
      </c>
      <c r="P9" s="77">
        <v>0.37</v>
      </c>
      <c r="Q9" s="77">
        <v>14.23</v>
      </c>
    </row>
    <row r="10" spans="1:21" s="12" customFormat="1" x14ac:dyDescent="0.25">
      <c r="A10" s="64" t="s">
        <v>2362</v>
      </c>
      <c r="B10" s="77">
        <v>6.23</v>
      </c>
      <c r="C10" s="77">
        <v>12.8</v>
      </c>
      <c r="D10" s="77">
        <v>12.71</v>
      </c>
      <c r="E10" s="77">
        <v>2.4700000000000002</v>
      </c>
      <c r="F10" s="77">
        <v>6.54</v>
      </c>
      <c r="G10" s="77">
        <v>8.3800000000000008</v>
      </c>
      <c r="H10" s="77">
        <v>4.32</v>
      </c>
      <c r="I10" s="210" t="s">
        <v>36</v>
      </c>
      <c r="J10" s="77">
        <v>0.03</v>
      </c>
      <c r="K10" s="77">
        <v>192.76</v>
      </c>
      <c r="L10" s="77">
        <v>23.03</v>
      </c>
      <c r="M10" s="77">
        <v>97.28</v>
      </c>
      <c r="N10" s="77">
        <v>40.200000000000003</v>
      </c>
      <c r="O10" s="77">
        <v>0</v>
      </c>
      <c r="P10" s="77">
        <v>0.4</v>
      </c>
      <c r="Q10" s="77">
        <v>12.95</v>
      </c>
    </row>
    <row r="11" spans="1:21" s="12" customFormat="1" x14ac:dyDescent="0.25">
      <c r="A11" s="64" t="s">
        <v>2363</v>
      </c>
      <c r="B11" s="77">
        <v>5.34</v>
      </c>
      <c r="C11" s="77">
        <v>12.36</v>
      </c>
      <c r="D11" s="77">
        <v>11.75</v>
      </c>
      <c r="E11" s="77">
        <v>2.4</v>
      </c>
      <c r="F11" s="77">
        <v>9.5399999999999991</v>
      </c>
      <c r="G11" s="77">
        <v>8.3800000000000008</v>
      </c>
      <c r="H11" s="77">
        <v>4.32</v>
      </c>
      <c r="I11" s="210" t="s">
        <v>36</v>
      </c>
      <c r="J11" s="77">
        <v>0.34</v>
      </c>
      <c r="K11" s="77">
        <v>155.83000000000001</v>
      </c>
      <c r="L11" s="77">
        <v>23.09</v>
      </c>
      <c r="M11" s="77">
        <v>97.28</v>
      </c>
      <c r="N11" s="77">
        <v>40.200000000000003</v>
      </c>
      <c r="O11" s="77">
        <v>0</v>
      </c>
      <c r="P11" s="77">
        <v>0.36</v>
      </c>
      <c r="Q11" s="77">
        <v>12.65</v>
      </c>
    </row>
    <row r="12" spans="1:21" s="12" customFormat="1" x14ac:dyDescent="0.25">
      <c r="A12" s="64" t="s">
        <v>2364</v>
      </c>
      <c r="B12" s="77">
        <v>4.74</v>
      </c>
      <c r="C12" s="77">
        <v>11.62</v>
      </c>
      <c r="D12" s="77">
        <v>10.86</v>
      </c>
      <c r="E12" s="77">
        <v>2.61</v>
      </c>
      <c r="F12" s="77">
        <v>11.03</v>
      </c>
      <c r="G12" s="77">
        <v>5.98</v>
      </c>
      <c r="H12" s="77">
        <v>4.08</v>
      </c>
      <c r="I12" s="210" t="s">
        <v>36</v>
      </c>
      <c r="J12" s="77">
        <v>0.43</v>
      </c>
      <c r="K12" s="77">
        <v>164.23</v>
      </c>
      <c r="L12" s="77">
        <v>23.22</v>
      </c>
      <c r="M12" s="77">
        <v>97.28</v>
      </c>
      <c r="N12" s="77">
        <v>40.299999999999997</v>
      </c>
      <c r="O12" s="77">
        <v>0</v>
      </c>
      <c r="P12" s="77">
        <v>0.33</v>
      </c>
      <c r="Q12" s="77">
        <v>13.29</v>
      </c>
    </row>
    <row r="13" spans="1:21" s="12" customFormat="1" x14ac:dyDescent="0.25">
      <c r="A13" s="64" t="s">
        <v>2365</v>
      </c>
      <c r="B13" s="77">
        <v>3.64</v>
      </c>
      <c r="C13" s="77">
        <v>10.41</v>
      </c>
      <c r="D13" s="77">
        <v>9.31</v>
      </c>
      <c r="E13" s="77">
        <v>2.04</v>
      </c>
      <c r="F13" s="77">
        <v>14.23</v>
      </c>
      <c r="G13" s="77">
        <v>5.9</v>
      </c>
      <c r="H13" s="77">
        <v>4.08</v>
      </c>
      <c r="I13" s="210" t="s">
        <v>36</v>
      </c>
      <c r="J13" s="77">
        <v>0.06</v>
      </c>
      <c r="K13" s="77">
        <v>154.78</v>
      </c>
      <c r="L13" s="77">
        <v>23.22</v>
      </c>
      <c r="M13" s="77">
        <v>97.28</v>
      </c>
      <c r="N13" s="77">
        <v>40.700000000000003</v>
      </c>
      <c r="O13" s="77">
        <v>0</v>
      </c>
      <c r="P13" s="77">
        <v>0.24</v>
      </c>
      <c r="Q13" s="77">
        <v>15.01</v>
      </c>
    </row>
    <row r="14" spans="1:21" s="12" customFormat="1" x14ac:dyDescent="0.25">
      <c r="A14" s="64" t="s">
        <v>2366</v>
      </c>
      <c r="B14" s="77">
        <v>3.4</v>
      </c>
      <c r="C14" s="77">
        <v>10.45</v>
      </c>
      <c r="D14" s="77">
        <v>9.14</v>
      </c>
      <c r="E14" s="77">
        <v>2.2599999999999998</v>
      </c>
      <c r="F14" s="77">
        <v>11.65</v>
      </c>
      <c r="G14" s="77">
        <v>5.9</v>
      </c>
      <c r="H14" s="77">
        <v>4.08</v>
      </c>
      <c r="I14" s="210" t="s">
        <v>36</v>
      </c>
      <c r="J14" s="77">
        <v>0.06</v>
      </c>
      <c r="K14" s="77">
        <v>51.11</v>
      </c>
      <c r="L14" s="77">
        <v>23.13</v>
      </c>
      <c r="M14" s="77">
        <v>97.27</v>
      </c>
      <c r="N14" s="77">
        <v>41</v>
      </c>
      <c r="O14" s="77">
        <v>0</v>
      </c>
      <c r="P14" s="77">
        <v>0.27</v>
      </c>
      <c r="Q14" s="77">
        <v>15.78</v>
      </c>
    </row>
    <row r="15" spans="1:21" s="12" customFormat="1" x14ac:dyDescent="0.25">
      <c r="A15" s="64" t="s">
        <v>2367</v>
      </c>
      <c r="B15" s="77">
        <v>3.12</v>
      </c>
      <c r="C15" s="77">
        <v>10</v>
      </c>
      <c r="D15" s="77">
        <v>8.66</v>
      </c>
      <c r="E15" s="77">
        <v>2.5299999999999998</v>
      </c>
      <c r="F15" s="77">
        <v>14.17</v>
      </c>
      <c r="G15" s="77">
        <v>5.9</v>
      </c>
      <c r="H15" s="77">
        <v>4.08</v>
      </c>
      <c r="I15" s="210" t="s">
        <v>36</v>
      </c>
      <c r="J15" s="77">
        <v>0.04</v>
      </c>
      <c r="K15" s="77">
        <v>239.38</v>
      </c>
      <c r="L15" s="77">
        <v>22.98</v>
      </c>
      <c r="M15" s="77">
        <v>97.26</v>
      </c>
      <c r="N15" s="77">
        <v>41.1</v>
      </c>
      <c r="O15" s="77">
        <v>0</v>
      </c>
      <c r="P15" s="77">
        <v>0.24</v>
      </c>
      <c r="Q15" s="77">
        <v>16.25</v>
      </c>
    </row>
    <row r="16" spans="1:21" s="12" customFormat="1" x14ac:dyDescent="0.25">
      <c r="A16" s="64" t="s">
        <v>2368</v>
      </c>
      <c r="B16" s="77">
        <v>3.39</v>
      </c>
      <c r="C16" s="77">
        <v>10.11</v>
      </c>
      <c r="D16" s="77">
        <v>8.94</v>
      </c>
      <c r="E16" s="77">
        <v>2.71</v>
      </c>
      <c r="F16" s="77">
        <v>10.92</v>
      </c>
      <c r="G16" s="213" t="s">
        <v>42</v>
      </c>
      <c r="H16" s="213" t="s">
        <v>42</v>
      </c>
      <c r="I16" s="210" t="s">
        <v>36</v>
      </c>
      <c r="J16" s="77">
        <v>7.0000000000000007E-2</v>
      </c>
      <c r="K16" s="77">
        <v>239.6</v>
      </c>
      <c r="L16" s="77">
        <v>22.96</v>
      </c>
      <c r="M16" s="77">
        <v>97.26</v>
      </c>
      <c r="N16" s="77">
        <v>40.799999999999997</v>
      </c>
      <c r="O16" s="77">
        <v>0</v>
      </c>
      <c r="P16" s="77">
        <v>0.28000000000000003</v>
      </c>
      <c r="Q16" s="77">
        <v>16.66</v>
      </c>
    </row>
    <row r="17" spans="1:17" s="12" customFormat="1" x14ac:dyDescent="0.25">
      <c r="A17" s="64" t="s">
        <v>2369</v>
      </c>
      <c r="B17" s="77">
        <v>4.5199999999999996</v>
      </c>
      <c r="C17" s="77">
        <v>11.93</v>
      </c>
      <c r="D17" s="77">
        <v>10.85</v>
      </c>
      <c r="E17" s="77">
        <v>2.73</v>
      </c>
      <c r="F17" s="77">
        <v>9.5500000000000007</v>
      </c>
      <c r="G17" s="213" t="s">
        <v>42</v>
      </c>
      <c r="H17" s="213" t="s">
        <v>42</v>
      </c>
      <c r="I17" s="210" t="s">
        <v>36</v>
      </c>
      <c r="J17" s="77">
        <v>0.06</v>
      </c>
      <c r="K17" s="77">
        <v>157.55000000000001</v>
      </c>
      <c r="L17" s="77">
        <v>22.89</v>
      </c>
      <c r="M17" s="77">
        <v>97.26</v>
      </c>
      <c r="N17" s="77">
        <v>40.6</v>
      </c>
      <c r="O17" s="77">
        <v>0</v>
      </c>
      <c r="P17" s="77">
        <v>0.27</v>
      </c>
      <c r="Q17" s="77">
        <v>16.82</v>
      </c>
    </row>
    <row r="18" spans="1:17" s="12" customFormat="1" x14ac:dyDescent="0.25">
      <c r="A18" s="64" t="s">
        <v>2370</v>
      </c>
      <c r="B18" s="77">
        <v>3.77</v>
      </c>
      <c r="C18" s="77">
        <v>10.85</v>
      </c>
      <c r="D18" s="77">
        <v>9.66</v>
      </c>
      <c r="E18" s="77">
        <v>2.4700000000000002</v>
      </c>
      <c r="F18" s="77">
        <v>11.23</v>
      </c>
      <c r="G18" s="213" t="s">
        <v>42</v>
      </c>
      <c r="H18" s="213" t="s">
        <v>42</v>
      </c>
      <c r="I18" s="210" t="s">
        <v>36</v>
      </c>
      <c r="J18" s="77">
        <v>0.08</v>
      </c>
      <c r="K18" s="77">
        <v>144.81</v>
      </c>
      <c r="L18" s="77">
        <v>22.9</v>
      </c>
      <c r="M18" s="77">
        <v>97.25</v>
      </c>
      <c r="N18" s="77">
        <v>40.5</v>
      </c>
      <c r="O18" s="77">
        <v>0</v>
      </c>
      <c r="P18" s="77">
        <v>0.25</v>
      </c>
      <c r="Q18" s="77">
        <v>14.33</v>
      </c>
    </row>
    <row r="19" spans="1:17" s="12" customFormat="1" x14ac:dyDescent="0.25">
      <c r="A19" s="64" t="s">
        <v>2371</v>
      </c>
      <c r="B19" s="77">
        <v>4.13</v>
      </c>
      <c r="C19" s="77">
        <v>11.5</v>
      </c>
      <c r="D19" s="77">
        <v>10.3</v>
      </c>
      <c r="E19" s="77">
        <v>2.54</v>
      </c>
      <c r="F19" s="77">
        <v>10.18</v>
      </c>
      <c r="G19" s="213" t="s">
        <v>42</v>
      </c>
      <c r="H19" s="213" t="s">
        <v>42</v>
      </c>
      <c r="I19" s="210" t="s">
        <v>36</v>
      </c>
      <c r="J19" s="77">
        <v>0.04</v>
      </c>
      <c r="K19" s="77">
        <v>169</v>
      </c>
      <c r="L19" s="77">
        <v>22.91</v>
      </c>
      <c r="M19" s="77">
        <v>97.25</v>
      </c>
      <c r="N19" s="77">
        <v>40.4</v>
      </c>
      <c r="O19" s="77">
        <v>0</v>
      </c>
      <c r="P19" s="77">
        <v>0.26</v>
      </c>
      <c r="Q19" s="77">
        <v>13.75</v>
      </c>
    </row>
    <row r="20" spans="1:17" s="12" customFormat="1" x14ac:dyDescent="0.25">
      <c r="A20" s="64" t="s">
        <v>2372</v>
      </c>
      <c r="B20" s="77">
        <v>3.99</v>
      </c>
      <c r="C20" s="77">
        <v>11.41</v>
      </c>
      <c r="D20" s="77">
        <v>10.14</v>
      </c>
      <c r="E20" s="77">
        <v>2.58</v>
      </c>
      <c r="F20" s="77">
        <v>8.7899999999999991</v>
      </c>
      <c r="G20" s="213" t="s">
        <v>42</v>
      </c>
      <c r="H20" s="213" t="s">
        <v>42</v>
      </c>
      <c r="I20" s="210" t="s">
        <v>36</v>
      </c>
      <c r="J20" s="77">
        <v>0.04</v>
      </c>
      <c r="K20" s="77">
        <v>228.75</v>
      </c>
      <c r="L20" s="77">
        <v>22.97</v>
      </c>
      <c r="M20" s="77">
        <v>97.27</v>
      </c>
      <c r="N20" s="77">
        <v>40.299999999999997</v>
      </c>
      <c r="O20" s="77">
        <v>0</v>
      </c>
      <c r="P20" s="77">
        <v>0.26</v>
      </c>
      <c r="Q20" s="77">
        <v>12.99</v>
      </c>
    </row>
    <row r="21" spans="1:17" s="12" customFormat="1" x14ac:dyDescent="0.25">
      <c r="A21" s="64" t="s">
        <v>2373</v>
      </c>
      <c r="B21" s="77">
        <v>3.9</v>
      </c>
      <c r="C21" s="77">
        <v>11.64</v>
      </c>
      <c r="D21" s="77">
        <v>10.199999999999999</v>
      </c>
      <c r="E21" s="77">
        <v>2.15</v>
      </c>
      <c r="F21" s="77">
        <v>8.35</v>
      </c>
      <c r="G21" s="213" t="s">
        <v>42</v>
      </c>
      <c r="H21" s="213" t="s">
        <v>42</v>
      </c>
      <c r="I21" s="210" t="s">
        <v>36</v>
      </c>
      <c r="J21" s="77">
        <v>0.04</v>
      </c>
      <c r="K21" s="77">
        <v>252.59</v>
      </c>
      <c r="L21" s="77">
        <v>23</v>
      </c>
      <c r="M21" s="77">
        <v>97.26</v>
      </c>
      <c r="N21" s="77">
        <v>40.5</v>
      </c>
      <c r="O21" s="77">
        <v>0</v>
      </c>
      <c r="P21" s="77">
        <v>0.25</v>
      </c>
      <c r="Q21" s="77">
        <v>12.62</v>
      </c>
    </row>
    <row r="22" spans="1:17" s="12" customFormat="1" x14ac:dyDescent="0.25">
      <c r="A22" s="64" t="s">
        <v>2374</v>
      </c>
      <c r="B22" s="77">
        <v>4.57</v>
      </c>
      <c r="C22" s="77">
        <v>12.49</v>
      </c>
      <c r="D22" s="77">
        <v>11.2</v>
      </c>
      <c r="E22" s="77">
        <v>2.4300000000000002</v>
      </c>
      <c r="F22" s="77">
        <v>8.06</v>
      </c>
      <c r="G22" s="213" t="s">
        <v>42</v>
      </c>
      <c r="H22" s="213" t="s">
        <v>42</v>
      </c>
      <c r="I22" s="210" t="s">
        <v>36</v>
      </c>
      <c r="J22" s="77">
        <v>0.05</v>
      </c>
      <c r="K22" s="77">
        <v>194.61</v>
      </c>
      <c r="L22" s="77">
        <v>22.98</v>
      </c>
      <c r="M22" s="77">
        <v>97.25</v>
      </c>
      <c r="N22" s="77">
        <v>41.1</v>
      </c>
      <c r="O22" s="77">
        <v>0</v>
      </c>
      <c r="P22" s="77">
        <v>0.26</v>
      </c>
      <c r="Q22" s="77">
        <v>12.26</v>
      </c>
    </row>
    <row r="23" spans="1:17" s="12" customFormat="1" x14ac:dyDescent="0.25">
      <c r="A23" s="64" t="s">
        <v>2375</v>
      </c>
      <c r="B23" s="77">
        <v>4.0199999999999996</v>
      </c>
      <c r="C23" s="77">
        <v>11.86</v>
      </c>
      <c r="D23" s="77">
        <v>10.42</v>
      </c>
      <c r="E23" s="77">
        <v>2.2999999999999998</v>
      </c>
      <c r="F23" s="77">
        <v>9.68</v>
      </c>
      <c r="G23" s="213" t="s">
        <v>42</v>
      </c>
      <c r="H23" s="213" t="s">
        <v>42</v>
      </c>
      <c r="I23" s="210" t="s">
        <v>36</v>
      </c>
      <c r="J23" s="77">
        <v>0.1</v>
      </c>
      <c r="K23" s="77">
        <v>211.76</v>
      </c>
      <c r="L23" s="77">
        <v>22.93</v>
      </c>
      <c r="M23" s="77">
        <v>97.25</v>
      </c>
      <c r="N23" s="77">
        <v>40.6</v>
      </c>
      <c r="O23" s="77">
        <v>0</v>
      </c>
      <c r="P23" s="77">
        <v>0.25</v>
      </c>
      <c r="Q23" s="77">
        <v>11.19</v>
      </c>
    </row>
    <row r="24" spans="1:17" s="12" customFormat="1" x14ac:dyDescent="0.25">
      <c r="A24" s="64" t="s">
        <v>2376</v>
      </c>
      <c r="B24" s="77">
        <v>3.22</v>
      </c>
      <c r="C24" s="77">
        <v>11.79</v>
      </c>
      <c r="D24" s="77">
        <v>9.74</v>
      </c>
      <c r="E24" s="77">
        <v>2.04</v>
      </c>
      <c r="F24" s="77">
        <v>11.21</v>
      </c>
      <c r="G24" s="213" t="s">
        <v>42</v>
      </c>
      <c r="H24" s="213" t="s">
        <v>42</v>
      </c>
      <c r="I24" s="210" t="s">
        <v>36</v>
      </c>
      <c r="J24" s="77">
        <v>0.09</v>
      </c>
      <c r="K24" s="77">
        <v>171.77</v>
      </c>
      <c r="L24" s="77">
        <v>22.94</v>
      </c>
      <c r="M24" s="77">
        <v>97.25</v>
      </c>
      <c r="N24" s="77">
        <v>40.6</v>
      </c>
      <c r="O24" s="77">
        <v>0</v>
      </c>
      <c r="P24" s="77">
        <v>0.23</v>
      </c>
      <c r="Q24" s="77">
        <v>12.44</v>
      </c>
    </row>
    <row r="25" spans="1:17" s="12" customFormat="1" x14ac:dyDescent="0.25">
      <c r="A25" s="64" t="s">
        <v>2377</v>
      </c>
      <c r="B25" s="77">
        <v>2.79</v>
      </c>
      <c r="C25" s="77">
        <v>10.89</v>
      </c>
      <c r="D25" s="77">
        <v>8.89</v>
      </c>
      <c r="E25" s="77">
        <v>2.77</v>
      </c>
      <c r="F25" s="77">
        <v>12.86</v>
      </c>
      <c r="G25" s="213" t="s">
        <v>42</v>
      </c>
      <c r="H25" s="213" t="s">
        <v>42</v>
      </c>
      <c r="I25" s="210" t="s">
        <v>36</v>
      </c>
      <c r="J25" s="77">
        <v>0.11</v>
      </c>
      <c r="K25" s="77">
        <v>184.65</v>
      </c>
      <c r="L25" s="77">
        <v>22.93</v>
      </c>
      <c r="M25" s="77">
        <v>97.25</v>
      </c>
      <c r="N25" s="77">
        <v>40.700000000000003</v>
      </c>
      <c r="O25" s="77">
        <v>0</v>
      </c>
      <c r="P25" s="77">
        <v>0.21</v>
      </c>
      <c r="Q25" s="77">
        <v>13.73</v>
      </c>
    </row>
    <row r="26" spans="1:17" s="12" customFormat="1" x14ac:dyDescent="0.25">
      <c r="A26" s="64" t="s">
        <v>2378</v>
      </c>
      <c r="B26" s="77">
        <v>2.71</v>
      </c>
      <c r="C26" s="77">
        <v>11.23</v>
      </c>
      <c r="D26" s="77">
        <v>9.02</v>
      </c>
      <c r="E26" s="77">
        <v>2.84</v>
      </c>
      <c r="F26" s="77">
        <v>10.99</v>
      </c>
      <c r="G26" s="213" t="s">
        <v>42</v>
      </c>
      <c r="H26" s="213" t="s">
        <v>42</v>
      </c>
      <c r="I26" s="210" t="s">
        <v>36</v>
      </c>
      <c r="J26" s="77">
        <v>0.14000000000000001</v>
      </c>
      <c r="K26" s="77">
        <v>178.9</v>
      </c>
      <c r="L26" s="77">
        <v>22.9</v>
      </c>
      <c r="M26" s="77">
        <v>97.27</v>
      </c>
      <c r="N26" s="77">
        <v>40.5</v>
      </c>
      <c r="O26" s="77">
        <v>0</v>
      </c>
      <c r="P26" s="77">
        <v>0.21</v>
      </c>
      <c r="Q26" s="77">
        <v>14.72</v>
      </c>
    </row>
    <row r="27" spans="1:17" s="12" customFormat="1" x14ac:dyDescent="0.25">
      <c r="A27" s="64" t="s">
        <v>2379</v>
      </c>
      <c r="B27" s="77">
        <v>3.06</v>
      </c>
      <c r="C27" s="77">
        <v>12.74</v>
      </c>
      <c r="D27" s="77">
        <v>10.130000000000001</v>
      </c>
      <c r="E27" s="77">
        <v>2.72</v>
      </c>
      <c r="F27" s="77">
        <v>11.55</v>
      </c>
      <c r="G27" s="213" t="s">
        <v>42</v>
      </c>
      <c r="H27" s="213" t="s">
        <v>42</v>
      </c>
      <c r="I27" s="210" t="s">
        <v>36</v>
      </c>
      <c r="J27" s="77">
        <v>0.19</v>
      </c>
      <c r="K27" s="77">
        <v>193.31</v>
      </c>
      <c r="L27" s="77">
        <v>22.96</v>
      </c>
      <c r="M27" s="77">
        <v>97.27</v>
      </c>
      <c r="N27" s="77">
        <v>40.799999999999997</v>
      </c>
      <c r="O27" s="77">
        <v>0</v>
      </c>
      <c r="P27" s="77">
        <v>0.22</v>
      </c>
      <c r="Q27" s="77">
        <v>15.83</v>
      </c>
    </row>
    <row r="28" spans="1:17" s="12" customFormat="1" x14ac:dyDescent="0.25">
      <c r="A28" s="64" t="s">
        <v>2380</v>
      </c>
      <c r="B28" s="77">
        <v>3.99</v>
      </c>
      <c r="C28" s="77">
        <v>12.68</v>
      </c>
      <c r="D28" s="77">
        <v>10.84</v>
      </c>
      <c r="E28" s="77">
        <v>2.93</v>
      </c>
      <c r="F28" s="77">
        <v>7.01</v>
      </c>
      <c r="G28" s="77">
        <v>5.68</v>
      </c>
      <c r="H28" s="77">
        <v>4.34</v>
      </c>
      <c r="I28" s="210" t="s">
        <v>36</v>
      </c>
      <c r="J28" s="77">
        <v>0.04</v>
      </c>
      <c r="K28" s="77">
        <v>260.99</v>
      </c>
      <c r="L28" s="77">
        <v>22.95</v>
      </c>
      <c r="M28" s="77">
        <v>97.26</v>
      </c>
      <c r="N28" s="77">
        <v>40.700000000000003</v>
      </c>
      <c r="O28" s="77">
        <v>0</v>
      </c>
      <c r="P28" s="77">
        <v>0.25</v>
      </c>
      <c r="Q28" s="77">
        <v>16.63</v>
      </c>
    </row>
    <row r="29" spans="1:17" s="12" customFormat="1" x14ac:dyDescent="0.25">
      <c r="A29" s="64" t="s">
        <v>2381</v>
      </c>
      <c r="B29" s="77">
        <v>5.13</v>
      </c>
      <c r="C29" s="77">
        <v>13.93</v>
      </c>
      <c r="D29" s="77">
        <v>12.44</v>
      </c>
      <c r="E29" s="77">
        <v>3.03</v>
      </c>
      <c r="F29" s="77">
        <v>6.34</v>
      </c>
      <c r="G29" s="77">
        <v>5.78</v>
      </c>
      <c r="H29" s="77">
        <v>4.34</v>
      </c>
      <c r="I29" s="210" t="s">
        <v>36</v>
      </c>
      <c r="J29" s="77">
        <v>7.0000000000000007E-2</v>
      </c>
      <c r="K29" s="77">
        <v>199.04</v>
      </c>
      <c r="L29" s="77">
        <v>22.83</v>
      </c>
      <c r="M29" s="77">
        <v>97.25</v>
      </c>
      <c r="N29" s="77">
        <v>40.6</v>
      </c>
      <c r="O29" s="77">
        <v>0</v>
      </c>
      <c r="P29" s="77">
        <v>0.23</v>
      </c>
      <c r="Q29" s="77">
        <v>16.16</v>
      </c>
    </row>
    <row r="30" spans="1:17" s="12" customFormat="1" x14ac:dyDescent="0.25">
      <c r="A30" s="64" t="s">
        <v>2382</v>
      </c>
      <c r="B30" s="77">
        <v>4.83</v>
      </c>
      <c r="C30" s="77">
        <v>12.9</v>
      </c>
      <c r="D30" s="77">
        <v>11.64</v>
      </c>
      <c r="E30" s="77">
        <v>3.23</v>
      </c>
      <c r="F30" s="77">
        <v>7.63</v>
      </c>
      <c r="G30" s="77">
        <v>5.78</v>
      </c>
      <c r="H30" s="77">
        <v>4.34</v>
      </c>
      <c r="I30" s="210" t="s">
        <v>36</v>
      </c>
      <c r="J30" s="77">
        <v>0.04</v>
      </c>
      <c r="K30" s="77">
        <v>263.27</v>
      </c>
      <c r="L30" s="77">
        <v>22.7</v>
      </c>
      <c r="M30" s="77">
        <v>97.25</v>
      </c>
      <c r="N30" s="77">
        <v>41.2</v>
      </c>
      <c r="O30" s="77">
        <v>0</v>
      </c>
      <c r="P30" s="77">
        <v>0.24</v>
      </c>
      <c r="Q30" s="77">
        <v>14.22</v>
      </c>
    </row>
    <row r="31" spans="1:17" s="12" customFormat="1" x14ac:dyDescent="0.25">
      <c r="A31" s="64" t="s">
        <v>2383</v>
      </c>
      <c r="B31" s="77">
        <v>4.42</v>
      </c>
      <c r="C31" s="77">
        <v>12.9</v>
      </c>
      <c r="D31" s="77">
        <v>11.31</v>
      </c>
      <c r="E31" s="77">
        <v>3.22</v>
      </c>
      <c r="F31" s="77">
        <v>6.9</v>
      </c>
      <c r="G31" s="77">
        <v>5.78</v>
      </c>
      <c r="H31" s="77">
        <v>4.34</v>
      </c>
      <c r="I31" s="210" t="s">
        <v>36</v>
      </c>
      <c r="J31" s="77">
        <v>7.0000000000000007E-2</v>
      </c>
      <c r="K31" s="77">
        <v>260.31</v>
      </c>
      <c r="L31" s="77">
        <v>22.67</v>
      </c>
      <c r="M31" s="77">
        <v>97.25</v>
      </c>
      <c r="N31" s="77">
        <v>46</v>
      </c>
      <c r="O31" s="77">
        <v>0</v>
      </c>
      <c r="P31" s="77">
        <v>0.23</v>
      </c>
      <c r="Q31" s="77">
        <v>13.81</v>
      </c>
    </row>
    <row r="32" spans="1:17" s="12" customFormat="1" x14ac:dyDescent="0.25">
      <c r="A32" s="64" t="s">
        <v>2384</v>
      </c>
      <c r="B32" s="77">
        <v>4.5199999999999996</v>
      </c>
      <c r="C32" s="77">
        <v>13.99</v>
      </c>
      <c r="D32" s="77">
        <v>11.99</v>
      </c>
      <c r="E32" s="77">
        <v>3.11</v>
      </c>
      <c r="F32" s="77">
        <v>6.77</v>
      </c>
      <c r="G32" s="77">
        <v>5.04</v>
      </c>
      <c r="H32" s="77">
        <v>4.0199999999999996</v>
      </c>
      <c r="I32" s="210" t="s">
        <v>36</v>
      </c>
      <c r="J32" s="77">
        <v>0.01</v>
      </c>
      <c r="K32" s="77">
        <v>293.36</v>
      </c>
      <c r="L32" s="77">
        <v>22.78</v>
      </c>
      <c r="M32" s="77">
        <v>97.25</v>
      </c>
      <c r="N32" s="77">
        <v>55.6</v>
      </c>
      <c r="O32" s="77">
        <v>0</v>
      </c>
      <c r="P32" s="77">
        <v>0.23</v>
      </c>
      <c r="Q32" s="77">
        <v>13.29</v>
      </c>
    </row>
    <row r="33" spans="1:17" s="12" customFormat="1" x14ac:dyDescent="0.25">
      <c r="A33" s="64" t="s">
        <v>2385</v>
      </c>
      <c r="B33" s="77">
        <v>4.84</v>
      </c>
      <c r="C33" s="77">
        <v>14.06</v>
      </c>
      <c r="D33" s="77">
        <v>12.29</v>
      </c>
      <c r="E33" s="77">
        <v>2.78</v>
      </c>
      <c r="F33" s="77">
        <v>5.96</v>
      </c>
      <c r="G33" s="77">
        <v>5.0199999999999996</v>
      </c>
      <c r="H33" s="77">
        <v>4.0199999999999996</v>
      </c>
      <c r="I33" s="210" t="s">
        <v>36</v>
      </c>
      <c r="J33" s="77">
        <v>0.06</v>
      </c>
      <c r="K33" s="77">
        <v>228.67</v>
      </c>
      <c r="L33" s="77">
        <v>22.92</v>
      </c>
      <c r="M33" s="77">
        <v>97.25</v>
      </c>
      <c r="N33" s="77">
        <v>78.8</v>
      </c>
      <c r="O33" s="77">
        <v>0</v>
      </c>
      <c r="P33" s="77">
        <v>0.24</v>
      </c>
      <c r="Q33" s="77">
        <v>12.38</v>
      </c>
    </row>
    <row r="34" spans="1:17" s="12" customFormat="1" x14ac:dyDescent="0.25">
      <c r="A34" s="64" t="s">
        <v>2386</v>
      </c>
      <c r="B34" s="77">
        <v>6.83</v>
      </c>
      <c r="C34" s="77">
        <v>13.21</v>
      </c>
      <c r="D34" s="77">
        <v>13.42</v>
      </c>
      <c r="E34" s="77">
        <v>3.09</v>
      </c>
      <c r="F34" s="77">
        <v>6.64</v>
      </c>
      <c r="G34" s="77">
        <v>5.0199999999999996</v>
      </c>
      <c r="H34" s="77">
        <v>4.0199999999999996</v>
      </c>
      <c r="I34" s="210" t="s">
        <v>36</v>
      </c>
      <c r="J34" s="77">
        <v>0.09</v>
      </c>
      <c r="K34" s="77">
        <v>166.75</v>
      </c>
      <c r="L34" s="77">
        <v>23.22</v>
      </c>
      <c r="M34" s="77">
        <v>97.25</v>
      </c>
      <c r="N34" s="77">
        <v>97.6</v>
      </c>
      <c r="O34" s="77">
        <v>0</v>
      </c>
      <c r="P34" s="77">
        <v>0.25</v>
      </c>
      <c r="Q34" s="77">
        <v>12</v>
      </c>
    </row>
    <row r="35" spans="1:17" s="12" customFormat="1" x14ac:dyDescent="0.25">
      <c r="A35" s="64" t="s">
        <v>2387</v>
      </c>
      <c r="B35" s="77">
        <v>7.22</v>
      </c>
      <c r="C35" s="77">
        <v>13.53</v>
      </c>
      <c r="D35" s="77">
        <v>13.9</v>
      </c>
      <c r="E35" s="77">
        <v>3.04</v>
      </c>
      <c r="F35" s="77">
        <v>6.74</v>
      </c>
      <c r="G35" s="77">
        <v>5.0199999999999996</v>
      </c>
      <c r="H35" s="77">
        <v>4.0199999999999996</v>
      </c>
      <c r="I35" s="210" t="s">
        <v>36</v>
      </c>
      <c r="J35" s="77">
        <v>0.25</v>
      </c>
      <c r="K35" s="77">
        <v>171.93</v>
      </c>
      <c r="L35" s="77">
        <v>23.32</v>
      </c>
      <c r="M35" s="77">
        <v>97.24</v>
      </c>
      <c r="N35" s="77">
        <v>106.2</v>
      </c>
      <c r="O35" s="77">
        <v>0</v>
      </c>
      <c r="P35" s="77">
        <v>0.24</v>
      </c>
      <c r="Q35" s="77">
        <v>11.8</v>
      </c>
    </row>
    <row r="36" spans="1:17" s="12" customFormat="1" x14ac:dyDescent="0.25">
      <c r="A36" s="64" t="s">
        <v>2388</v>
      </c>
      <c r="B36" s="77">
        <v>5.37</v>
      </c>
      <c r="C36" s="77">
        <v>14.01</v>
      </c>
      <c r="D36" s="77">
        <v>12.69</v>
      </c>
      <c r="E36" s="77">
        <v>3.75</v>
      </c>
      <c r="F36" s="77">
        <v>7.75</v>
      </c>
      <c r="G36" s="77">
        <v>7.82</v>
      </c>
      <c r="H36" s="77">
        <v>4.88</v>
      </c>
      <c r="I36" s="210" t="s">
        <v>36</v>
      </c>
      <c r="J36" s="77">
        <v>0.24</v>
      </c>
      <c r="K36" s="77">
        <v>186.57</v>
      </c>
      <c r="L36" s="77">
        <v>23.44</v>
      </c>
      <c r="M36" s="77">
        <v>97.23</v>
      </c>
      <c r="N36" s="77">
        <v>149.5</v>
      </c>
      <c r="O36" s="77">
        <v>0</v>
      </c>
      <c r="P36" s="77">
        <v>0.25</v>
      </c>
      <c r="Q36" s="77">
        <v>13.68</v>
      </c>
    </row>
    <row r="37" spans="1:17" s="12" customFormat="1" x14ac:dyDescent="0.25">
      <c r="A37" s="64" t="s">
        <v>2389</v>
      </c>
      <c r="B37" s="77">
        <v>5.74</v>
      </c>
      <c r="C37" s="77">
        <v>13.58</v>
      </c>
      <c r="D37" s="77">
        <v>12.74</v>
      </c>
      <c r="E37" s="77">
        <v>3.34</v>
      </c>
      <c r="F37" s="77">
        <v>8.64</v>
      </c>
      <c r="G37" s="77">
        <v>7.92</v>
      </c>
      <c r="H37" s="77">
        <v>4.88</v>
      </c>
      <c r="I37" s="210" t="s">
        <v>36</v>
      </c>
      <c r="J37" s="77">
        <v>0.57999999999999996</v>
      </c>
      <c r="K37" s="77">
        <v>160.57</v>
      </c>
      <c r="L37" s="77">
        <v>23.76</v>
      </c>
      <c r="M37" s="77">
        <v>97.2</v>
      </c>
      <c r="N37" s="77">
        <v>239.1</v>
      </c>
      <c r="O37" s="77">
        <v>0</v>
      </c>
      <c r="P37" s="77">
        <v>0.15</v>
      </c>
      <c r="Q37" s="77">
        <v>14.71</v>
      </c>
    </row>
    <row r="38" spans="1:17" s="12" customFormat="1" x14ac:dyDescent="0.25">
      <c r="A38" s="64" t="s">
        <v>2390</v>
      </c>
      <c r="B38" s="77">
        <v>8.65</v>
      </c>
      <c r="C38" s="77">
        <v>12.56</v>
      </c>
      <c r="D38" s="77">
        <v>14.51</v>
      </c>
      <c r="E38" s="77">
        <v>3.09</v>
      </c>
      <c r="F38" s="77">
        <v>7.97</v>
      </c>
      <c r="G38" s="77">
        <v>7.92</v>
      </c>
      <c r="H38" s="77">
        <v>4.88</v>
      </c>
      <c r="I38" s="210" t="s">
        <v>36</v>
      </c>
      <c r="J38" s="77">
        <v>0.25</v>
      </c>
      <c r="K38" s="77">
        <v>145.62</v>
      </c>
      <c r="L38" s="77">
        <v>24.02</v>
      </c>
      <c r="M38" s="77">
        <v>96.54</v>
      </c>
      <c r="N38" s="77">
        <v>221.9</v>
      </c>
      <c r="O38" s="77">
        <v>0</v>
      </c>
      <c r="P38" s="77">
        <v>0.16</v>
      </c>
      <c r="Q38" s="77">
        <v>16.23</v>
      </c>
    </row>
    <row r="39" spans="1:17" s="12" customFormat="1" x14ac:dyDescent="0.25">
      <c r="A39" s="64" t="s">
        <v>2391</v>
      </c>
      <c r="B39" s="77">
        <v>7.31</v>
      </c>
      <c r="C39" s="77">
        <v>12.24</v>
      </c>
      <c r="D39" s="77">
        <v>13.26</v>
      </c>
      <c r="E39" s="77">
        <v>3.95</v>
      </c>
      <c r="F39" s="77">
        <v>8.0500000000000007</v>
      </c>
      <c r="G39" s="77">
        <v>7.92</v>
      </c>
      <c r="H39" s="77">
        <v>4.88</v>
      </c>
      <c r="I39" s="210" t="s">
        <v>36</v>
      </c>
      <c r="J39" s="77">
        <v>7.0000000000000007E-2</v>
      </c>
      <c r="K39" s="77">
        <v>32.43</v>
      </c>
      <c r="L39" s="77">
        <v>24.28</v>
      </c>
      <c r="M39" s="77">
        <v>94.79</v>
      </c>
      <c r="N39" s="77">
        <v>220.3</v>
      </c>
      <c r="O39" s="77">
        <v>0</v>
      </c>
      <c r="P39" s="77">
        <v>0.18</v>
      </c>
      <c r="Q39" s="77">
        <v>17.14</v>
      </c>
    </row>
    <row r="40" spans="1:17" s="12" customFormat="1" x14ac:dyDescent="0.25">
      <c r="A40" s="64" t="s">
        <v>2392</v>
      </c>
      <c r="B40" s="77">
        <v>7.17</v>
      </c>
      <c r="C40" s="77">
        <v>13.9</v>
      </c>
      <c r="D40" s="77">
        <v>14.06</v>
      </c>
      <c r="E40" s="77">
        <v>2.29</v>
      </c>
      <c r="F40" s="77">
        <v>4.6100000000000003</v>
      </c>
      <c r="G40" s="77">
        <v>12.95</v>
      </c>
      <c r="H40" s="77">
        <v>6</v>
      </c>
      <c r="I40" s="210" t="s">
        <v>36</v>
      </c>
      <c r="J40" s="77">
        <v>0.36</v>
      </c>
      <c r="K40" s="77">
        <v>148.37</v>
      </c>
      <c r="L40" s="77">
        <v>24.32</v>
      </c>
      <c r="M40" s="77">
        <v>93.95</v>
      </c>
      <c r="N40" s="77">
        <v>233.1</v>
      </c>
      <c r="O40" s="77">
        <v>0</v>
      </c>
      <c r="P40" s="77">
        <v>0.19</v>
      </c>
      <c r="Q40" s="77">
        <v>17.41</v>
      </c>
    </row>
    <row r="41" spans="1:17" s="12" customFormat="1" x14ac:dyDescent="0.25">
      <c r="A41" s="64" t="s">
        <v>2393</v>
      </c>
      <c r="B41" s="77">
        <v>7.06</v>
      </c>
      <c r="C41" s="77">
        <v>13.69</v>
      </c>
      <c r="D41" s="77">
        <v>13.87</v>
      </c>
      <c r="E41" s="77">
        <v>2.8</v>
      </c>
      <c r="F41" s="77">
        <v>4.68</v>
      </c>
      <c r="G41" s="77">
        <v>13.12</v>
      </c>
      <c r="H41" s="77">
        <v>6</v>
      </c>
      <c r="I41" s="210" t="s">
        <v>36</v>
      </c>
      <c r="J41" s="77">
        <v>0.3</v>
      </c>
      <c r="K41" s="77">
        <v>192.35</v>
      </c>
      <c r="L41" s="77">
        <v>24.36</v>
      </c>
      <c r="M41" s="77">
        <v>93.32</v>
      </c>
      <c r="N41" s="77">
        <v>262.39999999999998</v>
      </c>
      <c r="O41" s="77">
        <v>0</v>
      </c>
      <c r="P41" s="77">
        <v>0.17</v>
      </c>
      <c r="Q41" s="77">
        <v>15.81</v>
      </c>
    </row>
    <row r="42" spans="1:17" s="12" customFormat="1" x14ac:dyDescent="0.25">
      <c r="A42" s="64" t="s">
        <v>2394</v>
      </c>
      <c r="B42" s="77">
        <v>6.85</v>
      </c>
      <c r="C42" s="77">
        <v>13.92</v>
      </c>
      <c r="D42" s="77">
        <v>13.83</v>
      </c>
      <c r="E42" s="77">
        <v>3.02</v>
      </c>
      <c r="F42" s="77">
        <v>4.74</v>
      </c>
      <c r="G42" s="77">
        <v>13.12</v>
      </c>
      <c r="H42" s="77">
        <v>6</v>
      </c>
      <c r="I42" s="210" t="s">
        <v>36</v>
      </c>
      <c r="J42" s="77">
        <v>0.1</v>
      </c>
      <c r="K42" s="77">
        <v>170.49</v>
      </c>
      <c r="L42" s="77">
        <v>24.59</v>
      </c>
      <c r="M42" s="77">
        <v>91.5</v>
      </c>
      <c r="N42" s="77">
        <v>267</v>
      </c>
      <c r="O42" s="77">
        <v>0</v>
      </c>
      <c r="P42" s="77">
        <v>0.17</v>
      </c>
      <c r="Q42" s="77">
        <v>14.63</v>
      </c>
    </row>
    <row r="43" spans="1:17" s="12" customFormat="1" x14ac:dyDescent="0.25">
      <c r="A43" s="64" t="s">
        <v>2395</v>
      </c>
      <c r="B43" s="77">
        <v>6.19</v>
      </c>
      <c r="C43" s="77">
        <v>13.73</v>
      </c>
      <c r="D43" s="77">
        <v>13.19</v>
      </c>
      <c r="E43" s="77">
        <v>2.9</v>
      </c>
      <c r="F43" s="77">
        <v>4.75</v>
      </c>
      <c r="G43" s="77">
        <v>13.12</v>
      </c>
      <c r="H43" s="77">
        <v>6</v>
      </c>
      <c r="I43" s="210" t="s">
        <v>36</v>
      </c>
      <c r="J43" s="77">
        <v>0.49</v>
      </c>
      <c r="K43" s="77">
        <v>166.67</v>
      </c>
      <c r="L43" s="77">
        <v>24.81</v>
      </c>
      <c r="M43" s="77">
        <v>90.24</v>
      </c>
      <c r="N43" s="77">
        <v>250.3</v>
      </c>
      <c r="O43" s="77">
        <v>0</v>
      </c>
      <c r="P43" s="77">
        <v>0.16</v>
      </c>
      <c r="Q43" s="77">
        <v>12.79</v>
      </c>
    </row>
    <row r="44" spans="1:17" s="12" customFormat="1" x14ac:dyDescent="0.25">
      <c r="A44" s="64" t="s">
        <v>2396</v>
      </c>
      <c r="B44" s="77">
        <v>6</v>
      </c>
      <c r="C44" s="77">
        <v>14.29</v>
      </c>
      <c r="D44" s="77">
        <v>13.35</v>
      </c>
      <c r="E44" s="77">
        <v>2.56</v>
      </c>
      <c r="F44" s="77">
        <v>5.2</v>
      </c>
      <c r="G44" s="77">
        <v>9.8000000000000007</v>
      </c>
      <c r="H44" s="77">
        <v>5.04</v>
      </c>
      <c r="I44" s="210" t="s">
        <v>36</v>
      </c>
      <c r="J44" s="77">
        <v>0.26</v>
      </c>
      <c r="K44" s="77">
        <v>179.53</v>
      </c>
      <c r="L44" s="77">
        <v>24.69</v>
      </c>
      <c r="M44" s="77">
        <v>89.17</v>
      </c>
      <c r="N44" s="77">
        <v>201.5</v>
      </c>
      <c r="O44" s="77">
        <v>0</v>
      </c>
      <c r="P44" s="77">
        <v>0.16</v>
      </c>
      <c r="Q44" s="77">
        <v>12.45</v>
      </c>
    </row>
    <row r="45" spans="1:17" s="12" customFormat="1" x14ac:dyDescent="0.25">
      <c r="A45" s="64" t="s">
        <v>2397</v>
      </c>
      <c r="B45" s="77">
        <v>5.81</v>
      </c>
      <c r="C45" s="77">
        <v>14.17</v>
      </c>
      <c r="D45" s="77">
        <v>13.13</v>
      </c>
      <c r="E45" s="77">
        <v>2.2000000000000002</v>
      </c>
      <c r="F45" s="77">
        <v>5.37</v>
      </c>
      <c r="G45" s="77">
        <v>9.68</v>
      </c>
      <c r="H45" s="77">
        <v>5.04</v>
      </c>
      <c r="I45" s="210" t="s">
        <v>36</v>
      </c>
      <c r="J45" s="77">
        <v>0.17</v>
      </c>
      <c r="K45" s="77">
        <v>212.74</v>
      </c>
      <c r="L45" s="77">
        <v>24.73</v>
      </c>
      <c r="M45" s="77">
        <v>87.99</v>
      </c>
      <c r="N45" s="77">
        <v>232.5</v>
      </c>
      <c r="O45" s="77">
        <v>0</v>
      </c>
      <c r="P45" s="77">
        <v>0.17</v>
      </c>
      <c r="Q45" s="77">
        <v>11.32</v>
      </c>
    </row>
    <row r="46" spans="1:17" s="12" customFormat="1" x14ac:dyDescent="0.25">
      <c r="A46" s="64" t="s">
        <v>2398</v>
      </c>
      <c r="B46" s="77">
        <v>5.35</v>
      </c>
      <c r="C46" s="77">
        <v>14.66</v>
      </c>
      <c r="D46" s="77">
        <v>13.03</v>
      </c>
      <c r="E46" s="77">
        <v>2.8</v>
      </c>
      <c r="F46" s="77">
        <v>4.97</v>
      </c>
      <c r="G46" s="77">
        <v>9.68</v>
      </c>
      <c r="H46" s="77">
        <v>5.04</v>
      </c>
      <c r="I46" s="210" t="s">
        <v>36</v>
      </c>
      <c r="J46" s="77">
        <v>7.0000000000000007E-2</v>
      </c>
      <c r="K46" s="77">
        <v>125.02</v>
      </c>
      <c r="L46" s="77">
        <v>24.95</v>
      </c>
      <c r="M46" s="77">
        <v>88.01</v>
      </c>
      <c r="N46" s="77">
        <v>224.3</v>
      </c>
      <c r="O46" s="77">
        <v>0</v>
      </c>
      <c r="P46" s="77">
        <v>0.16</v>
      </c>
      <c r="Q46" s="77">
        <v>10.76</v>
      </c>
    </row>
    <row r="47" spans="1:17" s="12" customFormat="1" x14ac:dyDescent="0.25">
      <c r="A47" s="64" t="s">
        <v>2399</v>
      </c>
      <c r="B47" s="77">
        <v>4.78</v>
      </c>
      <c r="C47" s="77">
        <v>14.85</v>
      </c>
      <c r="D47" s="77">
        <v>12.67</v>
      </c>
      <c r="E47" s="77">
        <v>2.4300000000000002</v>
      </c>
      <c r="F47" s="77">
        <v>5.65</v>
      </c>
      <c r="G47" s="77">
        <v>9.68</v>
      </c>
      <c r="H47" s="77">
        <v>5.04</v>
      </c>
      <c r="I47" s="210" t="s">
        <v>36</v>
      </c>
      <c r="J47" s="77">
        <v>0.21</v>
      </c>
      <c r="K47" s="77">
        <v>192.64</v>
      </c>
      <c r="L47" s="77">
        <v>24.79</v>
      </c>
      <c r="M47" s="77">
        <v>88.9</v>
      </c>
      <c r="N47" s="77">
        <v>205.8</v>
      </c>
      <c r="O47" s="77">
        <v>0</v>
      </c>
      <c r="P47" s="77">
        <v>0.17</v>
      </c>
      <c r="Q47" s="77">
        <v>10.58</v>
      </c>
    </row>
    <row r="48" spans="1:17" s="12" customFormat="1" x14ac:dyDescent="0.25">
      <c r="A48" s="64" t="s">
        <v>2400</v>
      </c>
      <c r="B48" s="77">
        <v>4.37</v>
      </c>
      <c r="C48" s="77">
        <v>14.39</v>
      </c>
      <c r="D48" s="77">
        <v>12.09</v>
      </c>
      <c r="E48" s="77">
        <v>2.2000000000000002</v>
      </c>
      <c r="F48" s="77">
        <v>8</v>
      </c>
      <c r="G48" s="77">
        <v>11.57</v>
      </c>
      <c r="H48" s="77">
        <v>5.71</v>
      </c>
      <c r="I48" s="210" t="s">
        <v>36</v>
      </c>
      <c r="J48" s="77">
        <v>0.27</v>
      </c>
      <c r="K48" s="77">
        <v>165.06</v>
      </c>
      <c r="L48" s="77">
        <v>24.95</v>
      </c>
      <c r="M48" s="77">
        <v>89.15</v>
      </c>
      <c r="N48" s="77">
        <v>257.7</v>
      </c>
      <c r="O48" s="77">
        <v>0</v>
      </c>
      <c r="P48" s="77">
        <v>0.18</v>
      </c>
      <c r="Q48" s="77">
        <v>11.46</v>
      </c>
    </row>
    <row r="49" spans="1:17" s="12" customFormat="1" x14ac:dyDescent="0.25">
      <c r="A49" s="64" t="s">
        <v>2401</v>
      </c>
      <c r="B49" s="77">
        <v>4.43</v>
      </c>
      <c r="C49" s="77">
        <v>14.44</v>
      </c>
      <c r="D49" s="77">
        <v>12.17</v>
      </c>
      <c r="E49" s="77">
        <v>2.35</v>
      </c>
      <c r="F49" s="77">
        <v>7.3</v>
      </c>
      <c r="G49" s="77">
        <v>11.63</v>
      </c>
      <c r="H49" s="77">
        <v>5.71</v>
      </c>
      <c r="I49" s="210" t="s">
        <v>36</v>
      </c>
      <c r="J49" s="77">
        <v>0.1</v>
      </c>
      <c r="K49" s="77">
        <v>212.69</v>
      </c>
      <c r="L49" s="77">
        <v>25.28</v>
      </c>
      <c r="M49" s="77">
        <v>87.21</v>
      </c>
      <c r="N49" s="77">
        <v>458.7</v>
      </c>
      <c r="O49" s="77">
        <v>0</v>
      </c>
      <c r="P49" s="77">
        <v>0.18</v>
      </c>
      <c r="Q49" s="77">
        <v>11.81</v>
      </c>
    </row>
    <row r="50" spans="1:17" s="12" customFormat="1" x14ac:dyDescent="0.25">
      <c r="A50" s="64" t="s">
        <v>2402</v>
      </c>
      <c r="B50" s="77">
        <v>5.0999999999999996</v>
      </c>
      <c r="C50" s="77">
        <v>14.3</v>
      </c>
      <c r="D50" s="77">
        <v>12.63</v>
      </c>
      <c r="E50" s="77">
        <v>2.69</v>
      </c>
      <c r="F50" s="77">
        <v>6.91</v>
      </c>
      <c r="G50" s="77">
        <v>11.63</v>
      </c>
      <c r="H50" s="77">
        <v>5.71</v>
      </c>
      <c r="I50" s="210" t="s">
        <v>36</v>
      </c>
      <c r="J50" s="77">
        <v>0.39</v>
      </c>
      <c r="K50" s="77">
        <v>194.01</v>
      </c>
      <c r="L50" s="77">
        <v>26.58</v>
      </c>
      <c r="M50" s="77">
        <v>79.77</v>
      </c>
      <c r="N50" s="77">
        <v>1042.7</v>
      </c>
      <c r="O50" s="77">
        <v>0</v>
      </c>
      <c r="P50" s="77">
        <v>0.2</v>
      </c>
      <c r="Q50" s="77">
        <v>12.19</v>
      </c>
    </row>
    <row r="51" spans="1:17" s="12" customFormat="1" x14ac:dyDescent="0.25">
      <c r="A51" s="64" t="s">
        <v>2403</v>
      </c>
      <c r="B51" s="77">
        <v>5.26</v>
      </c>
      <c r="C51" s="77">
        <v>14.62</v>
      </c>
      <c r="D51" s="77">
        <v>12.93</v>
      </c>
      <c r="E51" s="77">
        <v>3.1</v>
      </c>
      <c r="F51" s="77">
        <v>6.86</v>
      </c>
      <c r="G51" s="77">
        <v>11.63</v>
      </c>
      <c r="H51" s="77">
        <v>5.71</v>
      </c>
      <c r="I51" s="210" t="s">
        <v>36</v>
      </c>
      <c r="J51" s="77">
        <v>0.46</v>
      </c>
      <c r="K51" s="77">
        <v>160.44</v>
      </c>
      <c r="L51" s="77">
        <v>27.01</v>
      </c>
      <c r="M51" s="77">
        <v>78.989999999999995</v>
      </c>
      <c r="N51" s="77">
        <v>475</v>
      </c>
      <c r="O51" s="77">
        <v>0</v>
      </c>
      <c r="P51" s="77">
        <v>0.17</v>
      </c>
      <c r="Q51" s="77">
        <v>12.49</v>
      </c>
    </row>
    <row r="52" spans="1:17" s="12" customFormat="1" x14ac:dyDescent="0.25">
      <c r="A52" s="64" t="s">
        <v>2404</v>
      </c>
      <c r="B52" s="77">
        <v>4.4800000000000004</v>
      </c>
      <c r="C52" s="77">
        <v>14.48</v>
      </c>
      <c r="D52" s="77">
        <v>12.23</v>
      </c>
      <c r="E52" s="77">
        <v>2.76</v>
      </c>
      <c r="F52" s="77">
        <v>4.08</v>
      </c>
      <c r="G52" s="77">
        <v>14.16</v>
      </c>
      <c r="H52" s="77">
        <v>7.91</v>
      </c>
      <c r="I52" s="210" t="s">
        <v>36</v>
      </c>
      <c r="J52" s="77">
        <v>0.78</v>
      </c>
      <c r="K52" s="77">
        <v>161.76</v>
      </c>
      <c r="L52" s="77">
        <v>26.26</v>
      </c>
      <c r="M52" s="77">
        <v>81</v>
      </c>
      <c r="N52" s="77">
        <v>373.1</v>
      </c>
      <c r="O52" s="77">
        <v>0</v>
      </c>
      <c r="P52" s="77">
        <v>0.17</v>
      </c>
      <c r="Q52" s="77">
        <v>11.93</v>
      </c>
    </row>
    <row r="53" spans="1:17" s="12" customFormat="1" x14ac:dyDescent="0.25">
      <c r="A53" s="64" t="s">
        <v>2405</v>
      </c>
      <c r="B53" s="77">
        <v>4.8099999999999996</v>
      </c>
      <c r="C53" s="77">
        <v>15.01</v>
      </c>
      <c r="D53" s="77">
        <v>12.79</v>
      </c>
      <c r="E53" s="77">
        <v>3.01</v>
      </c>
      <c r="F53" s="77">
        <v>5.53</v>
      </c>
      <c r="G53" s="77">
        <v>14.25</v>
      </c>
      <c r="H53" s="77">
        <v>7.91</v>
      </c>
      <c r="I53" s="210" t="s">
        <v>36</v>
      </c>
      <c r="J53" s="77">
        <v>1.3</v>
      </c>
      <c r="K53" s="77">
        <v>158.78</v>
      </c>
      <c r="L53" s="77">
        <v>26.03</v>
      </c>
      <c r="M53" s="77">
        <v>79.900000000000006</v>
      </c>
      <c r="N53" s="77">
        <v>397.7</v>
      </c>
      <c r="O53" s="77">
        <v>0</v>
      </c>
      <c r="P53" s="77">
        <v>0.16</v>
      </c>
      <c r="Q53" s="77">
        <v>11.27</v>
      </c>
    </row>
    <row r="54" spans="1:17" s="12" customFormat="1" x14ac:dyDescent="0.25">
      <c r="A54" s="64" t="s">
        <v>2406</v>
      </c>
      <c r="B54" s="77">
        <v>4.63</v>
      </c>
      <c r="C54" s="77">
        <v>15.35</v>
      </c>
      <c r="D54" s="77">
        <v>12.84</v>
      </c>
      <c r="E54" s="77">
        <v>2.59</v>
      </c>
      <c r="F54" s="77">
        <v>4.21</v>
      </c>
      <c r="G54" s="77">
        <v>14.25</v>
      </c>
      <c r="H54" s="77">
        <v>7.91</v>
      </c>
      <c r="I54" s="210" t="s">
        <v>36</v>
      </c>
      <c r="J54" s="77">
        <v>0.81</v>
      </c>
      <c r="K54" s="77">
        <v>158.47999999999999</v>
      </c>
      <c r="L54" s="77">
        <v>26.94</v>
      </c>
      <c r="M54" s="77">
        <v>76.930000000000007</v>
      </c>
      <c r="N54" s="77">
        <v>767.3</v>
      </c>
      <c r="O54" s="77">
        <v>0</v>
      </c>
      <c r="P54" s="77">
        <v>0.16</v>
      </c>
      <c r="Q54" s="77">
        <v>12</v>
      </c>
    </row>
    <row r="55" spans="1:17" s="12" customFormat="1" x14ac:dyDescent="0.25">
      <c r="A55" s="64" t="s">
        <v>2407</v>
      </c>
      <c r="B55" s="77">
        <v>4.07</v>
      </c>
      <c r="C55" s="77">
        <v>14.87</v>
      </c>
      <c r="D55" s="77">
        <v>12.12</v>
      </c>
      <c r="E55" s="77">
        <v>2.95</v>
      </c>
      <c r="F55" s="77">
        <v>4.96</v>
      </c>
      <c r="G55" s="77">
        <v>14.25</v>
      </c>
      <c r="H55" s="77">
        <v>7.91</v>
      </c>
      <c r="I55" s="210" t="s">
        <v>36</v>
      </c>
      <c r="J55" s="77">
        <v>0.38</v>
      </c>
      <c r="K55" s="77">
        <v>183.95</v>
      </c>
      <c r="L55" s="77">
        <v>27.21</v>
      </c>
      <c r="M55" s="77">
        <v>76.09</v>
      </c>
      <c r="N55" s="77">
        <v>679.2</v>
      </c>
      <c r="O55" s="77">
        <v>0</v>
      </c>
      <c r="P55" s="77">
        <v>0.15</v>
      </c>
      <c r="Q55" s="77">
        <v>11.39</v>
      </c>
    </row>
    <row r="56" spans="1:17" s="12" customFormat="1" x14ac:dyDescent="0.25">
      <c r="A56" s="64" t="s">
        <v>2408</v>
      </c>
      <c r="B56" s="77">
        <v>3.59</v>
      </c>
      <c r="C56" s="77">
        <v>14.91</v>
      </c>
      <c r="D56" s="77">
        <v>11.76</v>
      </c>
      <c r="E56" s="77">
        <v>1.88</v>
      </c>
      <c r="F56" s="77">
        <v>6.45</v>
      </c>
      <c r="G56" s="77">
        <v>10.52</v>
      </c>
      <c r="H56" s="77">
        <v>9.2200000000000006</v>
      </c>
      <c r="I56" s="210" t="s">
        <v>36</v>
      </c>
      <c r="J56" s="77">
        <v>0.32</v>
      </c>
      <c r="K56" s="77">
        <v>152.53</v>
      </c>
      <c r="L56" s="77">
        <v>27.22</v>
      </c>
      <c r="M56" s="77">
        <v>76.239999999999995</v>
      </c>
      <c r="N56" s="77">
        <v>439.3</v>
      </c>
      <c r="O56" s="77">
        <v>0</v>
      </c>
      <c r="P56" s="77">
        <v>0.15</v>
      </c>
      <c r="Q56" s="77">
        <v>10.39</v>
      </c>
    </row>
    <row r="57" spans="1:17" s="12" customFormat="1" x14ac:dyDescent="0.25">
      <c r="A57" s="64" t="s">
        <v>2409</v>
      </c>
      <c r="B57" s="77">
        <v>3.27</v>
      </c>
      <c r="C57" s="77">
        <v>15.07</v>
      </c>
      <c r="D57" s="77">
        <v>11.58</v>
      </c>
      <c r="E57" s="77">
        <v>2.27</v>
      </c>
      <c r="F57" s="77">
        <v>6.07</v>
      </c>
      <c r="G57" s="77">
        <v>10.39</v>
      </c>
      <c r="H57" s="77">
        <v>9.2200000000000006</v>
      </c>
      <c r="I57" s="210" t="s">
        <v>36</v>
      </c>
      <c r="J57" s="77">
        <v>0.56000000000000005</v>
      </c>
      <c r="K57" s="77">
        <v>164.12</v>
      </c>
      <c r="L57" s="77">
        <v>27.01</v>
      </c>
      <c r="M57" s="77">
        <v>76.09</v>
      </c>
      <c r="N57" s="77">
        <v>474.7</v>
      </c>
      <c r="O57" s="77">
        <v>0</v>
      </c>
      <c r="P57" s="77">
        <v>0.14000000000000001</v>
      </c>
      <c r="Q57" s="77">
        <v>9.4</v>
      </c>
    </row>
    <row r="58" spans="1:17" s="12" customFormat="1" x14ac:dyDescent="0.25">
      <c r="A58" s="64" t="s">
        <v>2410</v>
      </c>
      <c r="B58" s="77">
        <v>3.05</v>
      </c>
      <c r="C58" s="77">
        <v>15.2</v>
      </c>
      <c r="D58" s="77">
        <v>11.48</v>
      </c>
      <c r="E58" s="77">
        <v>1.95</v>
      </c>
      <c r="F58" s="77">
        <v>4.97</v>
      </c>
      <c r="G58" s="77">
        <v>10.39</v>
      </c>
      <c r="H58" s="77">
        <v>9.2200000000000006</v>
      </c>
      <c r="I58" s="210" t="s">
        <v>36</v>
      </c>
      <c r="J58" s="77">
        <v>0.74</v>
      </c>
      <c r="K58" s="77">
        <v>162.77000000000001</v>
      </c>
      <c r="L58" s="77">
        <v>27.19</v>
      </c>
      <c r="M58" s="77">
        <v>76.150000000000006</v>
      </c>
      <c r="N58" s="77">
        <v>514.29999999999995</v>
      </c>
      <c r="O58" s="77">
        <v>0</v>
      </c>
      <c r="P58" s="77">
        <v>0.16</v>
      </c>
      <c r="Q58" s="77">
        <v>8.7200000000000006</v>
      </c>
    </row>
    <row r="59" spans="1:17" s="12" customFormat="1" x14ac:dyDescent="0.25">
      <c r="A59" s="64" t="s">
        <v>2411</v>
      </c>
      <c r="B59" s="77">
        <v>3.45</v>
      </c>
      <c r="C59" s="77">
        <v>16.02</v>
      </c>
      <c r="D59" s="77">
        <v>12.25</v>
      </c>
      <c r="E59" s="77">
        <v>2.08</v>
      </c>
      <c r="F59" s="77">
        <v>7.07</v>
      </c>
      <c r="G59" s="77">
        <v>10.39</v>
      </c>
      <c r="H59" s="77">
        <v>9.2200000000000006</v>
      </c>
      <c r="I59" s="210" t="s">
        <v>36</v>
      </c>
      <c r="J59" s="77">
        <v>0.22</v>
      </c>
      <c r="K59" s="77">
        <v>171.21</v>
      </c>
      <c r="L59" s="77">
        <v>27.17</v>
      </c>
      <c r="M59" s="77">
        <v>77.739999999999995</v>
      </c>
      <c r="N59" s="77">
        <v>502.5</v>
      </c>
      <c r="O59" s="77">
        <v>0</v>
      </c>
      <c r="P59" s="77">
        <v>0.16</v>
      </c>
      <c r="Q59" s="77">
        <v>10.119999999999999</v>
      </c>
    </row>
    <row r="60" spans="1:17" s="12" customFormat="1" x14ac:dyDescent="0.25">
      <c r="A60" s="64" t="s">
        <v>2412</v>
      </c>
      <c r="B60" s="77">
        <v>3.77</v>
      </c>
      <c r="C60" s="77">
        <v>15.38</v>
      </c>
      <c r="D60" s="77">
        <v>12.16</v>
      </c>
      <c r="E60" s="77">
        <v>2.15</v>
      </c>
      <c r="F60" s="77">
        <v>12.15</v>
      </c>
      <c r="G60" s="77">
        <v>12.79</v>
      </c>
      <c r="H60" s="77">
        <v>7.33</v>
      </c>
      <c r="I60" s="210" t="s">
        <v>36</v>
      </c>
      <c r="J60" s="77">
        <v>0.66</v>
      </c>
      <c r="K60" s="77">
        <v>164.18</v>
      </c>
      <c r="L60" s="77">
        <v>27.29</v>
      </c>
      <c r="M60" s="77">
        <v>74.88</v>
      </c>
      <c r="N60" s="77">
        <v>395.7</v>
      </c>
      <c r="O60" s="77">
        <v>0</v>
      </c>
      <c r="P60" s="77">
        <v>0.15</v>
      </c>
      <c r="Q60" s="77">
        <v>11.15</v>
      </c>
    </row>
    <row r="61" spans="1:17" s="12" customFormat="1" x14ac:dyDescent="0.25">
      <c r="A61" s="64" t="s">
        <v>2413</v>
      </c>
      <c r="B61" s="77">
        <v>3.13</v>
      </c>
      <c r="C61" s="77">
        <v>13.78</v>
      </c>
      <c r="D61" s="77">
        <v>10.76</v>
      </c>
      <c r="E61" s="77">
        <v>2.39</v>
      </c>
      <c r="F61" s="77">
        <v>15.76</v>
      </c>
      <c r="G61" s="77">
        <v>12.88</v>
      </c>
      <c r="H61" s="77">
        <v>7.33</v>
      </c>
      <c r="I61" s="210" t="s">
        <v>36</v>
      </c>
      <c r="J61" s="77">
        <v>0.26</v>
      </c>
      <c r="K61" s="77">
        <v>164.73</v>
      </c>
      <c r="L61" s="77">
        <v>27.6</v>
      </c>
      <c r="M61" s="77">
        <v>73.73</v>
      </c>
      <c r="N61" s="77">
        <v>385.7</v>
      </c>
      <c r="O61" s="77">
        <v>0</v>
      </c>
      <c r="P61" s="77">
        <v>0.23</v>
      </c>
      <c r="Q61" s="77">
        <v>12</v>
      </c>
    </row>
    <row r="62" spans="1:17" s="12" customFormat="1" x14ac:dyDescent="0.25">
      <c r="A62" s="64" t="s">
        <v>2414</v>
      </c>
      <c r="B62" s="77">
        <v>4.1100000000000003</v>
      </c>
      <c r="C62" s="77">
        <v>13.72</v>
      </c>
      <c r="D62" s="77">
        <v>11.51</v>
      </c>
      <c r="E62" s="77">
        <v>2.41</v>
      </c>
      <c r="F62" s="77">
        <v>12.67</v>
      </c>
      <c r="G62" s="77">
        <v>12.88</v>
      </c>
      <c r="H62" s="77">
        <v>7.33</v>
      </c>
      <c r="I62" s="210" t="s">
        <v>36</v>
      </c>
      <c r="J62" s="77">
        <v>0.05</v>
      </c>
      <c r="K62" s="77">
        <v>253.72</v>
      </c>
      <c r="L62" s="77">
        <v>27.74</v>
      </c>
      <c r="M62" s="77">
        <v>73.58</v>
      </c>
      <c r="N62" s="77">
        <v>378.9</v>
      </c>
      <c r="O62" s="77">
        <v>0</v>
      </c>
      <c r="P62" s="77">
        <v>0.25</v>
      </c>
      <c r="Q62" s="77">
        <v>12.71</v>
      </c>
    </row>
    <row r="63" spans="1:17" s="12" customFormat="1" x14ac:dyDescent="0.25">
      <c r="A63" s="64" t="s">
        <v>2415</v>
      </c>
      <c r="B63" s="77">
        <v>6.6</v>
      </c>
      <c r="C63" s="77">
        <v>14.52</v>
      </c>
      <c r="D63" s="77">
        <v>13.95</v>
      </c>
      <c r="E63" s="77">
        <v>2.3199999999999998</v>
      </c>
      <c r="F63" s="77">
        <v>10.17</v>
      </c>
      <c r="G63" s="77">
        <v>12.88</v>
      </c>
      <c r="H63" s="77">
        <v>7.33</v>
      </c>
      <c r="I63" s="210" t="s">
        <v>36</v>
      </c>
      <c r="J63" s="77">
        <v>0.05</v>
      </c>
      <c r="K63" s="77">
        <v>263.77</v>
      </c>
      <c r="L63" s="77">
        <v>28.05</v>
      </c>
      <c r="M63" s="77">
        <v>72.53</v>
      </c>
      <c r="N63" s="77">
        <v>277.3</v>
      </c>
      <c r="O63" s="77">
        <v>0</v>
      </c>
      <c r="P63" s="77">
        <v>0.28999999999999998</v>
      </c>
      <c r="Q63" s="77">
        <v>12.49</v>
      </c>
    </row>
    <row r="64" spans="1:17" s="12" customFormat="1" x14ac:dyDescent="0.25">
      <c r="A64" s="64" t="s">
        <v>2416</v>
      </c>
      <c r="B64" s="77">
        <v>5.1100000000000003</v>
      </c>
      <c r="C64" s="77">
        <v>15.71</v>
      </c>
      <c r="D64" s="77">
        <v>13.41</v>
      </c>
      <c r="E64" s="77">
        <v>2.44</v>
      </c>
      <c r="F64" s="77">
        <v>6.36</v>
      </c>
      <c r="G64" s="77">
        <v>14.23</v>
      </c>
      <c r="H64" s="77">
        <v>9.1</v>
      </c>
      <c r="I64" s="210" t="s">
        <v>36</v>
      </c>
      <c r="J64" s="77">
        <v>0.23</v>
      </c>
      <c r="K64" s="77">
        <v>149.06</v>
      </c>
      <c r="L64" s="77">
        <v>27.65</v>
      </c>
      <c r="M64" s="77">
        <v>74.599999999999994</v>
      </c>
      <c r="N64" s="77">
        <v>386.5</v>
      </c>
      <c r="O64" s="77">
        <v>0</v>
      </c>
      <c r="P64" s="77">
        <v>0.24</v>
      </c>
      <c r="Q64" s="77">
        <v>12.49</v>
      </c>
    </row>
    <row r="65" spans="1:17" s="12" customFormat="1" x14ac:dyDescent="0.25">
      <c r="A65" s="64" t="s">
        <v>2417</v>
      </c>
      <c r="B65" s="77">
        <v>4.3</v>
      </c>
      <c r="C65" s="77">
        <v>14.6</v>
      </c>
      <c r="D65" s="77">
        <v>12.15</v>
      </c>
      <c r="E65" s="77">
        <v>2.94</v>
      </c>
      <c r="F65" s="77">
        <v>8.35</v>
      </c>
      <c r="G65" s="77">
        <v>14.27</v>
      </c>
      <c r="H65" s="77">
        <v>9.1</v>
      </c>
      <c r="I65" s="210" t="s">
        <v>36</v>
      </c>
      <c r="J65" s="77">
        <v>0.02</v>
      </c>
      <c r="K65" s="77">
        <v>350.38</v>
      </c>
      <c r="L65" s="77">
        <v>28.6</v>
      </c>
      <c r="M65" s="77">
        <v>71.569999999999993</v>
      </c>
      <c r="N65" s="77">
        <v>830.4</v>
      </c>
      <c r="O65" s="77">
        <v>0</v>
      </c>
      <c r="P65" s="77">
        <v>0.23</v>
      </c>
      <c r="Q65" s="77">
        <v>10.42</v>
      </c>
    </row>
    <row r="66" spans="1:17" s="12" customFormat="1" x14ac:dyDescent="0.25">
      <c r="A66" s="64" t="s">
        <v>2418</v>
      </c>
      <c r="B66" s="77">
        <v>5.41</v>
      </c>
      <c r="C66" s="77">
        <v>16.45</v>
      </c>
      <c r="D66" s="77">
        <v>14.06</v>
      </c>
      <c r="E66" s="77">
        <v>2.2000000000000002</v>
      </c>
      <c r="F66" s="77">
        <v>5.58</v>
      </c>
      <c r="G66" s="77">
        <v>14.27</v>
      </c>
      <c r="H66" s="77">
        <v>9.1</v>
      </c>
      <c r="I66" s="210" t="s">
        <v>36</v>
      </c>
      <c r="J66" s="77">
        <v>0.75</v>
      </c>
      <c r="K66" s="77">
        <v>359.28</v>
      </c>
      <c r="L66" s="77">
        <v>28.94</v>
      </c>
      <c r="M66" s="77">
        <v>73.900000000000006</v>
      </c>
      <c r="N66" s="77">
        <v>229.5</v>
      </c>
      <c r="O66" s="77">
        <v>0</v>
      </c>
      <c r="P66" s="77">
        <v>0.28999999999999998</v>
      </c>
      <c r="Q66" s="77">
        <v>8.91</v>
      </c>
    </row>
    <row r="67" spans="1:17" s="12" customFormat="1" x14ac:dyDescent="0.25">
      <c r="A67" s="64" t="s">
        <v>2419</v>
      </c>
      <c r="B67" s="77">
        <v>10.01</v>
      </c>
      <c r="C67" s="77">
        <v>21.82</v>
      </c>
      <c r="D67" s="77">
        <v>20.72</v>
      </c>
      <c r="E67" s="77">
        <v>2.77</v>
      </c>
      <c r="F67" s="77">
        <v>6.73</v>
      </c>
      <c r="G67" s="77">
        <v>14.27</v>
      </c>
      <c r="H67" s="77">
        <v>9.1</v>
      </c>
      <c r="I67" s="210" t="s">
        <v>36</v>
      </c>
      <c r="J67" s="77">
        <v>0.35</v>
      </c>
      <c r="K67" s="77">
        <v>356.82</v>
      </c>
      <c r="L67" s="77">
        <v>27.59</v>
      </c>
      <c r="M67" s="77">
        <v>80.14</v>
      </c>
      <c r="N67" s="77">
        <v>56.9</v>
      </c>
      <c r="O67" s="77">
        <v>0</v>
      </c>
      <c r="P67" s="77">
        <v>0.44</v>
      </c>
      <c r="Q67" s="77">
        <v>9.23</v>
      </c>
    </row>
    <row r="68" spans="1:17" s="12" customFormat="1" x14ac:dyDescent="0.25">
      <c r="A68" s="64" t="s">
        <v>2420</v>
      </c>
      <c r="B68" s="77">
        <v>8.4499999999999993</v>
      </c>
      <c r="C68" s="77">
        <v>18.75</v>
      </c>
      <c r="D68" s="77">
        <v>17.77</v>
      </c>
      <c r="E68" s="77">
        <v>2.5099999999999998</v>
      </c>
      <c r="F68" s="77">
        <v>5.35</v>
      </c>
      <c r="G68" s="77">
        <v>30.65</v>
      </c>
      <c r="H68" s="77">
        <v>10.38</v>
      </c>
      <c r="I68" s="210" t="s">
        <v>36</v>
      </c>
      <c r="J68" s="77">
        <v>0.54</v>
      </c>
      <c r="K68" s="77">
        <v>343.13</v>
      </c>
      <c r="L68" s="77">
        <v>25.96</v>
      </c>
      <c r="M68" s="77">
        <v>88.62</v>
      </c>
      <c r="N68" s="77">
        <v>79.599999999999994</v>
      </c>
      <c r="O68" s="77">
        <v>0</v>
      </c>
      <c r="P68" s="77">
        <v>0.36</v>
      </c>
      <c r="Q68" s="77">
        <v>8.09</v>
      </c>
    </row>
    <row r="69" spans="1:17" s="12" customFormat="1" x14ac:dyDescent="0.25">
      <c r="A69" s="64" t="s">
        <v>2421</v>
      </c>
      <c r="B69" s="77">
        <v>6.76</v>
      </c>
      <c r="C69" s="77">
        <v>18.47</v>
      </c>
      <c r="D69" s="77">
        <v>16.260000000000002</v>
      </c>
      <c r="E69" s="77">
        <v>2.23</v>
      </c>
      <c r="F69" s="77">
        <v>3.78</v>
      </c>
      <c r="G69" s="77">
        <v>31.22</v>
      </c>
      <c r="H69" s="77">
        <v>10.38</v>
      </c>
      <c r="I69" s="210" t="s">
        <v>36</v>
      </c>
      <c r="J69" s="77">
        <v>0.9</v>
      </c>
      <c r="K69" s="77">
        <v>333.02</v>
      </c>
      <c r="L69" s="77">
        <v>25.58</v>
      </c>
      <c r="M69" s="77">
        <v>89.47</v>
      </c>
      <c r="N69" s="77">
        <v>111.5</v>
      </c>
      <c r="O69" s="77">
        <v>0</v>
      </c>
      <c r="P69" s="77">
        <v>0.37</v>
      </c>
      <c r="Q69" s="77">
        <v>7.83</v>
      </c>
    </row>
    <row r="70" spans="1:17" s="12" customFormat="1" x14ac:dyDescent="0.25">
      <c r="A70" s="64" t="s">
        <v>2422</v>
      </c>
      <c r="B70" s="77">
        <v>6.48</v>
      </c>
      <c r="C70" s="77">
        <v>18.649999999999999</v>
      </c>
      <c r="D70" s="77">
        <v>16.13</v>
      </c>
      <c r="E70" s="77">
        <v>2.23</v>
      </c>
      <c r="F70" s="77">
        <v>4.32</v>
      </c>
      <c r="G70" s="77">
        <v>31.22</v>
      </c>
      <c r="H70" s="77">
        <v>10.38</v>
      </c>
      <c r="I70" s="210" t="s">
        <v>36</v>
      </c>
      <c r="J70" s="77">
        <v>1.57</v>
      </c>
      <c r="K70" s="77">
        <v>345.13</v>
      </c>
      <c r="L70" s="77">
        <v>25.08</v>
      </c>
      <c r="M70" s="77">
        <v>94.15</v>
      </c>
      <c r="N70" s="77">
        <v>76.5</v>
      </c>
      <c r="O70" s="77">
        <v>0.2</v>
      </c>
      <c r="P70" s="77">
        <v>0.39</v>
      </c>
      <c r="Q70" s="77">
        <v>6.71</v>
      </c>
    </row>
    <row r="71" spans="1:17" s="12" customFormat="1" x14ac:dyDescent="0.25">
      <c r="A71" s="64" t="s">
        <v>2423</v>
      </c>
      <c r="B71" s="77">
        <v>6.67</v>
      </c>
      <c r="C71" s="77">
        <v>18.7</v>
      </c>
      <c r="D71" s="77">
        <v>16.309999999999999</v>
      </c>
      <c r="E71" s="77">
        <v>2.36</v>
      </c>
      <c r="F71" s="77">
        <v>4.71</v>
      </c>
      <c r="G71" s="77">
        <v>31.22</v>
      </c>
      <c r="H71" s="77">
        <v>10.38</v>
      </c>
      <c r="I71" s="210" t="s">
        <v>36</v>
      </c>
      <c r="J71" s="77">
        <v>1.44</v>
      </c>
      <c r="K71" s="77">
        <v>342.28</v>
      </c>
      <c r="L71" s="77">
        <v>24.31</v>
      </c>
      <c r="M71" s="77">
        <v>97.23</v>
      </c>
      <c r="N71" s="77">
        <v>112.2</v>
      </c>
      <c r="O71" s="77">
        <v>0.2</v>
      </c>
      <c r="P71" s="77">
        <v>0.4</v>
      </c>
      <c r="Q71" s="77">
        <v>6.84</v>
      </c>
    </row>
    <row r="72" spans="1:17" s="12" customFormat="1" x14ac:dyDescent="0.25">
      <c r="A72" s="64" t="s">
        <v>2424</v>
      </c>
      <c r="B72" s="77">
        <v>6.54</v>
      </c>
      <c r="C72" s="77">
        <v>18.059999999999999</v>
      </c>
      <c r="D72" s="77">
        <v>15.86</v>
      </c>
      <c r="E72" s="77">
        <v>2.13</v>
      </c>
      <c r="F72" s="77">
        <v>4.45</v>
      </c>
      <c r="G72" s="77">
        <v>26.59</v>
      </c>
      <c r="H72" s="77">
        <v>8.2899999999999991</v>
      </c>
      <c r="I72" s="210" t="s">
        <v>36</v>
      </c>
      <c r="J72" s="77">
        <v>1.41</v>
      </c>
      <c r="K72" s="77">
        <v>345.71</v>
      </c>
      <c r="L72" s="77">
        <v>24.09</v>
      </c>
      <c r="M72" s="77">
        <v>97.22</v>
      </c>
      <c r="N72" s="77">
        <v>167.5</v>
      </c>
      <c r="O72" s="77">
        <v>0</v>
      </c>
      <c r="P72" s="77">
        <v>0.4</v>
      </c>
      <c r="Q72" s="77">
        <v>6.12</v>
      </c>
    </row>
    <row r="73" spans="1:17" s="12" customFormat="1" x14ac:dyDescent="0.25">
      <c r="A73" s="64" t="s">
        <v>2425</v>
      </c>
      <c r="B73" s="77">
        <v>9.6300000000000008</v>
      </c>
      <c r="C73" s="77">
        <v>18.79</v>
      </c>
      <c r="D73" s="77">
        <v>18.739999999999998</v>
      </c>
      <c r="E73" s="77">
        <v>2.9</v>
      </c>
      <c r="F73" s="77">
        <v>6.4</v>
      </c>
      <c r="G73" s="77">
        <v>26.43</v>
      </c>
      <c r="H73" s="77">
        <v>8.2899999999999991</v>
      </c>
      <c r="I73" s="210" t="s">
        <v>36</v>
      </c>
      <c r="J73" s="77">
        <v>1.3</v>
      </c>
      <c r="K73" s="77">
        <v>358.47</v>
      </c>
      <c r="L73" s="77">
        <v>24.7</v>
      </c>
      <c r="M73" s="77">
        <v>96.81</v>
      </c>
      <c r="N73" s="77">
        <v>261.10000000000002</v>
      </c>
      <c r="O73" s="77">
        <v>0</v>
      </c>
      <c r="P73" s="77">
        <v>0.47</v>
      </c>
      <c r="Q73" s="77">
        <v>5.77</v>
      </c>
    </row>
    <row r="74" spans="1:17" s="12" customFormat="1" x14ac:dyDescent="0.25">
      <c r="A74" s="64" t="s">
        <v>2426</v>
      </c>
      <c r="B74" s="77">
        <v>12.24</v>
      </c>
      <c r="C74" s="77">
        <v>20.86</v>
      </c>
      <c r="D74" s="77">
        <v>21.96</v>
      </c>
      <c r="E74" s="77">
        <v>3.37</v>
      </c>
      <c r="F74" s="77">
        <v>10.210000000000001</v>
      </c>
      <c r="G74" s="77">
        <v>26.43</v>
      </c>
      <c r="H74" s="77">
        <v>8.2899999999999991</v>
      </c>
      <c r="I74" s="210" t="s">
        <v>36</v>
      </c>
      <c r="J74" s="77">
        <v>0.89</v>
      </c>
      <c r="K74" s="77">
        <v>0.49</v>
      </c>
      <c r="L74" s="77">
        <v>25.33</v>
      </c>
      <c r="M74" s="77">
        <v>93.55</v>
      </c>
      <c r="N74" s="77">
        <v>158.1</v>
      </c>
      <c r="O74" s="77">
        <v>0</v>
      </c>
      <c r="P74" s="77">
        <v>0.57999999999999996</v>
      </c>
      <c r="Q74" s="77">
        <v>6.24</v>
      </c>
    </row>
    <row r="75" spans="1:17" s="12" customFormat="1" x14ac:dyDescent="0.25">
      <c r="A75" s="64" t="s">
        <v>2427</v>
      </c>
      <c r="B75" s="77">
        <v>11.75</v>
      </c>
      <c r="C75" s="77">
        <v>18.02</v>
      </c>
      <c r="D75" s="77">
        <v>20.02</v>
      </c>
      <c r="E75" s="77">
        <v>3.64</v>
      </c>
      <c r="F75" s="77">
        <v>5.01</v>
      </c>
      <c r="G75" s="77">
        <v>26.43</v>
      </c>
      <c r="H75" s="77">
        <v>8.2899999999999991</v>
      </c>
      <c r="I75" s="210" t="s">
        <v>36</v>
      </c>
      <c r="J75" s="77">
        <v>0.85</v>
      </c>
      <c r="K75" s="77">
        <v>348</v>
      </c>
      <c r="L75" s="77">
        <v>25.06</v>
      </c>
      <c r="M75" s="77">
        <v>94.72</v>
      </c>
      <c r="N75" s="77">
        <v>101</v>
      </c>
      <c r="O75" s="77">
        <v>0</v>
      </c>
      <c r="P75" s="77">
        <v>0.53</v>
      </c>
      <c r="Q75" s="77">
        <v>6.85</v>
      </c>
    </row>
    <row r="76" spans="1:17" s="12" customFormat="1" x14ac:dyDescent="0.25">
      <c r="A76" s="64" t="s">
        <v>2428</v>
      </c>
      <c r="B76" s="77">
        <v>13.12</v>
      </c>
      <c r="C76" s="77">
        <v>20.18</v>
      </c>
      <c r="D76" s="77">
        <v>22.31</v>
      </c>
      <c r="E76" s="77">
        <v>3.22</v>
      </c>
      <c r="F76" s="77">
        <v>8.41</v>
      </c>
      <c r="G76" s="77">
        <v>29.24</v>
      </c>
      <c r="H76" s="77">
        <v>17.27</v>
      </c>
      <c r="I76" s="210" t="s">
        <v>36</v>
      </c>
      <c r="J76" s="77">
        <v>0.54</v>
      </c>
      <c r="K76" s="77">
        <v>359.49</v>
      </c>
      <c r="L76" s="77">
        <v>24.79</v>
      </c>
      <c r="M76" s="77">
        <v>96.79</v>
      </c>
      <c r="N76" s="77">
        <v>69.099999999999994</v>
      </c>
      <c r="O76" s="77">
        <v>0</v>
      </c>
      <c r="P76" s="77">
        <v>0.6</v>
      </c>
      <c r="Q76" s="77">
        <v>6</v>
      </c>
    </row>
    <row r="77" spans="1:17" s="12" customFormat="1" x14ac:dyDescent="0.25">
      <c r="A77" s="64" t="s">
        <v>2429</v>
      </c>
      <c r="B77" s="77">
        <v>14.85</v>
      </c>
      <c r="C77" s="77">
        <v>23.05</v>
      </c>
      <c r="D77" s="77">
        <v>25.27</v>
      </c>
      <c r="E77" s="77">
        <v>3.07</v>
      </c>
      <c r="F77" s="77">
        <v>5.79</v>
      </c>
      <c r="G77" s="77">
        <v>29.34</v>
      </c>
      <c r="H77" s="77">
        <v>17.27</v>
      </c>
      <c r="I77" s="210" t="s">
        <v>36</v>
      </c>
      <c r="J77" s="77">
        <v>0.21</v>
      </c>
      <c r="K77" s="77">
        <v>55.43</v>
      </c>
      <c r="L77" s="77">
        <v>24.23</v>
      </c>
      <c r="M77" s="77">
        <v>97.21</v>
      </c>
      <c r="N77" s="77">
        <v>46.6</v>
      </c>
      <c r="O77" s="77">
        <v>0.8</v>
      </c>
      <c r="P77" s="77">
        <v>0.68</v>
      </c>
      <c r="Q77" s="77">
        <v>5.95</v>
      </c>
    </row>
    <row r="78" spans="1:17" s="12" customFormat="1" x14ac:dyDescent="0.25">
      <c r="A78" s="64" t="s">
        <v>2430</v>
      </c>
      <c r="B78" s="77">
        <v>11.48</v>
      </c>
      <c r="C78" s="77">
        <v>23.01</v>
      </c>
      <c r="D78" s="77">
        <v>22.55</v>
      </c>
      <c r="E78" s="77">
        <v>3.42</v>
      </c>
      <c r="F78" s="77">
        <v>6.41</v>
      </c>
      <c r="G78" s="77">
        <v>29.34</v>
      </c>
      <c r="H78" s="77">
        <v>17.27</v>
      </c>
      <c r="I78" s="210" t="s">
        <v>36</v>
      </c>
      <c r="J78" s="77">
        <v>0.61</v>
      </c>
      <c r="K78" s="77">
        <v>114.95</v>
      </c>
      <c r="L78" s="77">
        <v>23.36</v>
      </c>
      <c r="M78" s="77">
        <v>97.25</v>
      </c>
      <c r="N78" s="77">
        <v>40.5</v>
      </c>
      <c r="O78" s="77">
        <v>0.6</v>
      </c>
      <c r="P78" s="77">
        <v>0.61</v>
      </c>
      <c r="Q78" s="77">
        <v>6.34</v>
      </c>
    </row>
    <row r="79" spans="1:17" s="12" customFormat="1" x14ac:dyDescent="0.25">
      <c r="A79" s="64" t="s">
        <v>2431</v>
      </c>
      <c r="B79" s="77">
        <v>10.76</v>
      </c>
      <c r="C79" s="77">
        <v>20.28</v>
      </c>
      <c r="D79" s="77">
        <v>20.46</v>
      </c>
      <c r="E79" s="77">
        <v>3.35</v>
      </c>
      <c r="F79" s="77">
        <v>4.43</v>
      </c>
      <c r="G79" s="77">
        <v>29.34</v>
      </c>
      <c r="H79" s="77">
        <v>17.27</v>
      </c>
      <c r="I79" s="210" t="s">
        <v>36</v>
      </c>
      <c r="J79" s="77">
        <v>1.1200000000000001</v>
      </c>
      <c r="K79" s="77">
        <v>117.31</v>
      </c>
      <c r="L79" s="77">
        <v>23.08</v>
      </c>
      <c r="M79" s="77">
        <v>97.25</v>
      </c>
      <c r="N79" s="77">
        <v>41.1</v>
      </c>
      <c r="O79" s="77">
        <v>1</v>
      </c>
      <c r="P79" s="77">
        <v>0.57999999999999996</v>
      </c>
      <c r="Q79" s="77">
        <v>7.38</v>
      </c>
    </row>
    <row r="80" spans="1:17" s="12" customFormat="1" x14ac:dyDescent="0.25">
      <c r="A80" s="64" t="s">
        <v>2432</v>
      </c>
      <c r="B80" s="77">
        <v>10.75</v>
      </c>
      <c r="C80" s="77">
        <v>19.04</v>
      </c>
      <c r="D80" s="77">
        <v>19.77</v>
      </c>
      <c r="E80" s="77">
        <v>2.96</v>
      </c>
      <c r="F80" s="77">
        <v>4.8600000000000003</v>
      </c>
      <c r="G80" s="77">
        <v>27.33</v>
      </c>
      <c r="H80" s="77">
        <v>19.87</v>
      </c>
      <c r="I80" s="210" t="s">
        <v>36</v>
      </c>
      <c r="J80" s="77">
        <v>0.7</v>
      </c>
      <c r="K80" s="77">
        <v>117.77</v>
      </c>
      <c r="L80" s="77">
        <v>22.98</v>
      </c>
      <c r="M80" s="77">
        <v>97.25</v>
      </c>
      <c r="N80" s="77">
        <v>57.2</v>
      </c>
      <c r="O80" s="77">
        <v>0.4</v>
      </c>
      <c r="P80" s="77">
        <v>0.6</v>
      </c>
      <c r="Q80" s="77">
        <v>8.4700000000000006</v>
      </c>
    </row>
    <row r="81" spans="1:17" s="12" customFormat="1" x14ac:dyDescent="0.25">
      <c r="A81" s="64" t="s">
        <v>2433</v>
      </c>
      <c r="B81" s="77">
        <v>10.53</v>
      </c>
      <c r="C81" s="77">
        <v>20.260000000000002</v>
      </c>
      <c r="D81" s="77">
        <v>20.27</v>
      </c>
      <c r="E81" s="77">
        <v>3.11</v>
      </c>
      <c r="F81" s="77">
        <v>4.37</v>
      </c>
      <c r="G81" s="77">
        <v>27.26</v>
      </c>
      <c r="H81" s="77">
        <v>19.87</v>
      </c>
      <c r="I81" s="210" t="s">
        <v>36</v>
      </c>
      <c r="J81" s="77">
        <v>1.3</v>
      </c>
      <c r="K81" s="77">
        <v>113.73</v>
      </c>
      <c r="L81" s="77">
        <v>23.05</v>
      </c>
      <c r="M81" s="77">
        <v>97.25</v>
      </c>
      <c r="N81" s="77">
        <v>68.900000000000006</v>
      </c>
      <c r="O81" s="77">
        <v>0.2</v>
      </c>
      <c r="P81" s="77">
        <v>0.59</v>
      </c>
      <c r="Q81" s="77">
        <v>10.119999999999999</v>
      </c>
    </row>
    <row r="82" spans="1:17" s="12" customFormat="1" x14ac:dyDescent="0.25">
      <c r="A82" s="64" t="s">
        <v>2434</v>
      </c>
      <c r="B82" s="77">
        <v>9.7200000000000006</v>
      </c>
      <c r="C82" s="77">
        <v>19.8</v>
      </c>
      <c r="D82" s="77">
        <v>19.37</v>
      </c>
      <c r="E82" s="77">
        <v>3.37</v>
      </c>
      <c r="F82" s="77">
        <v>7.16</v>
      </c>
      <c r="G82" s="77">
        <v>27.26</v>
      </c>
      <c r="H82" s="77">
        <v>19.87</v>
      </c>
      <c r="I82" s="210" t="s">
        <v>36</v>
      </c>
      <c r="J82" s="77">
        <v>0.73</v>
      </c>
      <c r="K82" s="77">
        <v>119.05</v>
      </c>
      <c r="L82" s="77">
        <v>23.03</v>
      </c>
      <c r="M82" s="77">
        <v>97.25</v>
      </c>
      <c r="N82" s="77">
        <v>44.6</v>
      </c>
      <c r="O82" s="77">
        <v>0</v>
      </c>
      <c r="P82" s="77">
        <v>0.56000000000000005</v>
      </c>
      <c r="Q82" s="77">
        <v>12.11</v>
      </c>
    </row>
    <row r="83" spans="1:17" s="12" customFormat="1" x14ac:dyDescent="0.25">
      <c r="A83" s="64" t="s">
        <v>2435</v>
      </c>
      <c r="B83" s="77">
        <v>6.79</v>
      </c>
      <c r="C83" s="77">
        <v>24.98</v>
      </c>
      <c r="D83" s="77">
        <v>19.87</v>
      </c>
      <c r="E83" s="77">
        <v>2.95</v>
      </c>
      <c r="F83" s="77">
        <v>9.26</v>
      </c>
      <c r="G83" s="77">
        <v>27.26</v>
      </c>
      <c r="H83" s="77">
        <v>19.87</v>
      </c>
      <c r="I83" s="210" t="s">
        <v>36</v>
      </c>
      <c r="J83" s="77">
        <v>0.41</v>
      </c>
      <c r="K83" s="77">
        <v>101.97</v>
      </c>
      <c r="L83" s="77">
        <v>23.01</v>
      </c>
      <c r="M83" s="77">
        <v>97.26</v>
      </c>
      <c r="N83" s="77">
        <v>26.9</v>
      </c>
      <c r="O83" s="77">
        <v>0</v>
      </c>
      <c r="P83" s="77">
        <v>0.61</v>
      </c>
      <c r="Q83" s="77">
        <v>14.53</v>
      </c>
    </row>
    <row r="84" spans="1:17" s="12" customFormat="1" x14ac:dyDescent="0.25">
      <c r="A84" s="64" t="s">
        <v>2436</v>
      </c>
      <c r="B84" s="77">
        <v>24.68</v>
      </c>
      <c r="C84" s="77">
        <v>30.09</v>
      </c>
      <c r="D84" s="77">
        <v>37.04</v>
      </c>
      <c r="E84" s="77">
        <v>3.43</v>
      </c>
      <c r="F84" s="77">
        <v>7.73</v>
      </c>
      <c r="G84" s="77">
        <v>22.5</v>
      </c>
      <c r="H84" s="77">
        <v>17.78</v>
      </c>
      <c r="I84" s="210" t="s">
        <v>36</v>
      </c>
      <c r="J84" s="77">
        <v>0.18</v>
      </c>
      <c r="K84" s="77">
        <v>89.52</v>
      </c>
      <c r="L84" s="77">
        <v>22.94</v>
      </c>
      <c r="M84" s="77">
        <v>97.25</v>
      </c>
      <c r="N84" s="77">
        <v>25.6</v>
      </c>
      <c r="O84" s="77">
        <v>0</v>
      </c>
      <c r="P84" s="77">
        <v>1.1299999999999999</v>
      </c>
      <c r="Q84" s="77">
        <v>15.28</v>
      </c>
    </row>
    <row r="85" spans="1:17" s="12" customFormat="1" x14ac:dyDescent="0.25">
      <c r="A85" s="64" t="s">
        <v>2437</v>
      </c>
      <c r="B85" s="77">
        <v>10.65</v>
      </c>
      <c r="C85" s="77">
        <v>27.22</v>
      </c>
      <c r="D85" s="77">
        <v>24.21</v>
      </c>
      <c r="E85" s="77">
        <v>3.5</v>
      </c>
      <c r="F85" s="77">
        <v>8.56</v>
      </c>
      <c r="G85" s="77">
        <v>22.33</v>
      </c>
      <c r="H85" s="77">
        <v>17.78</v>
      </c>
      <c r="I85" s="210" t="s">
        <v>36</v>
      </c>
      <c r="J85" s="77">
        <v>0.3</v>
      </c>
      <c r="K85" s="77">
        <v>104.39</v>
      </c>
      <c r="L85" s="77">
        <v>23.03</v>
      </c>
      <c r="M85" s="77">
        <v>97.25</v>
      </c>
      <c r="N85" s="77">
        <v>25.4</v>
      </c>
      <c r="O85" s="77">
        <v>0</v>
      </c>
      <c r="P85" s="77">
        <v>0.62</v>
      </c>
      <c r="Q85" s="77">
        <v>16.45</v>
      </c>
    </row>
    <row r="86" spans="1:17" s="12" customFormat="1" x14ac:dyDescent="0.25">
      <c r="A86" s="64" t="s">
        <v>2438</v>
      </c>
      <c r="B86" s="77">
        <v>9.75</v>
      </c>
      <c r="C86" s="77">
        <v>26.75</v>
      </c>
      <c r="D86" s="77">
        <v>23.23</v>
      </c>
      <c r="E86" s="77">
        <v>3.52</v>
      </c>
      <c r="F86" s="77">
        <v>8.52</v>
      </c>
      <c r="G86" s="77">
        <v>22.33</v>
      </c>
      <c r="H86" s="77">
        <v>17.78</v>
      </c>
      <c r="I86" s="210" t="s">
        <v>36</v>
      </c>
      <c r="J86" s="77">
        <v>0.05</v>
      </c>
      <c r="K86" s="77">
        <v>164.85</v>
      </c>
      <c r="L86" s="77">
        <v>23.18</v>
      </c>
      <c r="M86" s="77">
        <v>97.25</v>
      </c>
      <c r="N86" s="77">
        <v>25.5</v>
      </c>
      <c r="O86" s="77">
        <v>0</v>
      </c>
      <c r="P86" s="77">
        <v>0.65</v>
      </c>
      <c r="Q86" s="77">
        <v>16.98</v>
      </c>
    </row>
    <row r="87" spans="1:17" s="12" customFormat="1" x14ac:dyDescent="0.25">
      <c r="A87" s="64" t="s">
        <v>2439</v>
      </c>
      <c r="B87" s="77">
        <v>8.68</v>
      </c>
      <c r="C87" s="77">
        <v>23</v>
      </c>
      <c r="D87" s="77">
        <v>20.3</v>
      </c>
      <c r="E87" s="77">
        <v>3.21</v>
      </c>
      <c r="F87" s="77">
        <v>6.3</v>
      </c>
      <c r="G87" s="77">
        <v>22.33</v>
      </c>
      <c r="H87" s="77">
        <v>17.78</v>
      </c>
      <c r="I87" s="210" t="s">
        <v>36</v>
      </c>
      <c r="J87" s="77">
        <v>0.16</v>
      </c>
      <c r="K87" s="77">
        <v>130.81</v>
      </c>
      <c r="L87" s="77">
        <v>23.1</v>
      </c>
      <c r="M87" s="77">
        <v>97.25</v>
      </c>
      <c r="N87" s="77">
        <v>25.4</v>
      </c>
      <c r="O87" s="77">
        <v>0</v>
      </c>
      <c r="P87" s="77">
        <v>0.6</v>
      </c>
      <c r="Q87" s="77">
        <v>17.04</v>
      </c>
    </row>
    <row r="88" spans="1:17" s="12" customFormat="1" x14ac:dyDescent="0.25">
      <c r="A88" s="64" t="s">
        <v>2440</v>
      </c>
      <c r="B88" s="77">
        <v>9.15</v>
      </c>
      <c r="C88" s="77">
        <v>21.98</v>
      </c>
      <c r="D88" s="77">
        <v>20.11</v>
      </c>
      <c r="E88" s="77">
        <v>1.9</v>
      </c>
      <c r="F88" s="77">
        <v>6.29</v>
      </c>
      <c r="G88" s="77">
        <v>19.86</v>
      </c>
      <c r="H88" s="77">
        <v>13.81</v>
      </c>
      <c r="I88" s="210" t="s">
        <v>36</v>
      </c>
      <c r="J88" s="77">
        <v>0.38</v>
      </c>
      <c r="K88" s="77">
        <v>151.76</v>
      </c>
      <c r="L88" s="77">
        <v>23.27</v>
      </c>
      <c r="M88" s="77">
        <v>97.25</v>
      </c>
      <c r="N88" s="77">
        <v>25.5</v>
      </c>
      <c r="O88" s="77">
        <v>0</v>
      </c>
      <c r="P88" s="77">
        <v>0.62</v>
      </c>
      <c r="Q88" s="77">
        <v>15.82</v>
      </c>
    </row>
    <row r="89" spans="1:17" s="12" customFormat="1" x14ac:dyDescent="0.25">
      <c r="A89" s="64" t="s">
        <v>2441</v>
      </c>
      <c r="B89" s="77">
        <v>10.82</v>
      </c>
      <c r="C89" s="77">
        <v>18.760000000000002</v>
      </c>
      <c r="D89" s="77">
        <v>19.670000000000002</v>
      </c>
      <c r="E89" s="77">
        <v>2.56</v>
      </c>
      <c r="F89" s="77">
        <v>5.87</v>
      </c>
      <c r="G89" s="77">
        <v>19.78</v>
      </c>
      <c r="H89" s="77">
        <v>13.81</v>
      </c>
      <c r="I89" s="210" t="s">
        <v>36</v>
      </c>
      <c r="J89" s="77">
        <v>0.7</v>
      </c>
      <c r="K89" s="77">
        <v>167.2</v>
      </c>
      <c r="L89" s="77">
        <v>23.47</v>
      </c>
      <c r="M89" s="77">
        <v>97.25</v>
      </c>
      <c r="N89" s="77">
        <v>25.6</v>
      </c>
      <c r="O89" s="77">
        <v>0</v>
      </c>
      <c r="P89" s="77">
        <v>0.63</v>
      </c>
      <c r="Q89" s="77">
        <v>15.67</v>
      </c>
    </row>
    <row r="90" spans="1:17" s="12" customFormat="1" x14ac:dyDescent="0.25">
      <c r="A90" s="64" t="s">
        <v>2442</v>
      </c>
      <c r="B90" s="77">
        <v>15.81</v>
      </c>
      <c r="C90" s="77">
        <v>24.62</v>
      </c>
      <c r="D90" s="77">
        <v>26.91</v>
      </c>
      <c r="E90" s="77">
        <v>2.37</v>
      </c>
      <c r="F90" s="77">
        <v>5.97</v>
      </c>
      <c r="G90" s="77">
        <v>19.78</v>
      </c>
      <c r="H90" s="77">
        <v>13.81</v>
      </c>
      <c r="I90" s="210" t="s">
        <v>36</v>
      </c>
      <c r="J90" s="77">
        <v>7.0000000000000007E-2</v>
      </c>
      <c r="K90" s="77">
        <v>127.54</v>
      </c>
      <c r="L90" s="77">
        <v>23.6</v>
      </c>
      <c r="M90" s="77">
        <v>97.25</v>
      </c>
      <c r="N90" s="77">
        <v>25.5</v>
      </c>
      <c r="O90" s="77">
        <v>0</v>
      </c>
      <c r="P90" s="77">
        <v>0.7</v>
      </c>
      <c r="Q90" s="77">
        <v>15.32</v>
      </c>
    </row>
    <row r="91" spans="1:17" s="12" customFormat="1" x14ac:dyDescent="0.25">
      <c r="A91" s="64" t="s">
        <v>2443</v>
      </c>
      <c r="B91" s="77">
        <v>11.64</v>
      </c>
      <c r="C91" s="77">
        <v>25.8</v>
      </c>
      <c r="D91" s="77">
        <v>24.22</v>
      </c>
      <c r="E91" s="77">
        <v>2.12</v>
      </c>
      <c r="F91" s="77">
        <v>5.64</v>
      </c>
      <c r="G91" s="77">
        <v>19.78</v>
      </c>
      <c r="H91" s="77">
        <v>13.81</v>
      </c>
      <c r="I91" s="210" t="s">
        <v>36</v>
      </c>
      <c r="J91" s="77">
        <v>0.12</v>
      </c>
      <c r="K91" s="77">
        <v>180.75</v>
      </c>
      <c r="L91" s="77">
        <v>23.66</v>
      </c>
      <c r="M91" s="77">
        <v>97.25</v>
      </c>
      <c r="N91" s="77">
        <v>25.8</v>
      </c>
      <c r="O91" s="77">
        <v>0</v>
      </c>
      <c r="P91" s="77">
        <v>0.61</v>
      </c>
      <c r="Q91" s="77">
        <v>14.87</v>
      </c>
    </row>
    <row r="92" spans="1:17" s="12" customFormat="1" x14ac:dyDescent="0.25">
      <c r="A92" s="64" t="s">
        <v>2444</v>
      </c>
      <c r="B92" s="77">
        <v>14.11</v>
      </c>
      <c r="C92" s="77">
        <v>23.52</v>
      </c>
      <c r="D92" s="77">
        <v>24.94</v>
      </c>
      <c r="E92" s="77">
        <v>2.4300000000000002</v>
      </c>
      <c r="F92" s="77">
        <v>7.47</v>
      </c>
      <c r="G92" s="77">
        <v>16.93</v>
      </c>
      <c r="H92" s="77">
        <v>17.579999999999998</v>
      </c>
      <c r="I92" s="210" t="s">
        <v>36</v>
      </c>
      <c r="J92" s="77">
        <v>0.12</v>
      </c>
      <c r="K92" s="77">
        <v>204.11</v>
      </c>
      <c r="L92" s="77">
        <v>23.57</v>
      </c>
      <c r="M92" s="77">
        <v>97.25</v>
      </c>
      <c r="N92" s="77">
        <v>25.6</v>
      </c>
      <c r="O92" s="77">
        <v>0</v>
      </c>
      <c r="P92" s="77">
        <v>0.64</v>
      </c>
      <c r="Q92" s="77">
        <v>14.51</v>
      </c>
    </row>
    <row r="93" spans="1:17" s="12" customFormat="1" x14ac:dyDescent="0.25">
      <c r="A93" s="64" t="s">
        <v>2445</v>
      </c>
      <c r="B93" s="77">
        <v>10.17</v>
      </c>
      <c r="C93" s="77">
        <v>20.81</v>
      </c>
      <c r="D93" s="77">
        <v>20.29</v>
      </c>
      <c r="E93" s="77">
        <v>2.16</v>
      </c>
      <c r="F93" s="77">
        <v>7.68</v>
      </c>
      <c r="G93" s="77">
        <v>16.84</v>
      </c>
      <c r="H93" s="77">
        <v>17.579999999999998</v>
      </c>
      <c r="I93" s="210" t="s">
        <v>36</v>
      </c>
      <c r="J93" s="77">
        <v>0.05</v>
      </c>
      <c r="K93" s="77">
        <v>157.03</v>
      </c>
      <c r="L93" s="77">
        <v>23.47</v>
      </c>
      <c r="M93" s="77">
        <v>97.25</v>
      </c>
      <c r="N93" s="77">
        <v>25.6</v>
      </c>
      <c r="O93" s="77">
        <v>0</v>
      </c>
      <c r="P93" s="77">
        <v>0.59</v>
      </c>
      <c r="Q93" s="77">
        <v>13.41</v>
      </c>
    </row>
    <row r="94" spans="1:17" s="12" customFormat="1" x14ac:dyDescent="0.25">
      <c r="A94" s="64" t="s">
        <v>2446</v>
      </c>
      <c r="B94" s="77">
        <v>7.98</v>
      </c>
      <c r="C94" s="77">
        <v>20.94</v>
      </c>
      <c r="D94" s="77">
        <v>18.600000000000001</v>
      </c>
      <c r="E94" s="77">
        <v>2.41</v>
      </c>
      <c r="F94" s="77">
        <v>10.35</v>
      </c>
      <c r="G94" s="77">
        <v>16.84</v>
      </c>
      <c r="H94" s="77">
        <v>17.579999999999998</v>
      </c>
      <c r="I94" s="210" t="s">
        <v>36</v>
      </c>
      <c r="J94" s="77">
        <v>0.21</v>
      </c>
      <c r="K94" s="77">
        <v>142.77000000000001</v>
      </c>
      <c r="L94" s="77">
        <v>23.33</v>
      </c>
      <c r="M94" s="77">
        <v>97.25</v>
      </c>
      <c r="N94" s="77">
        <v>25.8</v>
      </c>
      <c r="O94" s="77">
        <v>0</v>
      </c>
      <c r="P94" s="77">
        <v>0.47</v>
      </c>
      <c r="Q94" s="77">
        <v>13.7</v>
      </c>
    </row>
    <row r="95" spans="1:17" s="12" customFormat="1" x14ac:dyDescent="0.25">
      <c r="A95" s="64" t="s">
        <v>2447</v>
      </c>
      <c r="B95" s="77">
        <v>15.02</v>
      </c>
      <c r="C95" s="77">
        <v>27.92</v>
      </c>
      <c r="D95" s="77">
        <v>28.1</v>
      </c>
      <c r="E95" s="77">
        <v>1.73</v>
      </c>
      <c r="F95" s="77">
        <v>9.0500000000000007</v>
      </c>
      <c r="G95" s="77">
        <v>16.84</v>
      </c>
      <c r="H95" s="77">
        <v>17.579999999999998</v>
      </c>
      <c r="I95" s="210" t="s">
        <v>36</v>
      </c>
      <c r="J95" s="77">
        <v>0.28999999999999998</v>
      </c>
      <c r="K95" s="77">
        <v>105.01</v>
      </c>
      <c r="L95" s="77">
        <v>23.49</v>
      </c>
      <c r="M95" s="77">
        <v>97.23</v>
      </c>
      <c r="N95" s="77">
        <v>26</v>
      </c>
      <c r="O95" s="77">
        <v>0</v>
      </c>
      <c r="P95" s="77">
        <v>0.49</v>
      </c>
      <c r="Q95" s="77">
        <v>14.48</v>
      </c>
    </row>
    <row r="96" spans="1:17" s="12" customFormat="1" x14ac:dyDescent="0.25">
      <c r="A96" s="64" t="s">
        <v>2448</v>
      </c>
      <c r="B96" s="77">
        <v>9.83</v>
      </c>
      <c r="C96" s="77">
        <v>26.83</v>
      </c>
      <c r="D96" s="77">
        <v>23.34</v>
      </c>
      <c r="E96" s="77">
        <v>1.85</v>
      </c>
      <c r="F96" s="77">
        <v>10.97</v>
      </c>
      <c r="G96" s="77">
        <v>17.88</v>
      </c>
      <c r="H96" s="77">
        <v>13.4</v>
      </c>
      <c r="I96" s="210" t="s">
        <v>36</v>
      </c>
      <c r="J96" s="77">
        <v>0.1</v>
      </c>
      <c r="K96" s="77">
        <v>196.17</v>
      </c>
      <c r="L96" s="77">
        <v>23.28</v>
      </c>
      <c r="M96" s="77">
        <v>97.25</v>
      </c>
      <c r="N96" s="77">
        <v>25.8</v>
      </c>
      <c r="O96" s="77">
        <v>0</v>
      </c>
      <c r="P96" s="77">
        <v>0.53</v>
      </c>
      <c r="Q96" s="77">
        <v>15.53</v>
      </c>
    </row>
    <row r="97" spans="1:22" s="12" customFormat="1" x14ac:dyDescent="0.25">
      <c r="A97" s="64" t="s">
        <v>2449</v>
      </c>
      <c r="B97" s="77">
        <v>6.98</v>
      </c>
      <c r="C97" s="77">
        <v>26.53</v>
      </c>
      <c r="D97" s="77">
        <v>20.89</v>
      </c>
      <c r="E97" s="77">
        <v>2.2400000000000002</v>
      </c>
      <c r="F97" s="77">
        <v>10.11</v>
      </c>
      <c r="G97" s="77">
        <v>17.920000000000002</v>
      </c>
      <c r="H97" s="77">
        <v>13.4</v>
      </c>
      <c r="I97" s="210" t="s">
        <v>36</v>
      </c>
      <c r="J97" s="77">
        <v>0.15</v>
      </c>
      <c r="K97" s="77">
        <v>223.95</v>
      </c>
      <c r="L97" s="77">
        <v>23.37</v>
      </c>
      <c r="M97" s="77">
        <v>97.24</v>
      </c>
      <c r="N97" s="77">
        <v>25.6</v>
      </c>
      <c r="O97" s="77">
        <v>0</v>
      </c>
      <c r="P97" s="77">
        <v>0.5</v>
      </c>
      <c r="Q97" s="77">
        <v>16.23</v>
      </c>
    </row>
    <row r="98" spans="1:22" s="12" customFormat="1" x14ac:dyDescent="0.25">
      <c r="A98" s="64" t="s">
        <v>2450</v>
      </c>
      <c r="B98" s="77">
        <v>16.260000000000002</v>
      </c>
      <c r="C98" s="77">
        <v>32.03</v>
      </c>
      <c r="D98" s="77">
        <v>31.36</v>
      </c>
      <c r="E98" s="77">
        <v>1.79</v>
      </c>
      <c r="F98" s="77">
        <v>6.65</v>
      </c>
      <c r="G98" s="77">
        <v>17.920000000000002</v>
      </c>
      <c r="H98" s="77">
        <v>13.4</v>
      </c>
      <c r="I98" s="210" t="s">
        <v>36</v>
      </c>
      <c r="J98" s="77">
        <v>0.06</v>
      </c>
      <c r="K98" s="77">
        <v>278.79000000000002</v>
      </c>
      <c r="L98" s="77">
        <v>23.32</v>
      </c>
      <c r="M98" s="77">
        <v>97.25</v>
      </c>
      <c r="N98" s="77">
        <v>25.6</v>
      </c>
      <c r="O98" s="77">
        <v>0</v>
      </c>
      <c r="P98" s="77">
        <v>0.56000000000000005</v>
      </c>
      <c r="Q98" s="77">
        <v>16.91</v>
      </c>
    </row>
    <row r="99" spans="1:22" s="12" customFormat="1" x14ac:dyDescent="0.25">
      <c r="A99" s="64" t="s">
        <v>2451</v>
      </c>
      <c r="B99" s="77">
        <v>13.67</v>
      </c>
      <c r="C99" s="77">
        <v>25.28</v>
      </c>
      <c r="D99" s="77">
        <v>25.56</v>
      </c>
      <c r="E99" s="77">
        <v>2.3199999999999998</v>
      </c>
      <c r="F99" s="77">
        <v>5.94</v>
      </c>
      <c r="G99" s="77">
        <v>17.920000000000002</v>
      </c>
      <c r="H99" s="77">
        <v>13.4</v>
      </c>
      <c r="I99" s="210" t="s">
        <v>36</v>
      </c>
      <c r="J99" s="77">
        <v>0.04</v>
      </c>
      <c r="K99" s="77">
        <v>213.54</v>
      </c>
      <c r="L99" s="77">
        <v>23.26</v>
      </c>
      <c r="M99" s="77">
        <v>97.25</v>
      </c>
      <c r="N99" s="77">
        <v>26.6</v>
      </c>
      <c r="O99" s="77">
        <v>0</v>
      </c>
      <c r="P99" s="77">
        <v>0.56000000000000005</v>
      </c>
      <c r="Q99" s="77">
        <v>17.11</v>
      </c>
    </row>
    <row r="100" spans="1:22" s="12" customFormat="1" x14ac:dyDescent="0.25">
      <c r="A100" s="64" t="s">
        <v>2452</v>
      </c>
      <c r="B100" s="77">
        <v>10.5</v>
      </c>
      <c r="C100" s="77">
        <v>24.77</v>
      </c>
      <c r="D100" s="77">
        <v>22.73</v>
      </c>
      <c r="E100" s="77">
        <v>2.23</v>
      </c>
      <c r="F100" s="77">
        <v>6.5</v>
      </c>
      <c r="G100" s="77">
        <v>17.05</v>
      </c>
      <c r="H100" s="77">
        <v>31.66</v>
      </c>
      <c r="I100" s="210" t="s">
        <v>36</v>
      </c>
      <c r="J100" s="77">
        <v>0.02</v>
      </c>
      <c r="K100" s="77">
        <v>289.87</v>
      </c>
      <c r="L100" s="77">
        <v>23.17</v>
      </c>
      <c r="M100" s="77">
        <v>97.25</v>
      </c>
      <c r="N100" s="77">
        <v>26.5</v>
      </c>
      <c r="O100" s="77">
        <v>0</v>
      </c>
      <c r="P100" s="77">
        <v>0.55000000000000004</v>
      </c>
      <c r="Q100" s="77">
        <v>15.76</v>
      </c>
    </row>
    <row r="101" spans="1:22" s="12" customFormat="1" x14ac:dyDescent="0.25">
      <c r="A101" s="64" t="s">
        <v>2453</v>
      </c>
      <c r="B101" s="77">
        <v>11.85</v>
      </c>
      <c r="C101" s="77">
        <v>26.38</v>
      </c>
      <c r="D101" s="77">
        <v>24.7</v>
      </c>
      <c r="E101" s="77">
        <v>1.77</v>
      </c>
      <c r="F101" s="77">
        <v>5.78</v>
      </c>
      <c r="G101" s="77">
        <v>17.02</v>
      </c>
      <c r="H101" s="77">
        <v>31.66</v>
      </c>
      <c r="I101" s="210" t="s">
        <v>36</v>
      </c>
      <c r="J101" s="77">
        <v>0.13</v>
      </c>
      <c r="K101" s="77">
        <v>237.27</v>
      </c>
      <c r="L101" s="77">
        <v>23.08</v>
      </c>
      <c r="M101" s="77">
        <v>97.25</v>
      </c>
      <c r="N101" s="77">
        <v>26.4</v>
      </c>
      <c r="O101" s="77">
        <v>0</v>
      </c>
      <c r="P101" s="77">
        <v>0.54</v>
      </c>
      <c r="Q101" s="77">
        <v>15.3</v>
      </c>
    </row>
    <row r="102" spans="1:22" s="12" customFormat="1" x14ac:dyDescent="0.25">
      <c r="A102" s="64" t="s">
        <v>2454</v>
      </c>
      <c r="B102" s="77">
        <v>10.39</v>
      </c>
      <c r="C102" s="77">
        <v>21.56</v>
      </c>
      <c r="D102" s="77">
        <v>20.88</v>
      </c>
      <c r="E102" s="77">
        <v>1.94</v>
      </c>
      <c r="F102" s="77">
        <v>7.22</v>
      </c>
      <c r="G102" s="77">
        <v>17.02</v>
      </c>
      <c r="H102" s="77">
        <v>31.66</v>
      </c>
      <c r="I102" s="210" t="s">
        <v>36</v>
      </c>
      <c r="J102" s="77">
        <v>0.34</v>
      </c>
      <c r="K102" s="77">
        <v>164.13</v>
      </c>
      <c r="L102" s="77">
        <v>23.15</v>
      </c>
      <c r="M102" s="77">
        <v>97.25</v>
      </c>
      <c r="N102" s="77">
        <v>26.3</v>
      </c>
      <c r="O102" s="77">
        <v>0</v>
      </c>
      <c r="P102" s="77">
        <v>0.51</v>
      </c>
      <c r="Q102" s="77">
        <v>14.49</v>
      </c>
    </row>
    <row r="103" spans="1:22" s="12" customFormat="1" x14ac:dyDescent="0.25">
      <c r="A103" s="64" t="s">
        <v>2455</v>
      </c>
      <c r="B103" s="77">
        <v>13.24</v>
      </c>
      <c r="C103" s="77">
        <v>21.35</v>
      </c>
      <c r="D103" s="77">
        <v>23.05</v>
      </c>
      <c r="E103" s="77">
        <v>1.89</v>
      </c>
      <c r="F103" s="77">
        <v>6.61</v>
      </c>
      <c r="G103" s="77">
        <v>17.02</v>
      </c>
      <c r="H103" s="77">
        <v>31.66</v>
      </c>
      <c r="I103" s="210" t="s">
        <v>36</v>
      </c>
      <c r="J103" s="77">
        <v>0.09</v>
      </c>
      <c r="K103" s="77">
        <v>173.15</v>
      </c>
      <c r="L103" s="77">
        <v>23.26</v>
      </c>
      <c r="M103" s="77">
        <v>97.25</v>
      </c>
      <c r="N103" s="77">
        <v>26.3</v>
      </c>
      <c r="O103" s="77">
        <v>0</v>
      </c>
      <c r="P103" s="77">
        <v>0.47</v>
      </c>
      <c r="Q103" s="77">
        <v>13.85</v>
      </c>
    </row>
    <row r="104" spans="1:22" s="12" customFormat="1" x14ac:dyDescent="0.25">
      <c r="A104" s="64" t="s">
        <v>2456</v>
      </c>
      <c r="B104" s="77">
        <v>10.31</v>
      </c>
      <c r="C104" s="77">
        <v>20.77</v>
      </c>
      <c r="D104" s="77">
        <v>20.38</v>
      </c>
      <c r="E104" s="77">
        <v>1.47</v>
      </c>
      <c r="F104" s="77">
        <v>7.59</v>
      </c>
      <c r="G104" s="77">
        <v>19.170000000000002</v>
      </c>
      <c r="H104" s="77">
        <v>20.11</v>
      </c>
      <c r="I104" s="210" t="s">
        <v>36</v>
      </c>
      <c r="J104" s="77">
        <v>0.15</v>
      </c>
      <c r="K104" s="77">
        <v>191.27</v>
      </c>
      <c r="L104" s="77">
        <v>23.28</v>
      </c>
      <c r="M104" s="77">
        <v>97.25</v>
      </c>
      <c r="N104" s="77">
        <v>26.3</v>
      </c>
      <c r="O104" s="77">
        <v>0</v>
      </c>
      <c r="P104" s="77">
        <v>0.43</v>
      </c>
      <c r="Q104" s="77">
        <v>13.62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2.71</v>
      </c>
      <c r="C106" s="67">
        <f>MIN(C9:C104)</f>
        <v>10</v>
      </c>
      <c r="D106" s="67">
        <f t="shared" ref="D106:Q106" si="0">MIN(D9:D104)</f>
        <v>8.66</v>
      </c>
      <c r="E106" s="67">
        <f t="shared" si="0"/>
        <v>1.47</v>
      </c>
      <c r="F106" s="67">
        <f t="shared" si="0"/>
        <v>3.78</v>
      </c>
      <c r="G106" s="67">
        <f t="shared" si="0"/>
        <v>5.0199999999999996</v>
      </c>
      <c r="H106" s="67">
        <f t="shared" si="0"/>
        <v>4.0199999999999996</v>
      </c>
      <c r="I106" s="67">
        <f t="shared" si="0"/>
        <v>0</v>
      </c>
      <c r="J106" s="67">
        <f t="shared" si="0"/>
        <v>0.01</v>
      </c>
      <c r="K106" s="67">
        <f t="shared" si="0"/>
        <v>0.49</v>
      </c>
      <c r="L106" s="67">
        <f t="shared" si="0"/>
        <v>22.67</v>
      </c>
      <c r="M106" s="67">
        <f t="shared" si="0"/>
        <v>71.569999999999993</v>
      </c>
      <c r="N106" s="67">
        <f t="shared" si="0"/>
        <v>25.4</v>
      </c>
      <c r="O106" s="67">
        <f t="shared" si="0"/>
        <v>0</v>
      </c>
      <c r="P106" s="67">
        <f t="shared" si="0"/>
        <v>0.14000000000000001</v>
      </c>
      <c r="Q106" s="67">
        <f t="shared" si="0"/>
        <v>5.77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24.68</v>
      </c>
      <c r="C107" s="66">
        <f t="shared" ref="C107:Q107" si="1">MAX(C9:C104)</f>
        <v>32.03</v>
      </c>
      <c r="D107" s="66">
        <f t="shared" si="1"/>
        <v>37.04</v>
      </c>
      <c r="E107" s="66">
        <f t="shared" si="1"/>
        <v>3.95</v>
      </c>
      <c r="F107" s="66">
        <f t="shared" si="1"/>
        <v>15.76</v>
      </c>
      <c r="G107" s="66">
        <f t="shared" si="1"/>
        <v>31.22</v>
      </c>
      <c r="H107" s="66">
        <f t="shared" si="1"/>
        <v>31.66</v>
      </c>
      <c r="I107" s="66">
        <f t="shared" si="1"/>
        <v>0</v>
      </c>
      <c r="J107" s="66">
        <f t="shared" si="1"/>
        <v>1.57</v>
      </c>
      <c r="K107" s="66">
        <f t="shared" si="1"/>
        <v>359.49</v>
      </c>
      <c r="L107" s="66">
        <f t="shared" si="1"/>
        <v>28.94</v>
      </c>
      <c r="M107" s="66">
        <f t="shared" si="1"/>
        <v>97.28</v>
      </c>
      <c r="N107" s="66">
        <f t="shared" si="1"/>
        <v>1042.7</v>
      </c>
      <c r="O107" s="66">
        <f t="shared" si="1"/>
        <v>1</v>
      </c>
      <c r="P107" s="66">
        <f t="shared" si="1"/>
        <v>1.1299999999999999</v>
      </c>
      <c r="Q107" s="66">
        <f t="shared" si="1"/>
        <v>17.41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7.2463541666666664</v>
      </c>
      <c r="C108" s="67">
        <f t="shared" ref="C108:Q108" si="2">AVERAGE(C9:C104)</f>
        <v>17.022187499999998</v>
      </c>
      <c r="D108" s="67">
        <f t="shared" si="2"/>
        <v>15.851041666666665</v>
      </c>
      <c r="E108" s="67">
        <f t="shared" si="2"/>
        <v>2.618020833333333</v>
      </c>
      <c r="F108" s="67">
        <f t="shared" si="2"/>
        <v>7.5781249999999973</v>
      </c>
      <c r="G108" s="67">
        <f t="shared" si="2"/>
        <v>15.71214285714286</v>
      </c>
      <c r="H108" s="67">
        <f t="shared" si="2"/>
        <v>10.758928571428569</v>
      </c>
      <c r="I108" s="9" t="s">
        <v>36</v>
      </c>
      <c r="J108" s="67">
        <f t="shared" si="2"/>
        <v>0.34156250000000021</v>
      </c>
      <c r="K108" s="67">
        <f t="shared" si="2"/>
        <v>193.22177083333335</v>
      </c>
      <c r="L108" s="67">
        <f t="shared" si="2"/>
        <v>24.294791666666669</v>
      </c>
      <c r="M108" s="67">
        <f t="shared" si="2"/>
        <v>92.255729166666654</v>
      </c>
      <c r="N108" s="67">
        <f t="shared" si="2"/>
        <v>159.51770833333333</v>
      </c>
      <c r="O108" s="67">
        <f t="shared" si="2"/>
        <v>3.5416666666666673E-2</v>
      </c>
      <c r="P108" s="67">
        <f t="shared" si="2"/>
        <v>0.35406249999999989</v>
      </c>
      <c r="Q108" s="67">
        <f t="shared" si="2"/>
        <v>12.66197916666667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3.8813557370403626</v>
      </c>
      <c r="C109" s="67">
        <f t="shared" ref="C109:Q109" si="3">STDEV(C9:C104)</f>
        <v>5.2257107707192052</v>
      </c>
      <c r="D109" s="67">
        <f t="shared" si="3"/>
        <v>5.7377229077977221</v>
      </c>
      <c r="E109" s="67">
        <f t="shared" si="3"/>
        <v>0.5124648789848727</v>
      </c>
      <c r="F109" s="67">
        <f t="shared" si="3"/>
        <v>2.5536666363238787</v>
      </c>
      <c r="G109" s="67">
        <f t="shared" si="3"/>
        <v>7.7724632977123562</v>
      </c>
      <c r="H109" s="67">
        <f t="shared" si="3"/>
        <v>6.9600827473714846</v>
      </c>
      <c r="I109" s="9" t="s">
        <v>36</v>
      </c>
      <c r="J109" s="67">
        <f t="shared" si="3"/>
        <v>0.37046863103230104</v>
      </c>
      <c r="K109" s="67">
        <f t="shared" si="3"/>
        <v>76.079985970373073</v>
      </c>
      <c r="L109" s="67">
        <f t="shared" si="3"/>
        <v>1.6692891516839812</v>
      </c>
      <c r="M109" s="67">
        <f t="shared" si="3"/>
        <v>8.1907529047658247</v>
      </c>
      <c r="N109" s="67">
        <f t="shared" si="3"/>
        <v>198.52649723441627</v>
      </c>
      <c r="O109" s="67">
        <f t="shared" si="3"/>
        <v>0.15077286274509374</v>
      </c>
      <c r="P109" s="67">
        <f t="shared" si="3"/>
        <v>0.18955114918642621</v>
      </c>
      <c r="Q109" s="67">
        <f t="shared" si="3"/>
        <v>3.1212560291589795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COUNT(G9:G104)+12</f>
        <v>96</v>
      </c>
      <c r="H110" s="66">
        <f>COUNT(H9:H104)+12</f>
        <v>96</v>
      </c>
      <c r="I110" s="66">
        <f>COUNT(I9:I104)+96</f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4" t="s">
        <v>2457</v>
      </c>
      <c r="B9" s="77">
        <v>8.6199999999999992</v>
      </c>
      <c r="C9" s="77">
        <v>17.98</v>
      </c>
      <c r="D9" s="77">
        <v>17.48</v>
      </c>
      <c r="E9" s="77">
        <v>1.79</v>
      </c>
      <c r="F9" s="77">
        <v>8.94</v>
      </c>
      <c r="G9" s="213" t="s">
        <v>42</v>
      </c>
      <c r="H9" s="213" t="s">
        <v>42</v>
      </c>
      <c r="I9" s="9" t="s">
        <v>36</v>
      </c>
      <c r="J9" s="77">
        <v>0.03</v>
      </c>
      <c r="K9" s="77">
        <v>287.83</v>
      </c>
      <c r="L9" s="77">
        <v>23.16</v>
      </c>
      <c r="M9" s="77">
        <v>97.25</v>
      </c>
      <c r="N9" s="77">
        <v>26.4</v>
      </c>
      <c r="O9" s="77">
        <v>0</v>
      </c>
      <c r="P9" s="77">
        <v>0.41</v>
      </c>
      <c r="Q9" s="77">
        <v>12.94</v>
      </c>
    </row>
    <row r="10" spans="1:21" s="12" customFormat="1" x14ac:dyDescent="0.25">
      <c r="A10" s="64" t="s">
        <v>2458</v>
      </c>
      <c r="B10" s="77">
        <v>5.26</v>
      </c>
      <c r="C10" s="77">
        <v>15.86</v>
      </c>
      <c r="D10" s="77">
        <v>13.61</v>
      </c>
      <c r="E10" s="77">
        <v>1.76</v>
      </c>
      <c r="F10" s="77">
        <v>13.45</v>
      </c>
      <c r="G10" s="213" t="s">
        <v>42</v>
      </c>
      <c r="H10" s="213" t="s">
        <v>42</v>
      </c>
      <c r="I10" s="9" t="s">
        <v>36</v>
      </c>
      <c r="J10" s="77">
        <v>0.05</v>
      </c>
      <c r="K10" s="77">
        <v>182.37</v>
      </c>
      <c r="L10" s="77">
        <v>23.17</v>
      </c>
      <c r="M10" s="77">
        <v>97.25</v>
      </c>
      <c r="N10" s="77">
        <v>26.3</v>
      </c>
      <c r="O10" s="77">
        <v>0</v>
      </c>
      <c r="P10" s="77">
        <v>0.31</v>
      </c>
      <c r="Q10" s="77">
        <v>13.27</v>
      </c>
    </row>
    <row r="11" spans="1:21" s="12" customFormat="1" x14ac:dyDescent="0.25">
      <c r="A11" s="64" t="s">
        <v>2459</v>
      </c>
      <c r="B11" s="77">
        <v>4.13</v>
      </c>
      <c r="C11" s="77">
        <v>14.15</v>
      </c>
      <c r="D11" s="77">
        <v>11.76</v>
      </c>
      <c r="E11" s="77">
        <v>1.79</v>
      </c>
      <c r="F11" s="77">
        <v>13.54</v>
      </c>
      <c r="G11" s="213" t="s">
        <v>42</v>
      </c>
      <c r="H11" s="213" t="s">
        <v>42</v>
      </c>
      <c r="I11" s="9" t="s">
        <v>36</v>
      </c>
      <c r="J11" s="77">
        <v>0.12</v>
      </c>
      <c r="K11" s="77">
        <v>161.81</v>
      </c>
      <c r="L11" s="77">
        <v>23.18</v>
      </c>
      <c r="M11" s="77">
        <v>97.25</v>
      </c>
      <c r="N11" s="77">
        <v>26.2</v>
      </c>
      <c r="O11" s="77">
        <v>0</v>
      </c>
      <c r="P11" s="77">
        <v>0.27</v>
      </c>
      <c r="Q11" s="77">
        <v>14.05</v>
      </c>
    </row>
    <row r="12" spans="1:21" s="12" customFormat="1" x14ac:dyDescent="0.25">
      <c r="A12" s="64" t="s">
        <v>2460</v>
      </c>
      <c r="B12" s="77">
        <v>4.79</v>
      </c>
      <c r="C12" s="77">
        <v>13.81</v>
      </c>
      <c r="D12" s="77">
        <v>12.1</v>
      </c>
      <c r="E12" s="77">
        <v>1.88</v>
      </c>
      <c r="F12" s="77">
        <v>12.43</v>
      </c>
      <c r="G12" s="213" t="s">
        <v>42</v>
      </c>
      <c r="H12" s="213" t="s">
        <v>42</v>
      </c>
      <c r="I12" s="9" t="s">
        <v>36</v>
      </c>
      <c r="J12" s="77">
        <v>0.48</v>
      </c>
      <c r="K12" s="77">
        <v>158.38</v>
      </c>
      <c r="L12" s="77">
        <v>23.36</v>
      </c>
      <c r="M12" s="77">
        <v>97.25</v>
      </c>
      <c r="N12" s="77">
        <v>26.3</v>
      </c>
      <c r="O12" s="77">
        <v>0</v>
      </c>
      <c r="P12" s="77">
        <v>0.32</v>
      </c>
      <c r="Q12" s="77">
        <v>14.96</v>
      </c>
    </row>
    <row r="13" spans="1:21" s="12" customFormat="1" x14ac:dyDescent="0.25">
      <c r="A13" s="64" t="s">
        <v>2461</v>
      </c>
      <c r="B13" s="77">
        <v>4.05</v>
      </c>
      <c r="C13" s="77">
        <v>12.9</v>
      </c>
      <c r="D13" s="77">
        <v>11.01</v>
      </c>
      <c r="E13" s="77">
        <v>1.68</v>
      </c>
      <c r="F13" s="77">
        <v>13.79</v>
      </c>
      <c r="G13" s="213" t="s">
        <v>42</v>
      </c>
      <c r="H13" s="213" t="s">
        <v>42</v>
      </c>
      <c r="I13" s="9" t="s">
        <v>36</v>
      </c>
      <c r="J13" s="77">
        <v>0.03</v>
      </c>
      <c r="K13" s="77">
        <v>333.5</v>
      </c>
      <c r="L13" s="77">
        <v>23.38</v>
      </c>
      <c r="M13" s="77">
        <v>97.25</v>
      </c>
      <c r="N13" s="77">
        <v>26.5</v>
      </c>
      <c r="O13" s="77">
        <v>0</v>
      </c>
      <c r="P13" s="77">
        <v>0.23</v>
      </c>
      <c r="Q13" s="77">
        <v>16.11</v>
      </c>
    </row>
    <row r="14" spans="1:21" s="12" customFormat="1" x14ac:dyDescent="0.25">
      <c r="A14" s="64" t="s">
        <v>2462</v>
      </c>
      <c r="B14" s="77">
        <v>4.2699999999999996</v>
      </c>
      <c r="C14" s="77">
        <v>12.14</v>
      </c>
      <c r="D14" s="77">
        <v>10.77</v>
      </c>
      <c r="E14" s="77">
        <v>1.92</v>
      </c>
      <c r="F14" s="77">
        <v>10.119999999999999</v>
      </c>
      <c r="G14" s="213" t="s">
        <v>42</v>
      </c>
      <c r="H14" s="213" t="s">
        <v>42</v>
      </c>
      <c r="I14" s="9" t="s">
        <v>36</v>
      </c>
      <c r="J14" s="77">
        <v>0.05</v>
      </c>
      <c r="K14" s="77">
        <v>226.7</v>
      </c>
      <c r="L14" s="77">
        <v>23.37</v>
      </c>
      <c r="M14" s="77">
        <v>97.25</v>
      </c>
      <c r="N14" s="77">
        <v>26.7</v>
      </c>
      <c r="O14" s="77">
        <v>0</v>
      </c>
      <c r="P14" s="77">
        <v>0.3</v>
      </c>
      <c r="Q14" s="77">
        <v>16.52</v>
      </c>
    </row>
    <row r="15" spans="1:21" s="12" customFormat="1" x14ac:dyDescent="0.25">
      <c r="A15" s="64" t="s">
        <v>2463</v>
      </c>
      <c r="B15" s="77">
        <v>5.76</v>
      </c>
      <c r="C15" s="77">
        <v>12.88</v>
      </c>
      <c r="D15" s="77">
        <v>12.37</v>
      </c>
      <c r="E15" s="77">
        <v>2.34</v>
      </c>
      <c r="F15" s="77">
        <v>9.91</v>
      </c>
      <c r="G15" s="213" t="s">
        <v>42</v>
      </c>
      <c r="H15" s="213" t="s">
        <v>42</v>
      </c>
      <c r="I15" s="9" t="s">
        <v>36</v>
      </c>
      <c r="J15" s="77">
        <v>0.11</v>
      </c>
      <c r="K15" s="77">
        <v>187.24</v>
      </c>
      <c r="L15" s="77">
        <v>23.43</v>
      </c>
      <c r="M15" s="77">
        <v>97.25</v>
      </c>
      <c r="N15" s="77">
        <v>26.9</v>
      </c>
      <c r="O15" s="77">
        <v>0</v>
      </c>
      <c r="P15" s="77">
        <v>0.31</v>
      </c>
      <c r="Q15" s="77">
        <v>15.79</v>
      </c>
    </row>
    <row r="16" spans="1:21" s="12" customFormat="1" x14ac:dyDescent="0.25">
      <c r="A16" s="64" t="s">
        <v>2464</v>
      </c>
      <c r="B16" s="77">
        <v>6.63</v>
      </c>
      <c r="C16" s="77">
        <v>12.52</v>
      </c>
      <c r="D16" s="77">
        <v>12.87</v>
      </c>
      <c r="E16" s="77">
        <v>2.02</v>
      </c>
      <c r="F16" s="77">
        <v>7.87</v>
      </c>
      <c r="G16" s="213" t="s">
        <v>42</v>
      </c>
      <c r="H16" s="213" t="s">
        <v>42</v>
      </c>
      <c r="I16" s="9" t="s">
        <v>36</v>
      </c>
      <c r="J16" s="77">
        <v>0.1</v>
      </c>
      <c r="K16" s="77">
        <v>208.56</v>
      </c>
      <c r="L16" s="77">
        <v>23.45</v>
      </c>
      <c r="M16" s="77">
        <v>97.25</v>
      </c>
      <c r="N16" s="77">
        <v>26.9</v>
      </c>
      <c r="O16" s="77">
        <v>0</v>
      </c>
      <c r="P16" s="77">
        <v>0.34</v>
      </c>
      <c r="Q16" s="77">
        <v>13.88</v>
      </c>
    </row>
    <row r="17" spans="1:17" s="12" customFormat="1" x14ac:dyDescent="0.25">
      <c r="A17" s="64" t="s">
        <v>2465</v>
      </c>
      <c r="B17" s="77">
        <v>6.5</v>
      </c>
      <c r="C17" s="77">
        <v>12.75</v>
      </c>
      <c r="D17" s="77">
        <v>12.89</v>
      </c>
      <c r="E17" s="77">
        <v>1.84</v>
      </c>
      <c r="F17" s="77">
        <v>7.8</v>
      </c>
      <c r="G17" s="213" t="s">
        <v>42</v>
      </c>
      <c r="H17" s="213" t="s">
        <v>42</v>
      </c>
      <c r="I17" s="9" t="s">
        <v>36</v>
      </c>
      <c r="J17" s="77">
        <v>0.23</v>
      </c>
      <c r="K17" s="77">
        <v>166.38</v>
      </c>
      <c r="L17" s="77">
        <v>23.45</v>
      </c>
      <c r="M17" s="77">
        <v>97.25</v>
      </c>
      <c r="N17" s="77">
        <v>26.9</v>
      </c>
      <c r="O17" s="77">
        <v>0</v>
      </c>
      <c r="P17" s="77">
        <v>0.3</v>
      </c>
      <c r="Q17" s="77">
        <v>13.78</v>
      </c>
    </row>
    <row r="18" spans="1:17" s="12" customFormat="1" x14ac:dyDescent="0.25">
      <c r="A18" s="64" t="s">
        <v>2466</v>
      </c>
      <c r="B18" s="77">
        <v>7.45</v>
      </c>
      <c r="C18" s="77">
        <v>13.02</v>
      </c>
      <c r="D18" s="77">
        <v>13.81</v>
      </c>
      <c r="E18" s="77">
        <v>2.1800000000000002</v>
      </c>
      <c r="F18" s="77">
        <v>7</v>
      </c>
      <c r="G18" s="213" t="s">
        <v>42</v>
      </c>
      <c r="H18" s="213" t="s">
        <v>42</v>
      </c>
      <c r="I18" s="9" t="s">
        <v>36</v>
      </c>
      <c r="J18" s="77">
        <v>0.68</v>
      </c>
      <c r="K18" s="77">
        <v>165.24</v>
      </c>
      <c r="L18" s="77">
        <v>23.52</v>
      </c>
      <c r="M18" s="77">
        <v>97.25</v>
      </c>
      <c r="N18" s="77">
        <v>27</v>
      </c>
      <c r="O18" s="77">
        <v>0</v>
      </c>
      <c r="P18" s="77">
        <v>0.34</v>
      </c>
      <c r="Q18" s="77">
        <v>13.33</v>
      </c>
    </row>
    <row r="19" spans="1:17" s="12" customFormat="1" x14ac:dyDescent="0.25">
      <c r="A19" s="64" t="s">
        <v>2467</v>
      </c>
      <c r="B19" s="77">
        <v>6.6</v>
      </c>
      <c r="C19" s="77">
        <v>12.43</v>
      </c>
      <c r="D19" s="77">
        <v>12.8</v>
      </c>
      <c r="E19" s="77">
        <v>2.06</v>
      </c>
      <c r="F19" s="77">
        <v>8.56</v>
      </c>
      <c r="G19" s="213" t="s">
        <v>42</v>
      </c>
      <c r="H19" s="213" t="s">
        <v>42</v>
      </c>
      <c r="I19" s="9" t="s">
        <v>36</v>
      </c>
      <c r="J19" s="77">
        <v>0.16</v>
      </c>
      <c r="K19" s="77">
        <v>173.19</v>
      </c>
      <c r="L19" s="77">
        <v>23.48</v>
      </c>
      <c r="M19" s="77">
        <v>97.25</v>
      </c>
      <c r="N19" s="77">
        <v>26.8</v>
      </c>
      <c r="O19" s="77">
        <v>0</v>
      </c>
      <c r="P19" s="77">
        <v>0.28999999999999998</v>
      </c>
      <c r="Q19" s="77">
        <v>12.83</v>
      </c>
    </row>
    <row r="20" spans="1:17" s="12" customFormat="1" x14ac:dyDescent="0.25">
      <c r="A20" s="64" t="s">
        <v>2468</v>
      </c>
      <c r="B20" s="77">
        <v>5.13</v>
      </c>
      <c r="C20" s="77">
        <v>11.97</v>
      </c>
      <c r="D20" s="77">
        <v>11.36</v>
      </c>
      <c r="E20" s="77">
        <v>2.35</v>
      </c>
      <c r="F20" s="77">
        <v>8.36</v>
      </c>
      <c r="G20" s="213" t="s">
        <v>42</v>
      </c>
      <c r="H20" s="213" t="s">
        <v>42</v>
      </c>
      <c r="I20" s="9" t="s">
        <v>36</v>
      </c>
      <c r="J20" s="77">
        <v>0.03</v>
      </c>
      <c r="K20" s="77">
        <v>299.33999999999997</v>
      </c>
      <c r="L20" s="77">
        <v>23.41</v>
      </c>
      <c r="M20" s="77">
        <v>97.25</v>
      </c>
      <c r="N20" s="77">
        <v>26.7</v>
      </c>
      <c r="O20" s="77">
        <v>0</v>
      </c>
      <c r="P20" s="77">
        <v>0.25</v>
      </c>
      <c r="Q20" s="77">
        <v>12.35</v>
      </c>
    </row>
    <row r="21" spans="1:17" s="12" customFormat="1" x14ac:dyDescent="0.25">
      <c r="A21" s="64" t="s">
        <v>2469</v>
      </c>
      <c r="B21" s="77">
        <v>5.44</v>
      </c>
      <c r="C21" s="77">
        <v>12.31</v>
      </c>
      <c r="D21" s="77">
        <v>11.8</v>
      </c>
      <c r="E21" s="77">
        <v>1.99</v>
      </c>
      <c r="F21" s="77">
        <v>10.19</v>
      </c>
      <c r="G21" s="213" t="s">
        <v>42</v>
      </c>
      <c r="H21" s="213" t="s">
        <v>42</v>
      </c>
      <c r="I21" s="9" t="s">
        <v>36</v>
      </c>
      <c r="J21" s="77">
        <v>0.28000000000000003</v>
      </c>
      <c r="K21" s="77">
        <v>167.85</v>
      </c>
      <c r="L21" s="77">
        <v>23.43</v>
      </c>
      <c r="M21" s="77">
        <v>97.25</v>
      </c>
      <c r="N21" s="77">
        <v>26.7</v>
      </c>
      <c r="O21" s="77">
        <v>0</v>
      </c>
      <c r="P21" s="77">
        <v>0.26</v>
      </c>
      <c r="Q21" s="77">
        <v>11.77</v>
      </c>
    </row>
    <row r="22" spans="1:17" s="12" customFormat="1" x14ac:dyDescent="0.25">
      <c r="A22" s="64" t="s">
        <v>2470</v>
      </c>
      <c r="B22" s="77">
        <v>3.37</v>
      </c>
      <c r="C22" s="77">
        <v>10.94</v>
      </c>
      <c r="D22" s="77">
        <v>9.3800000000000008</v>
      </c>
      <c r="E22" s="77">
        <v>1.77</v>
      </c>
      <c r="F22" s="77">
        <v>12.4</v>
      </c>
      <c r="G22" s="213" t="s">
        <v>42</v>
      </c>
      <c r="H22" s="213" t="s">
        <v>42</v>
      </c>
      <c r="I22" s="9" t="s">
        <v>36</v>
      </c>
      <c r="J22" s="77">
        <v>0.05</v>
      </c>
      <c r="K22" s="77">
        <v>339.95</v>
      </c>
      <c r="L22" s="77">
        <v>23.36</v>
      </c>
      <c r="M22" s="77">
        <v>97.25</v>
      </c>
      <c r="N22" s="77">
        <v>26.7</v>
      </c>
      <c r="O22" s="77">
        <v>0</v>
      </c>
      <c r="P22" s="77">
        <v>0.18</v>
      </c>
      <c r="Q22" s="77">
        <v>12.86</v>
      </c>
    </row>
    <row r="23" spans="1:17" s="12" customFormat="1" x14ac:dyDescent="0.25">
      <c r="A23" s="64" t="s">
        <v>2471</v>
      </c>
      <c r="B23" s="77">
        <v>2.62</v>
      </c>
      <c r="C23" s="77">
        <v>10.64</v>
      </c>
      <c r="D23" s="77">
        <v>8.6199999999999992</v>
      </c>
      <c r="E23" s="77">
        <v>1.96</v>
      </c>
      <c r="F23" s="77">
        <v>13.15</v>
      </c>
      <c r="G23" s="213" t="s">
        <v>42</v>
      </c>
      <c r="H23" s="213" t="s">
        <v>42</v>
      </c>
      <c r="I23" s="9" t="s">
        <v>36</v>
      </c>
      <c r="J23" s="77">
        <v>0.06</v>
      </c>
      <c r="K23" s="77">
        <v>274.18</v>
      </c>
      <c r="L23" s="77">
        <v>23.09</v>
      </c>
      <c r="M23" s="77">
        <v>97.25</v>
      </c>
      <c r="N23" s="77">
        <v>26.4</v>
      </c>
      <c r="O23" s="77">
        <v>0</v>
      </c>
      <c r="P23" s="77">
        <v>0.19</v>
      </c>
      <c r="Q23" s="77">
        <v>13.7</v>
      </c>
    </row>
    <row r="24" spans="1:17" s="12" customFormat="1" x14ac:dyDescent="0.25">
      <c r="A24" s="64" t="s">
        <v>2472</v>
      </c>
      <c r="B24" s="77">
        <v>2.89</v>
      </c>
      <c r="C24" s="77">
        <v>10.56</v>
      </c>
      <c r="D24" s="77">
        <v>8.7899999999999991</v>
      </c>
      <c r="E24" s="77">
        <v>1.69</v>
      </c>
      <c r="F24" s="77">
        <v>12.84</v>
      </c>
      <c r="G24" s="77">
        <v>15.63</v>
      </c>
      <c r="H24" s="77">
        <v>12.43</v>
      </c>
      <c r="I24" s="9" t="s">
        <v>36</v>
      </c>
      <c r="J24" s="77">
        <v>0.02</v>
      </c>
      <c r="K24" s="77">
        <v>223.79</v>
      </c>
      <c r="L24" s="77">
        <v>22.87</v>
      </c>
      <c r="M24" s="77">
        <v>97.25</v>
      </c>
      <c r="N24" s="77">
        <v>26.3</v>
      </c>
      <c r="O24" s="77">
        <v>0</v>
      </c>
      <c r="P24" s="77">
        <v>0.18</v>
      </c>
      <c r="Q24" s="77">
        <v>14.72</v>
      </c>
    </row>
    <row r="25" spans="1:17" s="12" customFormat="1" x14ac:dyDescent="0.25">
      <c r="A25" s="64" t="s">
        <v>2473</v>
      </c>
      <c r="B25" s="77">
        <v>16.88</v>
      </c>
      <c r="C25" s="77">
        <v>14.58</v>
      </c>
      <c r="D25" s="77">
        <v>22.23</v>
      </c>
      <c r="E25" s="77">
        <v>2.31</v>
      </c>
      <c r="F25" s="77">
        <v>8.7100000000000009</v>
      </c>
      <c r="G25" s="77">
        <v>15.55</v>
      </c>
      <c r="H25" s="77">
        <v>12.43</v>
      </c>
      <c r="I25" s="9" t="s">
        <v>36</v>
      </c>
      <c r="J25" s="77">
        <v>0.04</v>
      </c>
      <c r="K25" s="77">
        <v>109.74</v>
      </c>
      <c r="L25" s="77">
        <v>22.87</v>
      </c>
      <c r="M25" s="77">
        <v>97.25</v>
      </c>
      <c r="N25" s="77">
        <v>26.2</v>
      </c>
      <c r="O25" s="77">
        <v>0</v>
      </c>
      <c r="P25" s="77">
        <v>0.31</v>
      </c>
      <c r="Q25" s="77">
        <v>15.63</v>
      </c>
    </row>
    <row r="26" spans="1:17" s="12" customFormat="1" x14ac:dyDescent="0.25">
      <c r="A26" s="64" t="s">
        <v>2474</v>
      </c>
      <c r="B26" s="77">
        <v>16.510000000000002</v>
      </c>
      <c r="C26" s="77">
        <v>17.600000000000001</v>
      </c>
      <c r="D26" s="77">
        <v>23.6</v>
      </c>
      <c r="E26" s="77">
        <v>2.39</v>
      </c>
      <c r="F26" s="77">
        <v>4.08</v>
      </c>
      <c r="G26" s="77">
        <v>15.55</v>
      </c>
      <c r="H26" s="77">
        <v>12.43</v>
      </c>
      <c r="I26" s="9" t="s">
        <v>36</v>
      </c>
      <c r="J26" s="77">
        <v>0.11</v>
      </c>
      <c r="K26" s="77">
        <v>9.02</v>
      </c>
      <c r="L26" s="77">
        <v>22.98</v>
      </c>
      <c r="M26" s="77">
        <v>97.29</v>
      </c>
      <c r="N26" s="77">
        <v>26.4</v>
      </c>
      <c r="O26" s="77">
        <v>0</v>
      </c>
      <c r="P26" s="77">
        <v>0.38</v>
      </c>
      <c r="Q26" s="77">
        <v>16.399999999999999</v>
      </c>
    </row>
    <row r="27" spans="1:17" s="12" customFormat="1" x14ac:dyDescent="0.25">
      <c r="A27" s="64" t="s">
        <v>2475</v>
      </c>
      <c r="B27" s="77">
        <v>18.05</v>
      </c>
      <c r="C27" s="77">
        <v>15.59</v>
      </c>
      <c r="D27" s="77">
        <v>23.73</v>
      </c>
      <c r="E27" s="77">
        <v>2.65</v>
      </c>
      <c r="F27" s="77">
        <v>4.37</v>
      </c>
      <c r="G27" s="77">
        <v>15.55</v>
      </c>
      <c r="H27" s="77">
        <v>12.43</v>
      </c>
      <c r="I27" s="9" t="s">
        <v>36</v>
      </c>
      <c r="J27" s="77">
        <v>7.0000000000000007E-2</v>
      </c>
      <c r="K27" s="77">
        <v>273.02999999999997</v>
      </c>
      <c r="L27" s="77">
        <v>22.92</v>
      </c>
      <c r="M27" s="77">
        <v>97.29</v>
      </c>
      <c r="N27" s="77">
        <v>26.4</v>
      </c>
      <c r="O27" s="77">
        <v>0</v>
      </c>
      <c r="P27" s="77">
        <v>0.33</v>
      </c>
      <c r="Q27" s="77">
        <v>15.69</v>
      </c>
    </row>
    <row r="28" spans="1:17" s="12" customFormat="1" x14ac:dyDescent="0.25">
      <c r="A28" s="64" t="s">
        <v>2476</v>
      </c>
      <c r="B28" s="77">
        <v>9.75</v>
      </c>
      <c r="C28" s="77">
        <v>15.08</v>
      </c>
      <c r="D28" s="77">
        <v>16.78</v>
      </c>
      <c r="E28" s="77">
        <v>2.4</v>
      </c>
      <c r="F28" s="77">
        <v>5.96</v>
      </c>
      <c r="G28" s="77">
        <v>20.61</v>
      </c>
      <c r="H28" s="77">
        <v>9.3699999999999992</v>
      </c>
      <c r="I28" s="9" t="s">
        <v>36</v>
      </c>
      <c r="J28" s="77">
        <v>0.08</v>
      </c>
      <c r="K28" s="77">
        <v>279.56</v>
      </c>
      <c r="L28" s="77">
        <v>22.74</v>
      </c>
      <c r="M28" s="77">
        <v>97.28</v>
      </c>
      <c r="N28" s="77">
        <v>26.4</v>
      </c>
      <c r="O28" s="77">
        <v>0</v>
      </c>
      <c r="P28" s="77">
        <v>0.3</v>
      </c>
      <c r="Q28" s="77">
        <v>15.09</v>
      </c>
    </row>
    <row r="29" spans="1:17" s="12" customFormat="1" x14ac:dyDescent="0.25">
      <c r="A29" s="64" t="s">
        <v>2477</v>
      </c>
      <c r="B29" s="77">
        <v>8.36</v>
      </c>
      <c r="C29" s="77">
        <v>15.05</v>
      </c>
      <c r="D29" s="77">
        <v>15.66</v>
      </c>
      <c r="E29" s="77">
        <v>2.23</v>
      </c>
      <c r="F29" s="77">
        <v>6.38</v>
      </c>
      <c r="G29" s="77">
        <v>20.78</v>
      </c>
      <c r="H29" s="77">
        <v>9.3699999999999992</v>
      </c>
      <c r="I29" s="9" t="s">
        <v>36</v>
      </c>
      <c r="J29" s="77">
        <v>0.09</v>
      </c>
      <c r="K29" s="77">
        <v>128.31</v>
      </c>
      <c r="L29" s="77">
        <v>22.63</v>
      </c>
      <c r="M29" s="77">
        <v>97.28</v>
      </c>
      <c r="N29" s="77">
        <v>26.4</v>
      </c>
      <c r="O29" s="77">
        <v>0</v>
      </c>
      <c r="P29" s="77">
        <v>0.26</v>
      </c>
      <c r="Q29" s="77">
        <v>13.78</v>
      </c>
    </row>
    <row r="30" spans="1:17" s="12" customFormat="1" x14ac:dyDescent="0.25">
      <c r="A30" s="64" t="s">
        <v>2478</v>
      </c>
      <c r="B30" s="77">
        <v>13.28</v>
      </c>
      <c r="C30" s="77">
        <v>16.850000000000001</v>
      </c>
      <c r="D30" s="77">
        <v>20.59</v>
      </c>
      <c r="E30" s="77">
        <v>2.57</v>
      </c>
      <c r="F30" s="77">
        <v>3.96</v>
      </c>
      <c r="G30" s="77">
        <v>20.78</v>
      </c>
      <c r="H30" s="77">
        <v>9.3699999999999992</v>
      </c>
      <c r="I30" s="9" t="s">
        <v>36</v>
      </c>
      <c r="J30" s="77">
        <v>0.02</v>
      </c>
      <c r="K30" s="77">
        <v>310.62</v>
      </c>
      <c r="L30" s="77">
        <v>22.65</v>
      </c>
      <c r="M30" s="77">
        <v>97.28</v>
      </c>
      <c r="N30" s="77">
        <v>28.9</v>
      </c>
      <c r="O30" s="77">
        <v>0</v>
      </c>
      <c r="P30" s="77">
        <v>0.31</v>
      </c>
      <c r="Q30" s="77">
        <v>13.76</v>
      </c>
    </row>
    <row r="31" spans="1:17" s="12" customFormat="1" x14ac:dyDescent="0.25">
      <c r="A31" s="64" t="s">
        <v>2479</v>
      </c>
      <c r="B31" s="77">
        <v>13.21</v>
      </c>
      <c r="C31" s="77">
        <v>19.13</v>
      </c>
      <c r="D31" s="77">
        <v>21.79</v>
      </c>
      <c r="E31" s="77">
        <v>2.2799999999999998</v>
      </c>
      <c r="F31" s="77">
        <v>5.27</v>
      </c>
      <c r="G31" s="77">
        <v>20.78</v>
      </c>
      <c r="H31" s="77">
        <v>9.3699999999999992</v>
      </c>
      <c r="I31" s="9" t="s">
        <v>36</v>
      </c>
      <c r="J31" s="77">
        <v>0.02</v>
      </c>
      <c r="K31" s="77">
        <v>250.38</v>
      </c>
      <c r="L31" s="77">
        <v>22.66</v>
      </c>
      <c r="M31" s="77">
        <v>97.27</v>
      </c>
      <c r="N31" s="77">
        <v>42.4</v>
      </c>
      <c r="O31" s="77">
        <v>0</v>
      </c>
      <c r="P31" s="77">
        <v>0.28999999999999998</v>
      </c>
      <c r="Q31" s="77">
        <v>13.17</v>
      </c>
    </row>
    <row r="32" spans="1:17" s="12" customFormat="1" x14ac:dyDescent="0.25">
      <c r="A32" s="64" t="s">
        <v>2480</v>
      </c>
      <c r="B32" s="77">
        <v>14.89</v>
      </c>
      <c r="C32" s="77">
        <v>19.09</v>
      </c>
      <c r="D32" s="77">
        <v>23.12</v>
      </c>
      <c r="E32" s="77">
        <v>2.17</v>
      </c>
      <c r="F32" s="77">
        <v>4.9400000000000004</v>
      </c>
      <c r="G32" s="77">
        <v>19.18</v>
      </c>
      <c r="H32" s="77">
        <v>12.32</v>
      </c>
      <c r="I32" s="9" t="s">
        <v>36</v>
      </c>
      <c r="J32" s="77">
        <v>0.12</v>
      </c>
      <c r="K32" s="77">
        <v>187.98</v>
      </c>
      <c r="L32" s="77">
        <v>22.93</v>
      </c>
      <c r="M32" s="77">
        <v>97.25</v>
      </c>
      <c r="N32" s="77">
        <v>61.8</v>
      </c>
      <c r="O32" s="77">
        <v>0</v>
      </c>
      <c r="P32" s="77">
        <v>0.3</v>
      </c>
      <c r="Q32" s="77">
        <v>13.33</v>
      </c>
    </row>
    <row r="33" spans="1:17" s="12" customFormat="1" x14ac:dyDescent="0.25">
      <c r="A33" s="64" t="s">
        <v>2481</v>
      </c>
      <c r="B33" s="77">
        <v>14.05</v>
      </c>
      <c r="C33" s="77">
        <v>20.55</v>
      </c>
      <c r="D33" s="77">
        <v>23.26</v>
      </c>
      <c r="E33" s="77">
        <v>2.2599999999999998</v>
      </c>
      <c r="F33" s="77">
        <v>6.95</v>
      </c>
      <c r="G33" s="77">
        <v>19.11</v>
      </c>
      <c r="H33" s="77">
        <v>12.32</v>
      </c>
      <c r="I33" s="9" t="s">
        <v>36</v>
      </c>
      <c r="J33" s="77">
        <v>0.25</v>
      </c>
      <c r="K33" s="77">
        <v>178.76</v>
      </c>
      <c r="L33" s="77">
        <v>23.33</v>
      </c>
      <c r="M33" s="77">
        <v>97.25</v>
      </c>
      <c r="N33" s="77">
        <v>65.900000000000006</v>
      </c>
      <c r="O33" s="77">
        <v>0</v>
      </c>
      <c r="P33" s="77">
        <v>0.28999999999999998</v>
      </c>
      <c r="Q33" s="77">
        <v>13.19</v>
      </c>
    </row>
    <row r="34" spans="1:17" s="12" customFormat="1" x14ac:dyDescent="0.25">
      <c r="A34" s="64" t="s">
        <v>2482</v>
      </c>
      <c r="B34" s="77">
        <v>13.02</v>
      </c>
      <c r="C34" s="77">
        <v>22.34</v>
      </c>
      <c r="D34" s="77">
        <v>23.42</v>
      </c>
      <c r="E34" s="77">
        <v>2.23</v>
      </c>
      <c r="F34" s="77">
        <v>7.84</v>
      </c>
      <c r="G34" s="77">
        <v>19.11</v>
      </c>
      <c r="H34" s="77">
        <v>12.32</v>
      </c>
      <c r="I34" s="9" t="s">
        <v>36</v>
      </c>
      <c r="J34" s="77">
        <v>0.05</v>
      </c>
      <c r="K34" s="77">
        <v>225.51</v>
      </c>
      <c r="L34" s="77">
        <v>23.55</v>
      </c>
      <c r="M34" s="77">
        <v>97.23</v>
      </c>
      <c r="N34" s="77">
        <v>83.7</v>
      </c>
      <c r="O34" s="77">
        <v>0</v>
      </c>
      <c r="P34" s="77">
        <v>0.28000000000000003</v>
      </c>
      <c r="Q34" s="77">
        <v>14.71</v>
      </c>
    </row>
    <row r="35" spans="1:17" s="12" customFormat="1" x14ac:dyDescent="0.25">
      <c r="A35" s="64" t="s">
        <v>2483</v>
      </c>
      <c r="B35" s="77">
        <v>8.9700000000000006</v>
      </c>
      <c r="C35" s="77">
        <v>18.3</v>
      </c>
      <c r="D35" s="77">
        <v>17.940000000000001</v>
      </c>
      <c r="E35" s="77">
        <v>2.57</v>
      </c>
      <c r="F35" s="77">
        <v>8.67</v>
      </c>
      <c r="G35" s="77">
        <v>19.11</v>
      </c>
      <c r="H35" s="77">
        <v>12.32</v>
      </c>
      <c r="I35" s="9" t="s">
        <v>36</v>
      </c>
      <c r="J35" s="77">
        <v>0.15</v>
      </c>
      <c r="K35" s="77">
        <v>204.74</v>
      </c>
      <c r="L35" s="77">
        <v>23.67</v>
      </c>
      <c r="M35" s="77">
        <v>97.23</v>
      </c>
      <c r="N35" s="77">
        <v>78.3</v>
      </c>
      <c r="O35" s="77">
        <v>0</v>
      </c>
      <c r="P35" s="77">
        <v>0.26</v>
      </c>
      <c r="Q35" s="77">
        <v>15.83</v>
      </c>
    </row>
    <row r="36" spans="1:17" s="12" customFormat="1" x14ac:dyDescent="0.25">
      <c r="A36" s="64" t="s">
        <v>2484</v>
      </c>
      <c r="B36" s="77">
        <v>8.4</v>
      </c>
      <c r="C36" s="77">
        <v>16.52</v>
      </c>
      <c r="D36" s="77">
        <v>16.5</v>
      </c>
      <c r="E36" s="77">
        <v>2.1</v>
      </c>
      <c r="F36" s="77">
        <v>9.0399999999999991</v>
      </c>
      <c r="G36" s="77">
        <v>23.45</v>
      </c>
      <c r="H36" s="77">
        <v>17.22</v>
      </c>
      <c r="I36" s="9" t="s">
        <v>36</v>
      </c>
      <c r="J36" s="77">
        <v>0.33</v>
      </c>
      <c r="K36" s="77">
        <v>171.98</v>
      </c>
      <c r="L36" s="77">
        <v>23.7</v>
      </c>
      <c r="M36" s="77">
        <v>97.23</v>
      </c>
      <c r="N36" s="77">
        <v>90.3</v>
      </c>
      <c r="O36" s="77">
        <v>0</v>
      </c>
      <c r="P36" s="77">
        <v>0.26</v>
      </c>
      <c r="Q36" s="77">
        <v>16.739999999999998</v>
      </c>
    </row>
    <row r="37" spans="1:17" s="12" customFormat="1" x14ac:dyDescent="0.25">
      <c r="A37" s="64" t="s">
        <v>2485</v>
      </c>
      <c r="B37" s="77">
        <v>9.48</v>
      </c>
      <c r="C37" s="77">
        <v>15.29</v>
      </c>
      <c r="D37" s="77">
        <v>16.68</v>
      </c>
      <c r="E37" s="77">
        <v>2.34</v>
      </c>
      <c r="F37" s="77">
        <v>6.31</v>
      </c>
      <c r="G37" s="77">
        <v>23.66</v>
      </c>
      <c r="H37" s="77">
        <v>17.22</v>
      </c>
      <c r="I37" s="9" t="s">
        <v>36</v>
      </c>
      <c r="J37" s="77">
        <v>0.24</v>
      </c>
      <c r="K37" s="77">
        <v>186.45</v>
      </c>
      <c r="L37" s="77">
        <v>23.79</v>
      </c>
      <c r="M37" s="77">
        <v>97.22</v>
      </c>
      <c r="N37" s="77">
        <v>138.69999999999999</v>
      </c>
      <c r="O37" s="77">
        <v>0</v>
      </c>
      <c r="P37" s="77">
        <v>0.34</v>
      </c>
      <c r="Q37" s="77">
        <v>17.64</v>
      </c>
    </row>
    <row r="38" spans="1:17" s="12" customFormat="1" x14ac:dyDescent="0.25">
      <c r="A38" s="64" t="s">
        <v>2486</v>
      </c>
      <c r="B38" s="77">
        <v>10.93</v>
      </c>
      <c r="C38" s="77">
        <v>14.69</v>
      </c>
      <c r="D38" s="77">
        <v>17.52</v>
      </c>
      <c r="E38" s="77">
        <v>2.74</v>
      </c>
      <c r="F38" s="77">
        <v>3.68</v>
      </c>
      <c r="G38" s="77">
        <v>23.66</v>
      </c>
      <c r="H38" s="77">
        <v>17.22</v>
      </c>
      <c r="I38" s="9" t="s">
        <v>36</v>
      </c>
      <c r="J38" s="77">
        <v>0.23</v>
      </c>
      <c r="K38" s="77">
        <v>194.78</v>
      </c>
      <c r="L38" s="77">
        <v>24.04</v>
      </c>
      <c r="M38" s="77">
        <v>97.15</v>
      </c>
      <c r="N38" s="77">
        <v>195</v>
      </c>
      <c r="O38" s="77">
        <v>0</v>
      </c>
      <c r="P38" s="77">
        <v>0.37</v>
      </c>
      <c r="Q38" s="77">
        <v>17.7</v>
      </c>
    </row>
    <row r="39" spans="1:17" s="12" customFormat="1" x14ac:dyDescent="0.25">
      <c r="A39" s="64" t="s">
        <v>2487</v>
      </c>
      <c r="B39" s="77">
        <v>11.38</v>
      </c>
      <c r="C39" s="77">
        <v>13.8</v>
      </c>
      <c r="D39" s="77">
        <v>17.39</v>
      </c>
      <c r="E39" s="77">
        <v>2.5499999999999998</v>
      </c>
      <c r="F39" s="77">
        <v>5.71</v>
      </c>
      <c r="G39" s="77">
        <v>23.66</v>
      </c>
      <c r="H39" s="77">
        <v>17.22</v>
      </c>
      <c r="I39" s="9" t="s">
        <v>36</v>
      </c>
      <c r="J39" s="77">
        <v>0.87</v>
      </c>
      <c r="K39" s="77">
        <v>157.76</v>
      </c>
      <c r="L39" s="77">
        <v>24.28</v>
      </c>
      <c r="M39" s="77">
        <v>96.56</v>
      </c>
      <c r="N39" s="77">
        <v>266.39999999999998</v>
      </c>
      <c r="O39" s="77">
        <v>0</v>
      </c>
      <c r="P39" s="77">
        <v>0.35</v>
      </c>
      <c r="Q39" s="77">
        <v>15.95</v>
      </c>
    </row>
    <row r="40" spans="1:17" s="12" customFormat="1" x14ac:dyDescent="0.25">
      <c r="A40" s="64" t="s">
        <v>2488</v>
      </c>
      <c r="B40" s="77">
        <v>11.44</v>
      </c>
      <c r="C40" s="77">
        <v>13.76</v>
      </c>
      <c r="D40" s="77">
        <v>17.41</v>
      </c>
      <c r="E40" s="77">
        <v>2.27</v>
      </c>
      <c r="F40" s="77">
        <v>4.42</v>
      </c>
      <c r="G40" s="77">
        <v>24.12</v>
      </c>
      <c r="H40" s="77">
        <v>13.76</v>
      </c>
      <c r="I40" s="9" t="s">
        <v>36</v>
      </c>
      <c r="J40" s="77">
        <v>0.27</v>
      </c>
      <c r="K40" s="77">
        <v>175.56</v>
      </c>
      <c r="L40" s="77">
        <v>25.17</v>
      </c>
      <c r="M40" s="77">
        <v>90.85</v>
      </c>
      <c r="N40" s="77">
        <v>417.6</v>
      </c>
      <c r="O40" s="77">
        <v>0</v>
      </c>
      <c r="P40" s="77">
        <v>0.35</v>
      </c>
      <c r="Q40" s="77">
        <v>15.62</v>
      </c>
    </row>
    <row r="41" spans="1:17" s="12" customFormat="1" x14ac:dyDescent="0.25">
      <c r="A41" s="64" t="s">
        <v>2489</v>
      </c>
      <c r="B41" s="77">
        <v>10.73</v>
      </c>
      <c r="C41" s="77">
        <v>13.79</v>
      </c>
      <c r="D41" s="77">
        <v>16.86</v>
      </c>
      <c r="E41" s="77">
        <v>3.11</v>
      </c>
      <c r="F41" s="77">
        <v>3.74</v>
      </c>
      <c r="G41" s="77">
        <v>24.14</v>
      </c>
      <c r="H41" s="77">
        <v>13.76</v>
      </c>
      <c r="I41" s="9" t="s">
        <v>36</v>
      </c>
      <c r="J41" s="77">
        <v>0.15</v>
      </c>
      <c r="K41" s="77">
        <v>203.76</v>
      </c>
      <c r="L41" s="77">
        <v>25.04</v>
      </c>
      <c r="M41" s="77">
        <v>91.16</v>
      </c>
      <c r="N41" s="77">
        <v>257.7</v>
      </c>
      <c r="O41" s="77">
        <v>0</v>
      </c>
      <c r="P41" s="77">
        <v>0.34</v>
      </c>
      <c r="Q41" s="77">
        <v>14.41</v>
      </c>
    </row>
    <row r="42" spans="1:17" s="12" customFormat="1" x14ac:dyDescent="0.25">
      <c r="A42" s="64" t="s">
        <v>2490</v>
      </c>
      <c r="B42" s="77">
        <v>9.61</v>
      </c>
      <c r="C42" s="77">
        <v>13.93</v>
      </c>
      <c r="D42" s="77">
        <v>16.04</v>
      </c>
      <c r="E42" s="77">
        <v>2.54</v>
      </c>
      <c r="F42" s="77">
        <v>5.22</v>
      </c>
      <c r="G42" s="77">
        <v>24.14</v>
      </c>
      <c r="H42" s="77">
        <v>13.76</v>
      </c>
      <c r="I42" s="9" t="s">
        <v>36</v>
      </c>
      <c r="J42" s="77">
        <v>0.16</v>
      </c>
      <c r="K42" s="77">
        <v>170.52</v>
      </c>
      <c r="L42" s="77">
        <v>24.96</v>
      </c>
      <c r="M42" s="77">
        <v>91.29</v>
      </c>
      <c r="N42" s="77">
        <v>255.6</v>
      </c>
      <c r="O42" s="77">
        <v>0</v>
      </c>
      <c r="P42" s="77">
        <v>0.31</v>
      </c>
      <c r="Q42" s="77">
        <v>12.93</v>
      </c>
    </row>
    <row r="43" spans="1:17" s="12" customFormat="1" x14ac:dyDescent="0.25">
      <c r="A43" s="64" t="s">
        <v>2491</v>
      </c>
      <c r="B43" s="77">
        <v>9.33</v>
      </c>
      <c r="C43" s="77">
        <v>14.68</v>
      </c>
      <c r="D43" s="77">
        <v>16.23</v>
      </c>
      <c r="E43" s="77">
        <v>2.81</v>
      </c>
      <c r="F43" s="77">
        <v>4.46</v>
      </c>
      <c r="G43" s="77">
        <v>24.14</v>
      </c>
      <c r="H43" s="77">
        <v>13.76</v>
      </c>
      <c r="I43" s="9" t="s">
        <v>36</v>
      </c>
      <c r="J43" s="77">
        <v>0.18</v>
      </c>
      <c r="K43" s="77">
        <v>32.04</v>
      </c>
      <c r="L43" s="77">
        <v>25.24</v>
      </c>
      <c r="M43" s="77">
        <v>89.97</v>
      </c>
      <c r="N43" s="77">
        <v>293</v>
      </c>
      <c r="O43" s="77">
        <v>0</v>
      </c>
      <c r="P43" s="77">
        <v>0.34</v>
      </c>
      <c r="Q43" s="77">
        <v>11.63</v>
      </c>
    </row>
    <row r="44" spans="1:17" s="12" customFormat="1" x14ac:dyDescent="0.25">
      <c r="A44" s="64" t="s">
        <v>2492</v>
      </c>
      <c r="B44" s="77">
        <v>9.31</v>
      </c>
      <c r="C44" s="77">
        <v>15.69</v>
      </c>
      <c r="D44" s="77">
        <v>16.77</v>
      </c>
      <c r="E44" s="77">
        <v>2.63</v>
      </c>
      <c r="F44" s="77">
        <v>4.79</v>
      </c>
      <c r="G44" s="77">
        <v>25.88</v>
      </c>
      <c r="H44" s="77">
        <v>10.54</v>
      </c>
      <c r="I44" s="9" t="s">
        <v>36</v>
      </c>
      <c r="J44" s="77">
        <v>0.14000000000000001</v>
      </c>
      <c r="K44" s="77">
        <v>191.49</v>
      </c>
      <c r="L44" s="77">
        <v>25.41</v>
      </c>
      <c r="M44" s="77">
        <v>89.52</v>
      </c>
      <c r="N44" s="77">
        <v>298.3</v>
      </c>
      <c r="O44" s="77">
        <v>0</v>
      </c>
      <c r="P44" s="77">
        <v>0.34</v>
      </c>
      <c r="Q44" s="77">
        <v>10.36</v>
      </c>
    </row>
    <row r="45" spans="1:17" s="12" customFormat="1" x14ac:dyDescent="0.25">
      <c r="A45" s="64" t="s">
        <v>2493</v>
      </c>
      <c r="B45" s="77">
        <v>8.24</v>
      </c>
      <c r="C45" s="77">
        <v>15.18</v>
      </c>
      <c r="D45" s="77">
        <v>15.63</v>
      </c>
      <c r="E45" s="77">
        <v>3.02</v>
      </c>
      <c r="F45" s="77">
        <v>6.56</v>
      </c>
      <c r="G45" s="77">
        <v>25.94</v>
      </c>
      <c r="H45" s="77">
        <v>10.54</v>
      </c>
      <c r="I45" s="9" t="s">
        <v>36</v>
      </c>
      <c r="J45" s="77">
        <v>0.13</v>
      </c>
      <c r="K45" s="77">
        <v>35.549999999999997</v>
      </c>
      <c r="L45" s="77">
        <v>25.44</v>
      </c>
      <c r="M45" s="77">
        <v>90.02</v>
      </c>
      <c r="N45" s="77">
        <v>342.6</v>
      </c>
      <c r="O45" s="77">
        <v>0</v>
      </c>
      <c r="P45" s="77">
        <v>0.34</v>
      </c>
      <c r="Q45" s="77">
        <v>10.25</v>
      </c>
    </row>
    <row r="46" spans="1:17" s="12" customFormat="1" x14ac:dyDescent="0.25">
      <c r="A46" s="64" t="s">
        <v>2494</v>
      </c>
      <c r="B46" s="77">
        <v>9.1300000000000008</v>
      </c>
      <c r="C46" s="77">
        <v>16.079999999999998</v>
      </c>
      <c r="D46" s="77">
        <v>16.84</v>
      </c>
      <c r="E46" s="77">
        <v>2.93</v>
      </c>
      <c r="F46" s="77">
        <v>5.18</v>
      </c>
      <c r="G46" s="77">
        <v>25.94</v>
      </c>
      <c r="H46" s="77">
        <v>10.54</v>
      </c>
      <c r="I46" s="9" t="s">
        <v>36</v>
      </c>
      <c r="J46" s="77">
        <v>0.22</v>
      </c>
      <c r="K46" s="77">
        <v>11.56</v>
      </c>
      <c r="L46" s="77">
        <v>26.22</v>
      </c>
      <c r="M46" s="77">
        <v>86.61</v>
      </c>
      <c r="N46" s="77">
        <v>532.20000000000005</v>
      </c>
      <c r="O46" s="77">
        <v>0</v>
      </c>
      <c r="P46" s="77">
        <v>0.37</v>
      </c>
      <c r="Q46" s="77">
        <v>10.3</v>
      </c>
    </row>
    <row r="47" spans="1:17" s="12" customFormat="1" x14ac:dyDescent="0.25">
      <c r="A47" s="64" t="s">
        <v>2495</v>
      </c>
      <c r="B47" s="77">
        <v>8.0500000000000007</v>
      </c>
      <c r="C47" s="77">
        <v>14.81</v>
      </c>
      <c r="D47" s="77">
        <v>15.27</v>
      </c>
      <c r="E47" s="77">
        <v>2.84</v>
      </c>
      <c r="F47" s="77">
        <v>9.9499999999999993</v>
      </c>
      <c r="G47" s="77">
        <v>25.94</v>
      </c>
      <c r="H47" s="77">
        <v>10.54</v>
      </c>
      <c r="I47" s="9" t="s">
        <v>36</v>
      </c>
      <c r="J47" s="77">
        <v>0.41</v>
      </c>
      <c r="K47" s="77">
        <v>177.14</v>
      </c>
      <c r="L47" s="77">
        <v>27.41</v>
      </c>
      <c r="M47" s="77">
        <v>80.66</v>
      </c>
      <c r="N47" s="77">
        <v>667.9</v>
      </c>
      <c r="O47" s="77">
        <v>0</v>
      </c>
      <c r="P47" s="77">
        <v>0.35</v>
      </c>
      <c r="Q47" s="77">
        <v>10.46</v>
      </c>
    </row>
    <row r="48" spans="1:17" s="12" customFormat="1" x14ac:dyDescent="0.25">
      <c r="A48" s="64" t="s">
        <v>2496</v>
      </c>
      <c r="B48" s="77">
        <v>10.32</v>
      </c>
      <c r="C48" s="77">
        <v>16.27</v>
      </c>
      <c r="D48" s="77">
        <v>17.91</v>
      </c>
      <c r="E48" s="77">
        <v>2.81</v>
      </c>
      <c r="F48" s="77">
        <v>13.74</v>
      </c>
      <c r="G48" s="77">
        <v>24.78</v>
      </c>
      <c r="H48" s="77">
        <v>12.04</v>
      </c>
      <c r="I48" s="9" t="s">
        <v>36</v>
      </c>
      <c r="J48" s="77">
        <v>0.25</v>
      </c>
      <c r="K48" s="77">
        <v>354.7</v>
      </c>
      <c r="L48" s="77">
        <v>27.28</v>
      </c>
      <c r="M48" s="77">
        <v>81.25</v>
      </c>
      <c r="N48" s="77">
        <v>216.6</v>
      </c>
      <c r="O48" s="77">
        <v>0</v>
      </c>
      <c r="P48" s="77">
        <v>0.43</v>
      </c>
      <c r="Q48" s="77">
        <v>11.09</v>
      </c>
    </row>
    <row r="49" spans="1:17" s="12" customFormat="1" x14ac:dyDescent="0.25">
      <c r="A49" s="64" t="s">
        <v>2497</v>
      </c>
      <c r="B49" s="77">
        <v>15.61</v>
      </c>
      <c r="C49" s="77">
        <v>18.04</v>
      </c>
      <c r="D49" s="77">
        <v>23.12</v>
      </c>
      <c r="E49" s="77">
        <v>3.17</v>
      </c>
      <c r="F49" s="77">
        <v>13.03</v>
      </c>
      <c r="G49" s="77">
        <v>24.74</v>
      </c>
      <c r="H49" s="77">
        <v>12.04</v>
      </c>
      <c r="I49" s="9" t="s">
        <v>36</v>
      </c>
      <c r="J49" s="77">
        <v>0.54</v>
      </c>
      <c r="K49" s="77">
        <v>8.07</v>
      </c>
      <c r="L49" s="77">
        <v>28.43</v>
      </c>
      <c r="M49" s="77">
        <v>76.150000000000006</v>
      </c>
      <c r="N49" s="77">
        <v>390.2</v>
      </c>
      <c r="O49" s="77">
        <v>0</v>
      </c>
      <c r="P49" s="77">
        <v>0.6</v>
      </c>
      <c r="Q49" s="77">
        <v>12.07</v>
      </c>
    </row>
    <row r="50" spans="1:17" s="12" customFormat="1" x14ac:dyDescent="0.25">
      <c r="A50" s="64" t="s">
        <v>2498</v>
      </c>
      <c r="B50" s="77">
        <v>10.38</v>
      </c>
      <c r="C50" s="77">
        <v>17.260000000000002</v>
      </c>
      <c r="D50" s="77">
        <v>18.489999999999998</v>
      </c>
      <c r="E50" s="77">
        <v>3.37</v>
      </c>
      <c r="F50" s="77">
        <v>6.24</v>
      </c>
      <c r="G50" s="77">
        <v>24.74</v>
      </c>
      <c r="H50" s="77">
        <v>12.04</v>
      </c>
      <c r="I50" s="9" t="s">
        <v>36</v>
      </c>
      <c r="J50" s="77">
        <v>0.46</v>
      </c>
      <c r="K50" s="77">
        <v>2.09</v>
      </c>
      <c r="L50" s="77">
        <v>29.9</v>
      </c>
      <c r="M50" s="77">
        <v>71.67</v>
      </c>
      <c r="N50" s="77">
        <v>932.6</v>
      </c>
      <c r="O50" s="77">
        <v>0</v>
      </c>
      <c r="P50" s="77">
        <v>0.43</v>
      </c>
      <c r="Q50" s="77">
        <v>12.4</v>
      </c>
    </row>
    <row r="51" spans="1:17" s="12" customFormat="1" x14ac:dyDescent="0.25">
      <c r="A51" s="64" t="s">
        <v>2499</v>
      </c>
      <c r="B51" s="77">
        <v>12.43</v>
      </c>
      <c r="C51" s="77">
        <v>14.9</v>
      </c>
      <c r="D51" s="77">
        <v>18.84</v>
      </c>
      <c r="E51" s="77">
        <v>3.03</v>
      </c>
      <c r="F51" s="77">
        <v>6.96</v>
      </c>
      <c r="G51" s="77">
        <v>24.74</v>
      </c>
      <c r="H51" s="77">
        <v>12.04</v>
      </c>
      <c r="I51" s="9" t="s">
        <v>36</v>
      </c>
      <c r="J51" s="77">
        <v>0.73</v>
      </c>
      <c r="K51" s="77">
        <v>350.12</v>
      </c>
      <c r="L51" s="77">
        <v>32.450000000000003</v>
      </c>
      <c r="M51" s="77">
        <v>63.47</v>
      </c>
      <c r="N51" s="77">
        <v>910.9</v>
      </c>
      <c r="O51" s="77">
        <v>0</v>
      </c>
      <c r="P51" s="77">
        <v>0.5</v>
      </c>
      <c r="Q51" s="77">
        <v>10.98</v>
      </c>
    </row>
    <row r="52" spans="1:17" s="12" customFormat="1" x14ac:dyDescent="0.25">
      <c r="A52" s="64" t="s">
        <v>2500</v>
      </c>
      <c r="B52" s="77">
        <v>11.58</v>
      </c>
      <c r="C52" s="77">
        <v>17.32</v>
      </c>
      <c r="D52" s="77">
        <v>19.489999999999998</v>
      </c>
      <c r="E52" s="77">
        <v>3.06</v>
      </c>
      <c r="F52" s="77">
        <v>5.92</v>
      </c>
      <c r="G52" s="77">
        <v>41.79</v>
      </c>
      <c r="H52" s="77">
        <v>9.1</v>
      </c>
      <c r="I52" s="9" t="s">
        <v>36</v>
      </c>
      <c r="J52" s="77">
        <v>1.1599999999999999</v>
      </c>
      <c r="K52" s="77">
        <v>357.71</v>
      </c>
      <c r="L52" s="77">
        <v>31.12</v>
      </c>
      <c r="M52" s="77">
        <v>66.37</v>
      </c>
      <c r="N52" s="77">
        <v>267.3</v>
      </c>
      <c r="O52" s="77">
        <v>0</v>
      </c>
      <c r="P52" s="77">
        <v>0.51</v>
      </c>
      <c r="Q52" s="77">
        <v>9.56</v>
      </c>
    </row>
    <row r="53" spans="1:17" s="12" customFormat="1" x14ac:dyDescent="0.25">
      <c r="A53" s="64" t="s">
        <v>2501</v>
      </c>
      <c r="B53" s="77">
        <v>13.59</v>
      </c>
      <c r="C53" s="77">
        <v>19.54</v>
      </c>
      <c r="D53" s="77">
        <v>22.33</v>
      </c>
      <c r="E53" s="77">
        <v>2.91</v>
      </c>
      <c r="F53" s="77">
        <v>5.09</v>
      </c>
      <c r="G53" s="77">
        <v>42.58</v>
      </c>
      <c r="H53" s="77">
        <v>9.1</v>
      </c>
      <c r="I53" s="9" t="s">
        <v>36</v>
      </c>
      <c r="J53" s="77">
        <v>1.1200000000000001</v>
      </c>
      <c r="K53" s="77">
        <v>7.05</v>
      </c>
      <c r="L53" s="77">
        <v>28.38</v>
      </c>
      <c r="M53" s="77">
        <v>77.34</v>
      </c>
      <c r="N53" s="77">
        <v>127.3</v>
      </c>
      <c r="O53" s="77">
        <v>0</v>
      </c>
      <c r="P53" s="77">
        <v>0.61</v>
      </c>
      <c r="Q53" s="77">
        <v>9.73</v>
      </c>
    </row>
    <row r="54" spans="1:17" s="12" customFormat="1" x14ac:dyDescent="0.25">
      <c r="A54" s="64" t="s">
        <v>2502</v>
      </c>
      <c r="B54" s="77">
        <v>14.2</v>
      </c>
      <c r="C54" s="77">
        <v>17.829999999999998</v>
      </c>
      <c r="D54" s="77">
        <v>21.87</v>
      </c>
      <c r="E54" s="77">
        <v>3.01</v>
      </c>
      <c r="F54" s="77">
        <v>4.96</v>
      </c>
      <c r="G54" s="77">
        <v>42.58</v>
      </c>
      <c r="H54" s="77">
        <v>9.1</v>
      </c>
      <c r="I54" s="9" t="s">
        <v>36</v>
      </c>
      <c r="J54" s="77">
        <v>1.29</v>
      </c>
      <c r="K54" s="77">
        <v>7.72</v>
      </c>
      <c r="L54" s="77">
        <v>27.75</v>
      </c>
      <c r="M54" s="77">
        <v>82.38</v>
      </c>
      <c r="N54" s="77">
        <v>544.20000000000005</v>
      </c>
      <c r="O54" s="77">
        <v>0</v>
      </c>
      <c r="P54" s="77">
        <v>0.63</v>
      </c>
      <c r="Q54" s="77">
        <v>9.34</v>
      </c>
    </row>
    <row r="55" spans="1:17" s="12" customFormat="1" x14ac:dyDescent="0.25">
      <c r="A55" s="64" t="s">
        <v>2503</v>
      </c>
      <c r="B55" s="77">
        <v>14.7</v>
      </c>
      <c r="C55" s="77">
        <v>18.36</v>
      </c>
      <c r="D55" s="77">
        <v>22.57</v>
      </c>
      <c r="E55" s="77">
        <v>2.94</v>
      </c>
      <c r="F55" s="77">
        <v>8.0299999999999994</v>
      </c>
      <c r="G55" s="77">
        <v>42.58</v>
      </c>
      <c r="H55" s="77">
        <v>9.1</v>
      </c>
      <c r="I55" s="9" t="s">
        <v>36</v>
      </c>
      <c r="J55" s="77">
        <v>0.8</v>
      </c>
      <c r="K55" s="77">
        <v>356.5</v>
      </c>
      <c r="L55" s="77">
        <v>29.94</v>
      </c>
      <c r="M55" s="77">
        <v>72.489999999999995</v>
      </c>
      <c r="N55" s="77">
        <v>983.7</v>
      </c>
      <c r="O55" s="77">
        <v>0</v>
      </c>
      <c r="P55" s="77">
        <v>0.67</v>
      </c>
      <c r="Q55" s="77">
        <v>9.32</v>
      </c>
    </row>
    <row r="56" spans="1:17" s="12" customFormat="1" x14ac:dyDescent="0.25">
      <c r="A56" s="64" t="s">
        <v>2504</v>
      </c>
      <c r="B56" s="77">
        <v>12.63</v>
      </c>
      <c r="C56" s="77">
        <v>21.28</v>
      </c>
      <c r="D56" s="77">
        <v>22.52</v>
      </c>
      <c r="E56" s="77">
        <v>1.64</v>
      </c>
      <c r="F56" s="77">
        <v>12.91</v>
      </c>
      <c r="G56" s="77">
        <v>58.51</v>
      </c>
      <c r="H56" s="77">
        <v>7.05</v>
      </c>
      <c r="I56" s="9" t="s">
        <v>36</v>
      </c>
      <c r="J56" s="77">
        <v>0.82</v>
      </c>
      <c r="K56" s="77">
        <v>6.95</v>
      </c>
      <c r="L56" s="77">
        <v>31.3</v>
      </c>
      <c r="M56" s="77">
        <v>66.22</v>
      </c>
      <c r="N56" s="77">
        <v>940.1</v>
      </c>
      <c r="O56" s="77">
        <v>0</v>
      </c>
      <c r="P56" s="77">
        <v>0.68</v>
      </c>
      <c r="Q56" s="77">
        <v>9.0399999999999991</v>
      </c>
    </row>
    <row r="57" spans="1:17" s="12" customFormat="1" x14ac:dyDescent="0.25">
      <c r="A57" s="64" t="s">
        <v>2505</v>
      </c>
      <c r="B57" s="77">
        <v>11.02</v>
      </c>
      <c r="C57" s="77">
        <v>22.48</v>
      </c>
      <c r="D57" s="77">
        <v>21.88</v>
      </c>
      <c r="E57" s="77">
        <v>2.29</v>
      </c>
      <c r="F57" s="77">
        <v>22.92</v>
      </c>
      <c r="G57" s="77">
        <v>59.06</v>
      </c>
      <c r="H57" s="77">
        <v>7.05</v>
      </c>
      <c r="I57" s="9" t="s">
        <v>36</v>
      </c>
      <c r="J57" s="77">
        <v>0.48</v>
      </c>
      <c r="K57" s="77">
        <v>2.71</v>
      </c>
      <c r="L57" s="77">
        <v>31.2</v>
      </c>
      <c r="M57" s="77">
        <v>63.5</v>
      </c>
      <c r="N57" s="77">
        <v>1043.7</v>
      </c>
      <c r="O57" s="77">
        <v>0</v>
      </c>
      <c r="P57" s="77">
        <v>0.69</v>
      </c>
      <c r="Q57" s="77">
        <v>9.16</v>
      </c>
    </row>
    <row r="58" spans="1:17" s="12" customFormat="1" x14ac:dyDescent="0.25">
      <c r="A58" s="64" t="s">
        <v>2506</v>
      </c>
      <c r="B58" s="77">
        <v>11.16</v>
      </c>
      <c r="C58" s="77">
        <v>25.28</v>
      </c>
      <c r="D58" s="77">
        <v>23.55</v>
      </c>
      <c r="E58" s="77">
        <v>2.14</v>
      </c>
      <c r="F58" s="77">
        <v>22.61</v>
      </c>
      <c r="G58" s="77">
        <v>59.06</v>
      </c>
      <c r="H58" s="77">
        <v>7.05</v>
      </c>
      <c r="I58" s="9" t="s">
        <v>36</v>
      </c>
      <c r="J58" s="77">
        <v>0.49</v>
      </c>
      <c r="K58" s="77">
        <v>348.64</v>
      </c>
      <c r="L58" s="77">
        <v>32.28</v>
      </c>
      <c r="M58" s="77">
        <v>60.76</v>
      </c>
      <c r="N58" s="77">
        <v>966.3</v>
      </c>
      <c r="O58" s="77">
        <v>0</v>
      </c>
      <c r="P58" s="77">
        <v>0.73</v>
      </c>
      <c r="Q58" s="77">
        <v>10.14</v>
      </c>
    </row>
    <row r="59" spans="1:17" s="12" customFormat="1" x14ac:dyDescent="0.25">
      <c r="A59" s="64" t="s">
        <v>2507</v>
      </c>
      <c r="B59" s="77">
        <v>7.89</v>
      </c>
      <c r="C59" s="77">
        <v>21.36</v>
      </c>
      <c r="D59" s="77">
        <v>18.760000000000002</v>
      </c>
      <c r="E59" s="77">
        <v>2.42</v>
      </c>
      <c r="F59" s="77">
        <v>25.81</v>
      </c>
      <c r="G59" s="77">
        <v>59.06</v>
      </c>
      <c r="H59" s="77">
        <v>7.05</v>
      </c>
      <c r="I59" s="9" t="s">
        <v>36</v>
      </c>
      <c r="J59" s="77">
        <v>0.22</v>
      </c>
      <c r="K59" s="77">
        <v>6.03</v>
      </c>
      <c r="L59" s="77">
        <v>32.47</v>
      </c>
      <c r="M59" s="77">
        <v>58.87</v>
      </c>
      <c r="N59" s="77">
        <v>1060.2</v>
      </c>
      <c r="O59" s="77">
        <v>0</v>
      </c>
      <c r="P59" s="77">
        <v>0.66</v>
      </c>
      <c r="Q59" s="77">
        <v>10.51</v>
      </c>
    </row>
    <row r="60" spans="1:17" s="12" customFormat="1" x14ac:dyDescent="0.25">
      <c r="A60" s="64" t="s">
        <v>2508</v>
      </c>
      <c r="B60" s="77">
        <v>8.6</v>
      </c>
      <c r="C60" s="77">
        <v>23.84</v>
      </c>
      <c r="D60" s="77">
        <v>20.7</v>
      </c>
      <c r="E60" s="77">
        <v>2.68</v>
      </c>
      <c r="F60" s="77">
        <v>22.26</v>
      </c>
      <c r="G60" s="77">
        <v>60.19</v>
      </c>
      <c r="H60" s="77">
        <v>5.61</v>
      </c>
      <c r="I60" s="9" t="s">
        <v>36</v>
      </c>
      <c r="J60" s="77">
        <v>0.06</v>
      </c>
      <c r="K60" s="77">
        <v>45.8</v>
      </c>
      <c r="L60" s="77">
        <v>31.65</v>
      </c>
      <c r="M60" s="77">
        <v>59.77</v>
      </c>
      <c r="N60" s="77">
        <v>1037</v>
      </c>
      <c r="O60" s="77">
        <v>0</v>
      </c>
      <c r="P60" s="77">
        <v>0.66</v>
      </c>
      <c r="Q60" s="77">
        <v>10.68</v>
      </c>
    </row>
    <row r="61" spans="1:17" s="12" customFormat="1" x14ac:dyDescent="0.25">
      <c r="A61" s="64" t="s">
        <v>2509</v>
      </c>
      <c r="B61" s="77">
        <v>9.15</v>
      </c>
      <c r="C61" s="77">
        <v>23.28</v>
      </c>
      <c r="D61" s="77">
        <v>20.83</v>
      </c>
      <c r="E61" s="77">
        <v>2.35</v>
      </c>
      <c r="F61" s="77">
        <v>10.45</v>
      </c>
      <c r="G61" s="77">
        <v>60.23</v>
      </c>
      <c r="H61" s="77">
        <v>5.61</v>
      </c>
      <c r="I61" s="9" t="s">
        <v>36</v>
      </c>
      <c r="J61" s="77">
        <v>0.91</v>
      </c>
      <c r="K61" s="77">
        <v>359.83</v>
      </c>
      <c r="L61" s="77">
        <v>32.49</v>
      </c>
      <c r="M61" s="77">
        <v>58.92</v>
      </c>
      <c r="N61" s="77">
        <v>433</v>
      </c>
      <c r="O61" s="77">
        <v>0</v>
      </c>
      <c r="P61" s="77">
        <v>0.65</v>
      </c>
      <c r="Q61" s="77">
        <v>11.09</v>
      </c>
    </row>
    <row r="62" spans="1:17" s="12" customFormat="1" x14ac:dyDescent="0.25">
      <c r="A62" s="64" t="s">
        <v>2510</v>
      </c>
      <c r="B62" s="77">
        <v>9.76</v>
      </c>
      <c r="C62" s="77">
        <v>24.49</v>
      </c>
      <c r="D62" s="77">
        <v>21.99</v>
      </c>
      <c r="E62" s="77">
        <v>3.16</v>
      </c>
      <c r="F62" s="77">
        <v>13.74</v>
      </c>
      <c r="G62" s="77">
        <v>60.23</v>
      </c>
      <c r="H62" s="77">
        <v>5.61</v>
      </c>
      <c r="I62" s="9" t="s">
        <v>36</v>
      </c>
      <c r="J62" s="77">
        <v>0.79</v>
      </c>
      <c r="K62" s="77">
        <v>358.8</v>
      </c>
      <c r="L62" s="77">
        <v>30.91</v>
      </c>
      <c r="M62" s="77">
        <v>62.92</v>
      </c>
      <c r="N62" s="77">
        <v>140.1</v>
      </c>
      <c r="O62" s="77">
        <v>0</v>
      </c>
      <c r="P62" s="77">
        <v>0.74</v>
      </c>
      <c r="Q62" s="77">
        <v>10.63</v>
      </c>
    </row>
    <row r="63" spans="1:17" s="12" customFormat="1" x14ac:dyDescent="0.25">
      <c r="A63" s="64" t="s">
        <v>2511</v>
      </c>
      <c r="B63" s="77">
        <v>8.6300000000000008</v>
      </c>
      <c r="C63" s="77">
        <v>29.6</v>
      </c>
      <c r="D63" s="77">
        <v>23.91</v>
      </c>
      <c r="E63" s="77">
        <v>3.08</v>
      </c>
      <c r="F63" s="77">
        <v>15.46</v>
      </c>
      <c r="G63" s="77">
        <v>60.23</v>
      </c>
      <c r="H63" s="77">
        <v>5.61</v>
      </c>
      <c r="I63" s="9" t="s">
        <v>36</v>
      </c>
      <c r="J63" s="77">
        <v>1.1599999999999999</v>
      </c>
      <c r="K63" s="77">
        <v>6.35</v>
      </c>
      <c r="L63" s="77">
        <v>29.16</v>
      </c>
      <c r="M63" s="77">
        <v>68.55</v>
      </c>
      <c r="N63" s="77">
        <v>66.3</v>
      </c>
      <c r="O63" s="77">
        <v>0</v>
      </c>
      <c r="P63" s="77">
        <v>0.81</v>
      </c>
      <c r="Q63" s="77">
        <v>9.1300000000000008</v>
      </c>
    </row>
    <row r="64" spans="1:17" s="12" customFormat="1" x14ac:dyDescent="0.25">
      <c r="A64" s="64" t="s">
        <v>2512</v>
      </c>
      <c r="B64" s="77">
        <v>7.65</v>
      </c>
      <c r="C64" s="77">
        <v>27.46</v>
      </c>
      <c r="D64" s="77">
        <v>21.93</v>
      </c>
      <c r="E64" s="77">
        <v>2.08</v>
      </c>
      <c r="F64" s="77">
        <v>7.04</v>
      </c>
      <c r="G64" s="213" t="s">
        <v>42</v>
      </c>
      <c r="H64" s="213" t="s">
        <v>42</v>
      </c>
      <c r="I64" s="9" t="s">
        <v>36</v>
      </c>
      <c r="J64" s="77">
        <v>0.51</v>
      </c>
      <c r="K64" s="77">
        <v>19.079999999999998</v>
      </c>
      <c r="L64" s="77">
        <v>25.88</v>
      </c>
      <c r="M64" s="77">
        <v>84.7</v>
      </c>
      <c r="N64" s="77">
        <v>63.8</v>
      </c>
      <c r="O64" s="77">
        <v>0</v>
      </c>
      <c r="P64" s="77">
        <v>0.75</v>
      </c>
      <c r="Q64" s="77">
        <v>7.97</v>
      </c>
    </row>
    <row r="65" spans="1:17" s="12" customFormat="1" x14ac:dyDescent="0.25">
      <c r="A65" s="64" t="s">
        <v>2513</v>
      </c>
      <c r="B65" s="77">
        <v>6.03</v>
      </c>
      <c r="C65" s="77">
        <v>24.42</v>
      </c>
      <c r="D65" s="77">
        <v>18.96</v>
      </c>
      <c r="E65" s="77">
        <v>2.12</v>
      </c>
      <c r="F65" s="77">
        <v>6.29</v>
      </c>
      <c r="G65" s="213" t="s">
        <v>42</v>
      </c>
      <c r="H65" s="213" t="s">
        <v>42</v>
      </c>
      <c r="I65" s="9" t="s">
        <v>36</v>
      </c>
      <c r="J65" s="77">
        <v>1.73</v>
      </c>
      <c r="K65" s="77">
        <v>113.65</v>
      </c>
      <c r="L65" s="77">
        <v>23.74</v>
      </c>
      <c r="M65" s="77">
        <v>95.13</v>
      </c>
      <c r="N65" s="77">
        <v>57</v>
      </c>
      <c r="O65" s="77">
        <v>1</v>
      </c>
      <c r="P65" s="77">
        <v>0.72</v>
      </c>
      <c r="Q65" s="77">
        <v>8.01</v>
      </c>
    </row>
    <row r="66" spans="1:17" s="12" customFormat="1" x14ac:dyDescent="0.25">
      <c r="A66" s="64" t="s">
        <v>2514</v>
      </c>
      <c r="B66" s="77">
        <v>5.97</v>
      </c>
      <c r="C66" s="77">
        <v>23.21</v>
      </c>
      <c r="D66" s="77">
        <v>18.239999999999998</v>
      </c>
      <c r="E66" s="77">
        <v>2.57</v>
      </c>
      <c r="F66" s="77">
        <v>5.38</v>
      </c>
      <c r="G66" s="213" t="s">
        <v>42</v>
      </c>
      <c r="H66" s="213" t="s">
        <v>42</v>
      </c>
      <c r="I66" s="9" t="s">
        <v>36</v>
      </c>
      <c r="J66" s="77">
        <v>1.4</v>
      </c>
      <c r="K66" s="77">
        <v>119.8</v>
      </c>
      <c r="L66" s="77">
        <v>22.58</v>
      </c>
      <c r="M66" s="77">
        <v>97.25</v>
      </c>
      <c r="N66" s="77">
        <v>59.4</v>
      </c>
      <c r="O66" s="77">
        <v>0.8</v>
      </c>
      <c r="P66" s="77">
        <v>0.69</v>
      </c>
      <c r="Q66" s="77">
        <v>10.210000000000001</v>
      </c>
    </row>
    <row r="67" spans="1:17" s="12" customFormat="1" x14ac:dyDescent="0.25">
      <c r="A67" s="64" t="s">
        <v>2515</v>
      </c>
      <c r="B67" s="77">
        <v>6.25</v>
      </c>
      <c r="C67" s="77">
        <v>22.09</v>
      </c>
      <c r="D67" s="77">
        <v>17.850000000000001</v>
      </c>
      <c r="E67" s="77">
        <v>2.42</v>
      </c>
      <c r="F67" s="77">
        <v>5.34</v>
      </c>
      <c r="G67" s="213" t="s">
        <v>42</v>
      </c>
      <c r="H67" s="213" t="s">
        <v>42</v>
      </c>
      <c r="I67" s="9" t="s">
        <v>36</v>
      </c>
      <c r="J67" s="77">
        <v>0.78</v>
      </c>
      <c r="K67" s="77">
        <v>111.36</v>
      </c>
      <c r="L67" s="77">
        <v>22.57</v>
      </c>
      <c r="M67" s="77">
        <v>97.25</v>
      </c>
      <c r="N67" s="77">
        <v>46.4</v>
      </c>
      <c r="O67" s="77">
        <v>0</v>
      </c>
      <c r="P67" s="77">
        <v>0.67</v>
      </c>
      <c r="Q67" s="77">
        <v>11.71</v>
      </c>
    </row>
    <row r="68" spans="1:17" s="12" customFormat="1" x14ac:dyDescent="0.25">
      <c r="A68" s="64" t="s">
        <v>2516</v>
      </c>
      <c r="B68" s="77">
        <v>5.08</v>
      </c>
      <c r="C68" s="77">
        <v>22.29</v>
      </c>
      <c r="D68" s="77">
        <v>17.02</v>
      </c>
      <c r="E68" s="77">
        <v>2.67</v>
      </c>
      <c r="F68" s="77">
        <v>6.53</v>
      </c>
      <c r="G68" s="77">
        <v>51.58</v>
      </c>
      <c r="H68" s="77">
        <v>22.85</v>
      </c>
      <c r="I68" s="9" t="s">
        <v>36</v>
      </c>
      <c r="J68" s="77">
        <v>1.07</v>
      </c>
      <c r="K68" s="77">
        <v>114.64</v>
      </c>
      <c r="L68" s="77">
        <v>22.61</v>
      </c>
      <c r="M68" s="77">
        <v>97.25</v>
      </c>
      <c r="N68" s="77">
        <v>62.9</v>
      </c>
      <c r="O68" s="77">
        <v>0.2</v>
      </c>
      <c r="P68" s="77">
        <v>0.62</v>
      </c>
      <c r="Q68" s="77">
        <v>12.41</v>
      </c>
    </row>
    <row r="69" spans="1:17" s="12" customFormat="1" x14ac:dyDescent="0.25">
      <c r="A69" s="64" t="s">
        <v>2517</v>
      </c>
      <c r="B69" s="77">
        <v>5</v>
      </c>
      <c r="C69" s="77">
        <v>22.08</v>
      </c>
      <c r="D69" s="77">
        <v>16.84</v>
      </c>
      <c r="E69" s="77">
        <v>2.2400000000000002</v>
      </c>
      <c r="F69" s="77">
        <v>9.77</v>
      </c>
      <c r="G69" s="77">
        <v>50.98</v>
      </c>
      <c r="H69" s="77">
        <v>22.85</v>
      </c>
      <c r="I69" s="9" t="s">
        <v>36</v>
      </c>
      <c r="J69" s="77">
        <v>0.82</v>
      </c>
      <c r="K69" s="77">
        <v>111.75</v>
      </c>
      <c r="L69" s="77">
        <v>22.91</v>
      </c>
      <c r="M69" s="77">
        <v>97.25</v>
      </c>
      <c r="N69" s="77">
        <v>190.9</v>
      </c>
      <c r="O69" s="77">
        <v>0</v>
      </c>
      <c r="P69" s="77">
        <v>0.56999999999999995</v>
      </c>
      <c r="Q69" s="77">
        <v>14.01</v>
      </c>
    </row>
    <row r="70" spans="1:17" s="12" customFormat="1" x14ac:dyDescent="0.25">
      <c r="A70" s="64" t="s">
        <v>2518</v>
      </c>
      <c r="B70" s="77">
        <v>5.3</v>
      </c>
      <c r="C70" s="77">
        <v>20.68</v>
      </c>
      <c r="D70" s="77">
        <v>16.3</v>
      </c>
      <c r="E70" s="77">
        <v>2.5</v>
      </c>
      <c r="F70" s="77">
        <v>9.4700000000000006</v>
      </c>
      <c r="G70" s="77">
        <v>50.98</v>
      </c>
      <c r="H70" s="77">
        <v>22.85</v>
      </c>
      <c r="I70" s="9" t="s">
        <v>36</v>
      </c>
      <c r="J70" s="77">
        <v>0.87</v>
      </c>
      <c r="K70" s="77">
        <v>111.89</v>
      </c>
      <c r="L70" s="77">
        <v>23.69</v>
      </c>
      <c r="M70" s="77">
        <v>97.13</v>
      </c>
      <c r="N70" s="77">
        <v>276.89999999999998</v>
      </c>
      <c r="O70" s="77">
        <v>0</v>
      </c>
      <c r="P70" s="77">
        <v>0.59</v>
      </c>
      <c r="Q70" s="77">
        <v>15.32</v>
      </c>
    </row>
    <row r="71" spans="1:17" s="12" customFormat="1" x14ac:dyDescent="0.25">
      <c r="A71" s="64" t="s">
        <v>2519</v>
      </c>
      <c r="B71" s="77">
        <v>5.23</v>
      </c>
      <c r="C71" s="77">
        <v>20.52</v>
      </c>
      <c r="D71" s="77">
        <v>16.170000000000002</v>
      </c>
      <c r="E71" s="77">
        <v>1.92</v>
      </c>
      <c r="F71" s="77">
        <v>12.86</v>
      </c>
      <c r="G71" s="77">
        <v>50.98</v>
      </c>
      <c r="H71" s="77">
        <v>22.85</v>
      </c>
      <c r="I71" s="9" t="s">
        <v>36</v>
      </c>
      <c r="J71" s="77">
        <v>0.69</v>
      </c>
      <c r="K71" s="77">
        <v>110.44</v>
      </c>
      <c r="L71" s="77">
        <v>24.21</v>
      </c>
      <c r="M71" s="77">
        <v>95.06</v>
      </c>
      <c r="N71" s="77">
        <v>248.6</v>
      </c>
      <c r="O71" s="77">
        <v>0</v>
      </c>
      <c r="P71" s="77">
        <v>0.51</v>
      </c>
      <c r="Q71" s="77">
        <v>16.260000000000002</v>
      </c>
    </row>
    <row r="72" spans="1:17" s="12" customFormat="1" x14ac:dyDescent="0.25">
      <c r="A72" s="64" t="s">
        <v>2520</v>
      </c>
      <c r="B72" s="77">
        <v>12.06</v>
      </c>
      <c r="C72" s="77">
        <v>24.47</v>
      </c>
      <c r="D72" s="77">
        <v>23.82</v>
      </c>
      <c r="E72" s="77">
        <v>2.35</v>
      </c>
      <c r="F72" s="77">
        <v>12.61</v>
      </c>
      <c r="G72" s="77">
        <v>34.479999999999997</v>
      </c>
      <c r="H72" s="77">
        <v>3.9</v>
      </c>
      <c r="I72" s="9" t="s">
        <v>36</v>
      </c>
      <c r="J72" s="77">
        <v>0.56999999999999995</v>
      </c>
      <c r="K72" s="77">
        <v>113.65</v>
      </c>
      <c r="L72" s="77">
        <v>24.51</v>
      </c>
      <c r="M72" s="77">
        <v>94.61</v>
      </c>
      <c r="N72" s="77">
        <v>188.5</v>
      </c>
      <c r="O72" s="77">
        <v>0</v>
      </c>
      <c r="P72" s="77">
        <v>0.62</v>
      </c>
      <c r="Q72" s="77">
        <v>17.27</v>
      </c>
    </row>
    <row r="73" spans="1:17" s="12" customFormat="1" x14ac:dyDescent="0.25">
      <c r="A73" s="64" t="s">
        <v>2521</v>
      </c>
      <c r="B73" s="77">
        <v>9.2100000000000009</v>
      </c>
      <c r="C73" s="77">
        <v>26.63</v>
      </c>
      <c r="D73" s="77">
        <v>22.73</v>
      </c>
      <c r="E73" s="77">
        <v>2.73</v>
      </c>
      <c r="F73" s="77">
        <v>5.65</v>
      </c>
      <c r="G73" s="77">
        <v>33.909999999999997</v>
      </c>
      <c r="H73" s="77">
        <v>3.9</v>
      </c>
      <c r="I73" s="9" t="s">
        <v>36</v>
      </c>
      <c r="J73" s="77">
        <v>0.64</v>
      </c>
      <c r="K73" s="77">
        <v>117.13</v>
      </c>
      <c r="L73" s="77">
        <v>24.58</v>
      </c>
      <c r="M73" s="77">
        <v>94.57</v>
      </c>
      <c r="N73" s="77">
        <v>168.7</v>
      </c>
      <c r="O73" s="77">
        <v>0</v>
      </c>
      <c r="P73" s="77">
        <v>0.62</v>
      </c>
      <c r="Q73" s="77">
        <v>18.059999999999999</v>
      </c>
    </row>
    <row r="74" spans="1:17" s="12" customFormat="1" x14ac:dyDescent="0.25">
      <c r="A74" s="64" t="s">
        <v>2522</v>
      </c>
      <c r="B74" s="77">
        <v>6.64</v>
      </c>
      <c r="C74" s="77">
        <v>20.69</v>
      </c>
      <c r="D74" s="77">
        <v>17.39</v>
      </c>
      <c r="E74" s="77">
        <v>2.77</v>
      </c>
      <c r="F74" s="77">
        <v>7.61</v>
      </c>
      <c r="G74" s="77">
        <v>33.909999999999997</v>
      </c>
      <c r="H74" s="77">
        <v>3.9</v>
      </c>
      <c r="I74" s="9" t="s">
        <v>36</v>
      </c>
      <c r="J74" s="77">
        <v>0.89</v>
      </c>
      <c r="K74" s="77">
        <v>121.9</v>
      </c>
      <c r="L74" s="77">
        <v>24.65</v>
      </c>
      <c r="M74" s="77">
        <v>94.83</v>
      </c>
      <c r="N74" s="77">
        <v>195.5</v>
      </c>
      <c r="O74" s="77">
        <v>0</v>
      </c>
      <c r="P74" s="77">
        <v>0.56000000000000005</v>
      </c>
      <c r="Q74" s="77">
        <v>17.170000000000002</v>
      </c>
    </row>
    <row r="75" spans="1:17" s="12" customFormat="1" x14ac:dyDescent="0.25">
      <c r="A75" s="64" t="s">
        <v>2523</v>
      </c>
      <c r="B75" s="77">
        <v>5.99</v>
      </c>
      <c r="C75" s="77">
        <v>19.72</v>
      </c>
      <c r="D75" s="77">
        <v>16.329999999999998</v>
      </c>
      <c r="E75" s="77">
        <v>3.23</v>
      </c>
      <c r="F75" s="77">
        <v>11.66</v>
      </c>
      <c r="G75" s="77">
        <v>33.909999999999997</v>
      </c>
      <c r="H75" s="77">
        <v>3.9</v>
      </c>
      <c r="I75" s="9" t="s">
        <v>36</v>
      </c>
      <c r="J75" s="77">
        <v>0.45</v>
      </c>
      <c r="K75" s="77">
        <v>122.96</v>
      </c>
      <c r="L75" s="77">
        <v>24.87</v>
      </c>
      <c r="M75" s="77">
        <v>91.03</v>
      </c>
      <c r="N75" s="77">
        <v>230.7</v>
      </c>
      <c r="O75" s="77">
        <v>0</v>
      </c>
      <c r="P75" s="77">
        <v>0.53</v>
      </c>
      <c r="Q75" s="77">
        <v>17.16</v>
      </c>
    </row>
    <row r="76" spans="1:17" s="12" customFormat="1" x14ac:dyDescent="0.25">
      <c r="A76" s="64" t="s">
        <v>2524</v>
      </c>
      <c r="B76" s="77">
        <v>8.08</v>
      </c>
      <c r="C76" s="77">
        <v>18.940000000000001</v>
      </c>
      <c r="D76" s="77">
        <v>17.579999999999998</v>
      </c>
      <c r="E76" s="77">
        <v>2.8</v>
      </c>
      <c r="F76" s="77">
        <v>8.9700000000000006</v>
      </c>
      <c r="G76" s="77">
        <v>30.32</v>
      </c>
      <c r="H76" s="77">
        <v>11.11</v>
      </c>
      <c r="I76" s="9" t="s">
        <v>36</v>
      </c>
      <c r="J76" s="77">
        <v>0.23</v>
      </c>
      <c r="K76" s="77">
        <v>123.68</v>
      </c>
      <c r="L76" s="77">
        <v>25.53</v>
      </c>
      <c r="M76" s="77">
        <v>87.59</v>
      </c>
      <c r="N76" s="77">
        <v>186.5</v>
      </c>
      <c r="O76" s="77">
        <v>0</v>
      </c>
      <c r="P76" s="77">
        <v>0.55000000000000004</v>
      </c>
      <c r="Q76" s="77">
        <v>16.190000000000001</v>
      </c>
    </row>
    <row r="77" spans="1:17" s="12" customFormat="1" x14ac:dyDescent="0.25">
      <c r="A77" s="64" t="s">
        <v>2525</v>
      </c>
      <c r="B77" s="77">
        <v>6.26</v>
      </c>
      <c r="C77" s="77">
        <v>19.04</v>
      </c>
      <c r="D77" s="77">
        <v>16.170000000000002</v>
      </c>
      <c r="E77" s="77">
        <v>2.96</v>
      </c>
      <c r="F77" s="77">
        <v>10.050000000000001</v>
      </c>
      <c r="G77" s="77">
        <v>30.2</v>
      </c>
      <c r="H77" s="77">
        <v>11.11</v>
      </c>
      <c r="I77" s="9" t="s">
        <v>36</v>
      </c>
      <c r="J77" s="77">
        <v>0.98</v>
      </c>
      <c r="K77" s="77">
        <v>118.11</v>
      </c>
      <c r="L77" s="77">
        <v>25.51</v>
      </c>
      <c r="M77" s="77">
        <v>84.92</v>
      </c>
      <c r="N77" s="77">
        <v>134.9</v>
      </c>
      <c r="O77" s="77">
        <v>0</v>
      </c>
      <c r="P77" s="77">
        <v>0.51</v>
      </c>
      <c r="Q77" s="77">
        <v>16.149999999999999</v>
      </c>
    </row>
    <row r="78" spans="1:17" s="12" customFormat="1" x14ac:dyDescent="0.25">
      <c r="A78" s="64" t="s">
        <v>2526</v>
      </c>
      <c r="B78" s="77">
        <v>5.73</v>
      </c>
      <c r="C78" s="77">
        <v>19.02</v>
      </c>
      <c r="D78" s="77">
        <v>15.74</v>
      </c>
      <c r="E78" s="77">
        <v>2.99</v>
      </c>
      <c r="F78" s="77">
        <v>7.59</v>
      </c>
      <c r="G78" s="77">
        <v>30.2</v>
      </c>
      <c r="H78" s="77">
        <v>11.11</v>
      </c>
      <c r="I78" s="9" t="s">
        <v>36</v>
      </c>
      <c r="J78" s="77">
        <v>0.95</v>
      </c>
      <c r="K78" s="77">
        <v>116.01</v>
      </c>
      <c r="L78" s="77">
        <v>25.5</v>
      </c>
      <c r="M78" s="77">
        <v>84.58</v>
      </c>
      <c r="N78" s="77">
        <v>126.7</v>
      </c>
      <c r="O78" s="77">
        <v>0</v>
      </c>
      <c r="P78" s="77">
        <v>0.52</v>
      </c>
      <c r="Q78" s="77">
        <v>15.69</v>
      </c>
    </row>
    <row r="79" spans="1:17" s="12" customFormat="1" x14ac:dyDescent="0.25">
      <c r="A79" s="64" t="s">
        <v>2527</v>
      </c>
      <c r="B79" s="77">
        <v>10.92</v>
      </c>
      <c r="C79" s="77">
        <v>26.08</v>
      </c>
      <c r="D79" s="77">
        <v>23.8</v>
      </c>
      <c r="E79" s="77">
        <v>3.06</v>
      </c>
      <c r="F79" s="77">
        <v>9.57</v>
      </c>
      <c r="G79" s="77">
        <v>30.2</v>
      </c>
      <c r="H79" s="77">
        <v>11.11</v>
      </c>
      <c r="I79" s="9" t="s">
        <v>36</v>
      </c>
      <c r="J79" s="77">
        <v>0.17</v>
      </c>
      <c r="K79" s="77">
        <v>101.95</v>
      </c>
      <c r="L79" s="77">
        <v>25.4</v>
      </c>
      <c r="M79" s="77">
        <v>88.45</v>
      </c>
      <c r="N79" s="77">
        <v>119.1</v>
      </c>
      <c r="O79" s="77">
        <v>0</v>
      </c>
      <c r="P79" s="77">
        <v>0.63</v>
      </c>
      <c r="Q79" s="77">
        <v>16.670000000000002</v>
      </c>
    </row>
    <row r="80" spans="1:17" s="12" customFormat="1" x14ac:dyDescent="0.25">
      <c r="A80" s="64" t="s">
        <v>2528</v>
      </c>
      <c r="B80" s="77">
        <v>6.96</v>
      </c>
      <c r="C80" s="77">
        <v>24.43</v>
      </c>
      <c r="D80" s="77">
        <v>19.71</v>
      </c>
      <c r="E80" s="77">
        <v>3</v>
      </c>
      <c r="F80" s="77">
        <v>13.84</v>
      </c>
      <c r="G80" s="77">
        <v>30.52</v>
      </c>
      <c r="H80" s="77">
        <v>9.3000000000000007</v>
      </c>
      <c r="I80" s="9" t="s">
        <v>36</v>
      </c>
      <c r="J80" s="77">
        <v>0.72</v>
      </c>
      <c r="K80" s="77">
        <v>112.73</v>
      </c>
      <c r="L80" s="77">
        <v>25.24</v>
      </c>
      <c r="M80" s="77">
        <v>87.09</v>
      </c>
      <c r="N80" s="77">
        <v>103.5</v>
      </c>
      <c r="O80" s="77">
        <v>0</v>
      </c>
      <c r="P80" s="77">
        <v>0.54</v>
      </c>
      <c r="Q80" s="77">
        <v>16.260000000000002</v>
      </c>
    </row>
    <row r="81" spans="1:17" s="12" customFormat="1" x14ac:dyDescent="0.25">
      <c r="A81" s="64" t="s">
        <v>2529</v>
      </c>
      <c r="B81" s="77">
        <v>5.83</v>
      </c>
      <c r="C81" s="77">
        <v>30.07</v>
      </c>
      <c r="D81" s="77">
        <v>21.92</v>
      </c>
      <c r="E81" s="77">
        <v>2.65</v>
      </c>
      <c r="F81" s="77">
        <v>9.11</v>
      </c>
      <c r="G81" s="77">
        <v>30.53</v>
      </c>
      <c r="H81" s="77">
        <v>9.3000000000000007</v>
      </c>
      <c r="I81" s="9" t="s">
        <v>36</v>
      </c>
      <c r="J81" s="77">
        <v>0.69</v>
      </c>
      <c r="K81" s="77">
        <v>117.68</v>
      </c>
      <c r="L81" s="77">
        <v>25.16</v>
      </c>
      <c r="M81" s="77">
        <v>87.68</v>
      </c>
      <c r="N81" s="77">
        <v>75.900000000000006</v>
      </c>
      <c r="O81" s="77">
        <v>0</v>
      </c>
      <c r="P81" s="77">
        <v>0.56000000000000005</v>
      </c>
      <c r="Q81" s="77">
        <v>17.96</v>
      </c>
    </row>
    <row r="82" spans="1:17" s="12" customFormat="1" x14ac:dyDescent="0.25">
      <c r="A82" s="64" t="s">
        <v>2530</v>
      </c>
      <c r="B82" s="77">
        <v>8.08</v>
      </c>
      <c r="C82" s="77">
        <v>36.18</v>
      </c>
      <c r="D82" s="77">
        <v>27.09</v>
      </c>
      <c r="E82" s="77">
        <v>2.73</v>
      </c>
      <c r="F82" s="77">
        <v>9.3800000000000008</v>
      </c>
      <c r="G82" s="77">
        <v>30.53</v>
      </c>
      <c r="H82" s="77">
        <v>9.3000000000000007</v>
      </c>
      <c r="I82" s="9" t="s">
        <v>36</v>
      </c>
      <c r="J82" s="77">
        <v>0.59</v>
      </c>
      <c r="K82" s="77">
        <v>109.13</v>
      </c>
      <c r="L82" s="77">
        <v>25.16</v>
      </c>
      <c r="M82" s="77">
        <v>88.48</v>
      </c>
      <c r="N82" s="77">
        <v>57.9</v>
      </c>
      <c r="O82" s="77">
        <v>0</v>
      </c>
      <c r="P82" s="77">
        <v>0.57999999999999996</v>
      </c>
      <c r="Q82" s="77">
        <v>19.149999999999999</v>
      </c>
    </row>
    <row r="83" spans="1:17" s="12" customFormat="1" x14ac:dyDescent="0.25">
      <c r="A83" s="64" t="s">
        <v>2531</v>
      </c>
      <c r="B83" s="77">
        <v>15.12</v>
      </c>
      <c r="C83" s="77">
        <v>39.020000000000003</v>
      </c>
      <c r="D83" s="77">
        <v>34.31</v>
      </c>
      <c r="E83" s="77">
        <v>2.4900000000000002</v>
      </c>
      <c r="F83" s="77">
        <v>8.23</v>
      </c>
      <c r="G83" s="77">
        <v>30.53</v>
      </c>
      <c r="H83" s="77">
        <v>9.3000000000000007</v>
      </c>
      <c r="I83" s="9" t="s">
        <v>36</v>
      </c>
      <c r="J83" s="77">
        <v>0.25</v>
      </c>
      <c r="K83" s="77">
        <v>99.34</v>
      </c>
      <c r="L83" s="77">
        <v>24.92</v>
      </c>
      <c r="M83" s="77">
        <v>90.27</v>
      </c>
      <c r="N83" s="77">
        <v>45.3</v>
      </c>
      <c r="O83" s="77">
        <v>0</v>
      </c>
      <c r="P83" s="77">
        <v>0.85</v>
      </c>
      <c r="Q83" s="77">
        <v>19.97</v>
      </c>
    </row>
    <row r="84" spans="1:17" s="12" customFormat="1" x14ac:dyDescent="0.25">
      <c r="A84" s="64" t="s">
        <v>2532</v>
      </c>
      <c r="B84" s="77">
        <v>18.95</v>
      </c>
      <c r="C84" s="77">
        <v>38.51</v>
      </c>
      <c r="D84" s="77">
        <v>37.090000000000003</v>
      </c>
      <c r="E84" s="77">
        <v>3.12</v>
      </c>
      <c r="F84" s="77">
        <v>8.6999999999999993</v>
      </c>
      <c r="G84" s="77">
        <v>30.43</v>
      </c>
      <c r="H84" s="77">
        <v>18.96</v>
      </c>
      <c r="I84" s="9" t="s">
        <v>36</v>
      </c>
      <c r="J84" s="77">
        <v>0.23</v>
      </c>
      <c r="K84" s="77">
        <v>102.18</v>
      </c>
      <c r="L84" s="77">
        <v>24.8</v>
      </c>
      <c r="M84" s="77">
        <v>89.73</v>
      </c>
      <c r="N84" s="77">
        <v>42.6</v>
      </c>
      <c r="O84" s="77">
        <v>0</v>
      </c>
      <c r="P84" s="77">
        <v>0.97</v>
      </c>
      <c r="Q84" s="77">
        <v>20.69</v>
      </c>
    </row>
    <row r="85" spans="1:17" s="12" customFormat="1" x14ac:dyDescent="0.25">
      <c r="A85" s="64" t="s">
        <v>2533</v>
      </c>
      <c r="B85" s="77">
        <v>12.92</v>
      </c>
      <c r="C85" s="77">
        <v>33.17</v>
      </c>
      <c r="D85" s="77">
        <v>29.31</v>
      </c>
      <c r="E85" s="77">
        <v>2.82</v>
      </c>
      <c r="F85" s="77">
        <v>6.58</v>
      </c>
      <c r="G85" s="77">
        <v>30.42</v>
      </c>
      <c r="H85" s="77">
        <v>18.96</v>
      </c>
      <c r="I85" s="9" t="s">
        <v>36</v>
      </c>
      <c r="J85" s="77">
        <v>0.3</v>
      </c>
      <c r="K85" s="77">
        <v>159.85</v>
      </c>
      <c r="L85" s="77">
        <v>24.75</v>
      </c>
      <c r="M85" s="77">
        <v>90.42</v>
      </c>
      <c r="N85" s="77">
        <v>42.4</v>
      </c>
      <c r="O85" s="77">
        <v>0</v>
      </c>
      <c r="P85" s="77">
        <v>0.64</v>
      </c>
      <c r="Q85" s="77">
        <v>20.61</v>
      </c>
    </row>
    <row r="86" spans="1:17" s="12" customFormat="1" x14ac:dyDescent="0.25">
      <c r="A86" s="64" t="s">
        <v>2534</v>
      </c>
      <c r="B86" s="77">
        <v>11.16</v>
      </c>
      <c r="C86" s="77">
        <v>32.909999999999997</v>
      </c>
      <c r="D86" s="77">
        <v>27.76</v>
      </c>
      <c r="E86" s="77">
        <v>2.7</v>
      </c>
      <c r="F86" s="77">
        <v>8.8800000000000008</v>
      </c>
      <c r="G86" s="77">
        <v>30.42</v>
      </c>
      <c r="H86" s="77">
        <v>18.96</v>
      </c>
      <c r="I86" s="9" t="s">
        <v>36</v>
      </c>
      <c r="J86" s="77">
        <v>0.14000000000000001</v>
      </c>
      <c r="K86" s="77">
        <v>159.29</v>
      </c>
      <c r="L86" s="77">
        <v>24.83</v>
      </c>
      <c r="M86" s="77">
        <v>93.07</v>
      </c>
      <c r="N86" s="77">
        <v>42.4</v>
      </c>
      <c r="O86" s="77">
        <v>0</v>
      </c>
      <c r="P86" s="77">
        <v>0.74</v>
      </c>
      <c r="Q86" s="77">
        <v>19.059999999999999</v>
      </c>
    </row>
    <row r="87" spans="1:17" s="12" customFormat="1" x14ac:dyDescent="0.25">
      <c r="A87" s="64" t="s">
        <v>2535</v>
      </c>
      <c r="B87" s="77">
        <v>7.24</v>
      </c>
      <c r="C87" s="77">
        <v>31.08</v>
      </c>
      <c r="D87" s="77">
        <v>23.6</v>
      </c>
      <c r="E87" s="77">
        <v>3.05</v>
      </c>
      <c r="F87" s="77">
        <v>11.69</v>
      </c>
      <c r="G87" s="77">
        <v>30.42</v>
      </c>
      <c r="H87" s="77">
        <v>18.96</v>
      </c>
      <c r="I87" s="9" t="s">
        <v>36</v>
      </c>
      <c r="J87" s="77">
        <v>0.13</v>
      </c>
      <c r="K87" s="77">
        <v>156.4</v>
      </c>
      <c r="L87" s="77">
        <v>24.77</v>
      </c>
      <c r="M87" s="77">
        <v>90.82</v>
      </c>
      <c r="N87" s="77">
        <v>42.5</v>
      </c>
      <c r="O87" s="77">
        <v>0</v>
      </c>
      <c r="P87" s="77">
        <v>0.67</v>
      </c>
      <c r="Q87" s="77">
        <v>17.87</v>
      </c>
    </row>
    <row r="88" spans="1:17" s="12" customFormat="1" x14ac:dyDescent="0.25">
      <c r="A88" s="64" t="s">
        <v>2536</v>
      </c>
      <c r="B88" s="77">
        <v>7.07</v>
      </c>
      <c r="C88" s="77">
        <v>31.66</v>
      </c>
      <c r="D88" s="77">
        <v>23.79</v>
      </c>
      <c r="E88" s="77">
        <v>1.97</v>
      </c>
      <c r="F88" s="77">
        <v>7.05</v>
      </c>
      <c r="G88" s="77">
        <v>31.24</v>
      </c>
      <c r="H88" s="77">
        <v>11.94</v>
      </c>
      <c r="I88" s="9" t="s">
        <v>36</v>
      </c>
      <c r="J88" s="77">
        <v>0.25</v>
      </c>
      <c r="K88" s="77">
        <v>183.6</v>
      </c>
      <c r="L88" s="77">
        <v>24.79</v>
      </c>
      <c r="M88" s="77">
        <v>90.73</v>
      </c>
      <c r="N88" s="77">
        <v>42.4</v>
      </c>
      <c r="O88" s="77">
        <v>0</v>
      </c>
      <c r="P88" s="77">
        <v>0.66</v>
      </c>
      <c r="Q88" s="77">
        <v>17.010000000000002</v>
      </c>
    </row>
    <row r="89" spans="1:17" s="12" customFormat="1" x14ac:dyDescent="0.25">
      <c r="A89" s="64" t="s">
        <v>2537</v>
      </c>
      <c r="B89" s="77">
        <v>7.34</v>
      </c>
      <c r="C89" s="77">
        <v>30.24</v>
      </c>
      <c r="D89" s="77">
        <v>23.22</v>
      </c>
      <c r="E89" s="77">
        <v>2.25</v>
      </c>
      <c r="F89" s="77">
        <v>9.42</v>
      </c>
      <c r="G89" s="77">
        <v>31.27</v>
      </c>
      <c r="H89" s="77">
        <v>11.94</v>
      </c>
      <c r="I89" s="9" t="s">
        <v>36</v>
      </c>
      <c r="J89" s="77">
        <v>0.17</v>
      </c>
      <c r="K89" s="77">
        <v>174.37</v>
      </c>
      <c r="L89" s="77">
        <v>24.66</v>
      </c>
      <c r="M89" s="77">
        <v>92.29</v>
      </c>
      <c r="N89" s="77">
        <v>42.3</v>
      </c>
      <c r="O89" s="77">
        <v>0</v>
      </c>
      <c r="P89" s="77">
        <v>0.69</v>
      </c>
      <c r="Q89" s="77">
        <v>16.47</v>
      </c>
    </row>
    <row r="90" spans="1:17" s="12" customFormat="1" x14ac:dyDescent="0.25">
      <c r="A90" s="64" t="s">
        <v>2538</v>
      </c>
      <c r="B90" s="77">
        <v>8.59</v>
      </c>
      <c r="C90" s="77">
        <v>28.61</v>
      </c>
      <c r="D90" s="77">
        <v>23.33</v>
      </c>
      <c r="E90" s="77">
        <v>2.04</v>
      </c>
      <c r="F90" s="77">
        <v>9.23</v>
      </c>
      <c r="G90" s="77">
        <v>31.27</v>
      </c>
      <c r="H90" s="77">
        <v>11.94</v>
      </c>
      <c r="I90" s="9" t="s">
        <v>36</v>
      </c>
      <c r="J90" s="77">
        <v>0.06</v>
      </c>
      <c r="K90" s="77">
        <v>277.55</v>
      </c>
      <c r="L90" s="77">
        <v>24.59</v>
      </c>
      <c r="M90" s="77">
        <v>95.15</v>
      </c>
      <c r="N90" s="77">
        <v>42.5</v>
      </c>
      <c r="O90" s="77">
        <v>0</v>
      </c>
      <c r="P90" s="77">
        <v>0.7</v>
      </c>
      <c r="Q90" s="77">
        <v>15.39</v>
      </c>
    </row>
    <row r="91" spans="1:17" s="12" customFormat="1" x14ac:dyDescent="0.25">
      <c r="A91" s="64" t="s">
        <v>2539</v>
      </c>
      <c r="B91" s="77">
        <v>12.62</v>
      </c>
      <c r="C91" s="77">
        <v>32.770000000000003</v>
      </c>
      <c r="D91" s="77">
        <v>28.85</v>
      </c>
      <c r="E91" s="77">
        <v>2.16</v>
      </c>
      <c r="F91" s="77">
        <v>8.43</v>
      </c>
      <c r="G91" s="77">
        <v>31.27</v>
      </c>
      <c r="H91" s="77">
        <v>11.94</v>
      </c>
      <c r="I91" s="9" t="s">
        <v>36</v>
      </c>
      <c r="J91" s="77">
        <v>0.04</v>
      </c>
      <c r="K91" s="77">
        <v>327.88</v>
      </c>
      <c r="L91" s="77">
        <v>24.24</v>
      </c>
      <c r="M91" s="77">
        <v>96.67</v>
      </c>
      <c r="N91" s="77">
        <v>42.5</v>
      </c>
      <c r="O91" s="77">
        <v>0</v>
      </c>
      <c r="P91" s="77">
        <v>0.73</v>
      </c>
      <c r="Q91" s="77">
        <v>14.75</v>
      </c>
    </row>
    <row r="92" spans="1:17" s="12" customFormat="1" x14ac:dyDescent="0.25">
      <c r="A92" s="64" t="s">
        <v>2540</v>
      </c>
      <c r="B92" s="77">
        <v>35.380000000000003</v>
      </c>
      <c r="C92" s="77">
        <v>32.549999999999997</v>
      </c>
      <c r="D92" s="77">
        <v>46.99</v>
      </c>
      <c r="E92" s="77">
        <v>2.39</v>
      </c>
      <c r="F92" s="77">
        <v>9.5500000000000007</v>
      </c>
      <c r="G92" s="77">
        <v>30.41</v>
      </c>
      <c r="H92" s="77">
        <v>16.559999999999999</v>
      </c>
      <c r="I92" s="9" t="s">
        <v>36</v>
      </c>
      <c r="J92" s="77">
        <v>7.0000000000000007E-2</v>
      </c>
      <c r="K92" s="77">
        <v>337.26</v>
      </c>
      <c r="L92" s="77">
        <v>24.07</v>
      </c>
      <c r="M92" s="77">
        <v>97.02</v>
      </c>
      <c r="N92" s="77">
        <v>42.4</v>
      </c>
      <c r="O92" s="77">
        <v>0</v>
      </c>
      <c r="P92" s="77">
        <v>1.75</v>
      </c>
      <c r="Q92" s="77">
        <v>15.31</v>
      </c>
    </row>
    <row r="93" spans="1:17" s="12" customFormat="1" x14ac:dyDescent="0.25">
      <c r="A93" s="64" t="s">
        <v>2541</v>
      </c>
      <c r="B93" s="77">
        <v>32.39</v>
      </c>
      <c r="C93" s="77">
        <v>37.049999999999997</v>
      </c>
      <c r="D93" s="77">
        <v>47.07</v>
      </c>
      <c r="E93" s="77">
        <v>2.69</v>
      </c>
      <c r="F93" s="77">
        <v>6.63</v>
      </c>
      <c r="G93" s="77">
        <v>30.38</v>
      </c>
      <c r="H93" s="77">
        <v>16.559999999999999</v>
      </c>
      <c r="I93" s="9" t="s">
        <v>36</v>
      </c>
      <c r="J93" s="77">
        <v>0.09</v>
      </c>
      <c r="K93" s="77">
        <v>102.94</v>
      </c>
      <c r="L93" s="77">
        <v>23.93</v>
      </c>
      <c r="M93" s="77">
        <v>96.75</v>
      </c>
      <c r="N93" s="77">
        <v>42.3</v>
      </c>
      <c r="O93" s="77">
        <v>0</v>
      </c>
      <c r="P93" s="77">
        <v>1.78</v>
      </c>
      <c r="Q93" s="77">
        <v>16.559999999999999</v>
      </c>
    </row>
    <row r="94" spans="1:17" s="12" customFormat="1" x14ac:dyDescent="0.25">
      <c r="A94" s="64" t="s">
        <v>2542</v>
      </c>
      <c r="B94" s="77">
        <v>30.47</v>
      </c>
      <c r="C94" s="77">
        <v>37.799999999999997</v>
      </c>
      <c r="D94" s="77">
        <v>45.94</v>
      </c>
      <c r="E94" s="77">
        <v>1.97</v>
      </c>
      <c r="F94" s="77">
        <v>5.74</v>
      </c>
      <c r="G94" s="77">
        <v>30.38</v>
      </c>
      <c r="H94" s="77">
        <v>16.559999999999999</v>
      </c>
      <c r="I94" s="9" t="s">
        <v>36</v>
      </c>
      <c r="J94" s="77">
        <v>0.06</v>
      </c>
      <c r="K94" s="77">
        <v>262.77999999999997</v>
      </c>
      <c r="L94" s="77">
        <v>23.96</v>
      </c>
      <c r="M94" s="77">
        <v>96.74</v>
      </c>
      <c r="N94" s="77">
        <v>42.3</v>
      </c>
      <c r="O94" s="77">
        <v>0</v>
      </c>
      <c r="P94" s="77">
        <v>1.42</v>
      </c>
      <c r="Q94" s="77">
        <v>17.690000000000001</v>
      </c>
    </row>
    <row r="95" spans="1:17" s="12" customFormat="1" x14ac:dyDescent="0.25">
      <c r="A95" s="64" t="s">
        <v>2543</v>
      </c>
      <c r="B95" s="77">
        <v>99.74</v>
      </c>
      <c r="C95" s="77">
        <v>27.05</v>
      </c>
      <c r="D95" s="77">
        <v>95.03</v>
      </c>
      <c r="E95" s="77">
        <v>2.67</v>
      </c>
      <c r="F95" s="77">
        <v>5.89</v>
      </c>
      <c r="G95" s="77">
        <v>30.38</v>
      </c>
      <c r="H95" s="77">
        <v>16.559999999999999</v>
      </c>
      <c r="I95" s="9" t="s">
        <v>36</v>
      </c>
      <c r="J95" s="77">
        <v>7.0000000000000007E-2</v>
      </c>
      <c r="K95" s="77">
        <v>320.39999999999998</v>
      </c>
      <c r="L95" s="77">
        <v>23.81</v>
      </c>
      <c r="M95" s="77">
        <v>97.25</v>
      </c>
      <c r="N95" s="77">
        <v>42.2</v>
      </c>
      <c r="O95" s="77">
        <v>0</v>
      </c>
      <c r="P95" s="77">
        <v>2.1</v>
      </c>
      <c r="Q95" s="77">
        <v>13.9</v>
      </c>
    </row>
    <row r="96" spans="1:17" s="12" customFormat="1" x14ac:dyDescent="0.25">
      <c r="A96" s="64" t="s">
        <v>2544</v>
      </c>
      <c r="B96" s="77">
        <v>45.53</v>
      </c>
      <c r="C96" s="77">
        <v>28.69</v>
      </c>
      <c r="D96" s="77">
        <v>52.99</v>
      </c>
      <c r="E96" s="77">
        <v>2.56</v>
      </c>
      <c r="F96" s="77">
        <v>6.36</v>
      </c>
      <c r="G96" s="77">
        <v>55.05</v>
      </c>
      <c r="H96" s="77">
        <v>22.82</v>
      </c>
      <c r="I96" s="9" t="s">
        <v>36</v>
      </c>
      <c r="J96" s="77">
        <v>0.1</v>
      </c>
      <c r="K96" s="77">
        <v>109.11</v>
      </c>
      <c r="L96" s="77">
        <v>23.85</v>
      </c>
      <c r="M96" s="77">
        <v>97.12</v>
      </c>
      <c r="N96" s="77">
        <v>42.1</v>
      </c>
      <c r="O96" s="77">
        <v>0</v>
      </c>
      <c r="P96" s="77">
        <v>1.47</v>
      </c>
      <c r="Q96" s="77">
        <v>18.23</v>
      </c>
    </row>
    <row r="97" spans="1:22" s="12" customFormat="1" x14ac:dyDescent="0.25">
      <c r="A97" s="64" t="s">
        <v>2545</v>
      </c>
      <c r="B97" s="77">
        <v>29.1</v>
      </c>
      <c r="C97" s="77">
        <v>32.5</v>
      </c>
      <c r="D97" s="77">
        <v>41.91</v>
      </c>
      <c r="E97" s="77">
        <v>2.79</v>
      </c>
      <c r="F97" s="77">
        <v>3.49</v>
      </c>
      <c r="G97" s="77">
        <v>55.9</v>
      </c>
      <c r="H97" s="77">
        <v>22.82</v>
      </c>
      <c r="I97" s="9" t="s">
        <v>36</v>
      </c>
      <c r="J97" s="77">
        <v>0.03</v>
      </c>
      <c r="K97" s="77">
        <v>268.85000000000002</v>
      </c>
      <c r="L97" s="77">
        <v>23.9</v>
      </c>
      <c r="M97" s="77">
        <v>97.25</v>
      </c>
      <c r="N97" s="77">
        <v>42.2</v>
      </c>
      <c r="O97" s="77">
        <v>0</v>
      </c>
      <c r="P97" s="77">
        <v>1.22</v>
      </c>
      <c r="Q97" s="77">
        <v>20.28</v>
      </c>
    </row>
    <row r="98" spans="1:22" s="12" customFormat="1" x14ac:dyDescent="0.25">
      <c r="A98" s="64" t="s">
        <v>2546</v>
      </c>
      <c r="B98" s="77">
        <v>23.96</v>
      </c>
      <c r="C98" s="77">
        <v>31.14</v>
      </c>
      <c r="D98" s="77">
        <v>37.049999999999997</v>
      </c>
      <c r="E98" s="77">
        <v>2.79</v>
      </c>
      <c r="F98" s="77">
        <v>5.33</v>
      </c>
      <c r="G98" s="77">
        <v>55.9</v>
      </c>
      <c r="H98" s="77">
        <v>22.82</v>
      </c>
      <c r="I98" s="9" t="s">
        <v>36</v>
      </c>
      <c r="J98" s="77">
        <v>0.09</v>
      </c>
      <c r="K98" s="77">
        <v>238.72</v>
      </c>
      <c r="L98" s="77">
        <v>23.85</v>
      </c>
      <c r="M98" s="77">
        <v>97.25</v>
      </c>
      <c r="N98" s="77">
        <v>42.3</v>
      </c>
      <c r="O98" s="77">
        <v>0</v>
      </c>
      <c r="P98" s="77">
        <v>1.29</v>
      </c>
      <c r="Q98" s="77">
        <v>20.82</v>
      </c>
    </row>
    <row r="99" spans="1:22" s="12" customFormat="1" x14ac:dyDescent="0.25">
      <c r="A99" s="64" t="s">
        <v>2547</v>
      </c>
      <c r="B99" s="77">
        <v>31.48</v>
      </c>
      <c r="C99" s="77">
        <v>26.29</v>
      </c>
      <c r="D99" s="77">
        <v>40.4</v>
      </c>
      <c r="E99" s="77">
        <v>2.6</v>
      </c>
      <c r="F99" s="77">
        <v>6.95</v>
      </c>
      <c r="G99" s="77">
        <v>55.9</v>
      </c>
      <c r="H99" s="77">
        <v>22.82</v>
      </c>
      <c r="I99" s="9" t="s">
        <v>36</v>
      </c>
      <c r="J99" s="77">
        <v>7.0000000000000007E-2</v>
      </c>
      <c r="K99" s="77">
        <v>340.9</v>
      </c>
      <c r="L99" s="77">
        <v>23.82</v>
      </c>
      <c r="M99" s="77">
        <v>97.24</v>
      </c>
      <c r="N99" s="77">
        <v>42.3</v>
      </c>
      <c r="O99" s="77">
        <v>0</v>
      </c>
      <c r="P99" s="77">
        <v>1.1499999999999999</v>
      </c>
      <c r="Q99" s="77">
        <v>19.920000000000002</v>
      </c>
    </row>
    <row r="100" spans="1:22" s="12" customFormat="1" x14ac:dyDescent="0.25">
      <c r="A100" s="64" t="s">
        <v>2548</v>
      </c>
      <c r="B100" s="77">
        <v>22.54</v>
      </c>
      <c r="C100" s="77">
        <v>22.83</v>
      </c>
      <c r="D100" s="77">
        <v>31.32</v>
      </c>
      <c r="E100" s="77">
        <v>1.75</v>
      </c>
      <c r="F100" s="77">
        <v>5.37</v>
      </c>
      <c r="G100" s="77">
        <v>78.64</v>
      </c>
      <c r="H100" s="77">
        <v>29.91</v>
      </c>
      <c r="I100" s="9" t="s">
        <v>36</v>
      </c>
      <c r="J100" s="77">
        <v>0.06</v>
      </c>
      <c r="K100" s="77">
        <v>262.02999999999997</v>
      </c>
      <c r="L100" s="77">
        <v>23.74</v>
      </c>
      <c r="M100" s="77">
        <v>97.25</v>
      </c>
      <c r="N100" s="77">
        <v>42.4</v>
      </c>
      <c r="O100" s="77">
        <v>0</v>
      </c>
      <c r="P100" s="77">
        <v>1.1599999999999999</v>
      </c>
      <c r="Q100" s="77">
        <v>19.63</v>
      </c>
    </row>
    <row r="101" spans="1:22" s="12" customFormat="1" x14ac:dyDescent="0.25">
      <c r="A101" s="64" t="s">
        <v>2549</v>
      </c>
      <c r="B101" s="77">
        <v>21.29</v>
      </c>
      <c r="C101" s="77">
        <v>27.72</v>
      </c>
      <c r="D101" s="77">
        <v>33.020000000000003</v>
      </c>
      <c r="E101" s="77">
        <v>2.61</v>
      </c>
      <c r="F101" s="77">
        <v>4.6100000000000003</v>
      </c>
      <c r="G101" s="77">
        <v>79.430000000000007</v>
      </c>
      <c r="H101" s="77">
        <v>29.91</v>
      </c>
      <c r="I101" s="9" t="s">
        <v>36</v>
      </c>
      <c r="J101" s="77">
        <v>0.06</v>
      </c>
      <c r="K101" s="77">
        <v>196.47</v>
      </c>
      <c r="L101" s="77">
        <v>23.74</v>
      </c>
      <c r="M101" s="77">
        <v>97.23</v>
      </c>
      <c r="N101" s="77">
        <v>42.1</v>
      </c>
      <c r="O101" s="77">
        <v>0</v>
      </c>
      <c r="P101" s="77">
        <v>0.99</v>
      </c>
      <c r="Q101" s="77">
        <v>19.260000000000002</v>
      </c>
    </row>
    <row r="102" spans="1:22" s="12" customFormat="1" x14ac:dyDescent="0.25">
      <c r="A102" s="64" t="s">
        <v>2550</v>
      </c>
      <c r="B102" s="77">
        <v>23.25</v>
      </c>
      <c r="C102" s="77">
        <v>25.31</v>
      </c>
      <c r="D102" s="77">
        <v>33.26</v>
      </c>
      <c r="E102" s="77">
        <v>2.14</v>
      </c>
      <c r="F102" s="77">
        <v>5.46</v>
      </c>
      <c r="G102" s="77">
        <v>79.430000000000007</v>
      </c>
      <c r="H102" s="77">
        <v>29.91</v>
      </c>
      <c r="I102" s="9" t="s">
        <v>36</v>
      </c>
      <c r="J102" s="77">
        <v>0.06</v>
      </c>
      <c r="K102" s="77">
        <v>246.4</v>
      </c>
      <c r="L102" s="77">
        <v>23.89</v>
      </c>
      <c r="M102" s="77">
        <v>97.23</v>
      </c>
      <c r="N102" s="77">
        <v>42.1</v>
      </c>
      <c r="O102" s="77">
        <v>0</v>
      </c>
      <c r="P102" s="77">
        <v>0.86</v>
      </c>
      <c r="Q102" s="77">
        <v>18.77</v>
      </c>
    </row>
    <row r="103" spans="1:22" s="12" customFormat="1" x14ac:dyDescent="0.25">
      <c r="A103" s="64" t="s">
        <v>2551</v>
      </c>
      <c r="B103" s="77">
        <v>23.07</v>
      </c>
      <c r="C103" s="77">
        <v>21.34</v>
      </c>
      <c r="D103" s="77">
        <v>30.92</v>
      </c>
      <c r="E103" s="77">
        <v>2.0099999999999998</v>
      </c>
      <c r="F103" s="77">
        <v>7.81</v>
      </c>
      <c r="G103" s="77">
        <v>79.430000000000007</v>
      </c>
      <c r="H103" s="77">
        <v>29.91</v>
      </c>
      <c r="I103" s="9" t="s">
        <v>36</v>
      </c>
      <c r="J103" s="77">
        <v>0.03</v>
      </c>
      <c r="K103" s="77">
        <v>58.84</v>
      </c>
      <c r="L103" s="77">
        <v>24.03</v>
      </c>
      <c r="M103" s="77">
        <v>97.24</v>
      </c>
      <c r="N103" s="77">
        <v>42.3</v>
      </c>
      <c r="O103" s="77">
        <v>0</v>
      </c>
      <c r="P103" s="77">
        <v>0.89</v>
      </c>
      <c r="Q103" s="77">
        <v>17.7</v>
      </c>
    </row>
    <row r="104" spans="1:22" s="12" customFormat="1" x14ac:dyDescent="0.25">
      <c r="A104" s="64" t="s">
        <v>2552</v>
      </c>
      <c r="B104" s="77">
        <v>12.81</v>
      </c>
      <c r="C104" s="77">
        <v>19.04</v>
      </c>
      <c r="D104" s="77">
        <v>21.43</v>
      </c>
      <c r="E104" s="77">
        <v>2.44</v>
      </c>
      <c r="F104" s="77">
        <v>12.53</v>
      </c>
      <c r="G104" s="77">
        <v>60.46</v>
      </c>
      <c r="H104" s="77">
        <v>7.64</v>
      </c>
      <c r="I104" s="9" t="s">
        <v>36</v>
      </c>
      <c r="J104" s="77">
        <v>0.08</v>
      </c>
      <c r="K104" s="77">
        <v>315.66000000000003</v>
      </c>
      <c r="L104" s="77">
        <v>23.91</v>
      </c>
      <c r="M104" s="77">
        <v>97.25</v>
      </c>
      <c r="N104" s="77">
        <v>42.1</v>
      </c>
      <c r="O104" s="77">
        <v>0</v>
      </c>
      <c r="P104" s="77">
        <v>0.67</v>
      </c>
      <c r="Q104" s="77">
        <v>18.510000000000002</v>
      </c>
    </row>
    <row r="105" spans="1:22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22" x14ac:dyDescent="0.25">
      <c r="A106" s="65" t="s">
        <v>59</v>
      </c>
      <c r="B106" s="67">
        <f>MIN(B9:B104)</f>
        <v>2.62</v>
      </c>
      <c r="C106" s="67">
        <f>MIN(C9:C104)</f>
        <v>10.56</v>
      </c>
      <c r="D106" s="67">
        <f t="shared" ref="D106:Q106" si="0">MIN(D9:D104)</f>
        <v>8.6199999999999992</v>
      </c>
      <c r="E106" s="67">
        <f t="shared" si="0"/>
        <v>1.64</v>
      </c>
      <c r="F106" s="67">
        <f t="shared" si="0"/>
        <v>3.49</v>
      </c>
      <c r="G106" s="67">
        <f t="shared" si="0"/>
        <v>15.55</v>
      </c>
      <c r="H106" s="67">
        <f t="shared" si="0"/>
        <v>3.9</v>
      </c>
      <c r="I106" s="67">
        <f t="shared" si="0"/>
        <v>0</v>
      </c>
      <c r="J106" s="67">
        <f t="shared" si="0"/>
        <v>0.02</v>
      </c>
      <c r="K106" s="67">
        <f t="shared" si="0"/>
        <v>2.09</v>
      </c>
      <c r="L106" s="67">
        <f t="shared" si="0"/>
        <v>22.57</v>
      </c>
      <c r="M106" s="67">
        <f t="shared" si="0"/>
        <v>58.87</v>
      </c>
      <c r="N106" s="67">
        <f t="shared" si="0"/>
        <v>26.2</v>
      </c>
      <c r="O106" s="67">
        <f t="shared" si="0"/>
        <v>0</v>
      </c>
      <c r="P106" s="67">
        <f t="shared" si="0"/>
        <v>0.18</v>
      </c>
      <c r="Q106" s="67">
        <f t="shared" si="0"/>
        <v>7.97</v>
      </c>
      <c r="R106" s="199"/>
      <c r="S106" s="199"/>
      <c r="T106" s="199"/>
      <c r="U106" s="199"/>
    </row>
    <row r="107" spans="1:22" x14ac:dyDescent="0.25">
      <c r="A107" s="65" t="s">
        <v>60</v>
      </c>
      <c r="B107" s="66">
        <f>MAX(B9:B104)</f>
        <v>99.74</v>
      </c>
      <c r="C107" s="66">
        <f t="shared" ref="C107:Q107" si="1">MAX(C9:C104)</f>
        <v>39.020000000000003</v>
      </c>
      <c r="D107" s="66">
        <f t="shared" si="1"/>
        <v>95.03</v>
      </c>
      <c r="E107" s="66">
        <f t="shared" si="1"/>
        <v>3.37</v>
      </c>
      <c r="F107" s="66">
        <f t="shared" si="1"/>
        <v>25.81</v>
      </c>
      <c r="G107" s="66">
        <f t="shared" si="1"/>
        <v>79.430000000000007</v>
      </c>
      <c r="H107" s="66">
        <f t="shared" si="1"/>
        <v>29.91</v>
      </c>
      <c r="I107" s="66">
        <f t="shared" si="1"/>
        <v>0</v>
      </c>
      <c r="J107" s="66">
        <f t="shared" si="1"/>
        <v>1.73</v>
      </c>
      <c r="K107" s="66">
        <f t="shared" si="1"/>
        <v>359.83</v>
      </c>
      <c r="L107" s="66">
        <f t="shared" si="1"/>
        <v>32.49</v>
      </c>
      <c r="M107" s="66">
        <f t="shared" si="1"/>
        <v>97.29</v>
      </c>
      <c r="N107" s="66">
        <f t="shared" si="1"/>
        <v>1060.2</v>
      </c>
      <c r="O107" s="66">
        <f t="shared" si="1"/>
        <v>1</v>
      </c>
      <c r="P107" s="66">
        <f t="shared" si="1"/>
        <v>2.1</v>
      </c>
      <c r="Q107" s="66">
        <f t="shared" si="1"/>
        <v>20.82</v>
      </c>
      <c r="R107" s="200"/>
      <c r="S107" s="200"/>
      <c r="T107" s="200"/>
      <c r="U107" s="200"/>
    </row>
    <row r="108" spans="1:22" x14ac:dyDescent="0.25">
      <c r="A108" s="65" t="s">
        <v>61</v>
      </c>
      <c r="B108" s="67">
        <f>AVERAGE(B9:B104)</f>
        <v>12.421354166666667</v>
      </c>
      <c r="C108" s="67">
        <f t="shared" ref="C108:Q108" si="2">AVERAGE(C9:C104)</f>
        <v>21.100729166666667</v>
      </c>
      <c r="D108" s="67">
        <f t="shared" si="2"/>
        <v>22.246041666666667</v>
      </c>
      <c r="E108" s="67">
        <f t="shared" si="2"/>
        <v>2.4668749999999995</v>
      </c>
      <c r="F108" s="67">
        <f t="shared" si="2"/>
        <v>8.8470833333333356</v>
      </c>
      <c r="G108" s="67">
        <f t="shared" si="2"/>
        <v>36.54155844155845</v>
      </c>
      <c r="H108" s="67">
        <f t="shared" si="2"/>
        <v>13.438961038961047</v>
      </c>
      <c r="I108" s="9" t="s">
        <v>36</v>
      </c>
      <c r="J108" s="67">
        <f t="shared" si="2"/>
        <v>0.36750000000000033</v>
      </c>
      <c r="K108" s="67">
        <f t="shared" si="2"/>
        <v>174.89562499999997</v>
      </c>
      <c r="L108" s="67">
        <f t="shared" si="2"/>
        <v>25.110416666666662</v>
      </c>
      <c r="M108" s="67">
        <f t="shared" si="2"/>
        <v>90.120729166666649</v>
      </c>
      <c r="N108" s="67">
        <f t="shared" si="2"/>
        <v>190.21979166666665</v>
      </c>
      <c r="O108" s="67">
        <f t="shared" si="2"/>
        <v>2.0833333333333332E-2</v>
      </c>
      <c r="P108" s="67">
        <f t="shared" si="2"/>
        <v>0.58947916666666667</v>
      </c>
      <c r="Q108" s="67">
        <f t="shared" si="2"/>
        <v>14.524270833333333</v>
      </c>
      <c r="R108" s="199"/>
      <c r="S108" s="199"/>
      <c r="T108" s="199"/>
      <c r="U108" s="199"/>
    </row>
    <row r="109" spans="1:22" x14ac:dyDescent="0.25">
      <c r="A109" s="65" t="s">
        <v>77</v>
      </c>
      <c r="B109" s="67">
        <f>STDEV(B9:B104)</f>
        <v>11.758465673251552</v>
      </c>
      <c r="C109" s="67">
        <f t="shared" ref="C109:Q109" si="3">STDEV(C9:C104)</f>
        <v>7.2339009269282961</v>
      </c>
      <c r="D109" s="67">
        <f t="shared" si="3"/>
        <v>11.496456889353865</v>
      </c>
      <c r="E109" s="67">
        <f t="shared" si="3"/>
        <v>0.42650677171152973</v>
      </c>
      <c r="F109" s="67">
        <f t="shared" si="3"/>
        <v>4.241523786929366</v>
      </c>
      <c r="G109" s="67">
        <f t="shared" si="3"/>
        <v>16.846627498274461</v>
      </c>
      <c r="H109" s="67">
        <f t="shared" si="3"/>
        <v>6.3941382663744797</v>
      </c>
      <c r="I109" s="9" t="s">
        <v>36</v>
      </c>
      <c r="J109" s="67">
        <f t="shared" si="3"/>
        <v>0.38029074749667352</v>
      </c>
      <c r="K109" s="67">
        <f t="shared" si="3"/>
        <v>103.02029434010107</v>
      </c>
      <c r="L109" s="67">
        <f t="shared" si="3"/>
        <v>2.6453378718304408</v>
      </c>
      <c r="M109" s="67">
        <f t="shared" si="3"/>
        <v>11.009726345353156</v>
      </c>
      <c r="N109" s="67">
        <f t="shared" si="3"/>
        <v>273.13081370222642</v>
      </c>
      <c r="O109" s="67">
        <f t="shared" si="3"/>
        <v>0.13132255722109482</v>
      </c>
      <c r="P109" s="67">
        <f t="shared" si="3"/>
        <v>0.35887065487418218</v>
      </c>
      <c r="Q109" s="67">
        <f t="shared" si="3"/>
        <v>3.2939461999222917</v>
      </c>
      <c r="R109" s="199"/>
      <c r="S109" s="199"/>
      <c r="T109" s="199"/>
      <c r="U109" s="199"/>
    </row>
    <row r="110" spans="1:22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COUNT(G9:G104)+19</f>
        <v>96</v>
      </c>
      <c r="H110" s="66">
        <f>COUNT(H9:H104)+19</f>
        <v>96</v>
      </c>
      <c r="I110" s="66">
        <f>COUNT(I9:I104)+96</f>
        <v>96</v>
      </c>
      <c r="J110" s="66">
        <f>COUNT(J9:J104)+2</f>
        <v>98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2556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2557</v>
      </c>
      <c r="B9" s="64">
        <v>8.7899999999999991</v>
      </c>
      <c r="C9" s="64">
        <v>15.49</v>
      </c>
      <c r="D9" s="64">
        <v>16.239999999999998</v>
      </c>
      <c r="E9" s="64">
        <v>2.52</v>
      </c>
      <c r="F9" s="64">
        <v>13.44</v>
      </c>
      <c r="G9" s="64">
        <v>59.81</v>
      </c>
      <c r="H9" s="64">
        <v>7.64</v>
      </c>
      <c r="I9" s="216" t="s">
        <v>43</v>
      </c>
      <c r="J9" s="64">
        <v>7.0000000000000007E-2</v>
      </c>
      <c r="K9" s="64">
        <v>295.45</v>
      </c>
      <c r="L9" s="64">
        <v>23.76</v>
      </c>
      <c r="M9" s="64">
        <v>97.25</v>
      </c>
      <c r="N9" s="64">
        <v>42.2</v>
      </c>
      <c r="O9" s="64">
        <v>0</v>
      </c>
      <c r="P9" s="64">
        <v>0.56999999999999995</v>
      </c>
      <c r="Q9" s="64">
        <v>19.18</v>
      </c>
      <c r="R9" s="198"/>
      <c r="S9" s="198"/>
      <c r="T9" s="198"/>
      <c r="U9" s="198"/>
    </row>
    <row r="10" spans="1:21" s="12" customFormat="1" x14ac:dyDescent="0.25">
      <c r="A10" s="215" t="s">
        <v>2558</v>
      </c>
      <c r="B10" s="64">
        <v>7.85</v>
      </c>
      <c r="C10" s="64">
        <v>15.57</v>
      </c>
      <c r="D10" s="64">
        <v>15.53</v>
      </c>
      <c r="E10" s="64">
        <v>2.48</v>
      </c>
      <c r="F10" s="64">
        <v>13.1</v>
      </c>
      <c r="G10" s="64">
        <v>59.81</v>
      </c>
      <c r="H10" s="64">
        <v>7.64</v>
      </c>
      <c r="I10" s="216" t="s">
        <v>43</v>
      </c>
      <c r="J10" s="64">
        <v>0.03</v>
      </c>
      <c r="K10" s="64">
        <v>245.71</v>
      </c>
      <c r="L10" s="64">
        <v>23.61</v>
      </c>
      <c r="M10" s="64">
        <v>97.25</v>
      </c>
      <c r="N10" s="64">
        <v>42.1</v>
      </c>
      <c r="O10" s="64">
        <v>0</v>
      </c>
      <c r="P10" s="64">
        <v>0.56999999999999995</v>
      </c>
      <c r="Q10" s="64">
        <v>19.48</v>
      </c>
      <c r="R10" s="198"/>
      <c r="S10" s="198"/>
      <c r="T10" s="198"/>
      <c r="U10" s="198"/>
    </row>
    <row r="11" spans="1:21" s="12" customFormat="1" x14ac:dyDescent="0.25">
      <c r="A11" s="215" t="s">
        <v>2559</v>
      </c>
      <c r="B11" s="64">
        <v>7.18</v>
      </c>
      <c r="C11" s="64">
        <v>14.93</v>
      </c>
      <c r="D11" s="64">
        <v>14.65</v>
      </c>
      <c r="E11" s="64">
        <v>2.7</v>
      </c>
      <c r="F11" s="64">
        <v>13.26</v>
      </c>
      <c r="G11" s="64">
        <v>59.81</v>
      </c>
      <c r="H11" s="64">
        <v>7.64</v>
      </c>
      <c r="I11" s="216" t="s">
        <v>43</v>
      </c>
      <c r="J11" s="64">
        <v>7.0000000000000007E-2</v>
      </c>
      <c r="K11" s="64">
        <v>73.73</v>
      </c>
      <c r="L11" s="64">
        <v>23.6</v>
      </c>
      <c r="M11" s="64">
        <v>97.25</v>
      </c>
      <c r="N11" s="64">
        <v>42.2</v>
      </c>
      <c r="O11" s="64">
        <v>0</v>
      </c>
      <c r="P11" s="64">
        <v>0.54</v>
      </c>
      <c r="Q11" s="64">
        <v>19.66</v>
      </c>
      <c r="R11" s="198"/>
      <c r="S11" s="198"/>
      <c r="T11" s="198"/>
      <c r="U11" s="198"/>
    </row>
    <row r="12" spans="1:21" s="12" customFormat="1" x14ac:dyDescent="0.25">
      <c r="A12" s="215" t="s">
        <v>2560</v>
      </c>
      <c r="B12" s="64">
        <v>9.18</v>
      </c>
      <c r="C12" s="64">
        <v>14.78</v>
      </c>
      <c r="D12" s="64">
        <v>16.170000000000002</v>
      </c>
      <c r="E12" s="64">
        <v>2.97</v>
      </c>
      <c r="F12" s="64">
        <v>9.75</v>
      </c>
      <c r="G12" s="64">
        <v>49.74</v>
      </c>
      <c r="H12" s="64">
        <v>3.33</v>
      </c>
      <c r="I12" s="216" t="s">
        <v>43</v>
      </c>
      <c r="J12" s="64">
        <v>0.1</v>
      </c>
      <c r="K12" s="64">
        <v>107.58</v>
      </c>
      <c r="L12" s="64">
        <v>23.6</v>
      </c>
      <c r="M12" s="64">
        <v>97.25</v>
      </c>
      <c r="N12" s="64">
        <v>42.1</v>
      </c>
      <c r="O12" s="64">
        <v>0</v>
      </c>
      <c r="P12" s="64">
        <v>0.57999999999999996</v>
      </c>
      <c r="Q12" s="64">
        <v>19.809999999999999</v>
      </c>
      <c r="R12" s="198"/>
      <c r="S12" s="198"/>
      <c r="T12" s="198"/>
      <c r="U12" s="198"/>
    </row>
    <row r="13" spans="1:21" s="12" customFormat="1" x14ac:dyDescent="0.25">
      <c r="A13" s="215" t="s">
        <v>2561</v>
      </c>
      <c r="B13" s="64">
        <v>11.53</v>
      </c>
      <c r="C13" s="64">
        <v>14.48</v>
      </c>
      <c r="D13" s="64">
        <v>17.88</v>
      </c>
      <c r="E13" s="64">
        <v>3.03</v>
      </c>
      <c r="F13" s="64">
        <v>8.0399999999999991</v>
      </c>
      <c r="G13" s="64">
        <v>49.39</v>
      </c>
      <c r="H13" s="64">
        <v>3.33</v>
      </c>
      <c r="I13" s="216" t="s">
        <v>43</v>
      </c>
      <c r="J13" s="64">
        <v>0.12</v>
      </c>
      <c r="K13" s="64">
        <v>24.06</v>
      </c>
      <c r="L13" s="64">
        <v>23.66</v>
      </c>
      <c r="M13" s="64">
        <v>97.25</v>
      </c>
      <c r="N13" s="64">
        <v>42.3</v>
      </c>
      <c r="O13" s="64">
        <v>0</v>
      </c>
      <c r="P13" s="64">
        <v>0.62</v>
      </c>
      <c r="Q13" s="64">
        <v>18.46</v>
      </c>
      <c r="R13" s="198"/>
      <c r="S13" s="198"/>
      <c r="T13" s="198"/>
      <c r="U13" s="198"/>
    </row>
    <row r="14" spans="1:21" s="12" customFormat="1" x14ac:dyDescent="0.25">
      <c r="A14" s="215" t="s">
        <v>2562</v>
      </c>
      <c r="B14" s="64">
        <v>11.03</v>
      </c>
      <c r="C14" s="64">
        <v>13.78</v>
      </c>
      <c r="D14" s="64">
        <v>17.09</v>
      </c>
      <c r="E14" s="64">
        <v>3.1</v>
      </c>
      <c r="F14" s="64">
        <v>9.0399999999999991</v>
      </c>
      <c r="G14" s="64">
        <v>49.39</v>
      </c>
      <c r="H14" s="64">
        <v>3.33</v>
      </c>
      <c r="I14" s="216" t="s">
        <v>43</v>
      </c>
      <c r="J14" s="64">
        <v>0.15</v>
      </c>
      <c r="K14" s="64">
        <v>203.22</v>
      </c>
      <c r="L14" s="64">
        <v>23.55</v>
      </c>
      <c r="M14" s="64">
        <v>97.25</v>
      </c>
      <c r="N14" s="64">
        <v>42.1</v>
      </c>
      <c r="O14" s="64">
        <v>0</v>
      </c>
      <c r="P14" s="64">
        <v>0.61</v>
      </c>
      <c r="Q14" s="64">
        <v>17.11</v>
      </c>
      <c r="R14" s="198"/>
      <c r="S14" s="198"/>
      <c r="T14" s="198"/>
      <c r="U14" s="198"/>
    </row>
    <row r="15" spans="1:21" s="12" customFormat="1" x14ac:dyDescent="0.25">
      <c r="A15" s="215" t="s">
        <v>2563</v>
      </c>
      <c r="B15" s="64">
        <v>10.25</v>
      </c>
      <c r="C15" s="64">
        <v>14.05</v>
      </c>
      <c r="D15" s="64">
        <v>16.62</v>
      </c>
      <c r="E15" s="64">
        <v>2.99</v>
      </c>
      <c r="F15" s="64">
        <v>7.93</v>
      </c>
      <c r="G15" s="64">
        <v>49.39</v>
      </c>
      <c r="H15" s="64">
        <v>3.33</v>
      </c>
      <c r="I15" s="216" t="s">
        <v>43</v>
      </c>
      <c r="J15" s="64">
        <v>0.28000000000000003</v>
      </c>
      <c r="K15" s="64">
        <v>15.55</v>
      </c>
      <c r="L15" s="64">
        <v>23.47</v>
      </c>
      <c r="M15" s="64">
        <v>97.25</v>
      </c>
      <c r="N15" s="64">
        <v>42.3</v>
      </c>
      <c r="O15" s="64">
        <v>0</v>
      </c>
      <c r="P15" s="64">
        <v>0.66</v>
      </c>
      <c r="Q15" s="64">
        <v>15.87</v>
      </c>
      <c r="R15" s="198"/>
      <c r="S15" s="198"/>
      <c r="T15" s="198"/>
      <c r="U15" s="198"/>
    </row>
    <row r="16" spans="1:21" s="12" customFormat="1" x14ac:dyDescent="0.25">
      <c r="A16" s="215" t="s">
        <v>2564</v>
      </c>
      <c r="B16" s="64">
        <v>10.3</v>
      </c>
      <c r="C16" s="64">
        <v>13.79</v>
      </c>
      <c r="D16" s="64">
        <v>16.52</v>
      </c>
      <c r="E16" s="64">
        <v>3.01</v>
      </c>
      <c r="F16" s="64">
        <v>7.72</v>
      </c>
      <c r="G16" s="64">
        <v>39.25</v>
      </c>
      <c r="H16" s="64">
        <v>2.4900000000000002</v>
      </c>
      <c r="I16" s="216" t="s">
        <v>43</v>
      </c>
      <c r="J16" s="64">
        <v>0.05</v>
      </c>
      <c r="K16" s="64">
        <v>358.38</v>
      </c>
      <c r="L16" s="64">
        <v>23.22</v>
      </c>
      <c r="M16" s="64">
        <v>97.25</v>
      </c>
      <c r="N16" s="64">
        <v>42.3</v>
      </c>
      <c r="O16" s="64">
        <v>0</v>
      </c>
      <c r="P16" s="64">
        <v>0.57999999999999996</v>
      </c>
      <c r="Q16" s="64">
        <v>15.31</v>
      </c>
      <c r="R16" s="198"/>
      <c r="S16" s="198"/>
      <c r="T16" s="198"/>
      <c r="U16" s="198"/>
    </row>
    <row r="17" spans="1:21" s="12" customFormat="1" x14ac:dyDescent="0.25">
      <c r="A17" s="215" t="s">
        <v>2565</v>
      </c>
      <c r="B17" s="64">
        <v>12.27</v>
      </c>
      <c r="C17" s="64">
        <v>15.49</v>
      </c>
      <c r="D17" s="64">
        <v>19.03</v>
      </c>
      <c r="E17" s="64">
        <v>2.92</v>
      </c>
      <c r="F17" s="64">
        <v>6.77</v>
      </c>
      <c r="G17" s="64">
        <v>38.9</v>
      </c>
      <c r="H17" s="64">
        <v>2.4900000000000002</v>
      </c>
      <c r="I17" s="216" t="s">
        <v>43</v>
      </c>
      <c r="J17" s="64">
        <v>0.16</v>
      </c>
      <c r="K17" s="64">
        <v>98.42</v>
      </c>
      <c r="L17" s="64">
        <v>23.09</v>
      </c>
      <c r="M17" s="64">
        <v>97.25</v>
      </c>
      <c r="N17" s="64">
        <v>42</v>
      </c>
      <c r="O17" s="64">
        <v>0</v>
      </c>
      <c r="P17" s="64">
        <v>0.64</v>
      </c>
      <c r="Q17" s="64">
        <v>14.22</v>
      </c>
      <c r="R17" s="198"/>
      <c r="S17" s="198"/>
      <c r="T17" s="198"/>
      <c r="U17" s="198"/>
    </row>
    <row r="18" spans="1:21" s="12" customFormat="1" x14ac:dyDescent="0.25">
      <c r="A18" s="215" t="s">
        <v>2566</v>
      </c>
      <c r="B18" s="64">
        <v>10.28</v>
      </c>
      <c r="C18" s="64">
        <v>18.66</v>
      </c>
      <c r="D18" s="64">
        <v>19.190000000000001</v>
      </c>
      <c r="E18" s="64">
        <v>2.44</v>
      </c>
      <c r="F18" s="64">
        <v>5.74</v>
      </c>
      <c r="G18" s="64">
        <v>38.9</v>
      </c>
      <c r="H18" s="64">
        <v>2.4900000000000002</v>
      </c>
      <c r="I18" s="216" t="s">
        <v>43</v>
      </c>
      <c r="J18" s="64">
        <v>0.15</v>
      </c>
      <c r="K18" s="64">
        <v>88.07</v>
      </c>
      <c r="L18" s="64">
        <v>23.22</v>
      </c>
      <c r="M18" s="64">
        <v>97.25</v>
      </c>
      <c r="N18" s="64">
        <v>42</v>
      </c>
      <c r="O18" s="64">
        <v>0</v>
      </c>
      <c r="P18" s="64">
        <v>0.56000000000000005</v>
      </c>
      <c r="Q18" s="64">
        <v>14.52</v>
      </c>
      <c r="R18" s="198"/>
      <c r="S18" s="198"/>
      <c r="T18" s="198"/>
      <c r="U18" s="198"/>
    </row>
    <row r="19" spans="1:21" s="12" customFormat="1" x14ac:dyDescent="0.25">
      <c r="A19" s="215" t="s">
        <v>2567</v>
      </c>
      <c r="B19" s="64">
        <v>10.23</v>
      </c>
      <c r="C19" s="64">
        <v>19.170000000000002</v>
      </c>
      <c r="D19" s="64">
        <v>19.420000000000002</v>
      </c>
      <c r="E19" s="64">
        <v>2.76</v>
      </c>
      <c r="F19" s="64">
        <v>8.81</v>
      </c>
      <c r="G19" s="64">
        <v>38.9</v>
      </c>
      <c r="H19" s="64">
        <v>2.4900000000000002</v>
      </c>
      <c r="I19" s="216" t="s">
        <v>43</v>
      </c>
      <c r="J19" s="64">
        <v>0.1</v>
      </c>
      <c r="K19" s="64">
        <v>95.53</v>
      </c>
      <c r="L19" s="64">
        <v>23.16</v>
      </c>
      <c r="M19" s="64">
        <v>97.25</v>
      </c>
      <c r="N19" s="64">
        <v>42</v>
      </c>
      <c r="O19" s="64">
        <v>0</v>
      </c>
      <c r="P19" s="64">
        <v>0.56999999999999995</v>
      </c>
      <c r="Q19" s="64">
        <v>14.57</v>
      </c>
      <c r="R19" s="198"/>
      <c r="S19" s="198"/>
      <c r="T19" s="198"/>
      <c r="U19" s="198"/>
    </row>
    <row r="20" spans="1:21" s="12" customFormat="1" x14ac:dyDescent="0.25">
      <c r="A20" s="215" t="s">
        <v>2568</v>
      </c>
      <c r="B20" s="64">
        <v>6.56</v>
      </c>
      <c r="C20" s="64">
        <v>21.77</v>
      </c>
      <c r="D20" s="64">
        <v>17.920000000000002</v>
      </c>
      <c r="E20" s="64">
        <v>2.61</v>
      </c>
      <c r="F20" s="64">
        <v>7.07</v>
      </c>
      <c r="G20" s="64">
        <v>33.89</v>
      </c>
      <c r="H20" s="64">
        <v>2.31</v>
      </c>
      <c r="I20" s="216" t="s">
        <v>43</v>
      </c>
      <c r="J20" s="64">
        <v>0.14000000000000001</v>
      </c>
      <c r="K20" s="64">
        <v>87.59</v>
      </c>
      <c r="L20" s="64">
        <v>23.2</v>
      </c>
      <c r="M20" s="64">
        <v>97.25</v>
      </c>
      <c r="N20" s="64">
        <v>41.9</v>
      </c>
      <c r="O20" s="64">
        <v>0</v>
      </c>
      <c r="P20" s="64">
        <v>0.6</v>
      </c>
      <c r="Q20" s="64">
        <v>16.57</v>
      </c>
      <c r="R20" s="198"/>
      <c r="S20" s="198"/>
      <c r="T20" s="198"/>
      <c r="U20" s="198"/>
    </row>
    <row r="21" spans="1:21" s="12" customFormat="1" x14ac:dyDescent="0.25">
      <c r="A21" s="215" t="s">
        <v>2569</v>
      </c>
      <c r="B21" s="64">
        <v>6.19</v>
      </c>
      <c r="C21" s="64">
        <v>25.56</v>
      </c>
      <c r="D21" s="64">
        <v>19.72</v>
      </c>
      <c r="E21" s="64">
        <v>3.22</v>
      </c>
      <c r="F21" s="64">
        <v>4.66</v>
      </c>
      <c r="G21" s="64">
        <v>33.72</v>
      </c>
      <c r="H21" s="64">
        <v>2.31</v>
      </c>
      <c r="I21" s="216" t="s">
        <v>43</v>
      </c>
      <c r="J21" s="64">
        <v>0.16</v>
      </c>
      <c r="K21" s="64">
        <v>96.85</v>
      </c>
      <c r="L21" s="64">
        <v>23.18</v>
      </c>
      <c r="M21" s="64">
        <v>97.25</v>
      </c>
      <c r="N21" s="64">
        <v>41.9</v>
      </c>
      <c r="O21" s="64">
        <v>0</v>
      </c>
      <c r="P21" s="64">
        <v>0.71</v>
      </c>
      <c r="Q21" s="64">
        <v>17.760000000000002</v>
      </c>
      <c r="R21" s="198"/>
      <c r="S21" s="198"/>
      <c r="T21" s="198"/>
      <c r="U21" s="198"/>
    </row>
    <row r="22" spans="1:21" s="12" customFormat="1" x14ac:dyDescent="0.25">
      <c r="A22" s="215" t="s">
        <v>2570</v>
      </c>
      <c r="B22" s="64">
        <v>7.52</v>
      </c>
      <c r="C22" s="64">
        <v>26.33</v>
      </c>
      <c r="D22" s="64">
        <v>21.21</v>
      </c>
      <c r="E22" s="64">
        <v>2.67</v>
      </c>
      <c r="F22" s="64">
        <v>5.01</v>
      </c>
      <c r="G22" s="64">
        <v>33.72</v>
      </c>
      <c r="H22" s="64">
        <v>2.31</v>
      </c>
      <c r="I22" s="216" t="s">
        <v>43</v>
      </c>
      <c r="J22" s="64">
        <v>0.14000000000000001</v>
      </c>
      <c r="K22" s="64">
        <v>356.68</v>
      </c>
      <c r="L22" s="64">
        <v>23.14</v>
      </c>
      <c r="M22" s="64">
        <v>97.25</v>
      </c>
      <c r="N22" s="64">
        <v>42.1</v>
      </c>
      <c r="O22" s="64">
        <v>0</v>
      </c>
      <c r="P22" s="64">
        <v>0.74</v>
      </c>
      <c r="Q22" s="64">
        <v>18.57</v>
      </c>
      <c r="R22" s="198"/>
      <c r="S22" s="198"/>
      <c r="T22" s="198"/>
      <c r="U22" s="198"/>
    </row>
    <row r="23" spans="1:21" s="12" customFormat="1" x14ac:dyDescent="0.25">
      <c r="A23" s="215" t="s">
        <v>2571</v>
      </c>
      <c r="B23" s="64">
        <v>10.24</v>
      </c>
      <c r="C23" s="64">
        <v>26.73</v>
      </c>
      <c r="D23" s="64">
        <v>23.61</v>
      </c>
      <c r="E23" s="64">
        <v>2.88</v>
      </c>
      <c r="F23" s="64">
        <v>6.01</v>
      </c>
      <c r="G23" s="64">
        <v>33.72</v>
      </c>
      <c r="H23" s="64">
        <v>2.31</v>
      </c>
      <c r="I23" s="216" t="s">
        <v>43</v>
      </c>
      <c r="J23" s="64">
        <v>0.14000000000000001</v>
      </c>
      <c r="K23" s="64">
        <v>15.07</v>
      </c>
      <c r="L23" s="64">
        <v>23.14</v>
      </c>
      <c r="M23" s="64">
        <v>97.25</v>
      </c>
      <c r="N23" s="64">
        <v>42</v>
      </c>
      <c r="O23" s="64">
        <v>0</v>
      </c>
      <c r="P23" s="64">
        <v>0.76</v>
      </c>
      <c r="Q23" s="64">
        <v>19.46</v>
      </c>
      <c r="R23" s="198"/>
      <c r="S23" s="198"/>
      <c r="T23" s="198"/>
      <c r="U23" s="198"/>
    </row>
    <row r="24" spans="1:21" s="12" customFormat="1" x14ac:dyDescent="0.25">
      <c r="A24" s="215" t="s">
        <v>2572</v>
      </c>
      <c r="B24" s="64">
        <v>13.91</v>
      </c>
      <c r="C24" s="64">
        <v>31.27</v>
      </c>
      <c r="D24" s="64">
        <v>29.06</v>
      </c>
      <c r="E24" s="64">
        <v>1.94</v>
      </c>
      <c r="F24" s="64">
        <v>4.2300000000000004</v>
      </c>
      <c r="G24" s="64">
        <v>51.37</v>
      </c>
      <c r="H24" s="64">
        <v>2.2599999999999998</v>
      </c>
      <c r="I24" s="216" t="s">
        <v>43</v>
      </c>
      <c r="J24" s="64">
        <v>0.14000000000000001</v>
      </c>
      <c r="K24" s="64">
        <v>94.97</v>
      </c>
      <c r="L24" s="64">
        <v>23.13</v>
      </c>
      <c r="M24" s="64">
        <v>97.26</v>
      </c>
      <c r="N24" s="64">
        <v>42.1</v>
      </c>
      <c r="O24" s="64">
        <v>0</v>
      </c>
      <c r="P24" s="64">
        <v>0.77</v>
      </c>
      <c r="Q24" s="64">
        <v>20.36</v>
      </c>
      <c r="R24" s="198"/>
      <c r="S24" s="198"/>
      <c r="T24" s="198"/>
      <c r="U24" s="198"/>
    </row>
    <row r="25" spans="1:21" s="12" customFormat="1" x14ac:dyDescent="0.25">
      <c r="A25" s="215" t="s">
        <v>2573</v>
      </c>
      <c r="B25" s="64">
        <v>15.53</v>
      </c>
      <c r="C25" s="64">
        <v>23.91</v>
      </c>
      <c r="D25" s="64">
        <v>26.3</v>
      </c>
      <c r="E25" s="64">
        <v>2.72</v>
      </c>
      <c r="F25" s="64">
        <v>3.74</v>
      </c>
      <c r="G25" s="64">
        <v>52.2</v>
      </c>
      <c r="H25" s="64">
        <v>2.2599999999999998</v>
      </c>
      <c r="I25" s="216" t="s">
        <v>43</v>
      </c>
      <c r="J25" s="64">
        <v>0.38</v>
      </c>
      <c r="K25" s="64">
        <v>7.99</v>
      </c>
      <c r="L25" s="64">
        <v>23.2</v>
      </c>
      <c r="M25" s="64">
        <v>97.27</v>
      </c>
      <c r="N25" s="64">
        <v>42</v>
      </c>
      <c r="O25" s="64">
        <v>0</v>
      </c>
      <c r="P25" s="64">
        <v>0.79</v>
      </c>
      <c r="Q25" s="64">
        <v>19.23</v>
      </c>
      <c r="R25" s="198"/>
      <c r="S25" s="198"/>
      <c r="T25" s="198"/>
      <c r="U25" s="198"/>
    </row>
    <row r="26" spans="1:21" s="12" customFormat="1" x14ac:dyDescent="0.25">
      <c r="A26" s="215" t="s">
        <v>2574</v>
      </c>
      <c r="B26" s="64">
        <v>14.57</v>
      </c>
      <c r="C26" s="64">
        <v>23.03</v>
      </c>
      <c r="D26" s="64">
        <v>25.04</v>
      </c>
      <c r="E26" s="64">
        <v>2.82</v>
      </c>
      <c r="F26" s="64">
        <v>4.33</v>
      </c>
      <c r="G26" s="64">
        <v>52.2</v>
      </c>
      <c r="H26" s="64">
        <v>2.2599999999999998</v>
      </c>
      <c r="I26" s="216" t="s">
        <v>43</v>
      </c>
      <c r="J26" s="64">
        <v>0.09</v>
      </c>
      <c r="K26" s="64">
        <v>25.27</v>
      </c>
      <c r="L26" s="64">
        <v>23.18</v>
      </c>
      <c r="M26" s="64">
        <v>97.26</v>
      </c>
      <c r="N26" s="64">
        <v>42.2</v>
      </c>
      <c r="O26" s="64">
        <v>0</v>
      </c>
      <c r="P26" s="64">
        <v>0.91</v>
      </c>
      <c r="Q26" s="64">
        <v>18.66</v>
      </c>
      <c r="R26" s="198"/>
      <c r="S26" s="198"/>
      <c r="T26" s="198"/>
      <c r="U26" s="198"/>
    </row>
    <row r="27" spans="1:21" s="12" customFormat="1" x14ac:dyDescent="0.25">
      <c r="A27" s="215" t="s">
        <v>2575</v>
      </c>
      <c r="B27" s="64">
        <v>16.68</v>
      </c>
      <c r="C27" s="64">
        <v>24.39</v>
      </c>
      <c r="D27" s="64">
        <v>27.48</v>
      </c>
      <c r="E27" s="64">
        <v>2.36</v>
      </c>
      <c r="F27" s="64">
        <v>3.97</v>
      </c>
      <c r="G27" s="64">
        <v>52.2</v>
      </c>
      <c r="H27" s="64">
        <v>2.2599999999999998</v>
      </c>
      <c r="I27" s="216" t="s">
        <v>43</v>
      </c>
      <c r="J27" s="64">
        <v>0.16</v>
      </c>
      <c r="K27" s="64">
        <v>84.77</v>
      </c>
      <c r="L27" s="64">
        <v>23.16</v>
      </c>
      <c r="M27" s="64">
        <v>97.27</v>
      </c>
      <c r="N27" s="64">
        <v>42.1</v>
      </c>
      <c r="O27" s="64">
        <v>0</v>
      </c>
      <c r="P27" s="64">
        <v>0.92</v>
      </c>
      <c r="Q27" s="64">
        <v>18.47</v>
      </c>
      <c r="R27" s="198"/>
      <c r="S27" s="198"/>
      <c r="T27" s="198"/>
      <c r="U27" s="198"/>
    </row>
    <row r="28" spans="1:21" s="12" customFormat="1" x14ac:dyDescent="0.25">
      <c r="A28" s="215" t="s">
        <v>2576</v>
      </c>
      <c r="B28" s="64">
        <v>15.77</v>
      </c>
      <c r="C28" s="64">
        <v>25.68</v>
      </c>
      <c r="D28" s="64">
        <v>27.47</v>
      </c>
      <c r="E28" s="64">
        <v>2.41</v>
      </c>
      <c r="F28" s="64">
        <v>5.28</v>
      </c>
      <c r="G28" s="64">
        <v>61.1</v>
      </c>
      <c r="H28" s="64">
        <v>2.25</v>
      </c>
      <c r="I28" s="216" t="s">
        <v>43</v>
      </c>
      <c r="J28" s="64">
        <v>0.13</v>
      </c>
      <c r="K28" s="64">
        <v>56.05</v>
      </c>
      <c r="L28" s="64">
        <v>23.11</v>
      </c>
      <c r="M28" s="64">
        <v>97.25</v>
      </c>
      <c r="N28" s="64">
        <v>42.1</v>
      </c>
      <c r="O28" s="64">
        <v>0</v>
      </c>
      <c r="P28" s="64">
        <v>0.83</v>
      </c>
      <c r="Q28" s="64">
        <v>17.3</v>
      </c>
      <c r="R28" s="198"/>
      <c r="S28" s="198"/>
      <c r="T28" s="198"/>
      <c r="U28" s="198"/>
    </row>
    <row r="29" spans="1:21" s="12" customFormat="1" x14ac:dyDescent="0.25">
      <c r="A29" s="215" t="s">
        <v>2577</v>
      </c>
      <c r="B29" s="64">
        <v>19.32</v>
      </c>
      <c r="C29" s="64">
        <v>24.67</v>
      </c>
      <c r="D29" s="64">
        <v>29.75</v>
      </c>
      <c r="E29" s="64">
        <v>2.06</v>
      </c>
      <c r="F29" s="64">
        <v>4.24</v>
      </c>
      <c r="G29" s="64">
        <v>61.41</v>
      </c>
      <c r="H29" s="64">
        <v>2.25</v>
      </c>
      <c r="I29" s="216" t="s">
        <v>43</v>
      </c>
      <c r="J29" s="64">
        <v>0.13</v>
      </c>
      <c r="K29" s="64">
        <v>66.86</v>
      </c>
      <c r="L29" s="64">
        <v>23.08</v>
      </c>
      <c r="M29" s="64">
        <v>97.27</v>
      </c>
      <c r="N29" s="64">
        <v>42.3</v>
      </c>
      <c r="O29" s="64">
        <v>0</v>
      </c>
      <c r="P29" s="64">
        <v>0.86</v>
      </c>
      <c r="Q29" s="64">
        <v>17.52</v>
      </c>
      <c r="R29" s="198"/>
      <c r="S29" s="198"/>
      <c r="T29" s="198"/>
      <c r="U29" s="198"/>
    </row>
    <row r="30" spans="1:21" s="12" customFormat="1" x14ac:dyDescent="0.25">
      <c r="A30" s="215" t="s">
        <v>2578</v>
      </c>
      <c r="B30" s="64">
        <v>18.190000000000001</v>
      </c>
      <c r="C30" s="64">
        <v>23.43</v>
      </c>
      <c r="D30" s="64">
        <v>28.17</v>
      </c>
      <c r="E30" s="64">
        <v>2.4500000000000002</v>
      </c>
      <c r="F30" s="64">
        <v>4.9000000000000004</v>
      </c>
      <c r="G30" s="64">
        <v>61.41</v>
      </c>
      <c r="H30" s="64">
        <v>2.25</v>
      </c>
      <c r="I30" s="216" t="s">
        <v>43</v>
      </c>
      <c r="J30" s="64">
        <v>0.18</v>
      </c>
      <c r="K30" s="64">
        <v>87.13</v>
      </c>
      <c r="L30" s="64">
        <v>23.08</v>
      </c>
      <c r="M30" s="64">
        <v>97.25</v>
      </c>
      <c r="N30" s="64">
        <v>44.7</v>
      </c>
      <c r="O30" s="64">
        <v>0</v>
      </c>
      <c r="P30" s="64">
        <v>0.81</v>
      </c>
      <c r="Q30" s="64">
        <v>17.190000000000001</v>
      </c>
      <c r="R30" s="198"/>
      <c r="S30" s="198"/>
      <c r="T30" s="198"/>
      <c r="U30" s="198"/>
    </row>
    <row r="31" spans="1:21" s="12" customFormat="1" x14ac:dyDescent="0.25">
      <c r="A31" s="215" t="s">
        <v>2579</v>
      </c>
      <c r="B31" s="64">
        <v>18.850000000000001</v>
      </c>
      <c r="C31" s="64">
        <v>25.03</v>
      </c>
      <c r="D31" s="64">
        <v>29.57</v>
      </c>
      <c r="E31" s="64">
        <v>2.16</v>
      </c>
      <c r="F31" s="64">
        <v>6.32</v>
      </c>
      <c r="G31" s="64">
        <v>61.41</v>
      </c>
      <c r="H31" s="64">
        <v>2.25</v>
      </c>
      <c r="I31" s="216" t="s">
        <v>43</v>
      </c>
      <c r="J31" s="64">
        <v>0.04</v>
      </c>
      <c r="K31" s="64">
        <v>92.79</v>
      </c>
      <c r="L31" s="64">
        <v>23.12</v>
      </c>
      <c r="M31" s="64">
        <v>97.25</v>
      </c>
      <c r="N31" s="64">
        <v>56.3</v>
      </c>
      <c r="O31" s="64">
        <v>0</v>
      </c>
      <c r="P31" s="64">
        <v>0.92</v>
      </c>
      <c r="Q31" s="64">
        <v>17.98</v>
      </c>
      <c r="R31" s="198"/>
      <c r="S31" s="198"/>
      <c r="T31" s="198"/>
      <c r="U31" s="198"/>
    </row>
    <row r="32" spans="1:21" s="12" customFormat="1" x14ac:dyDescent="0.25">
      <c r="A32" s="215" t="s">
        <v>2580</v>
      </c>
      <c r="B32" s="64">
        <v>24.37</v>
      </c>
      <c r="C32" s="64">
        <v>24.53</v>
      </c>
      <c r="D32" s="64">
        <v>33.729999999999997</v>
      </c>
      <c r="E32" s="64">
        <v>2.61</v>
      </c>
      <c r="F32" s="64">
        <v>6.91</v>
      </c>
      <c r="G32" s="64">
        <v>69.11</v>
      </c>
      <c r="H32" s="64">
        <v>55.39</v>
      </c>
      <c r="I32" s="216" t="s">
        <v>43</v>
      </c>
      <c r="J32" s="64">
        <v>0.09</v>
      </c>
      <c r="K32" s="64">
        <v>84.03</v>
      </c>
      <c r="L32" s="64">
        <v>23.28</v>
      </c>
      <c r="M32" s="64">
        <v>97.25</v>
      </c>
      <c r="N32" s="64">
        <v>70.599999999999994</v>
      </c>
      <c r="O32" s="64">
        <v>0</v>
      </c>
      <c r="P32" s="64">
        <v>0.88</v>
      </c>
      <c r="Q32" s="64">
        <v>19.579999999999998</v>
      </c>
      <c r="R32" s="198"/>
      <c r="S32" s="198"/>
      <c r="T32" s="198"/>
      <c r="U32" s="198"/>
    </row>
    <row r="33" spans="1:21" s="12" customFormat="1" x14ac:dyDescent="0.25">
      <c r="A33" s="215" t="s">
        <v>2581</v>
      </c>
      <c r="B33" s="64">
        <v>17.260000000000002</v>
      </c>
      <c r="C33" s="64">
        <v>26.11</v>
      </c>
      <c r="D33" s="64">
        <v>28.89</v>
      </c>
      <c r="E33" s="64">
        <v>2.44</v>
      </c>
      <c r="F33" s="64">
        <v>8.19</v>
      </c>
      <c r="G33" s="64">
        <v>69.47</v>
      </c>
      <c r="H33" s="64">
        <v>55.39</v>
      </c>
      <c r="I33" s="216" t="s">
        <v>43</v>
      </c>
      <c r="J33" s="64">
        <v>0.11</v>
      </c>
      <c r="K33" s="64">
        <v>77.760000000000005</v>
      </c>
      <c r="L33" s="64">
        <v>23.55</v>
      </c>
      <c r="M33" s="64">
        <v>97.25</v>
      </c>
      <c r="N33" s="64">
        <v>91</v>
      </c>
      <c r="O33" s="64">
        <v>0</v>
      </c>
      <c r="P33" s="64">
        <v>0.73</v>
      </c>
      <c r="Q33" s="64">
        <v>20.82</v>
      </c>
      <c r="R33" s="198"/>
      <c r="S33" s="198"/>
      <c r="T33" s="198"/>
      <c r="U33" s="198"/>
    </row>
    <row r="34" spans="1:21" s="12" customFormat="1" x14ac:dyDescent="0.25">
      <c r="A34" s="215" t="s">
        <v>2582</v>
      </c>
      <c r="B34" s="64">
        <v>22.64</v>
      </c>
      <c r="C34" s="64">
        <v>22.68</v>
      </c>
      <c r="D34" s="64">
        <v>31.31</v>
      </c>
      <c r="E34" s="64">
        <v>2.2000000000000002</v>
      </c>
      <c r="F34" s="64">
        <v>7.36</v>
      </c>
      <c r="G34" s="64">
        <v>69.47</v>
      </c>
      <c r="H34" s="64">
        <v>55.39</v>
      </c>
      <c r="I34" s="216" t="s">
        <v>43</v>
      </c>
      <c r="J34" s="64">
        <v>0.37</v>
      </c>
      <c r="K34" s="64">
        <v>106.09</v>
      </c>
      <c r="L34" s="64">
        <v>23.89</v>
      </c>
      <c r="M34" s="64">
        <v>97.24</v>
      </c>
      <c r="N34" s="64">
        <v>142.69999999999999</v>
      </c>
      <c r="O34" s="64">
        <v>0</v>
      </c>
      <c r="P34" s="64">
        <v>0.67</v>
      </c>
      <c r="Q34" s="64">
        <v>21.89</v>
      </c>
      <c r="R34" s="198"/>
      <c r="S34" s="198"/>
      <c r="T34" s="198"/>
      <c r="U34" s="198"/>
    </row>
    <row r="35" spans="1:21" s="12" customFormat="1" x14ac:dyDescent="0.25">
      <c r="A35" s="215" t="s">
        <v>2583</v>
      </c>
      <c r="B35" s="64">
        <v>17.39</v>
      </c>
      <c r="C35" s="64">
        <v>21.07</v>
      </c>
      <c r="D35" s="64">
        <v>26.21</v>
      </c>
      <c r="E35" s="64">
        <v>2.46</v>
      </c>
      <c r="F35" s="64">
        <v>6.48</v>
      </c>
      <c r="G35" s="64">
        <v>69.47</v>
      </c>
      <c r="H35" s="64">
        <v>55.39</v>
      </c>
      <c r="I35" s="216" t="s">
        <v>43</v>
      </c>
      <c r="J35" s="64">
        <v>0.85</v>
      </c>
      <c r="K35" s="64">
        <v>109.91</v>
      </c>
      <c r="L35" s="64">
        <v>24.07</v>
      </c>
      <c r="M35" s="64">
        <v>97.24</v>
      </c>
      <c r="N35" s="64">
        <v>137.19999999999999</v>
      </c>
      <c r="O35" s="64">
        <v>0</v>
      </c>
      <c r="P35" s="64">
        <v>0.71</v>
      </c>
      <c r="Q35" s="64">
        <v>23.35</v>
      </c>
      <c r="R35" s="198"/>
      <c r="S35" s="198"/>
      <c r="T35" s="198"/>
      <c r="U35" s="198"/>
    </row>
    <row r="36" spans="1:21" s="12" customFormat="1" x14ac:dyDescent="0.25">
      <c r="A36" s="215" t="s">
        <v>2584</v>
      </c>
      <c r="B36" s="64">
        <v>17.37</v>
      </c>
      <c r="C36" s="64">
        <v>21.1</v>
      </c>
      <c r="D36" s="64">
        <v>26.22</v>
      </c>
      <c r="E36" s="64">
        <v>2.6</v>
      </c>
      <c r="F36" s="64">
        <v>6.82</v>
      </c>
      <c r="G36" s="64">
        <v>66.55</v>
      </c>
      <c r="H36" s="64">
        <v>19.25</v>
      </c>
      <c r="I36" s="216" t="s">
        <v>43</v>
      </c>
      <c r="J36" s="64">
        <v>0.64</v>
      </c>
      <c r="K36" s="64">
        <v>111.88</v>
      </c>
      <c r="L36" s="64">
        <v>24.6</v>
      </c>
      <c r="M36" s="64">
        <v>96.79</v>
      </c>
      <c r="N36" s="64">
        <v>271.7</v>
      </c>
      <c r="O36" s="64">
        <v>0</v>
      </c>
      <c r="P36" s="64">
        <v>0.7</v>
      </c>
      <c r="Q36" s="64">
        <v>24.4</v>
      </c>
      <c r="R36" s="198"/>
      <c r="S36" s="198"/>
      <c r="T36" s="198"/>
      <c r="U36" s="198"/>
    </row>
    <row r="37" spans="1:21" s="12" customFormat="1" x14ac:dyDescent="0.25">
      <c r="A37" s="215" t="s">
        <v>2585</v>
      </c>
      <c r="B37" s="64">
        <v>19.72</v>
      </c>
      <c r="C37" s="64">
        <v>19.440000000000001</v>
      </c>
      <c r="D37" s="64">
        <v>27.19</v>
      </c>
      <c r="E37" s="64">
        <v>2.41</v>
      </c>
      <c r="F37" s="64">
        <v>6.28</v>
      </c>
      <c r="G37" s="64">
        <v>66.45</v>
      </c>
      <c r="H37" s="64">
        <v>19.25</v>
      </c>
      <c r="I37" s="216" t="s">
        <v>43</v>
      </c>
      <c r="J37" s="64">
        <v>1.08</v>
      </c>
      <c r="K37" s="64">
        <v>114.89</v>
      </c>
      <c r="L37" s="64">
        <v>25.3</v>
      </c>
      <c r="M37" s="64">
        <v>94.35</v>
      </c>
      <c r="N37" s="64">
        <v>303.2</v>
      </c>
      <c r="O37" s="64">
        <v>0</v>
      </c>
      <c r="P37" s="64">
        <v>0.71</v>
      </c>
      <c r="Q37" s="64">
        <v>23.87</v>
      </c>
      <c r="R37" s="198"/>
      <c r="S37" s="198"/>
      <c r="T37" s="198"/>
      <c r="U37" s="198"/>
    </row>
    <row r="38" spans="1:21" s="12" customFormat="1" x14ac:dyDescent="0.25">
      <c r="A38" s="215" t="s">
        <v>2586</v>
      </c>
      <c r="B38" s="64">
        <v>18</v>
      </c>
      <c r="C38" s="64">
        <v>19.899999999999999</v>
      </c>
      <c r="D38" s="64">
        <v>26.06</v>
      </c>
      <c r="E38" s="64">
        <v>2.61</v>
      </c>
      <c r="F38" s="64">
        <v>5.09</v>
      </c>
      <c r="G38" s="64">
        <v>66.45</v>
      </c>
      <c r="H38" s="64">
        <v>19.25</v>
      </c>
      <c r="I38" s="216" t="s">
        <v>43</v>
      </c>
      <c r="J38" s="64">
        <v>1.38</v>
      </c>
      <c r="K38" s="64">
        <v>120.63</v>
      </c>
      <c r="L38" s="64">
        <v>25.38</v>
      </c>
      <c r="M38" s="64">
        <v>93.07</v>
      </c>
      <c r="N38" s="64">
        <v>424.7</v>
      </c>
      <c r="O38" s="64">
        <v>0</v>
      </c>
      <c r="P38" s="64">
        <v>0.69</v>
      </c>
      <c r="Q38" s="64">
        <v>24.69</v>
      </c>
      <c r="R38" s="198"/>
      <c r="S38" s="198"/>
      <c r="T38" s="198"/>
      <c r="U38" s="198"/>
    </row>
    <row r="39" spans="1:21" s="12" customFormat="1" x14ac:dyDescent="0.25">
      <c r="A39" s="215" t="s">
        <v>2587</v>
      </c>
      <c r="B39" s="64">
        <v>17.27</v>
      </c>
      <c r="C39" s="64">
        <v>19.87</v>
      </c>
      <c r="D39" s="64">
        <v>25.46</v>
      </c>
      <c r="E39" s="64">
        <v>2.91</v>
      </c>
      <c r="F39" s="64">
        <v>5.39</v>
      </c>
      <c r="G39" s="64">
        <v>66.45</v>
      </c>
      <c r="H39" s="64">
        <v>19.25</v>
      </c>
      <c r="I39" s="216" t="s">
        <v>43</v>
      </c>
      <c r="J39" s="64">
        <v>1.32</v>
      </c>
      <c r="K39" s="64">
        <v>114.96</v>
      </c>
      <c r="L39" s="64">
        <v>25.81</v>
      </c>
      <c r="M39" s="64">
        <v>88.33</v>
      </c>
      <c r="N39" s="64">
        <v>498.8</v>
      </c>
      <c r="O39" s="64">
        <v>0</v>
      </c>
      <c r="P39" s="64">
        <v>0.69</v>
      </c>
      <c r="Q39" s="64">
        <v>25.47</v>
      </c>
      <c r="R39" s="198"/>
      <c r="S39" s="198"/>
      <c r="T39" s="198"/>
      <c r="U39" s="198"/>
    </row>
    <row r="40" spans="1:21" s="12" customFormat="1" x14ac:dyDescent="0.25">
      <c r="A40" s="215" t="s">
        <v>2588</v>
      </c>
      <c r="B40" s="64">
        <v>15.72</v>
      </c>
      <c r="C40" s="64">
        <v>17.420000000000002</v>
      </c>
      <c r="D40" s="64">
        <v>22.87</v>
      </c>
      <c r="E40" s="64">
        <v>2.35</v>
      </c>
      <c r="F40" s="64">
        <v>6.85</v>
      </c>
      <c r="G40" s="217" t="s">
        <v>42</v>
      </c>
      <c r="H40" s="217" t="s">
        <v>42</v>
      </c>
      <c r="I40" s="216" t="s">
        <v>43</v>
      </c>
      <c r="J40" s="64">
        <v>1.49</v>
      </c>
      <c r="K40" s="64">
        <v>109.59</v>
      </c>
      <c r="L40" s="64">
        <v>26.27</v>
      </c>
      <c r="M40" s="64">
        <v>84.12</v>
      </c>
      <c r="N40" s="64">
        <v>564.1</v>
      </c>
      <c r="O40" s="64">
        <v>0</v>
      </c>
      <c r="P40" s="64">
        <v>0.65</v>
      </c>
      <c r="Q40" s="64">
        <v>26.15</v>
      </c>
      <c r="R40" s="198"/>
      <c r="S40" s="198"/>
      <c r="T40" s="198"/>
      <c r="U40" s="198"/>
    </row>
    <row r="41" spans="1:21" s="12" customFormat="1" x14ac:dyDescent="0.25">
      <c r="A41" s="215" t="s">
        <v>2589</v>
      </c>
      <c r="B41" s="64">
        <v>15.81</v>
      </c>
      <c r="C41" s="64">
        <v>18.829999999999998</v>
      </c>
      <c r="D41" s="64">
        <v>23.72</v>
      </c>
      <c r="E41" s="64">
        <v>3.53</v>
      </c>
      <c r="F41" s="64">
        <v>5.62</v>
      </c>
      <c r="G41" s="217" t="s">
        <v>42</v>
      </c>
      <c r="H41" s="217" t="s">
        <v>42</v>
      </c>
      <c r="I41" s="216" t="s">
        <v>43</v>
      </c>
      <c r="J41" s="64">
        <v>1.79</v>
      </c>
      <c r="K41" s="64">
        <v>121.66</v>
      </c>
      <c r="L41" s="64">
        <v>26.15</v>
      </c>
      <c r="M41" s="64">
        <v>84.01</v>
      </c>
      <c r="N41" s="64">
        <v>588</v>
      </c>
      <c r="O41" s="64">
        <v>0</v>
      </c>
      <c r="P41" s="64">
        <v>0.64</v>
      </c>
      <c r="Q41" s="64">
        <v>26.78</v>
      </c>
      <c r="R41" s="198"/>
      <c r="S41" s="198"/>
      <c r="T41" s="198"/>
      <c r="U41" s="198"/>
    </row>
    <row r="42" spans="1:21" s="12" customFormat="1" x14ac:dyDescent="0.25">
      <c r="A42" s="215" t="s">
        <v>2590</v>
      </c>
      <c r="B42" s="64">
        <v>14.57</v>
      </c>
      <c r="C42" s="64">
        <v>19.71</v>
      </c>
      <c r="D42" s="64">
        <v>23.21</v>
      </c>
      <c r="E42" s="64">
        <v>3.45</v>
      </c>
      <c r="F42" s="64">
        <v>6.57</v>
      </c>
      <c r="G42" s="217" t="s">
        <v>42</v>
      </c>
      <c r="H42" s="217" t="s">
        <v>42</v>
      </c>
      <c r="I42" s="216" t="s">
        <v>43</v>
      </c>
      <c r="J42" s="64">
        <v>1.79</v>
      </c>
      <c r="K42" s="64">
        <v>118.49</v>
      </c>
      <c r="L42" s="64">
        <v>26.54</v>
      </c>
      <c r="M42" s="64">
        <v>80.8</v>
      </c>
      <c r="N42" s="64">
        <v>685.8</v>
      </c>
      <c r="O42" s="64">
        <v>0</v>
      </c>
      <c r="P42" s="64">
        <v>0.61</v>
      </c>
      <c r="Q42" s="64">
        <v>27.13</v>
      </c>
      <c r="R42" s="198"/>
      <c r="S42" s="198"/>
      <c r="T42" s="198"/>
      <c r="U42" s="198"/>
    </row>
    <row r="43" spans="1:21" s="12" customFormat="1" x14ac:dyDescent="0.25">
      <c r="A43" s="215" t="s">
        <v>2591</v>
      </c>
      <c r="B43" s="64">
        <v>11.17</v>
      </c>
      <c r="C43" s="64">
        <v>17.97</v>
      </c>
      <c r="D43" s="64">
        <v>19.52</v>
      </c>
      <c r="E43" s="64">
        <v>3.49</v>
      </c>
      <c r="F43" s="64">
        <v>10.28</v>
      </c>
      <c r="G43" s="217" t="s">
        <v>42</v>
      </c>
      <c r="H43" s="217" t="s">
        <v>42</v>
      </c>
      <c r="I43" s="216" t="s">
        <v>43</v>
      </c>
      <c r="J43" s="64">
        <v>1.32</v>
      </c>
      <c r="K43" s="64">
        <v>116.41</v>
      </c>
      <c r="L43" s="64">
        <v>26.99</v>
      </c>
      <c r="M43" s="64">
        <v>79.38</v>
      </c>
      <c r="N43" s="64">
        <v>653.1</v>
      </c>
      <c r="O43" s="64">
        <v>0</v>
      </c>
      <c r="P43" s="64">
        <v>0.5</v>
      </c>
      <c r="Q43" s="64">
        <v>28.77</v>
      </c>
      <c r="R43" s="198"/>
      <c r="S43" s="198"/>
      <c r="T43" s="198"/>
      <c r="U43" s="198"/>
    </row>
    <row r="44" spans="1:21" s="12" customFormat="1" x14ac:dyDescent="0.25">
      <c r="A44" s="215" t="s">
        <v>2592</v>
      </c>
      <c r="B44" s="64">
        <v>13.45</v>
      </c>
      <c r="C44" s="64">
        <v>19.52</v>
      </c>
      <c r="D44" s="64">
        <v>22.21</v>
      </c>
      <c r="E44" s="64">
        <v>3.13</v>
      </c>
      <c r="F44" s="64">
        <v>7.36</v>
      </c>
      <c r="G44" s="217" t="s">
        <v>42</v>
      </c>
      <c r="H44" s="217" t="s">
        <v>42</v>
      </c>
      <c r="I44" s="216" t="s">
        <v>43</v>
      </c>
      <c r="J44" s="64">
        <v>1.1000000000000001</v>
      </c>
      <c r="K44" s="64">
        <v>113.14</v>
      </c>
      <c r="L44" s="64">
        <v>27.28</v>
      </c>
      <c r="M44" s="64">
        <v>76.87</v>
      </c>
      <c r="N44" s="64">
        <v>713.2</v>
      </c>
      <c r="O44" s="64">
        <v>0</v>
      </c>
      <c r="P44" s="64">
        <v>0.55000000000000004</v>
      </c>
      <c r="Q44" s="64">
        <v>29.63</v>
      </c>
      <c r="R44" s="198"/>
      <c r="S44" s="198"/>
      <c r="T44" s="198"/>
      <c r="U44" s="198"/>
    </row>
    <row r="45" spans="1:21" s="12" customFormat="1" x14ac:dyDescent="0.25">
      <c r="A45" s="215" t="s">
        <v>2593</v>
      </c>
      <c r="B45" s="64">
        <v>12.95</v>
      </c>
      <c r="C45" s="64">
        <v>18.86</v>
      </c>
      <c r="D45" s="64">
        <v>21.44</v>
      </c>
      <c r="E45" s="64">
        <v>3.21</v>
      </c>
      <c r="F45" s="64">
        <v>6.52</v>
      </c>
      <c r="G45" s="217" t="s">
        <v>42</v>
      </c>
      <c r="H45" s="217" t="s">
        <v>42</v>
      </c>
      <c r="I45" s="216" t="s">
        <v>43</v>
      </c>
      <c r="J45" s="64">
        <v>1.82</v>
      </c>
      <c r="K45" s="64">
        <v>113.58</v>
      </c>
      <c r="L45" s="64">
        <v>27.25</v>
      </c>
      <c r="M45" s="64">
        <v>75.64</v>
      </c>
      <c r="N45" s="64">
        <v>732.2</v>
      </c>
      <c r="O45" s="64">
        <v>0</v>
      </c>
      <c r="P45" s="64">
        <v>0.54</v>
      </c>
      <c r="Q45" s="64">
        <v>29.55</v>
      </c>
      <c r="R45" s="198"/>
      <c r="S45" s="198"/>
      <c r="T45" s="198"/>
      <c r="U45" s="198"/>
    </row>
    <row r="46" spans="1:21" s="12" customFormat="1" x14ac:dyDescent="0.25">
      <c r="A46" s="215" t="s">
        <v>2594</v>
      </c>
      <c r="B46" s="64">
        <v>11.75</v>
      </c>
      <c r="C46" s="64">
        <v>18.5</v>
      </c>
      <c r="D46" s="64">
        <v>20.28</v>
      </c>
      <c r="E46" s="64">
        <v>3.38</v>
      </c>
      <c r="F46" s="64">
        <v>6.18</v>
      </c>
      <c r="G46" s="217" t="s">
        <v>42</v>
      </c>
      <c r="H46" s="217" t="s">
        <v>42</v>
      </c>
      <c r="I46" s="216" t="s">
        <v>43</v>
      </c>
      <c r="J46" s="64">
        <v>1.34</v>
      </c>
      <c r="K46" s="64">
        <v>114.3</v>
      </c>
      <c r="L46" s="64">
        <v>27.34</v>
      </c>
      <c r="M46" s="64">
        <v>73.34</v>
      </c>
      <c r="N46" s="64">
        <v>847.7</v>
      </c>
      <c r="O46" s="64">
        <v>0</v>
      </c>
      <c r="P46" s="64">
        <v>0.51</v>
      </c>
      <c r="Q46" s="64">
        <v>29.78</v>
      </c>
      <c r="R46" s="198"/>
      <c r="S46" s="198"/>
      <c r="T46" s="198"/>
      <c r="U46" s="198"/>
    </row>
    <row r="47" spans="1:21" s="12" customFormat="1" x14ac:dyDescent="0.25">
      <c r="A47" s="215" t="s">
        <v>2595</v>
      </c>
      <c r="B47" s="64">
        <v>13.11</v>
      </c>
      <c r="C47" s="64">
        <v>17.25</v>
      </c>
      <c r="D47" s="64">
        <v>20.68</v>
      </c>
      <c r="E47" s="64">
        <v>3.65</v>
      </c>
      <c r="F47" s="64">
        <v>5.13</v>
      </c>
      <c r="G47" s="217" t="s">
        <v>42</v>
      </c>
      <c r="H47" s="217" t="s">
        <v>42</v>
      </c>
      <c r="I47" s="216" t="s">
        <v>43</v>
      </c>
      <c r="J47" s="64">
        <v>1.95</v>
      </c>
      <c r="K47" s="64">
        <v>117.93</v>
      </c>
      <c r="L47" s="64">
        <v>27.38</v>
      </c>
      <c r="M47" s="64">
        <v>72.22</v>
      </c>
      <c r="N47" s="64">
        <v>855.6</v>
      </c>
      <c r="O47" s="64">
        <v>0</v>
      </c>
      <c r="P47" s="64">
        <v>0.49</v>
      </c>
      <c r="Q47" s="64">
        <v>29.59</v>
      </c>
      <c r="R47" s="198"/>
      <c r="S47" s="198"/>
      <c r="T47" s="198"/>
      <c r="U47" s="198"/>
    </row>
    <row r="48" spans="1:21" s="12" customFormat="1" x14ac:dyDescent="0.25">
      <c r="A48" s="215" t="s">
        <v>2596</v>
      </c>
      <c r="B48" s="64">
        <v>11.22</v>
      </c>
      <c r="C48" s="64">
        <v>18.579999999999998</v>
      </c>
      <c r="D48" s="64">
        <v>19.899999999999999</v>
      </c>
      <c r="E48" s="64">
        <v>3.58</v>
      </c>
      <c r="F48" s="64">
        <v>5.66</v>
      </c>
      <c r="G48" s="64">
        <v>23.81</v>
      </c>
      <c r="H48" s="64">
        <v>3.11</v>
      </c>
      <c r="I48" s="216" t="s">
        <v>43</v>
      </c>
      <c r="J48" s="64">
        <v>2.15</v>
      </c>
      <c r="K48" s="64">
        <v>118.95</v>
      </c>
      <c r="L48" s="64">
        <v>27.37</v>
      </c>
      <c r="M48" s="64">
        <v>71.900000000000006</v>
      </c>
      <c r="N48" s="64">
        <v>963.7</v>
      </c>
      <c r="O48" s="64">
        <v>0</v>
      </c>
      <c r="P48" s="64">
        <v>0.46</v>
      </c>
      <c r="Q48" s="64">
        <v>28.67</v>
      </c>
      <c r="R48" s="198"/>
      <c r="S48" s="198"/>
      <c r="T48" s="198"/>
      <c r="U48" s="198"/>
    </row>
    <row r="49" spans="1:21" s="12" customFormat="1" x14ac:dyDescent="0.25">
      <c r="A49" s="215" t="s">
        <v>2597</v>
      </c>
      <c r="B49" s="64">
        <v>11.51</v>
      </c>
      <c r="C49" s="64">
        <v>17.399999999999999</v>
      </c>
      <c r="D49" s="64">
        <v>19.48</v>
      </c>
      <c r="E49" s="64">
        <v>3.63</v>
      </c>
      <c r="F49" s="64">
        <v>6.48</v>
      </c>
      <c r="G49" s="64">
        <v>23.26</v>
      </c>
      <c r="H49" s="64">
        <v>3.11</v>
      </c>
      <c r="I49" s="216" t="s">
        <v>43</v>
      </c>
      <c r="J49" s="64">
        <v>1.0900000000000001</v>
      </c>
      <c r="K49" s="64">
        <v>105.4</v>
      </c>
      <c r="L49" s="64">
        <v>28.29</v>
      </c>
      <c r="M49" s="64">
        <v>70.849999999999994</v>
      </c>
      <c r="N49" s="64">
        <v>893.6</v>
      </c>
      <c r="O49" s="64">
        <v>0</v>
      </c>
      <c r="P49" s="64">
        <v>0.44</v>
      </c>
      <c r="Q49" s="64">
        <v>27.68</v>
      </c>
      <c r="R49" s="198"/>
      <c r="S49" s="198"/>
      <c r="T49" s="198"/>
      <c r="U49" s="198"/>
    </row>
    <row r="50" spans="1:21" s="12" customFormat="1" x14ac:dyDescent="0.25">
      <c r="A50" s="215" t="s">
        <v>2598</v>
      </c>
      <c r="B50" s="64">
        <v>10.55</v>
      </c>
      <c r="C50" s="64">
        <v>19.350000000000001</v>
      </c>
      <c r="D50" s="64">
        <v>19.79</v>
      </c>
      <c r="E50" s="64">
        <v>3.71</v>
      </c>
      <c r="F50" s="64">
        <v>5.52</v>
      </c>
      <c r="G50" s="64">
        <v>23.26</v>
      </c>
      <c r="H50" s="64">
        <v>3.11</v>
      </c>
      <c r="I50" s="216" t="s">
        <v>43</v>
      </c>
      <c r="J50" s="64">
        <v>1.02</v>
      </c>
      <c r="K50" s="64">
        <v>111.39</v>
      </c>
      <c r="L50" s="64">
        <v>28.06</v>
      </c>
      <c r="M50" s="64">
        <v>71.95</v>
      </c>
      <c r="N50" s="64">
        <v>831.6</v>
      </c>
      <c r="O50" s="64">
        <v>0</v>
      </c>
      <c r="P50" s="64">
        <v>0.43</v>
      </c>
      <c r="Q50" s="64">
        <v>27.22</v>
      </c>
      <c r="R50" s="198"/>
      <c r="S50" s="198"/>
      <c r="T50" s="198"/>
      <c r="U50" s="198"/>
    </row>
    <row r="51" spans="1:21" s="12" customFormat="1" x14ac:dyDescent="0.25">
      <c r="A51" s="215" t="s">
        <v>2599</v>
      </c>
      <c r="B51" s="64">
        <v>8.5299999999999994</v>
      </c>
      <c r="C51" s="64">
        <v>19.600000000000001</v>
      </c>
      <c r="D51" s="64">
        <v>18.309999999999999</v>
      </c>
      <c r="E51" s="64">
        <v>3.62</v>
      </c>
      <c r="F51" s="64">
        <v>10.19</v>
      </c>
      <c r="G51" s="64">
        <v>23.26</v>
      </c>
      <c r="H51" s="64">
        <v>3.11</v>
      </c>
      <c r="I51" s="216" t="s">
        <v>43</v>
      </c>
      <c r="J51" s="64">
        <v>1.1599999999999999</v>
      </c>
      <c r="K51" s="64">
        <v>108.55</v>
      </c>
      <c r="L51" s="64">
        <v>28.22</v>
      </c>
      <c r="M51" s="64">
        <v>69.510000000000005</v>
      </c>
      <c r="N51" s="64">
        <v>764.1</v>
      </c>
      <c r="O51" s="64">
        <v>0</v>
      </c>
      <c r="P51" s="64">
        <v>0.39</v>
      </c>
      <c r="Q51" s="64">
        <v>21.01</v>
      </c>
      <c r="R51" s="198"/>
      <c r="S51" s="198"/>
      <c r="T51" s="198"/>
      <c r="U51" s="198"/>
    </row>
    <row r="52" spans="1:21" s="12" customFormat="1" x14ac:dyDescent="0.25">
      <c r="A52" s="215" t="s">
        <v>2600</v>
      </c>
      <c r="B52" s="64">
        <v>4.4400000000000004</v>
      </c>
      <c r="C52" s="64">
        <v>19.23</v>
      </c>
      <c r="D52" s="64">
        <v>14.82</v>
      </c>
      <c r="E52" s="64">
        <v>3.08</v>
      </c>
      <c r="F52" s="64">
        <v>19.47</v>
      </c>
      <c r="G52" s="64">
        <v>23.26</v>
      </c>
      <c r="H52" s="64">
        <v>3.11</v>
      </c>
      <c r="I52" s="216" t="s">
        <v>43</v>
      </c>
      <c r="J52" s="64">
        <v>0.85</v>
      </c>
      <c r="K52" s="64">
        <v>110.47</v>
      </c>
      <c r="L52" s="64">
        <v>28.28</v>
      </c>
      <c r="M52" s="64">
        <v>69.02</v>
      </c>
      <c r="N52" s="64">
        <v>819.2</v>
      </c>
      <c r="O52" s="64">
        <v>0</v>
      </c>
      <c r="P52" s="64">
        <v>0.31</v>
      </c>
      <c r="Q52" s="64">
        <v>0.08</v>
      </c>
      <c r="R52" s="198"/>
      <c r="S52" s="198"/>
      <c r="T52" s="198"/>
      <c r="U52" s="198"/>
    </row>
    <row r="53" spans="1:21" s="12" customFormat="1" x14ac:dyDescent="0.25">
      <c r="A53" s="215" t="s">
        <v>2601</v>
      </c>
      <c r="B53" s="64">
        <v>7.16</v>
      </c>
      <c r="C53" s="64">
        <v>25.87</v>
      </c>
      <c r="D53" s="64">
        <v>20.66</v>
      </c>
      <c r="E53" s="64">
        <v>3.01</v>
      </c>
      <c r="F53" s="64">
        <v>18.22</v>
      </c>
      <c r="G53" s="64">
        <v>23.26</v>
      </c>
      <c r="H53" s="64">
        <v>3.11</v>
      </c>
      <c r="I53" s="216" t="s">
        <v>43</v>
      </c>
      <c r="J53" s="64">
        <v>0.87</v>
      </c>
      <c r="K53" s="64">
        <v>107.88</v>
      </c>
      <c r="L53" s="64">
        <v>29.13</v>
      </c>
      <c r="M53" s="64">
        <v>65.83</v>
      </c>
      <c r="N53" s="64">
        <v>1005.4</v>
      </c>
      <c r="O53" s="64">
        <v>0</v>
      </c>
      <c r="P53" s="64">
        <v>0.37</v>
      </c>
      <c r="Q53" s="217" t="s">
        <v>42</v>
      </c>
      <c r="R53" s="198"/>
      <c r="S53" s="198"/>
      <c r="T53" s="198"/>
      <c r="U53" s="198"/>
    </row>
    <row r="54" spans="1:21" s="12" customFormat="1" x14ac:dyDescent="0.25">
      <c r="A54" s="215" t="s">
        <v>2602</v>
      </c>
      <c r="B54" s="64">
        <v>2.1800000000000002</v>
      </c>
      <c r="C54" s="64">
        <v>20.47</v>
      </c>
      <c r="D54" s="64">
        <v>13.69</v>
      </c>
      <c r="E54" s="64">
        <v>3.07</v>
      </c>
      <c r="F54" s="64">
        <v>18.04</v>
      </c>
      <c r="G54" s="217" t="s">
        <v>42</v>
      </c>
      <c r="H54" s="217" t="s">
        <v>42</v>
      </c>
      <c r="I54" s="216" t="s">
        <v>43</v>
      </c>
      <c r="J54" s="64">
        <v>0.83</v>
      </c>
      <c r="K54" s="64">
        <v>90.92</v>
      </c>
      <c r="L54" s="64">
        <v>28.94</v>
      </c>
      <c r="M54" s="64">
        <v>66.62</v>
      </c>
      <c r="N54" s="64">
        <v>914.5</v>
      </c>
      <c r="O54" s="64">
        <v>0</v>
      </c>
      <c r="P54" s="64">
        <v>0.25</v>
      </c>
      <c r="Q54" s="217" t="s">
        <v>42</v>
      </c>
      <c r="R54" s="198"/>
      <c r="S54" s="198"/>
      <c r="T54" s="198"/>
      <c r="U54" s="198"/>
    </row>
    <row r="55" spans="1:21" s="12" customFormat="1" x14ac:dyDescent="0.25">
      <c r="A55" s="215" t="s">
        <v>2603</v>
      </c>
      <c r="B55" s="64">
        <v>3.24</v>
      </c>
      <c r="C55" s="64">
        <v>21.61</v>
      </c>
      <c r="D55" s="64">
        <v>15.17</v>
      </c>
      <c r="E55" s="64">
        <v>3.16</v>
      </c>
      <c r="F55" s="64">
        <v>12.58</v>
      </c>
      <c r="G55" s="217" t="s">
        <v>42</v>
      </c>
      <c r="H55" s="217" t="s">
        <v>42</v>
      </c>
      <c r="I55" s="216" t="s">
        <v>43</v>
      </c>
      <c r="J55" s="64">
        <v>0.67</v>
      </c>
      <c r="K55" s="64">
        <v>84.88</v>
      </c>
      <c r="L55" s="64">
        <v>30.17</v>
      </c>
      <c r="M55" s="64">
        <v>62.92</v>
      </c>
      <c r="N55" s="64">
        <v>742.8</v>
      </c>
      <c r="O55" s="64">
        <v>0</v>
      </c>
      <c r="P55" s="64">
        <v>0.33</v>
      </c>
      <c r="Q55" s="217" t="s">
        <v>42</v>
      </c>
      <c r="R55" s="198"/>
      <c r="S55" s="198"/>
      <c r="T55" s="198"/>
      <c r="U55" s="198"/>
    </row>
    <row r="56" spans="1:21" s="12" customFormat="1" x14ac:dyDescent="0.25">
      <c r="A56" s="215" t="s">
        <v>2604</v>
      </c>
      <c r="B56" s="64">
        <v>6.36</v>
      </c>
      <c r="C56" s="64">
        <v>20.43</v>
      </c>
      <c r="D56" s="64">
        <v>17.010000000000002</v>
      </c>
      <c r="E56" s="64">
        <v>1.49</v>
      </c>
      <c r="F56" s="64">
        <v>13.02</v>
      </c>
      <c r="G56" s="217" t="s">
        <v>42</v>
      </c>
      <c r="H56" s="217" t="s">
        <v>42</v>
      </c>
      <c r="I56" s="216" t="s">
        <v>43</v>
      </c>
      <c r="J56" s="64">
        <v>0.64</v>
      </c>
      <c r="K56" s="64">
        <v>98.48</v>
      </c>
      <c r="L56" s="64">
        <v>28.96</v>
      </c>
      <c r="M56" s="64">
        <v>66.16</v>
      </c>
      <c r="N56" s="64">
        <v>739</v>
      </c>
      <c r="O56" s="64">
        <v>0</v>
      </c>
      <c r="P56" s="64">
        <v>0.37</v>
      </c>
      <c r="Q56" s="64">
        <v>0.01</v>
      </c>
      <c r="R56" s="198"/>
      <c r="S56" s="198"/>
      <c r="T56" s="198"/>
      <c r="U56" s="198"/>
    </row>
    <row r="57" spans="1:21" s="12" customFormat="1" x14ac:dyDescent="0.25">
      <c r="A57" s="215" t="s">
        <v>2605</v>
      </c>
      <c r="B57" s="64">
        <v>5.92</v>
      </c>
      <c r="C57" s="64">
        <v>19.149999999999999</v>
      </c>
      <c r="D57" s="64">
        <v>15.96</v>
      </c>
      <c r="E57" s="64">
        <v>1.74</v>
      </c>
      <c r="F57" s="64">
        <v>10.89</v>
      </c>
      <c r="G57" s="217" t="s">
        <v>42</v>
      </c>
      <c r="H57" s="217" t="s">
        <v>42</v>
      </c>
      <c r="I57" s="216" t="s">
        <v>43</v>
      </c>
      <c r="J57" s="64">
        <v>0.55000000000000004</v>
      </c>
      <c r="K57" s="64">
        <v>95.57</v>
      </c>
      <c r="L57" s="64">
        <v>29.27</v>
      </c>
      <c r="M57" s="64">
        <v>66.010000000000005</v>
      </c>
      <c r="N57" s="64">
        <v>932</v>
      </c>
      <c r="O57" s="64">
        <v>0</v>
      </c>
      <c r="P57" s="64">
        <v>0.35</v>
      </c>
      <c r="Q57" s="64">
        <v>0.21</v>
      </c>
      <c r="R57" s="198"/>
      <c r="S57" s="198"/>
      <c r="T57" s="198"/>
      <c r="U57" s="198"/>
    </row>
    <row r="58" spans="1:21" s="12" customFormat="1" x14ac:dyDescent="0.25">
      <c r="A58" s="215" t="s">
        <v>2606</v>
      </c>
      <c r="B58" s="64">
        <v>5.14</v>
      </c>
      <c r="C58" s="64">
        <v>19.47</v>
      </c>
      <c r="D58" s="64">
        <v>15.51</v>
      </c>
      <c r="E58" s="64">
        <v>2.34</v>
      </c>
      <c r="F58" s="64">
        <v>12.1</v>
      </c>
      <c r="G58" s="64">
        <v>4.55</v>
      </c>
      <c r="H58" s="64">
        <v>2.4900000000000002</v>
      </c>
      <c r="I58" s="216" t="s">
        <v>43</v>
      </c>
      <c r="J58" s="64">
        <v>0.62</v>
      </c>
      <c r="K58" s="64">
        <v>32.450000000000003</v>
      </c>
      <c r="L58" s="64">
        <v>30.78</v>
      </c>
      <c r="M58" s="64">
        <v>60.18</v>
      </c>
      <c r="N58" s="64">
        <v>1013.5</v>
      </c>
      <c r="O58" s="64">
        <v>0</v>
      </c>
      <c r="P58" s="64">
        <v>0.38</v>
      </c>
      <c r="Q58" s="64">
        <v>0.1</v>
      </c>
      <c r="R58" s="198"/>
      <c r="S58" s="198"/>
      <c r="T58" s="198"/>
      <c r="U58" s="198"/>
    </row>
    <row r="59" spans="1:21" s="12" customFormat="1" x14ac:dyDescent="0.25">
      <c r="A59" s="215" t="s">
        <v>2607</v>
      </c>
      <c r="B59" s="64">
        <v>4.5999999999999996</v>
      </c>
      <c r="C59" s="64">
        <v>18.82</v>
      </c>
      <c r="D59" s="64">
        <v>14.72</v>
      </c>
      <c r="E59" s="64">
        <v>1.52</v>
      </c>
      <c r="F59" s="64">
        <v>8.94</v>
      </c>
      <c r="G59" s="64">
        <v>6.11</v>
      </c>
      <c r="H59" s="64">
        <v>3.3</v>
      </c>
      <c r="I59" s="216" t="s">
        <v>43</v>
      </c>
      <c r="J59" s="64">
        <v>1.68</v>
      </c>
      <c r="K59" s="64">
        <v>121.81</v>
      </c>
      <c r="L59" s="64">
        <v>29.31</v>
      </c>
      <c r="M59" s="64">
        <v>64.650000000000006</v>
      </c>
      <c r="N59" s="64">
        <v>687.7</v>
      </c>
      <c r="O59" s="64">
        <v>0</v>
      </c>
      <c r="P59" s="64">
        <v>0.34</v>
      </c>
      <c r="Q59" s="64">
        <v>2.14</v>
      </c>
      <c r="R59" s="198"/>
      <c r="S59" s="198"/>
      <c r="T59" s="198"/>
      <c r="U59" s="198"/>
    </row>
    <row r="60" spans="1:21" s="12" customFormat="1" x14ac:dyDescent="0.25">
      <c r="A60" s="215" t="s">
        <v>2608</v>
      </c>
      <c r="B60" s="64">
        <v>7.18</v>
      </c>
      <c r="C60" s="64">
        <v>22.81</v>
      </c>
      <c r="D60" s="64">
        <v>18.989999999999998</v>
      </c>
      <c r="E60" s="64">
        <v>2.14</v>
      </c>
      <c r="F60" s="64">
        <v>7.91</v>
      </c>
      <c r="G60" s="64">
        <v>6.11</v>
      </c>
      <c r="H60" s="64">
        <v>3.3</v>
      </c>
      <c r="I60" s="216" t="s">
        <v>43</v>
      </c>
      <c r="J60" s="64">
        <v>0.52</v>
      </c>
      <c r="K60" s="64">
        <v>89.45</v>
      </c>
      <c r="L60" s="64">
        <v>29.59</v>
      </c>
      <c r="M60" s="64">
        <v>64.08</v>
      </c>
      <c r="N60" s="64">
        <v>734</v>
      </c>
      <c r="O60" s="64">
        <v>0</v>
      </c>
      <c r="P60" s="64">
        <v>0.48</v>
      </c>
      <c r="Q60" s="64">
        <v>5.48</v>
      </c>
      <c r="R60" s="198"/>
      <c r="S60" s="198"/>
      <c r="T60" s="198"/>
      <c r="U60" s="198"/>
    </row>
    <row r="61" spans="1:21" s="12" customFormat="1" x14ac:dyDescent="0.25">
      <c r="A61" s="215" t="s">
        <v>2609</v>
      </c>
      <c r="B61" s="64">
        <v>6.44</v>
      </c>
      <c r="C61" s="64">
        <v>22.28</v>
      </c>
      <c r="D61" s="64">
        <v>18.11</v>
      </c>
      <c r="E61" s="64">
        <v>1.97</v>
      </c>
      <c r="F61" s="64">
        <v>7.45</v>
      </c>
      <c r="G61" s="64">
        <v>6.11</v>
      </c>
      <c r="H61" s="64">
        <v>3.3</v>
      </c>
      <c r="I61" s="216" t="s">
        <v>43</v>
      </c>
      <c r="J61" s="64">
        <v>0.54</v>
      </c>
      <c r="K61" s="64">
        <v>32.22</v>
      </c>
      <c r="L61" s="64">
        <v>29.96</v>
      </c>
      <c r="M61" s="64">
        <v>61.49</v>
      </c>
      <c r="N61" s="64">
        <v>711.2</v>
      </c>
      <c r="O61" s="64">
        <v>0</v>
      </c>
      <c r="P61" s="64">
        <v>0.41</v>
      </c>
      <c r="Q61" s="64">
        <v>5.56</v>
      </c>
      <c r="R61" s="198"/>
      <c r="S61" s="198"/>
      <c r="T61" s="198"/>
      <c r="U61" s="198"/>
    </row>
    <row r="62" spans="1:21" s="12" customFormat="1" x14ac:dyDescent="0.25">
      <c r="A62" s="215" t="s">
        <v>2610</v>
      </c>
      <c r="B62" s="64">
        <v>6.94</v>
      </c>
      <c r="C62" s="64">
        <v>23.42</v>
      </c>
      <c r="D62" s="64">
        <v>19.14</v>
      </c>
      <c r="E62" s="64">
        <v>2.41</v>
      </c>
      <c r="F62" s="64">
        <v>8.0299999999999994</v>
      </c>
      <c r="G62" s="64">
        <v>8.91</v>
      </c>
      <c r="H62" s="64">
        <v>7.36</v>
      </c>
      <c r="I62" s="216" t="s">
        <v>43</v>
      </c>
      <c r="J62" s="64">
        <v>0.57999999999999996</v>
      </c>
      <c r="K62" s="64">
        <v>48.59</v>
      </c>
      <c r="L62" s="64">
        <v>31.14</v>
      </c>
      <c r="M62" s="64">
        <v>58.21</v>
      </c>
      <c r="N62" s="64">
        <v>736</v>
      </c>
      <c r="O62" s="64">
        <v>0</v>
      </c>
      <c r="P62" s="64">
        <v>0.41</v>
      </c>
      <c r="Q62" s="64">
        <v>5.57</v>
      </c>
      <c r="R62" s="198"/>
      <c r="S62" s="198"/>
      <c r="T62" s="198"/>
      <c r="U62" s="198"/>
    </row>
    <row r="63" spans="1:21" s="12" customFormat="1" x14ac:dyDescent="0.25">
      <c r="A63" s="215" t="s">
        <v>2611</v>
      </c>
      <c r="B63" s="64">
        <v>6.91</v>
      </c>
      <c r="C63" s="64">
        <v>23.75</v>
      </c>
      <c r="D63" s="64">
        <v>19.3</v>
      </c>
      <c r="E63" s="64">
        <v>1.79</v>
      </c>
      <c r="F63" s="64">
        <v>7.95</v>
      </c>
      <c r="G63" s="64">
        <v>9.82</v>
      </c>
      <c r="H63" s="64">
        <v>8.4499999999999993</v>
      </c>
      <c r="I63" s="216" t="s">
        <v>43</v>
      </c>
      <c r="J63" s="64">
        <v>1.21</v>
      </c>
      <c r="K63" s="64">
        <v>14.05</v>
      </c>
      <c r="L63" s="64">
        <v>30.75</v>
      </c>
      <c r="M63" s="64">
        <v>58.84</v>
      </c>
      <c r="N63" s="64">
        <v>759.4</v>
      </c>
      <c r="O63" s="64">
        <v>0</v>
      </c>
      <c r="P63" s="64">
        <v>0.4</v>
      </c>
      <c r="Q63" s="64">
        <v>5.62</v>
      </c>
      <c r="R63" s="198"/>
      <c r="S63" s="198"/>
      <c r="T63" s="198"/>
      <c r="U63" s="198"/>
    </row>
    <row r="64" spans="1:21" s="12" customFormat="1" x14ac:dyDescent="0.25">
      <c r="A64" s="215" t="s">
        <v>2612</v>
      </c>
      <c r="B64" s="64">
        <v>6.41</v>
      </c>
      <c r="C64" s="64">
        <v>24.55</v>
      </c>
      <c r="D64" s="64">
        <v>19.329999999999998</v>
      </c>
      <c r="E64" s="64">
        <v>1.68</v>
      </c>
      <c r="F64" s="64">
        <v>6.8</v>
      </c>
      <c r="G64" s="64">
        <v>9.82</v>
      </c>
      <c r="H64" s="64">
        <v>8.4499999999999993</v>
      </c>
      <c r="I64" s="216" t="s">
        <v>43</v>
      </c>
      <c r="J64" s="64">
        <v>1.64</v>
      </c>
      <c r="K64" s="64">
        <v>7.79</v>
      </c>
      <c r="L64" s="64">
        <v>31.78</v>
      </c>
      <c r="M64" s="64">
        <v>55.71</v>
      </c>
      <c r="N64" s="64">
        <v>681.2</v>
      </c>
      <c r="O64" s="64">
        <v>0</v>
      </c>
      <c r="P64" s="64">
        <v>0.38</v>
      </c>
      <c r="Q64" s="64">
        <v>5</v>
      </c>
      <c r="R64" s="198"/>
      <c r="S64" s="198"/>
      <c r="T64" s="198"/>
      <c r="U64" s="198"/>
    </row>
    <row r="65" spans="1:21" s="12" customFormat="1" x14ac:dyDescent="0.25">
      <c r="A65" s="215" t="s">
        <v>2613</v>
      </c>
      <c r="B65" s="64">
        <v>7.28</v>
      </c>
      <c r="C65" s="64">
        <v>26.79</v>
      </c>
      <c r="D65" s="64">
        <v>21.27</v>
      </c>
      <c r="E65" s="64">
        <v>1.94</v>
      </c>
      <c r="F65" s="64">
        <v>5.89</v>
      </c>
      <c r="G65" s="64">
        <v>9.82</v>
      </c>
      <c r="H65" s="64">
        <v>8.4499999999999993</v>
      </c>
      <c r="I65" s="216" t="s">
        <v>43</v>
      </c>
      <c r="J65" s="64">
        <v>1.67</v>
      </c>
      <c r="K65" s="64">
        <v>5.07</v>
      </c>
      <c r="L65" s="64">
        <v>32.4</v>
      </c>
      <c r="M65" s="64">
        <v>55.38</v>
      </c>
      <c r="N65" s="64">
        <v>778.1</v>
      </c>
      <c r="O65" s="64">
        <v>0</v>
      </c>
      <c r="P65" s="64">
        <v>0.39</v>
      </c>
      <c r="Q65" s="64">
        <v>4.79</v>
      </c>
      <c r="R65" s="198"/>
      <c r="S65" s="198"/>
      <c r="T65" s="198"/>
      <c r="U65" s="198"/>
    </row>
    <row r="66" spans="1:21" s="12" customFormat="1" x14ac:dyDescent="0.25">
      <c r="A66" s="215" t="s">
        <v>2614</v>
      </c>
      <c r="B66" s="64">
        <v>9.4499999999999993</v>
      </c>
      <c r="C66" s="64">
        <v>27.56</v>
      </c>
      <c r="D66" s="64">
        <v>23.44</v>
      </c>
      <c r="E66" s="64">
        <v>1.52</v>
      </c>
      <c r="F66" s="64">
        <v>11.88</v>
      </c>
      <c r="G66" s="64">
        <v>32.4</v>
      </c>
      <c r="H66" s="64">
        <v>6.59</v>
      </c>
      <c r="I66" s="216" t="s">
        <v>43</v>
      </c>
      <c r="J66" s="64">
        <v>0.64</v>
      </c>
      <c r="K66" s="64">
        <v>24.28</v>
      </c>
      <c r="L66" s="64">
        <v>31.36</v>
      </c>
      <c r="M66" s="64">
        <v>56.8</v>
      </c>
      <c r="N66" s="64">
        <v>710.7</v>
      </c>
      <c r="O66" s="64">
        <v>0</v>
      </c>
      <c r="P66" s="64">
        <v>0.39</v>
      </c>
      <c r="Q66" s="64">
        <v>5.27</v>
      </c>
      <c r="R66" s="198"/>
      <c r="S66" s="198"/>
      <c r="T66" s="198"/>
      <c r="U66" s="198"/>
    </row>
    <row r="67" spans="1:21" s="12" customFormat="1" x14ac:dyDescent="0.25">
      <c r="A67" s="215" t="s">
        <v>2615</v>
      </c>
      <c r="B67" s="64">
        <v>7.1</v>
      </c>
      <c r="C67" s="64">
        <v>24.35</v>
      </c>
      <c r="D67" s="64">
        <v>19.78</v>
      </c>
      <c r="E67" s="64">
        <v>1.8</v>
      </c>
      <c r="F67" s="64">
        <v>18.57</v>
      </c>
      <c r="G67" s="64">
        <v>39.71</v>
      </c>
      <c r="H67" s="64">
        <v>6.59</v>
      </c>
      <c r="I67" s="216" t="s">
        <v>43</v>
      </c>
      <c r="J67" s="64">
        <v>0.7</v>
      </c>
      <c r="K67" s="64">
        <v>18.309999999999999</v>
      </c>
      <c r="L67" s="64">
        <v>31.37</v>
      </c>
      <c r="M67" s="64">
        <v>56.89</v>
      </c>
      <c r="N67" s="64">
        <v>686.7</v>
      </c>
      <c r="O67" s="64">
        <v>0</v>
      </c>
      <c r="P67" s="64">
        <v>0.37</v>
      </c>
      <c r="Q67" s="64">
        <v>7.11</v>
      </c>
      <c r="R67" s="198"/>
      <c r="S67" s="198"/>
      <c r="T67" s="198"/>
      <c r="U67" s="198"/>
    </row>
    <row r="68" spans="1:21" s="12" customFormat="1" x14ac:dyDescent="0.25">
      <c r="A68" s="215" t="s">
        <v>2616</v>
      </c>
      <c r="B68" s="64">
        <v>8.41</v>
      </c>
      <c r="C68" s="64">
        <v>26.19</v>
      </c>
      <c r="D68" s="64">
        <v>21.84</v>
      </c>
      <c r="E68" s="64">
        <v>1.77</v>
      </c>
      <c r="F68" s="64">
        <v>21.85</v>
      </c>
      <c r="G68" s="64">
        <v>39.71</v>
      </c>
      <c r="H68" s="64">
        <v>6.59</v>
      </c>
      <c r="I68" s="216" t="s">
        <v>43</v>
      </c>
      <c r="J68" s="64">
        <v>0.55000000000000004</v>
      </c>
      <c r="K68" s="64">
        <v>44.79</v>
      </c>
      <c r="L68" s="64">
        <v>30.73</v>
      </c>
      <c r="M68" s="64">
        <v>58.51</v>
      </c>
      <c r="N68" s="64">
        <v>405.2</v>
      </c>
      <c r="O68" s="64">
        <v>0</v>
      </c>
      <c r="P68" s="64">
        <v>0.38</v>
      </c>
      <c r="Q68" s="64">
        <v>6.51</v>
      </c>
      <c r="R68" s="198"/>
      <c r="S68" s="198"/>
      <c r="T68" s="198"/>
      <c r="U68" s="198"/>
    </row>
    <row r="69" spans="1:21" s="12" customFormat="1" x14ac:dyDescent="0.25">
      <c r="A69" s="215" t="s">
        <v>2617</v>
      </c>
      <c r="B69" s="64">
        <v>6.29</v>
      </c>
      <c r="C69" s="64">
        <v>25.44</v>
      </c>
      <c r="D69" s="64">
        <v>19.73</v>
      </c>
      <c r="E69" s="64">
        <v>2.34</v>
      </c>
      <c r="F69" s="64">
        <v>16.18</v>
      </c>
      <c r="G69" s="64">
        <v>39.71</v>
      </c>
      <c r="H69" s="64">
        <v>6.59</v>
      </c>
      <c r="I69" s="216" t="s">
        <v>43</v>
      </c>
      <c r="J69" s="64">
        <v>0.85</v>
      </c>
      <c r="K69" s="64">
        <v>61</v>
      </c>
      <c r="L69" s="64">
        <v>30.15</v>
      </c>
      <c r="M69" s="64">
        <v>59.18</v>
      </c>
      <c r="N69" s="64">
        <v>274.10000000000002</v>
      </c>
      <c r="O69" s="64">
        <v>0</v>
      </c>
      <c r="P69" s="64">
        <v>0.39</v>
      </c>
      <c r="Q69" s="64">
        <v>7.66</v>
      </c>
      <c r="R69" s="198"/>
      <c r="S69" s="198"/>
      <c r="T69" s="198"/>
      <c r="U69" s="198"/>
    </row>
    <row r="70" spans="1:21" s="12" customFormat="1" x14ac:dyDescent="0.25">
      <c r="A70" s="215" t="s">
        <v>2618</v>
      </c>
      <c r="B70" s="64">
        <v>7.52</v>
      </c>
      <c r="C70" s="64">
        <v>26.06</v>
      </c>
      <c r="D70" s="64">
        <v>21.06</v>
      </c>
      <c r="E70" s="64">
        <v>2.5099999999999998</v>
      </c>
      <c r="F70" s="64">
        <v>14.18</v>
      </c>
      <c r="G70" s="64">
        <v>43.44</v>
      </c>
      <c r="H70" s="64">
        <v>5.29</v>
      </c>
      <c r="I70" s="216" t="s">
        <v>43</v>
      </c>
      <c r="J70" s="64">
        <v>0.95</v>
      </c>
      <c r="K70" s="64">
        <v>101.82</v>
      </c>
      <c r="L70" s="64">
        <v>30.17</v>
      </c>
      <c r="M70" s="64">
        <v>59.02</v>
      </c>
      <c r="N70" s="64">
        <v>234.4</v>
      </c>
      <c r="O70" s="64">
        <v>0</v>
      </c>
      <c r="P70" s="64">
        <v>0.36</v>
      </c>
      <c r="Q70" s="64">
        <v>8.2799999999999994</v>
      </c>
      <c r="R70" s="198"/>
      <c r="S70" s="198"/>
      <c r="T70" s="198"/>
      <c r="U70" s="198"/>
    </row>
    <row r="71" spans="1:21" s="12" customFormat="1" x14ac:dyDescent="0.25">
      <c r="A71" s="215" t="s">
        <v>2619</v>
      </c>
      <c r="B71" s="64">
        <v>8.2799999999999994</v>
      </c>
      <c r="C71" s="64">
        <v>26.74</v>
      </c>
      <c r="D71" s="64">
        <v>22.04</v>
      </c>
      <c r="E71" s="64">
        <v>2.66</v>
      </c>
      <c r="F71" s="64">
        <v>9.25</v>
      </c>
      <c r="G71" s="64">
        <v>44.65</v>
      </c>
      <c r="H71" s="64">
        <v>5.29</v>
      </c>
      <c r="I71" s="216" t="s">
        <v>43</v>
      </c>
      <c r="J71" s="64">
        <v>0.46</v>
      </c>
      <c r="K71" s="64">
        <v>37.32</v>
      </c>
      <c r="L71" s="64">
        <v>30.17</v>
      </c>
      <c r="M71" s="64">
        <v>59.69</v>
      </c>
      <c r="N71" s="64">
        <v>360.5</v>
      </c>
      <c r="O71" s="64">
        <v>0</v>
      </c>
      <c r="P71" s="64">
        <v>0.39</v>
      </c>
      <c r="Q71" s="64">
        <v>8.8800000000000008</v>
      </c>
      <c r="R71" s="198"/>
      <c r="S71" s="198"/>
      <c r="T71" s="198"/>
      <c r="U71" s="198"/>
    </row>
    <row r="72" spans="1:21" s="12" customFormat="1" x14ac:dyDescent="0.25">
      <c r="A72" s="215" t="s">
        <v>2620</v>
      </c>
      <c r="B72" s="64">
        <v>7.36</v>
      </c>
      <c r="C72" s="64">
        <v>27.25</v>
      </c>
      <c r="D72" s="64">
        <v>21.58</v>
      </c>
      <c r="E72" s="64">
        <v>1.96</v>
      </c>
      <c r="F72" s="64">
        <v>10.43</v>
      </c>
      <c r="G72" s="64">
        <v>44.65</v>
      </c>
      <c r="H72" s="64">
        <v>5.29</v>
      </c>
      <c r="I72" s="216" t="s">
        <v>43</v>
      </c>
      <c r="J72" s="64">
        <v>0.64</v>
      </c>
      <c r="K72" s="64">
        <v>57.42</v>
      </c>
      <c r="L72" s="64">
        <v>29.61</v>
      </c>
      <c r="M72" s="64">
        <v>62.08</v>
      </c>
      <c r="N72" s="64">
        <v>388.8</v>
      </c>
      <c r="O72" s="64">
        <v>0</v>
      </c>
      <c r="P72" s="64">
        <v>0.36</v>
      </c>
      <c r="Q72" s="64">
        <v>8.57</v>
      </c>
      <c r="R72" s="198"/>
      <c r="S72" s="198"/>
      <c r="T72" s="198"/>
      <c r="U72" s="198"/>
    </row>
    <row r="73" spans="1:21" s="12" customFormat="1" x14ac:dyDescent="0.25">
      <c r="A73" s="215" t="s">
        <v>2621</v>
      </c>
      <c r="B73" s="64">
        <v>12.07</v>
      </c>
      <c r="C73" s="64">
        <v>27.02</v>
      </c>
      <c r="D73" s="64">
        <v>24.36</v>
      </c>
      <c r="E73" s="64">
        <v>1.62</v>
      </c>
      <c r="F73" s="64">
        <v>9.86</v>
      </c>
      <c r="G73" s="64">
        <v>44.65</v>
      </c>
      <c r="H73" s="64">
        <v>5.29</v>
      </c>
      <c r="I73" s="216" t="s">
        <v>43</v>
      </c>
      <c r="J73" s="64">
        <v>0.45</v>
      </c>
      <c r="K73" s="64">
        <v>61.18</v>
      </c>
      <c r="L73" s="64">
        <v>29.87</v>
      </c>
      <c r="M73" s="64">
        <v>61.32</v>
      </c>
      <c r="N73" s="64">
        <v>400</v>
      </c>
      <c r="O73" s="64">
        <v>0</v>
      </c>
      <c r="P73" s="64">
        <v>0.39</v>
      </c>
      <c r="Q73" s="64">
        <v>7.73</v>
      </c>
      <c r="R73" s="198"/>
      <c r="S73" s="198"/>
      <c r="T73" s="198"/>
      <c r="U73" s="198"/>
    </row>
    <row r="74" spans="1:21" s="12" customFormat="1" x14ac:dyDescent="0.25">
      <c r="A74" s="215" t="s">
        <v>2622</v>
      </c>
      <c r="B74" s="64">
        <v>9.52</v>
      </c>
      <c r="C74" s="64">
        <v>29.81</v>
      </c>
      <c r="D74" s="64">
        <v>24.74</v>
      </c>
      <c r="E74" s="64">
        <v>1.58</v>
      </c>
      <c r="F74" s="64">
        <v>9.98</v>
      </c>
      <c r="G74" s="64">
        <v>50.4</v>
      </c>
      <c r="H74" s="64">
        <v>28.56</v>
      </c>
      <c r="I74" s="216" t="s">
        <v>43</v>
      </c>
      <c r="J74" s="64">
        <v>1</v>
      </c>
      <c r="K74" s="64">
        <v>14.76</v>
      </c>
      <c r="L74" s="64">
        <v>30.15</v>
      </c>
      <c r="M74" s="64">
        <v>60.31</v>
      </c>
      <c r="N74" s="64">
        <v>189.5</v>
      </c>
      <c r="O74" s="64">
        <v>0</v>
      </c>
      <c r="P74" s="64">
        <v>0.41</v>
      </c>
      <c r="Q74" s="64">
        <v>8.69</v>
      </c>
      <c r="R74" s="198"/>
      <c r="S74" s="198"/>
      <c r="T74" s="198"/>
      <c r="U74" s="198"/>
    </row>
    <row r="75" spans="1:21" s="12" customFormat="1" x14ac:dyDescent="0.25">
      <c r="A75" s="215" t="s">
        <v>2623</v>
      </c>
      <c r="B75" s="64">
        <v>7.92</v>
      </c>
      <c r="C75" s="64">
        <v>30.7</v>
      </c>
      <c r="D75" s="64">
        <v>23.94</v>
      </c>
      <c r="E75" s="64">
        <v>2.19</v>
      </c>
      <c r="F75" s="64">
        <v>14.67</v>
      </c>
      <c r="G75" s="64">
        <v>52.26</v>
      </c>
      <c r="H75" s="64">
        <v>28.56</v>
      </c>
      <c r="I75" s="216" t="s">
        <v>43</v>
      </c>
      <c r="J75" s="64">
        <v>0.5</v>
      </c>
      <c r="K75" s="64">
        <v>61.72</v>
      </c>
      <c r="L75" s="64">
        <v>29.98</v>
      </c>
      <c r="M75" s="64">
        <v>61.09</v>
      </c>
      <c r="N75" s="64">
        <v>127.2</v>
      </c>
      <c r="O75" s="64">
        <v>0</v>
      </c>
      <c r="P75" s="64">
        <v>0.4</v>
      </c>
      <c r="Q75" s="64">
        <v>8.2899999999999991</v>
      </c>
      <c r="R75" s="198"/>
      <c r="S75" s="198"/>
      <c r="T75" s="198"/>
      <c r="U75" s="198"/>
    </row>
    <row r="76" spans="1:21" s="12" customFormat="1" x14ac:dyDescent="0.25">
      <c r="A76" s="215" t="s">
        <v>2624</v>
      </c>
      <c r="B76" s="64">
        <v>7.26</v>
      </c>
      <c r="C76" s="64">
        <v>29.75</v>
      </c>
      <c r="D76" s="64">
        <v>22.88</v>
      </c>
      <c r="E76" s="64">
        <v>1.76</v>
      </c>
      <c r="F76" s="64">
        <v>12.74</v>
      </c>
      <c r="G76" s="64">
        <v>52.26</v>
      </c>
      <c r="H76" s="64">
        <v>28.56</v>
      </c>
      <c r="I76" s="216" t="s">
        <v>43</v>
      </c>
      <c r="J76" s="64">
        <v>0.38</v>
      </c>
      <c r="K76" s="64">
        <v>80.510000000000005</v>
      </c>
      <c r="L76" s="64">
        <v>29.7</v>
      </c>
      <c r="M76" s="64">
        <v>62.1</v>
      </c>
      <c r="N76" s="64">
        <v>106.9</v>
      </c>
      <c r="O76" s="64">
        <v>0</v>
      </c>
      <c r="P76" s="64">
        <v>0.42</v>
      </c>
      <c r="Q76" s="64">
        <v>7.91</v>
      </c>
      <c r="R76" s="198"/>
      <c r="S76" s="198"/>
      <c r="T76" s="198"/>
      <c r="U76" s="198"/>
    </row>
    <row r="77" spans="1:21" s="12" customFormat="1" x14ac:dyDescent="0.25">
      <c r="A77" s="215" t="s">
        <v>2625</v>
      </c>
      <c r="B77" s="64">
        <v>8.75</v>
      </c>
      <c r="C77" s="64">
        <v>30.84</v>
      </c>
      <c r="D77" s="64">
        <v>24.68</v>
      </c>
      <c r="E77" s="64">
        <v>2.14</v>
      </c>
      <c r="F77" s="64">
        <v>9.3000000000000007</v>
      </c>
      <c r="G77" s="64">
        <v>52.26</v>
      </c>
      <c r="H77" s="64">
        <v>28.56</v>
      </c>
      <c r="I77" s="216" t="s">
        <v>43</v>
      </c>
      <c r="J77" s="64">
        <v>0.83</v>
      </c>
      <c r="K77" s="64">
        <v>85.92</v>
      </c>
      <c r="L77" s="64">
        <v>29.66</v>
      </c>
      <c r="M77" s="64">
        <v>62.09</v>
      </c>
      <c r="N77" s="64">
        <v>104.3</v>
      </c>
      <c r="O77" s="64">
        <v>0</v>
      </c>
      <c r="P77" s="64">
        <v>0.41</v>
      </c>
      <c r="Q77" s="64">
        <v>9</v>
      </c>
      <c r="R77" s="198"/>
      <c r="S77" s="198"/>
      <c r="T77" s="198"/>
      <c r="U77" s="198"/>
    </row>
    <row r="78" spans="1:21" s="12" customFormat="1" x14ac:dyDescent="0.25">
      <c r="A78" s="215" t="s">
        <v>2626</v>
      </c>
      <c r="B78" s="64">
        <v>9.23</v>
      </c>
      <c r="C78" s="64">
        <v>34.630000000000003</v>
      </c>
      <c r="D78" s="64">
        <v>27.15</v>
      </c>
      <c r="E78" s="64">
        <v>2.4500000000000002</v>
      </c>
      <c r="F78" s="64">
        <v>22.47</v>
      </c>
      <c r="G78" s="64">
        <v>58.18</v>
      </c>
      <c r="H78" s="64">
        <v>27.45</v>
      </c>
      <c r="I78" s="216" t="s">
        <v>43</v>
      </c>
      <c r="J78" s="64">
        <v>0.62</v>
      </c>
      <c r="K78" s="64">
        <v>27.06</v>
      </c>
      <c r="L78" s="64">
        <v>29.46</v>
      </c>
      <c r="M78" s="64">
        <v>63.08</v>
      </c>
      <c r="N78" s="64">
        <v>91.1</v>
      </c>
      <c r="O78" s="64">
        <v>0</v>
      </c>
      <c r="P78" s="64">
        <v>0.47</v>
      </c>
      <c r="Q78" s="64">
        <v>10.71</v>
      </c>
      <c r="R78" s="198"/>
      <c r="S78" s="198"/>
      <c r="T78" s="198"/>
      <c r="U78" s="198"/>
    </row>
    <row r="79" spans="1:21" s="12" customFormat="1" x14ac:dyDescent="0.25">
      <c r="A79" s="215" t="s">
        <v>2627</v>
      </c>
      <c r="B79" s="64">
        <v>8.35</v>
      </c>
      <c r="C79" s="64">
        <v>38.49</v>
      </c>
      <c r="D79" s="64">
        <v>28.58</v>
      </c>
      <c r="E79" s="64">
        <v>2.19</v>
      </c>
      <c r="F79" s="64">
        <v>25</v>
      </c>
      <c r="G79" s="64">
        <v>60.1</v>
      </c>
      <c r="H79" s="64">
        <v>27.35</v>
      </c>
      <c r="I79" s="216" t="s">
        <v>43</v>
      </c>
      <c r="J79" s="64">
        <v>0.82</v>
      </c>
      <c r="K79" s="64">
        <v>108.92</v>
      </c>
      <c r="L79" s="64">
        <v>29.17</v>
      </c>
      <c r="M79" s="64">
        <v>63.94</v>
      </c>
      <c r="N79" s="64">
        <v>78.900000000000006</v>
      </c>
      <c r="O79" s="64">
        <v>0</v>
      </c>
      <c r="P79" s="64">
        <v>0.48</v>
      </c>
      <c r="Q79" s="64">
        <v>12.06</v>
      </c>
      <c r="R79" s="198"/>
      <c r="S79" s="198"/>
      <c r="T79" s="198"/>
      <c r="U79" s="198"/>
    </row>
    <row r="80" spans="1:21" s="12" customFormat="1" x14ac:dyDescent="0.25">
      <c r="A80" s="215" t="s">
        <v>2628</v>
      </c>
      <c r="B80" s="64">
        <v>12.1</v>
      </c>
      <c r="C80" s="64">
        <v>41.27</v>
      </c>
      <c r="D80" s="64">
        <v>33.130000000000003</v>
      </c>
      <c r="E80" s="64">
        <v>2.14</v>
      </c>
      <c r="F80" s="64">
        <v>27.25</v>
      </c>
      <c r="G80" s="64">
        <v>60.1</v>
      </c>
      <c r="H80" s="64">
        <v>27.35</v>
      </c>
      <c r="I80" s="216" t="s">
        <v>43</v>
      </c>
      <c r="J80" s="64">
        <v>0.76</v>
      </c>
      <c r="K80" s="64">
        <v>114.54</v>
      </c>
      <c r="L80" s="64">
        <v>28.93</v>
      </c>
      <c r="M80" s="64">
        <v>64.87</v>
      </c>
      <c r="N80" s="64">
        <v>66.599999999999994</v>
      </c>
      <c r="O80" s="64">
        <v>0</v>
      </c>
      <c r="P80" s="64">
        <v>0.42</v>
      </c>
      <c r="Q80" s="64">
        <v>13.02</v>
      </c>
      <c r="R80" s="198"/>
      <c r="S80" s="198"/>
      <c r="T80" s="198"/>
      <c r="U80" s="198"/>
    </row>
    <row r="81" spans="1:26" s="12" customFormat="1" x14ac:dyDescent="0.25">
      <c r="A81" s="215" t="s">
        <v>2629</v>
      </c>
      <c r="B81" s="64">
        <v>8.85</v>
      </c>
      <c r="C81" s="64">
        <v>41.06</v>
      </c>
      <c r="D81" s="64">
        <v>30.4</v>
      </c>
      <c r="E81" s="64">
        <v>2.66</v>
      </c>
      <c r="F81" s="64">
        <v>27.26</v>
      </c>
      <c r="G81" s="64">
        <v>60.1</v>
      </c>
      <c r="H81" s="64">
        <v>27.35</v>
      </c>
      <c r="I81" s="216" t="s">
        <v>43</v>
      </c>
      <c r="J81" s="64">
        <v>0.45</v>
      </c>
      <c r="K81" s="64">
        <v>108.23</v>
      </c>
      <c r="L81" s="64">
        <v>28.78</v>
      </c>
      <c r="M81" s="64">
        <v>65.47</v>
      </c>
      <c r="N81" s="64">
        <v>47</v>
      </c>
      <c r="O81" s="64">
        <v>0</v>
      </c>
      <c r="P81" s="64">
        <v>0.52</v>
      </c>
      <c r="Q81" s="64">
        <v>13.86</v>
      </c>
      <c r="R81" s="198"/>
      <c r="S81" s="198"/>
      <c r="T81" s="198"/>
      <c r="U81" s="198"/>
    </row>
    <row r="82" spans="1:26" s="12" customFormat="1" x14ac:dyDescent="0.25">
      <c r="A82" s="215" t="s">
        <v>2630</v>
      </c>
      <c r="B82" s="64">
        <v>10.220000000000001</v>
      </c>
      <c r="C82" s="64">
        <v>40.869999999999997</v>
      </c>
      <c r="D82" s="64">
        <v>31.4</v>
      </c>
      <c r="E82" s="64">
        <v>2.29</v>
      </c>
      <c r="F82" s="64">
        <v>22.43</v>
      </c>
      <c r="G82" s="64">
        <v>62.61</v>
      </c>
      <c r="H82" s="64">
        <v>21.35</v>
      </c>
      <c r="I82" s="216" t="s">
        <v>43</v>
      </c>
      <c r="J82" s="64">
        <v>0.81</v>
      </c>
      <c r="K82" s="64">
        <v>110.74</v>
      </c>
      <c r="L82" s="64">
        <v>28.63</v>
      </c>
      <c r="M82" s="64">
        <v>65.61</v>
      </c>
      <c r="N82" s="64">
        <v>32.200000000000003</v>
      </c>
      <c r="O82" s="64">
        <v>0</v>
      </c>
      <c r="P82" s="64">
        <v>0.63</v>
      </c>
      <c r="Q82" s="64">
        <v>0.3</v>
      </c>
      <c r="R82" s="198"/>
      <c r="S82" s="198"/>
      <c r="T82" s="198"/>
      <c r="U82" s="198"/>
    </row>
    <row r="83" spans="1:26" s="12" customFormat="1" x14ac:dyDescent="0.25">
      <c r="A83" s="215" t="s">
        <v>2631</v>
      </c>
      <c r="B83" s="64">
        <v>8.49</v>
      </c>
      <c r="C83" s="64">
        <v>37.33</v>
      </c>
      <c r="D83" s="64">
        <v>28.05</v>
      </c>
      <c r="E83" s="64">
        <v>1.95</v>
      </c>
      <c r="F83" s="64">
        <v>20.07</v>
      </c>
      <c r="G83" s="64">
        <v>64.89</v>
      </c>
      <c r="H83" s="64">
        <v>21.35</v>
      </c>
      <c r="I83" s="216" t="s">
        <v>43</v>
      </c>
      <c r="J83" s="64">
        <v>0.35</v>
      </c>
      <c r="K83" s="64">
        <v>105.61</v>
      </c>
      <c r="L83" s="64">
        <v>28.35</v>
      </c>
      <c r="M83" s="64">
        <v>67.3</v>
      </c>
      <c r="N83" s="64">
        <v>24.5</v>
      </c>
      <c r="O83" s="64">
        <v>0</v>
      </c>
      <c r="P83" s="64">
        <v>0.61</v>
      </c>
      <c r="Q83" s="64">
        <v>14.6</v>
      </c>
      <c r="R83" s="198"/>
      <c r="S83" s="198"/>
      <c r="T83" s="198"/>
      <c r="U83" s="198"/>
    </row>
    <row r="84" spans="1:26" s="12" customFormat="1" x14ac:dyDescent="0.25">
      <c r="A84" s="215" t="s">
        <v>2632</v>
      </c>
      <c r="B84" s="64">
        <v>8.49</v>
      </c>
      <c r="C84" s="64">
        <v>37.33</v>
      </c>
      <c r="D84" s="64">
        <v>28.05</v>
      </c>
      <c r="E84" s="64">
        <v>1.95</v>
      </c>
      <c r="F84" s="64">
        <v>20.07</v>
      </c>
      <c r="G84" s="64">
        <v>64.89</v>
      </c>
      <c r="H84" s="64">
        <v>21.35</v>
      </c>
      <c r="I84" s="216" t="s">
        <v>43</v>
      </c>
      <c r="J84" s="64">
        <v>0.35</v>
      </c>
      <c r="K84" s="64">
        <v>105.61</v>
      </c>
      <c r="L84" s="64">
        <v>28.35</v>
      </c>
      <c r="M84" s="64">
        <v>67.3</v>
      </c>
      <c r="N84" s="64">
        <v>24.5</v>
      </c>
      <c r="O84" s="64">
        <v>0</v>
      </c>
      <c r="P84" s="64">
        <v>0.61</v>
      </c>
      <c r="Q84" s="64">
        <v>14.6</v>
      </c>
      <c r="R84" s="198"/>
      <c r="S84" s="198"/>
      <c r="T84" s="198"/>
      <c r="U84" s="198"/>
    </row>
    <row r="85" spans="1:26" s="12" customFormat="1" x14ac:dyDescent="0.25">
      <c r="A85" s="215" t="s">
        <v>2633</v>
      </c>
      <c r="B85" s="64">
        <v>4.75</v>
      </c>
      <c r="C85" s="64">
        <v>32.99</v>
      </c>
      <c r="D85" s="64">
        <v>22.66</v>
      </c>
      <c r="E85" s="64">
        <v>2.0499999999999998</v>
      </c>
      <c r="F85" s="64">
        <v>18.649999999999999</v>
      </c>
      <c r="G85" s="64">
        <v>64.89</v>
      </c>
      <c r="H85" s="64">
        <v>21.35</v>
      </c>
      <c r="I85" s="216" t="s">
        <v>43</v>
      </c>
      <c r="J85" s="64">
        <v>0.49</v>
      </c>
      <c r="K85" s="64">
        <v>122.02</v>
      </c>
      <c r="L85" s="64">
        <v>28.24</v>
      </c>
      <c r="M85" s="64">
        <v>67.97</v>
      </c>
      <c r="N85" s="64">
        <v>23.5</v>
      </c>
      <c r="O85" s="64">
        <v>0</v>
      </c>
      <c r="P85" s="64">
        <v>0.57999999999999996</v>
      </c>
      <c r="Q85" s="64">
        <v>12.82</v>
      </c>
      <c r="R85" s="198"/>
      <c r="S85" s="198"/>
      <c r="T85" s="198"/>
      <c r="U85" s="198"/>
    </row>
    <row r="86" spans="1:26" s="12" customFormat="1" x14ac:dyDescent="0.25">
      <c r="A86" s="215" t="s">
        <v>2634</v>
      </c>
      <c r="B86" s="64">
        <v>4.2300000000000004</v>
      </c>
      <c r="C86" s="64">
        <v>33.56</v>
      </c>
      <c r="D86" s="64">
        <v>22.56</v>
      </c>
      <c r="E86" s="64">
        <v>1.94</v>
      </c>
      <c r="F86" s="64">
        <v>16.34</v>
      </c>
      <c r="G86" s="64">
        <v>56.14</v>
      </c>
      <c r="H86" s="64">
        <v>17.82</v>
      </c>
      <c r="I86" s="216" t="s">
        <v>43</v>
      </c>
      <c r="J86" s="64">
        <v>0.42</v>
      </c>
      <c r="K86" s="64">
        <v>117</v>
      </c>
      <c r="L86" s="64">
        <v>28.11</v>
      </c>
      <c r="M86" s="64">
        <v>70.02</v>
      </c>
      <c r="N86" s="64">
        <v>23.6</v>
      </c>
      <c r="O86" s="64">
        <v>0</v>
      </c>
      <c r="P86" s="64">
        <v>0.46</v>
      </c>
      <c r="Q86" s="64">
        <v>12.48</v>
      </c>
      <c r="R86" s="198"/>
      <c r="S86" s="198"/>
      <c r="T86" s="198"/>
      <c r="U86" s="198"/>
    </row>
    <row r="87" spans="1:26" s="12" customFormat="1" x14ac:dyDescent="0.25">
      <c r="A87" s="215" t="s">
        <v>2635</v>
      </c>
      <c r="B87" s="64">
        <v>5.82</v>
      </c>
      <c r="C87" s="64">
        <v>37.78</v>
      </c>
      <c r="D87" s="64">
        <v>26.16</v>
      </c>
      <c r="E87" s="64">
        <v>2.08</v>
      </c>
      <c r="F87" s="64">
        <v>14.41</v>
      </c>
      <c r="G87" s="64">
        <v>53.53</v>
      </c>
      <c r="H87" s="64">
        <v>17.82</v>
      </c>
      <c r="I87" s="216" t="s">
        <v>43</v>
      </c>
      <c r="J87" s="64">
        <v>0.34</v>
      </c>
      <c r="K87" s="64">
        <v>135.07</v>
      </c>
      <c r="L87" s="64">
        <v>27.97</v>
      </c>
      <c r="M87" s="64">
        <v>71.58</v>
      </c>
      <c r="N87" s="64">
        <v>23.5</v>
      </c>
      <c r="O87" s="64">
        <v>0</v>
      </c>
      <c r="P87" s="64">
        <v>0.52</v>
      </c>
      <c r="Q87" s="64">
        <v>12.02</v>
      </c>
      <c r="R87" s="198"/>
      <c r="S87" s="198"/>
      <c r="T87" s="198"/>
      <c r="U87" s="198"/>
    </row>
    <row r="88" spans="1:26" s="12" customFormat="1" x14ac:dyDescent="0.25">
      <c r="A88" s="215" t="s">
        <v>2636</v>
      </c>
      <c r="B88" s="64">
        <v>10.18</v>
      </c>
      <c r="C88" s="64">
        <v>39.450000000000003</v>
      </c>
      <c r="D88" s="64">
        <v>30.58</v>
      </c>
      <c r="E88" s="64">
        <v>1.78</v>
      </c>
      <c r="F88" s="64">
        <v>11.51</v>
      </c>
      <c r="G88" s="64">
        <v>53.53</v>
      </c>
      <c r="H88" s="64">
        <v>17.82</v>
      </c>
      <c r="I88" s="216" t="s">
        <v>43</v>
      </c>
      <c r="J88" s="64">
        <v>0.31</v>
      </c>
      <c r="K88" s="64">
        <v>190.12</v>
      </c>
      <c r="L88" s="64">
        <v>27.8</v>
      </c>
      <c r="M88" s="64">
        <v>73.14</v>
      </c>
      <c r="N88" s="64">
        <v>23.7</v>
      </c>
      <c r="O88" s="64">
        <v>0</v>
      </c>
      <c r="P88" s="64">
        <v>0.51</v>
      </c>
      <c r="Q88" s="64">
        <v>11.24</v>
      </c>
      <c r="R88" s="198"/>
      <c r="S88" s="198"/>
      <c r="T88" s="198"/>
      <c r="U88" s="198"/>
    </row>
    <row r="89" spans="1:26" s="12" customFormat="1" x14ac:dyDescent="0.25">
      <c r="A89" s="215" t="s">
        <v>2637</v>
      </c>
      <c r="B89" s="64">
        <v>5.21</v>
      </c>
      <c r="C89" s="64">
        <v>34.96</v>
      </c>
      <c r="D89" s="64">
        <v>24.12</v>
      </c>
      <c r="E89" s="64">
        <v>2.97</v>
      </c>
      <c r="F89" s="64">
        <v>17.670000000000002</v>
      </c>
      <c r="G89" s="64">
        <v>53.53</v>
      </c>
      <c r="H89" s="64">
        <v>17.82</v>
      </c>
      <c r="I89" s="216" t="s">
        <v>43</v>
      </c>
      <c r="J89" s="64">
        <v>0.22</v>
      </c>
      <c r="K89" s="64">
        <v>182.55</v>
      </c>
      <c r="L89" s="64">
        <v>27.64</v>
      </c>
      <c r="M89" s="64">
        <v>73.319999999999993</v>
      </c>
      <c r="N89" s="64">
        <v>23.6</v>
      </c>
      <c r="O89" s="64">
        <v>0</v>
      </c>
      <c r="P89" s="64">
        <v>0.48</v>
      </c>
      <c r="Q89" s="64">
        <v>12.02</v>
      </c>
      <c r="R89" s="198"/>
      <c r="S89" s="198"/>
      <c r="T89" s="198"/>
      <c r="U89" s="198"/>
    </row>
    <row r="90" spans="1:26" s="12" customFormat="1" x14ac:dyDescent="0.25">
      <c r="A90" s="215" t="s">
        <v>2638</v>
      </c>
      <c r="B90" s="64">
        <v>32.86</v>
      </c>
      <c r="C90" s="64">
        <v>41.96</v>
      </c>
      <c r="D90" s="64">
        <v>50.16</v>
      </c>
      <c r="E90" s="64">
        <v>3.37</v>
      </c>
      <c r="F90" s="64">
        <v>11.44</v>
      </c>
      <c r="G90" s="64">
        <v>52.87</v>
      </c>
      <c r="H90" s="64">
        <v>112.21</v>
      </c>
      <c r="I90" s="216" t="s">
        <v>43</v>
      </c>
      <c r="J90" s="64">
        <v>0.17</v>
      </c>
      <c r="K90" s="64">
        <v>355.62</v>
      </c>
      <c r="L90" s="64">
        <v>27.31</v>
      </c>
      <c r="M90" s="64">
        <v>79.430000000000007</v>
      </c>
      <c r="N90" s="64">
        <v>23.8</v>
      </c>
      <c r="O90" s="64">
        <v>0</v>
      </c>
      <c r="P90" s="64">
        <v>1.63</v>
      </c>
      <c r="Q90" s="64">
        <v>13.58</v>
      </c>
      <c r="R90" s="198"/>
      <c r="S90" s="198"/>
      <c r="T90" s="198"/>
      <c r="U90" s="198"/>
    </row>
    <row r="91" spans="1:26" s="12" customFormat="1" x14ac:dyDescent="0.25">
      <c r="A91" s="215" t="s">
        <v>2639</v>
      </c>
      <c r="B91" s="64">
        <v>34.200000000000003</v>
      </c>
      <c r="C91" s="64">
        <v>45.84</v>
      </c>
      <c r="D91" s="64">
        <v>53.36</v>
      </c>
      <c r="E91" s="64">
        <v>3.15</v>
      </c>
      <c r="F91" s="64">
        <v>7.01</v>
      </c>
      <c r="G91" s="64">
        <v>52.66</v>
      </c>
      <c r="H91" s="64">
        <v>112.21</v>
      </c>
      <c r="I91" s="216" t="s">
        <v>43</v>
      </c>
      <c r="J91" s="64">
        <v>0.01</v>
      </c>
      <c r="K91" s="64">
        <v>64.510000000000005</v>
      </c>
      <c r="L91" s="64">
        <v>26.83</v>
      </c>
      <c r="M91" s="64">
        <v>82.43</v>
      </c>
      <c r="N91" s="64">
        <v>23.8</v>
      </c>
      <c r="O91" s="64">
        <v>0</v>
      </c>
      <c r="P91" s="64">
        <v>1.91</v>
      </c>
      <c r="Q91" s="64">
        <v>14.65</v>
      </c>
      <c r="R91" s="198"/>
      <c r="S91" s="198"/>
      <c r="T91" s="198"/>
      <c r="U91" s="198"/>
    </row>
    <row r="92" spans="1:26" s="12" customFormat="1" x14ac:dyDescent="0.25">
      <c r="A92" s="215" t="s">
        <v>2640</v>
      </c>
      <c r="B92" s="64">
        <v>50.85</v>
      </c>
      <c r="C92" s="64">
        <v>51.68</v>
      </c>
      <c r="D92" s="64">
        <v>69.95</v>
      </c>
      <c r="E92" s="64">
        <v>3.37</v>
      </c>
      <c r="F92" s="64">
        <v>5.05</v>
      </c>
      <c r="G92" s="64">
        <v>52.66</v>
      </c>
      <c r="H92" s="64">
        <v>112.21</v>
      </c>
      <c r="I92" s="216" t="s">
        <v>43</v>
      </c>
      <c r="J92" s="64">
        <v>0.12</v>
      </c>
      <c r="K92" s="64">
        <v>22.18</v>
      </c>
      <c r="L92" s="64">
        <v>26.73</v>
      </c>
      <c r="M92" s="64">
        <v>82.94</v>
      </c>
      <c r="N92" s="64">
        <v>23.7</v>
      </c>
      <c r="O92" s="64">
        <v>0</v>
      </c>
      <c r="P92" s="64">
        <v>2.09</v>
      </c>
      <c r="Q92" s="64">
        <v>14.76</v>
      </c>
      <c r="R92" s="198"/>
      <c r="S92" s="198"/>
      <c r="T92" s="198"/>
      <c r="U92" s="198"/>
    </row>
    <row r="93" spans="1:26" s="12" customFormat="1" x14ac:dyDescent="0.25">
      <c r="A93" s="215" t="s">
        <v>2641</v>
      </c>
      <c r="B93" s="64">
        <v>123.81</v>
      </c>
      <c r="C93" s="64">
        <v>46.11</v>
      </c>
      <c r="D93" s="64">
        <v>125.38</v>
      </c>
      <c r="E93" s="64">
        <v>4.63</v>
      </c>
      <c r="F93" s="64">
        <v>5.27</v>
      </c>
      <c r="G93" s="64">
        <v>52.66</v>
      </c>
      <c r="H93" s="64">
        <v>112.21</v>
      </c>
      <c r="I93" s="216" t="s">
        <v>43</v>
      </c>
      <c r="J93" s="64">
        <v>7.0000000000000007E-2</v>
      </c>
      <c r="K93" s="64">
        <v>16.809999999999999</v>
      </c>
      <c r="L93" s="64">
        <v>26.58</v>
      </c>
      <c r="M93" s="64">
        <v>85.06</v>
      </c>
      <c r="N93" s="64">
        <v>23.8</v>
      </c>
      <c r="O93" s="64">
        <v>0</v>
      </c>
      <c r="P93" s="64">
        <v>3.05</v>
      </c>
      <c r="Q93" s="64">
        <v>6.25</v>
      </c>
      <c r="R93" s="198"/>
      <c r="S93" s="198"/>
      <c r="T93" s="198"/>
      <c r="U93" s="198"/>
    </row>
    <row r="94" spans="1:26" s="12" customFormat="1" x14ac:dyDescent="0.25">
      <c r="A94" s="215" t="s">
        <v>2642</v>
      </c>
      <c r="B94" s="64">
        <v>91.22</v>
      </c>
      <c r="C94" s="64">
        <v>42.71</v>
      </c>
      <c r="D94" s="64">
        <v>97.37</v>
      </c>
      <c r="E94" s="64">
        <v>4.29</v>
      </c>
      <c r="F94" s="64">
        <v>4.3</v>
      </c>
      <c r="G94" s="64">
        <v>144.38999999999999</v>
      </c>
      <c r="H94" s="64">
        <v>12.78</v>
      </c>
      <c r="I94" s="216" t="s">
        <v>43</v>
      </c>
      <c r="J94" s="64">
        <v>0.19</v>
      </c>
      <c r="K94" s="64">
        <v>2.12</v>
      </c>
      <c r="L94" s="64">
        <v>26.56</v>
      </c>
      <c r="M94" s="64">
        <v>86.23</v>
      </c>
      <c r="N94" s="64">
        <v>23.4</v>
      </c>
      <c r="O94" s="64">
        <v>0</v>
      </c>
      <c r="P94" s="64">
        <v>2.97</v>
      </c>
      <c r="Q94" s="64">
        <v>10.88</v>
      </c>
      <c r="R94" s="198"/>
      <c r="S94" s="198"/>
      <c r="T94" s="198"/>
      <c r="U94" s="198"/>
    </row>
    <row r="95" spans="1:26" s="12" customFormat="1" x14ac:dyDescent="0.25">
      <c r="A95" s="215" t="s">
        <v>2643</v>
      </c>
      <c r="B95" s="64">
        <v>76.53</v>
      </c>
      <c r="C95" s="64">
        <v>56.63</v>
      </c>
      <c r="D95" s="64">
        <v>93.27</v>
      </c>
      <c r="E95" s="64">
        <v>3.69</v>
      </c>
      <c r="F95" s="64">
        <v>3.17</v>
      </c>
      <c r="G95" s="64">
        <v>174.07</v>
      </c>
      <c r="H95" s="64">
        <v>12.78</v>
      </c>
      <c r="I95" s="216" t="s">
        <v>43</v>
      </c>
      <c r="J95" s="64">
        <v>0.03</v>
      </c>
      <c r="K95" s="64">
        <v>55.36</v>
      </c>
      <c r="L95" s="64">
        <v>26.5</v>
      </c>
      <c r="M95" s="64">
        <v>85.45</v>
      </c>
      <c r="N95" s="64">
        <v>23.6</v>
      </c>
      <c r="O95" s="64">
        <v>0</v>
      </c>
      <c r="P95" s="64">
        <v>1.87</v>
      </c>
      <c r="Q95" s="64">
        <v>13.71</v>
      </c>
      <c r="R95" s="198"/>
      <c r="S95" s="198"/>
      <c r="T95" s="198"/>
      <c r="U95" s="198"/>
    </row>
    <row r="96" spans="1:26" s="12" customFormat="1" x14ac:dyDescent="0.25">
      <c r="A96" s="215" t="s">
        <v>2644</v>
      </c>
      <c r="B96" s="64">
        <v>63.18</v>
      </c>
      <c r="C96" s="64">
        <v>44.96</v>
      </c>
      <c r="D96" s="64">
        <v>76.12</v>
      </c>
      <c r="E96" s="64">
        <v>3.23</v>
      </c>
      <c r="F96" s="64">
        <v>2.93</v>
      </c>
      <c r="G96" s="64">
        <v>174.07</v>
      </c>
      <c r="H96" s="64">
        <v>12.78</v>
      </c>
      <c r="I96" s="216" t="s">
        <v>43</v>
      </c>
      <c r="J96" s="64">
        <v>0.11</v>
      </c>
      <c r="K96" s="64">
        <v>201.93</v>
      </c>
      <c r="L96" s="64">
        <v>26.85</v>
      </c>
      <c r="M96" s="64">
        <v>80.239999999999995</v>
      </c>
      <c r="N96" s="64">
        <v>23.1</v>
      </c>
      <c r="O96" s="64">
        <v>0</v>
      </c>
      <c r="P96" s="64">
        <v>1.56</v>
      </c>
      <c r="Q96" s="64">
        <v>16.36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2645</v>
      </c>
      <c r="B97" s="64">
        <v>43.44</v>
      </c>
      <c r="C97" s="64">
        <v>33.47</v>
      </c>
      <c r="D97" s="64">
        <v>53.96</v>
      </c>
      <c r="E97" s="64">
        <v>2.91</v>
      </c>
      <c r="F97" s="64">
        <v>5.1100000000000003</v>
      </c>
      <c r="G97" s="64">
        <v>174.07</v>
      </c>
      <c r="H97" s="64">
        <v>12.78</v>
      </c>
      <c r="I97" s="216" t="s">
        <v>43</v>
      </c>
      <c r="J97" s="64">
        <v>0.14000000000000001</v>
      </c>
      <c r="K97" s="64">
        <v>349.8</v>
      </c>
      <c r="L97" s="64">
        <v>27.11</v>
      </c>
      <c r="M97" s="64">
        <v>79.760000000000005</v>
      </c>
      <c r="N97" s="64">
        <v>23.9</v>
      </c>
      <c r="O97" s="64">
        <v>0</v>
      </c>
      <c r="P97" s="64">
        <v>1.48</v>
      </c>
      <c r="Q97" s="64">
        <v>16.329999999999998</v>
      </c>
      <c r="R97" s="198"/>
      <c r="S97" s="198"/>
      <c r="T97" s="198"/>
      <c r="U97" s="198"/>
    </row>
    <row r="98" spans="1:33" s="12" customFormat="1" x14ac:dyDescent="0.25">
      <c r="A98" s="215" t="s">
        <v>2646</v>
      </c>
      <c r="B98" s="64">
        <v>10.3</v>
      </c>
      <c r="C98" s="64">
        <v>51.4</v>
      </c>
      <c r="D98" s="64">
        <v>37.28</v>
      </c>
      <c r="E98" s="64">
        <v>2.5299999999999998</v>
      </c>
      <c r="F98" s="64">
        <v>9.06</v>
      </c>
      <c r="G98" s="64">
        <v>143.4</v>
      </c>
      <c r="H98" s="64">
        <v>5.2</v>
      </c>
      <c r="I98" s="216" t="s">
        <v>43</v>
      </c>
      <c r="J98" s="64">
        <v>0.18</v>
      </c>
      <c r="K98" s="64">
        <v>218.04</v>
      </c>
      <c r="L98" s="64">
        <v>27.06</v>
      </c>
      <c r="M98" s="64">
        <v>80.400000000000006</v>
      </c>
      <c r="N98" s="64">
        <v>23.5</v>
      </c>
      <c r="O98" s="64">
        <v>0</v>
      </c>
      <c r="P98" s="64">
        <v>0.69</v>
      </c>
      <c r="Q98" s="64">
        <v>21.26</v>
      </c>
      <c r="R98" s="198"/>
      <c r="S98" s="198"/>
      <c r="T98" s="198"/>
      <c r="U98" s="198"/>
    </row>
    <row r="99" spans="1:33" s="12" customFormat="1" x14ac:dyDescent="0.25">
      <c r="A99" s="215" t="s">
        <v>2647</v>
      </c>
      <c r="B99" s="64">
        <v>12.47</v>
      </c>
      <c r="C99" s="64">
        <v>24.53</v>
      </c>
      <c r="D99" s="64">
        <v>24.18</v>
      </c>
      <c r="E99" s="64">
        <v>2.3199999999999998</v>
      </c>
      <c r="F99" s="64">
        <v>12.38</v>
      </c>
      <c r="G99" s="64">
        <v>133.47999999999999</v>
      </c>
      <c r="H99" s="64">
        <v>5.2</v>
      </c>
      <c r="I99" s="216" t="s">
        <v>43</v>
      </c>
      <c r="J99" s="64">
        <v>0.09</v>
      </c>
      <c r="K99" s="64">
        <v>240.28</v>
      </c>
      <c r="L99" s="64">
        <v>26.88</v>
      </c>
      <c r="M99" s="64">
        <v>83.98</v>
      </c>
      <c r="N99" s="64">
        <v>23.8</v>
      </c>
      <c r="O99" s="64">
        <v>0</v>
      </c>
      <c r="P99" s="64">
        <v>0.75</v>
      </c>
      <c r="Q99" s="64">
        <v>21.05</v>
      </c>
      <c r="R99" s="198"/>
      <c r="S99" s="198"/>
      <c r="T99" s="198"/>
      <c r="U99" s="198"/>
    </row>
    <row r="100" spans="1:33" s="12" customFormat="1" x14ac:dyDescent="0.25">
      <c r="A100" s="215" t="s">
        <v>2648</v>
      </c>
      <c r="B100" s="64">
        <v>9.19</v>
      </c>
      <c r="C100" s="64">
        <v>25.91</v>
      </c>
      <c r="D100" s="64">
        <v>22.32</v>
      </c>
      <c r="E100" s="64">
        <v>2.72</v>
      </c>
      <c r="F100" s="64">
        <v>12.12</v>
      </c>
      <c r="G100" s="64">
        <v>133.47999999999999</v>
      </c>
      <c r="H100" s="64">
        <v>5.2</v>
      </c>
      <c r="I100" s="216" t="s">
        <v>43</v>
      </c>
      <c r="J100" s="64">
        <v>0.1</v>
      </c>
      <c r="K100" s="64">
        <v>243.61</v>
      </c>
      <c r="L100" s="64">
        <v>26.79</v>
      </c>
      <c r="M100" s="64">
        <v>84.62</v>
      </c>
      <c r="N100" s="64">
        <v>23.6</v>
      </c>
      <c r="O100" s="64">
        <v>0</v>
      </c>
      <c r="P100" s="64">
        <v>0.64</v>
      </c>
      <c r="Q100" s="64">
        <v>20.18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2649</v>
      </c>
      <c r="B101" s="64">
        <v>28.9</v>
      </c>
      <c r="C101" s="64">
        <v>26.94</v>
      </c>
      <c r="D101" s="64">
        <v>37.880000000000003</v>
      </c>
      <c r="E101" s="64">
        <v>2.72</v>
      </c>
      <c r="F101" s="64">
        <v>11.52</v>
      </c>
      <c r="G101" s="64">
        <v>133.47999999999999</v>
      </c>
      <c r="H101" s="64">
        <v>5.2</v>
      </c>
      <c r="I101" s="216" t="s">
        <v>43</v>
      </c>
      <c r="J101" s="64">
        <v>0.05</v>
      </c>
      <c r="K101" s="64">
        <v>338.16</v>
      </c>
      <c r="L101" s="64">
        <v>26.61</v>
      </c>
      <c r="M101" s="64">
        <v>86.72</v>
      </c>
      <c r="N101" s="64">
        <v>23.7</v>
      </c>
      <c r="O101" s="64">
        <v>0</v>
      </c>
      <c r="P101" s="64">
        <v>0.87</v>
      </c>
      <c r="Q101" s="64">
        <v>17.5</v>
      </c>
      <c r="R101" s="198"/>
      <c r="S101" s="198"/>
      <c r="T101" s="198"/>
      <c r="U101" s="198"/>
    </row>
    <row r="102" spans="1:33" s="12" customFormat="1" x14ac:dyDescent="0.25">
      <c r="A102" s="215" t="s">
        <v>2650</v>
      </c>
      <c r="B102" s="64">
        <v>16.47</v>
      </c>
      <c r="C102" s="64">
        <v>30.81</v>
      </c>
      <c r="D102" s="64">
        <v>30.85</v>
      </c>
      <c r="E102" s="64">
        <v>2.52</v>
      </c>
      <c r="F102" s="64">
        <v>8.0299999999999994</v>
      </c>
      <c r="G102" s="64">
        <v>62.92</v>
      </c>
      <c r="H102" s="64">
        <v>46.53</v>
      </c>
      <c r="I102" s="216" t="s">
        <v>43</v>
      </c>
      <c r="J102" s="64">
        <v>0.09</v>
      </c>
      <c r="K102" s="64">
        <v>356.96</v>
      </c>
      <c r="L102" s="64">
        <v>26.42</v>
      </c>
      <c r="M102" s="64">
        <v>90.63</v>
      </c>
      <c r="N102" s="64">
        <v>23.8</v>
      </c>
      <c r="O102" s="64">
        <v>0</v>
      </c>
      <c r="P102" s="64">
        <v>1.08</v>
      </c>
      <c r="Q102" s="64">
        <v>21.22</v>
      </c>
      <c r="R102" s="198"/>
      <c r="S102" s="198"/>
      <c r="T102" s="198"/>
      <c r="U102" s="198"/>
    </row>
    <row r="103" spans="1:33" s="12" customFormat="1" x14ac:dyDescent="0.25">
      <c r="A103" s="215" t="s">
        <v>2651</v>
      </c>
      <c r="B103" s="64">
        <v>11.44</v>
      </c>
      <c r="C103" s="64">
        <v>28.1</v>
      </c>
      <c r="D103" s="64">
        <v>25.33</v>
      </c>
      <c r="E103" s="64">
        <v>2.44</v>
      </c>
      <c r="F103" s="64">
        <v>8.5299999999999994</v>
      </c>
      <c r="G103" s="64">
        <v>40.090000000000003</v>
      </c>
      <c r="H103" s="64">
        <v>52</v>
      </c>
      <c r="I103" s="216" t="s">
        <v>43</v>
      </c>
      <c r="J103" s="64">
        <v>0.1</v>
      </c>
      <c r="K103" s="64">
        <v>91.39</v>
      </c>
      <c r="L103" s="64">
        <v>26.28</v>
      </c>
      <c r="M103" s="64">
        <v>88.18</v>
      </c>
      <c r="N103" s="64">
        <v>23.7</v>
      </c>
      <c r="O103" s="64">
        <v>0</v>
      </c>
      <c r="P103" s="64">
        <v>0.63</v>
      </c>
      <c r="Q103" s="64">
        <v>21</v>
      </c>
      <c r="R103" s="198"/>
      <c r="S103" s="198"/>
      <c r="T103" s="198"/>
      <c r="U103" s="198"/>
    </row>
    <row r="104" spans="1:33" s="12" customFormat="1" x14ac:dyDescent="0.25">
      <c r="A104" s="215" t="s">
        <v>2652</v>
      </c>
      <c r="B104" s="64">
        <v>8.52</v>
      </c>
      <c r="C104" s="64">
        <v>29.42</v>
      </c>
      <c r="D104" s="64">
        <v>23.71</v>
      </c>
      <c r="E104" s="64">
        <v>1.47</v>
      </c>
      <c r="F104" s="64">
        <v>9.2799999999999994</v>
      </c>
      <c r="G104" s="64">
        <v>40.090000000000003</v>
      </c>
      <c r="H104" s="64">
        <v>52</v>
      </c>
      <c r="I104" s="216" t="s">
        <v>43</v>
      </c>
      <c r="J104" s="64">
        <v>0.08</v>
      </c>
      <c r="K104" s="64">
        <v>18.899999999999999</v>
      </c>
      <c r="L104" s="64">
        <v>26.39</v>
      </c>
      <c r="M104" s="64">
        <v>87.18</v>
      </c>
      <c r="N104" s="64">
        <v>23.6</v>
      </c>
      <c r="O104" s="64">
        <v>0</v>
      </c>
      <c r="P104" s="64">
        <v>0.64</v>
      </c>
      <c r="Q104" s="64">
        <v>21.46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2.1800000000000002</v>
      </c>
      <c r="C106" s="67">
        <f>MIN(C9:C104)</f>
        <v>13.78</v>
      </c>
      <c r="D106" s="67">
        <f t="shared" ref="D106:Q106" si="0">MIN(D9:D104)</f>
        <v>13.69</v>
      </c>
      <c r="E106" s="67">
        <f t="shared" si="0"/>
        <v>1.47</v>
      </c>
      <c r="F106" s="67">
        <f t="shared" si="0"/>
        <v>2.93</v>
      </c>
      <c r="G106" s="67">
        <f t="shared" si="0"/>
        <v>4.55</v>
      </c>
      <c r="H106" s="67">
        <f t="shared" si="0"/>
        <v>2.25</v>
      </c>
      <c r="I106" s="67">
        <f t="shared" si="0"/>
        <v>0</v>
      </c>
      <c r="J106" s="67">
        <f t="shared" si="0"/>
        <v>0.01</v>
      </c>
      <c r="K106" s="67">
        <f t="shared" si="0"/>
        <v>2.12</v>
      </c>
      <c r="L106" s="67">
        <f t="shared" si="0"/>
        <v>23.08</v>
      </c>
      <c r="M106" s="67">
        <f t="shared" si="0"/>
        <v>55.38</v>
      </c>
      <c r="N106" s="67">
        <f t="shared" si="0"/>
        <v>23.1</v>
      </c>
      <c r="O106" s="67">
        <f t="shared" si="0"/>
        <v>0</v>
      </c>
      <c r="P106" s="67">
        <f t="shared" si="0"/>
        <v>0.25</v>
      </c>
      <c r="Q106" s="67">
        <f t="shared" si="0"/>
        <v>0.01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123.81</v>
      </c>
      <c r="C107" s="66">
        <f t="shared" ref="C107:Q107" si="1">MAX(C9:C104)</f>
        <v>56.63</v>
      </c>
      <c r="D107" s="66">
        <f t="shared" si="1"/>
        <v>125.38</v>
      </c>
      <c r="E107" s="66">
        <f t="shared" si="1"/>
        <v>4.63</v>
      </c>
      <c r="F107" s="66">
        <f t="shared" si="1"/>
        <v>27.26</v>
      </c>
      <c r="G107" s="66">
        <f t="shared" si="1"/>
        <v>174.07</v>
      </c>
      <c r="H107" s="66">
        <f t="shared" si="1"/>
        <v>112.21</v>
      </c>
      <c r="I107" s="66">
        <f t="shared" si="1"/>
        <v>0</v>
      </c>
      <c r="J107" s="66">
        <f t="shared" si="1"/>
        <v>2.15</v>
      </c>
      <c r="K107" s="66">
        <f t="shared" si="1"/>
        <v>358.38</v>
      </c>
      <c r="L107" s="66">
        <f t="shared" si="1"/>
        <v>32.4</v>
      </c>
      <c r="M107" s="66">
        <f t="shared" si="1"/>
        <v>97.27</v>
      </c>
      <c r="N107" s="66">
        <f t="shared" si="1"/>
        <v>1013.5</v>
      </c>
      <c r="O107" s="66">
        <f t="shared" si="1"/>
        <v>0</v>
      </c>
      <c r="P107" s="66">
        <f t="shared" si="1"/>
        <v>3.05</v>
      </c>
      <c r="Q107" s="66">
        <f t="shared" si="1"/>
        <v>29.78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15.270937500000004</v>
      </c>
      <c r="C108" s="67">
        <f t="shared" ref="C108:Q108" si="2">AVERAGE(C9:C104)</f>
        <v>26.460729166666667</v>
      </c>
      <c r="D108" s="67">
        <f t="shared" si="2"/>
        <v>27.477395833333336</v>
      </c>
      <c r="E108" s="67">
        <f t="shared" si="2"/>
        <v>2.5957291666666658</v>
      </c>
      <c r="F108" s="67">
        <f t="shared" si="2"/>
        <v>10.132812499999995</v>
      </c>
      <c r="G108" s="67">
        <f t="shared" si="2"/>
        <v>55.707142857142856</v>
      </c>
      <c r="H108" s="67">
        <f t="shared" si="2"/>
        <v>18.274166666666673</v>
      </c>
      <c r="I108" s="67" t="e">
        <f t="shared" si="2"/>
        <v>#DIV/0!</v>
      </c>
      <c r="J108" s="67">
        <f t="shared" si="2"/>
        <v>0.57562500000000028</v>
      </c>
      <c r="K108" s="67">
        <f t="shared" si="2"/>
        <v>109.15687500000001</v>
      </c>
      <c r="L108" s="67">
        <f t="shared" si="2"/>
        <v>26.920729166666671</v>
      </c>
      <c r="M108" s="67">
        <f t="shared" si="2"/>
        <v>78.95802083333335</v>
      </c>
      <c r="N108" s="67">
        <f t="shared" si="2"/>
        <v>292.68437499999999</v>
      </c>
      <c r="O108" s="67">
        <f t="shared" si="2"/>
        <v>0</v>
      </c>
      <c r="P108" s="67">
        <f t="shared" si="2"/>
        <v>0.6885416666666665</v>
      </c>
      <c r="Q108" s="67">
        <f t="shared" si="2"/>
        <v>15.501827956989244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17.831027073061804</v>
      </c>
      <c r="C109" s="67">
        <f t="shared" ref="C109:Q109" si="3">STDEV(C9:C104)</f>
        <v>9.3177840425027831</v>
      </c>
      <c r="D109" s="67">
        <f t="shared" si="3"/>
        <v>17.50846804112026</v>
      </c>
      <c r="E109" s="67">
        <f t="shared" si="3"/>
        <v>0.64566040412599812</v>
      </c>
      <c r="F109" s="67">
        <f t="shared" si="3"/>
        <v>5.6131321030756984</v>
      </c>
      <c r="G109" s="67">
        <f t="shared" si="3"/>
        <v>36.07323800509343</v>
      </c>
      <c r="H109" s="67">
        <f t="shared" si="3"/>
        <v>25.674725615705537</v>
      </c>
      <c r="I109" s="67" t="e">
        <f t="shared" si="3"/>
        <v>#DIV/0!</v>
      </c>
      <c r="J109" s="67">
        <f t="shared" si="3"/>
        <v>0.53555640029294427</v>
      </c>
      <c r="K109" s="67">
        <f t="shared" si="3"/>
        <v>84.584013598595376</v>
      </c>
      <c r="L109" s="67">
        <f t="shared" si="3"/>
        <v>2.6924159547227489</v>
      </c>
      <c r="M109" s="67">
        <f t="shared" si="3"/>
        <v>14.830716533052925</v>
      </c>
      <c r="N109" s="67">
        <f t="shared" si="3"/>
        <v>333.45356666515147</v>
      </c>
      <c r="O109" s="67">
        <f t="shared" si="3"/>
        <v>0</v>
      </c>
      <c r="P109" s="67">
        <f t="shared" si="3"/>
        <v>0.47972355891956819</v>
      </c>
      <c r="Q109" s="67">
        <f t="shared" si="3"/>
        <v>7.8110065802152935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COUNT(G9:G104)+12</f>
        <v>96</v>
      </c>
      <c r="H110" s="66">
        <f>COUNT(H9:H104)+12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COUNT(Q9:Q104)+3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2653</v>
      </c>
      <c r="B9" s="64">
        <v>5.62</v>
      </c>
      <c r="C9" s="64">
        <v>20.38</v>
      </c>
      <c r="D9" s="64">
        <v>16.399999999999999</v>
      </c>
      <c r="E9" s="64">
        <v>2.2999999999999998</v>
      </c>
      <c r="F9" s="64">
        <v>10.25</v>
      </c>
      <c r="G9" s="64">
        <v>40.090000000000003</v>
      </c>
      <c r="H9" s="64">
        <v>52</v>
      </c>
      <c r="I9" s="216" t="s">
        <v>43</v>
      </c>
      <c r="J9" s="64">
        <v>0.22</v>
      </c>
      <c r="K9" s="64">
        <v>345.43</v>
      </c>
      <c r="L9" s="64">
        <v>26.24</v>
      </c>
      <c r="M9" s="64">
        <v>91.6</v>
      </c>
      <c r="N9" s="64">
        <v>24</v>
      </c>
      <c r="O9" s="64">
        <v>0</v>
      </c>
      <c r="P9" s="64">
        <v>0.63</v>
      </c>
      <c r="Q9" s="64">
        <v>21.51</v>
      </c>
      <c r="R9" s="198"/>
      <c r="S9" s="198"/>
      <c r="T9" s="198"/>
      <c r="U9" s="198"/>
    </row>
    <row r="10" spans="1:21" s="12" customFormat="1" x14ac:dyDescent="0.25">
      <c r="A10" s="215" t="s">
        <v>2654</v>
      </c>
      <c r="B10" s="64">
        <v>6.01</v>
      </c>
      <c r="C10" s="64">
        <v>17.22</v>
      </c>
      <c r="D10" s="64">
        <v>14.97</v>
      </c>
      <c r="E10" s="64">
        <v>2.2799999999999998</v>
      </c>
      <c r="F10" s="64">
        <v>9.8800000000000008</v>
      </c>
      <c r="G10" s="64">
        <v>58.43</v>
      </c>
      <c r="H10" s="64">
        <v>37.75</v>
      </c>
      <c r="I10" s="216" t="s">
        <v>43</v>
      </c>
      <c r="J10" s="64">
        <v>0.16</v>
      </c>
      <c r="K10" s="64">
        <v>101.07</v>
      </c>
      <c r="L10" s="64">
        <v>26.22</v>
      </c>
      <c r="M10" s="64">
        <v>88.57</v>
      </c>
      <c r="N10" s="64">
        <v>24.2</v>
      </c>
      <c r="O10" s="64">
        <v>0</v>
      </c>
      <c r="P10" s="64">
        <v>0.65</v>
      </c>
      <c r="Q10" s="64">
        <v>20.91</v>
      </c>
      <c r="R10" s="198"/>
      <c r="S10" s="198"/>
      <c r="T10" s="198"/>
      <c r="U10" s="198"/>
    </row>
    <row r="11" spans="1:21" s="12" customFormat="1" x14ac:dyDescent="0.25">
      <c r="A11" s="215" t="s">
        <v>2655</v>
      </c>
      <c r="B11" s="64">
        <v>12.9</v>
      </c>
      <c r="C11" s="64">
        <v>52.67</v>
      </c>
      <c r="D11" s="64">
        <v>40.06</v>
      </c>
      <c r="E11" s="64">
        <v>1.99</v>
      </c>
      <c r="F11" s="64">
        <v>7.89</v>
      </c>
      <c r="G11" s="64">
        <v>64.36</v>
      </c>
      <c r="H11" s="64">
        <v>33.14</v>
      </c>
      <c r="I11" s="216" t="s">
        <v>43</v>
      </c>
      <c r="J11" s="64">
        <v>0.6</v>
      </c>
      <c r="K11" s="64">
        <v>359.48</v>
      </c>
      <c r="L11" s="64">
        <v>26.14</v>
      </c>
      <c r="M11" s="64">
        <v>90.67</v>
      </c>
      <c r="N11" s="64">
        <v>27.6</v>
      </c>
      <c r="O11" s="64">
        <v>1.4</v>
      </c>
      <c r="P11" s="64">
        <v>0.79</v>
      </c>
      <c r="Q11" s="64">
        <v>19.57</v>
      </c>
      <c r="R11" s="198"/>
      <c r="S11" s="198"/>
      <c r="T11" s="198"/>
      <c r="U11" s="198"/>
    </row>
    <row r="12" spans="1:21" s="12" customFormat="1" x14ac:dyDescent="0.25">
      <c r="A12" s="215" t="s">
        <v>2656</v>
      </c>
      <c r="B12" s="64">
        <v>21.43</v>
      </c>
      <c r="C12" s="64">
        <v>44.71</v>
      </c>
      <c r="D12" s="64">
        <v>42.51</v>
      </c>
      <c r="E12" s="64">
        <v>2.33</v>
      </c>
      <c r="F12" s="64">
        <v>5.14</v>
      </c>
      <c r="G12" s="64">
        <v>64.36</v>
      </c>
      <c r="H12" s="64">
        <v>33.14</v>
      </c>
      <c r="I12" s="216" t="s">
        <v>43</v>
      </c>
      <c r="J12" s="64">
        <v>0.51</v>
      </c>
      <c r="K12" s="64">
        <v>351.18</v>
      </c>
      <c r="L12" s="64">
        <v>24.39</v>
      </c>
      <c r="M12" s="64">
        <v>97.23</v>
      </c>
      <c r="N12" s="64">
        <v>26.8</v>
      </c>
      <c r="O12" s="64">
        <v>0</v>
      </c>
      <c r="P12" s="64">
        <v>0.85</v>
      </c>
      <c r="Q12" s="64">
        <v>17.53</v>
      </c>
      <c r="R12" s="198"/>
      <c r="S12" s="198"/>
      <c r="T12" s="198"/>
      <c r="U12" s="198"/>
    </row>
    <row r="13" spans="1:21" s="12" customFormat="1" x14ac:dyDescent="0.25">
      <c r="A13" s="215" t="s">
        <v>2657</v>
      </c>
      <c r="B13" s="64">
        <v>12.28</v>
      </c>
      <c r="C13" s="64">
        <v>21.94</v>
      </c>
      <c r="D13" s="64">
        <v>22.6</v>
      </c>
      <c r="E13" s="64">
        <v>2.0299999999999998</v>
      </c>
      <c r="F13" s="64">
        <v>10.73</v>
      </c>
      <c r="G13" s="64">
        <v>64.36</v>
      </c>
      <c r="H13" s="64">
        <v>33.14</v>
      </c>
      <c r="I13" s="216" t="s">
        <v>43</v>
      </c>
      <c r="J13" s="64">
        <v>0.03</v>
      </c>
      <c r="K13" s="64">
        <v>334.81</v>
      </c>
      <c r="L13" s="64">
        <v>23.82</v>
      </c>
      <c r="M13" s="64">
        <v>97.25</v>
      </c>
      <c r="N13" s="64">
        <v>26.8</v>
      </c>
      <c r="O13" s="64">
        <v>0</v>
      </c>
      <c r="P13" s="64">
        <v>0.56999999999999995</v>
      </c>
      <c r="Q13" s="64">
        <v>16.63</v>
      </c>
      <c r="R13" s="198"/>
      <c r="S13" s="198"/>
      <c r="T13" s="198"/>
      <c r="U13" s="198"/>
    </row>
    <row r="14" spans="1:21" s="12" customFormat="1" x14ac:dyDescent="0.25">
      <c r="A14" s="215" t="s">
        <v>2658</v>
      </c>
      <c r="B14" s="64">
        <v>13.39</v>
      </c>
      <c r="C14" s="64">
        <v>20.13</v>
      </c>
      <c r="D14" s="64">
        <v>22.5</v>
      </c>
      <c r="E14" s="64">
        <v>2.27</v>
      </c>
      <c r="F14" s="64">
        <v>9.1199999999999992</v>
      </c>
      <c r="G14" s="64">
        <v>43.93</v>
      </c>
      <c r="H14" s="64">
        <v>17.7</v>
      </c>
      <c r="I14" s="216" t="s">
        <v>43</v>
      </c>
      <c r="J14" s="64">
        <v>0.08</v>
      </c>
      <c r="K14" s="64">
        <v>259.02</v>
      </c>
      <c r="L14" s="64">
        <v>23.72</v>
      </c>
      <c r="M14" s="64">
        <v>97.25</v>
      </c>
      <c r="N14" s="64">
        <v>26.2</v>
      </c>
      <c r="O14" s="64">
        <v>0</v>
      </c>
      <c r="P14" s="64">
        <v>0.61</v>
      </c>
      <c r="Q14" s="64">
        <v>14.89</v>
      </c>
      <c r="R14" s="198"/>
      <c r="S14" s="198"/>
      <c r="T14" s="198"/>
      <c r="U14" s="198"/>
    </row>
    <row r="15" spans="1:21" s="12" customFormat="1" x14ac:dyDescent="0.25">
      <c r="A15" s="215" t="s">
        <v>2659</v>
      </c>
      <c r="B15" s="64">
        <v>11.21</v>
      </c>
      <c r="C15" s="64">
        <v>20.73</v>
      </c>
      <c r="D15" s="64">
        <v>21.07</v>
      </c>
      <c r="E15" s="64">
        <v>2.37</v>
      </c>
      <c r="F15" s="64">
        <v>9.2899999999999991</v>
      </c>
      <c r="G15" s="64">
        <v>37.32</v>
      </c>
      <c r="H15" s="64">
        <v>12.71</v>
      </c>
      <c r="I15" s="216" t="s">
        <v>43</v>
      </c>
      <c r="J15" s="64">
        <v>0.06</v>
      </c>
      <c r="K15" s="64">
        <v>246.51</v>
      </c>
      <c r="L15" s="64">
        <v>23.76</v>
      </c>
      <c r="M15" s="64">
        <v>97.25</v>
      </c>
      <c r="N15" s="64">
        <v>26.2</v>
      </c>
      <c r="O15" s="64">
        <v>0</v>
      </c>
      <c r="P15" s="64">
        <v>0.48</v>
      </c>
      <c r="Q15" s="64">
        <v>14.45</v>
      </c>
      <c r="R15" s="198"/>
      <c r="S15" s="198"/>
      <c r="T15" s="198"/>
      <c r="U15" s="198"/>
    </row>
    <row r="16" spans="1:21" s="12" customFormat="1" x14ac:dyDescent="0.25">
      <c r="A16" s="215" t="s">
        <v>2660</v>
      </c>
      <c r="B16" s="64">
        <v>14.91</v>
      </c>
      <c r="C16" s="64">
        <v>23.99</v>
      </c>
      <c r="D16" s="64">
        <v>25.85</v>
      </c>
      <c r="E16" s="64">
        <v>2.5299999999999998</v>
      </c>
      <c r="F16" s="64">
        <v>6.44</v>
      </c>
      <c r="G16" s="64">
        <v>37.32</v>
      </c>
      <c r="H16" s="64">
        <v>12.71</v>
      </c>
      <c r="I16" s="216" t="s">
        <v>43</v>
      </c>
      <c r="J16" s="64">
        <v>0.21</v>
      </c>
      <c r="K16" s="64">
        <v>325.85000000000002</v>
      </c>
      <c r="L16" s="64">
        <v>23.71</v>
      </c>
      <c r="M16" s="64">
        <v>97.23</v>
      </c>
      <c r="N16" s="64">
        <v>27.4</v>
      </c>
      <c r="O16" s="64">
        <v>0</v>
      </c>
      <c r="P16" s="64">
        <v>0.71</v>
      </c>
      <c r="Q16" s="64">
        <v>12.96</v>
      </c>
      <c r="R16" s="198"/>
      <c r="S16" s="198"/>
      <c r="T16" s="198"/>
      <c r="U16" s="198"/>
    </row>
    <row r="17" spans="1:21" s="12" customFormat="1" x14ac:dyDescent="0.25">
      <c r="A17" s="215" t="s">
        <v>2661</v>
      </c>
      <c r="B17" s="64">
        <v>9.39</v>
      </c>
      <c r="C17" s="64">
        <v>18.98</v>
      </c>
      <c r="D17" s="64">
        <v>18.649999999999999</v>
      </c>
      <c r="E17" s="64">
        <v>1.82</v>
      </c>
      <c r="F17" s="64">
        <v>13.48</v>
      </c>
      <c r="G17" s="64">
        <v>37.32</v>
      </c>
      <c r="H17" s="64">
        <v>12.71</v>
      </c>
      <c r="I17" s="216" t="s">
        <v>43</v>
      </c>
      <c r="J17" s="64">
        <v>0.06</v>
      </c>
      <c r="K17" s="64">
        <v>261.58</v>
      </c>
      <c r="L17" s="64">
        <v>23.59</v>
      </c>
      <c r="M17" s="64">
        <v>97.23</v>
      </c>
      <c r="N17" s="64">
        <v>27.1</v>
      </c>
      <c r="O17" s="64">
        <v>0</v>
      </c>
      <c r="P17" s="64">
        <v>0.38</v>
      </c>
      <c r="Q17" s="64">
        <v>13.44</v>
      </c>
      <c r="R17" s="198"/>
      <c r="S17" s="198"/>
      <c r="T17" s="198"/>
      <c r="U17" s="198"/>
    </row>
    <row r="18" spans="1:21" s="12" customFormat="1" x14ac:dyDescent="0.25">
      <c r="A18" s="215" t="s">
        <v>2662</v>
      </c>
      <c r="B18" s="64">
        <v>5.01</v>
      </c>
      <c r="C18" s="64">
        <v>18.59</v>
      </c>
      <c r="D18" s="64">
        <v>14.92</v>
      </c>
      <c r="E18" s="64">
        <v>1.9</v>
      </c>
      <c r="F18" s="64">
        <v>12.84</v>
      </c>
      <c r="G18" s="64">
        <v>17.54</v>
      </c>
      <c r="H18" s="64">
        <v>7.3</v>
      </c>
      <c r="I18" s="216" t="s">
        <v>43</v>
      </c>
      <c r="J18" s="64">
        <v>0.16</v>
      </c>
      <c r="K18" s="64">
        <v>1.52</v>
      </c>
      <c r="L18" s="64">
        <v>23.5</v>
      </c>
      <c r="M18" s="64">
        <v>97.24</v>
      </c>
      <c r="N18" s="64">
        <v>26.4</v>
      </c>
      <c r="O18" s="64">
        <v>0</v>
      </c>
      <c r="P18" s="64">
        <v>0.28999999999999998</v>
      </c>
      <c r="Q18" s="64">
        <v>14.46</v>
      </c>
      <c r="R18" s="198"/>
      <c r="S18" s="198"/>
      <c r="T18" s="198"/>
      <c r="U18" s="198"/>
    </row>
    <row r="19" spans="1:21" s="12" customFormat="1" x14ac:dyDescent="0.25">
      <c r="A19" s="215" t="s">
        <v>2663</v>
      </c>
      <c r="B19" s="64">
        <v>9.26</v>
      </c>
      <c r="C19" s="64">
        <v>21.44</v>
      </c>
      <c r="D19" s="64">
        <v>19.91</v>
      </c>
      <c r="E19" s="64">
        <v>1.89</v>
      </c>
      <c r="F19" s="64">
        <v>11.4</v>
      </c>
      <c r="G19" s="64">
        <v>11.13</v>
      </c>
      <c r="H19" s="64">
        <v>5.55</v>
      </c>
      <c r="I19" s="216" t="s">
        <v>43</v>
      </c>
      <c r="J19" s="64">
        <v>0.61</v>
      </c>
      <c r="K19" s="64">
        <v>1.1299999999999999</v>
      </c>
      <c r="L19" s="64">
        <v>23.56</v>
      </c>
      <c r="M19" s="64">
        <v>97.25</v>
      </c>
      <c r="N19" s="64">
        <v>26.5</v>
      </c>
      <c r="O19" s="64">
        <v>0</v>
      </c>
      <c r="P19" s="64">
        <v>0.35</v>
      </c>
      <c r="Q19" s="64">
        <v>15.16</v>
      </c>
      <c r="R19" s="198"/>
      <c r="S19" s="198"/>
      <c r="T19" s="198"/>
      <c r="U19" s="198"/>
    </row>
    <row r="20" spans="1:21" s="12" customFormat="1" x14ac:dyDescent="0.25">
      <c r="A20" s="215" t="s">
        <v>2664</v>
      </c>
      <c r="B20" s="64">
        <v>6.97</v>
      </c>
      <c r="C20" s="64">
        <v>17.66</v>
      </c>
      <c r="D20" s="64">
        <v>15.98</v>
      </c>
      <c r="E20" s="64">
        <v>2.2200000000000002</v>
      </c>
      <c r="F20" s="64">
        <v>13.69</v>
      </c>
      <c r="G20" s="64">
        <v>11.13</v>
      </c>
      <c r="H20" s="64">
        <v>5.55</v>
      </c>
      <c r="I20" s="216" t="s">
        <v>43</v>
      </c>
      <c r="J20" s="64">
        <v>0.38</v>
      </c>
      <c r="K20" s="64">
        <v>9.7100000000000009</v>
      </c>
      <c r="L20" s="64">
        <v>23.63</v>
      </c>
      <c r="M20" s="64">
        <v>97.23</v>
      </c>
      <c r="N20" s="64">
        <v>27.1</v>
      </c>
      <c r="O20" s="64">
        <v>0</v>
      </c>
      <c r="P20" s="64">
        <v>0.33</v>
      </c>
      <c r="Q20" s="64">
        <v>15.2</v>
      </c>
      <c r="R20" s="198"/>
      <c r="S20" s="198"/>
      <c r="T20" s="198"/>
      <c r="U20" s="198"/>
    </row>
    <row r="21" spans="1:21" s="12" customFormat="1" x14ac:dyDescent="0.25">
      <c r="A21" s="215" t="s">
        <v>2665</v>
      </c>
      <c r="B21" s="64">
        <v>5.35</v>
      </c>
      <c r="C21" s="64">
        <v>17.43</v>
      </c>
      <c r="D21" s="64">
        <v>14.56</v>
      </c>
      <c r="E21" s="64">
        <v>2.0099999999999998</v>
      </c>
      <c r="F21" s="64">
        <v>10.49</v>
      </c>
      <c r="G21" s="64">
        <v>11.13</v>
      </c>
      <c r="H21" s="64">
        <v>5.55</v>
      </c>
      <c r="I21" s="216" t="s">
        <v>43</v>
      </c>
      <c r="J21" s="64">
        <v>0.34</v>
      </c>
      <c r="K21" s="64">
        <v>358.14</v>
      </c>
      <c r="L21" s="64">
        <v>23.58</v>
      </c>
      <c r="M21" s="64">
        <v>97.22</v>
      </c>
      <c r="N21" s="64">
        <v>26.4</v>
      </c>
      <c r="O21" s="64">
        <v>0</v>
      </c>
      <c r="P21" s="64">
        <v>0.32</v>
      </c>
      <c r="Q21" s="64">
        <v>15.81</v>
      </c>
      <c r="R21" s="198"/>
      <c r="S21" s="198"/>
      <c r="T21" s="198"/>
      <c r="U21" s="198"/>
    </row>
    <row r="22" spans="1:21" s="12" customFormat="1" x14ac:dyDescent="0.25">
      <c r="A22" s="215" t="s">
        <v>2666</v>
      </c>
      <c r="B22" s="64">
        <v>12.6</v>
      </c>
      <c r="C22" s="64">
        <v>20.329999999999998</v>
      </c>
      <c r="D22" s="64">
        <v>21.97</v>
      </c>
      <c r="E22" s="64">
        <v>2.34</v>
      </c>
      <c r="F22" s="64">
        <v>4.3899999999999997</v>
      </c>
      <c r="G22" s="64">
        <v>17.09</v>
      </c>
      <c r="H22" s="64">
        <v>3.9</v>
      </c>
      <c r="I22" s="216" t="s">
        <v>43</v>
      </c>
      <c r="J22" s="64">
        <v>1.0900000000000001</v>
      </c>
      <c r="K22" s="64">
        <v>350.37</v>
      </c>
      <c r="L22" s="64">
        <v>23.76</v>
      </c>
      <c r="M22" s="64">
        <v>97.23</v>
      </c>
      <c r="N22" s="64">
        <v>26.3</v>
      </c>
      <c r="O22" s="64">
        <v>0</v>
      </c>
      <c r="P22" s="64">
        <v>0.57999999999999996</v>
      </c>
      <c r="Q22" s="64">
        <v>14.87</v>
      </c>
      <c r="R22" s="198"/>
      <c r="S22" s="198"/>
      <c r="T22" s="198"/>
      <c r="U22" s="198"/>
    </row>
    <row r="23" spans="1:21" s="12" customFormat="1" x14ac:dyDescent="0.25">
      <c r="A23" s="215" t="s">
        <v>2667</v>
      </c>
      <c r="B23" s="64">
        <v>13.5</v>
      </c>
      <c r="C23" s="64">
        <v>20.47</v>
      </c>
      <c r="D23" s="64">
        <v>22.77</v>
      </c>
      <c r="E23" s="64">
        <v>2.36</v>
      </c>
      <c r="F23" s="64">
        <v>6.15</v>
      </c>
      <c r="G23" s="64">
        <v>19.02</v>
      </c>
      <c r="H23" s="64">
        <v>3.38</v>
      </c>
      <c r="I23" s="216" t="s">
        <v>43</v>
      </c>
      <c r="J23" s="64">
        <v>0.84</v>
      </c>
      <c r="K23" s="64">
        <v>347.53</v>
      </c>
      <c r="L23" s="64">
        <v>23.88</v>
      </c>
      <c r="M23" s="64">
        <v>97.24</v>
      </c>
      <c r="N23" s="64">
        <v>26.4</v>
      </c>
      <c r="O23" s="64">
        <v>0</v>
      </c>
      <c r="P23" s="64">
        <v>0.54</v>
      </c>
      <c r="Q23" s="64">
        <v>12.99</v>
      </c>
      <c r="R23" s="198"/>
      <c r="S23" s="198"/>
      <c r="T23" s="198"/>
      <c r="U23" s="198"/>
    </row>
    <row r="24" spans="1:21" s="12" customFormat="1" x14ac:dyDescent="0.25">
      <c r="A24" s="215" t="s">
        <v>2668</v>
      </c>
      <c r="B24" s="64">
        <v>13.16</v>
      </c>
      <c r="C24" s="64">
        <v>20.85</v>
      </c>
      <c r="D24" s="64">
        <v>22.71</v>
      </c>
      <c r="E24" s="64">
        <v>1.71</v>
      </c>
      <c r="F24" s="64">
        <v>5.55</v>
      </c>
      <c r="G24" s="64">
        <v>19.02</v>
      </c>
      <c r="H24" s="64">
        <v>3.38</v>
      </c>
      <c r="I24" s="216" t="s">
        <v>43</v>
      </c>
      <c r="J24" s="64">
        <v>1.05</v>
      </c>
      <c r="K24" s="64">
        <v>349.7</v>
      </c>
      <c r="L24" s="64">
        <v>24.02</v>
      </c>
      <c r="M24" s="64">
        <v>97.24</v>
      </c>
      <c r="N24" s="64">
        <v>26.8</v>
      </c>
      <c r="O24" s="64">
        <v>0</v>
      </c>
      <c r="P24" s="64">
        <v>0.52</v>
      </c>
      <c r="Q24" s="64">
        <v>12.1</v>
      </c>
      <c r="R24" s="198"/>
      <c r="S24" s="198"/>
      <c r="T24" s="198"/>
      <c r="U24" s="198"/>
    </row>
    <row r="25" spans="1:21" s="12" customFormat="1" x14ac:dyDescent="0.25">
      <c r="A25" s="215" t="s">
        <v>2669</v>
      </c>
      <c r="B25" s="64">
        <v>12.12</v>
      </c>
      <c r="C25" s="64">
        <v>20.77</v>
      </c>
      <c r="D25" s="64">
        <v>21.83</v>
      </c>
      <c r="E25" s="64">
        <v>2.1800000000000002</v>
      </c>
      <c r="F25" s="64">
        <v>6.92</v>
      </c>
      <c r="G25" s="64">
        <v>19.02</v>
      </c>
      <c r="H25" s="64">
        <v>3.38</v>
      </c>
      <c r="I25" s="216" t="s">
        <v>43</v>
      </c>
      <c r="J25" s="64">
        <v>0.94</v>
      </c>
      <c r="K25" s="64">
        <v>358.78</v>
      </c>
      <c r="L25" s="64">
        <v>24.06</v>
      </c>
      <c r="M25" s="64">
        <v>97.23</v>
      </c>
      <c r="N25" s="64">
        <v>27</v>
      </c>
      <c r="O25" s="64">
        <v>0</v>
      </c>
      <c r="P25" s="64">
        <v>0.51</v>
      </c>
      <c r="Q25" s="64">
        <v>10.28</v>
      </c>
      <c r="R25" s="198"/>
      <c r="S25" s="198"/>
      <c r="T25" s="198"/>
      <c r="U25" s="198"/>
    </row>
    <row r="26" spans="1:21" s="12" customFormat="1" x14ac:dyDescent="0.25">
      <c r="A26" s="215" t="s">
        <v>2670</v>
      </c>
      <c r="B26" s="64">
        <v>11.28</v>
      </c>
      <c r="C26" s="64">
        <v>21.61</v>
      </c>
      <c r="D26" s="64">
        <v>21.62</v>
      </c>
      <c r="E26" s="64">
        <v>2.15</v>
      </c>
      <c r="F26" s="64">
        <v>6.16</v>
      </c>
      <c r="G26" s="64">
        <v>17.420000000000002</v>
      </c>
      <c r="H26" s="64">
        <v>18.809999999999999</v>
      </c>
      <c r="I26" s="216" t="s">
        <v>43</v>
      </c>
      <c r="J26" s="64">
        <v>0.89</v>
      </c>
      <c r="K26" s="64">
        <v>348.87</v>
      </c>
      <c r="L26" s="64">
        <v>24.07</v>
      </c>
      <c r="M26" s="64">
        <v>97.23</v>
      </c>
      <c r="N26" s="64">
        <v>27.3</v>
      </c>
      <c r="O26" s="64">
        <v>0</v>
      </c>
      <c r="P26" s="64">
        <v>0.48</v>
      </c>
      <c r="Q26" s="64">
        <v>9.6999999999999993</v>
      </c>
      <c r="R26" s="198"/>
      <c r="S26" s="198"/>
      <c r="T26" s="198"/>
      <c r="U26" s="198"/>
    </row>
    <row r="27" spans="1:21" s="12" customFormat="1" x14ac:dyDescent="0.25">
      <c r="A27" s="215" t="s">
        <v>2671</v>
      </c>
      <c r="B27" s="64">
        <v>10.81</v>
      </c>
      <c r="C27" s="64">
        <v>22.06</v>
      </c>
      <c r="D27" s="64">
        <v>21.49</v>
      </c>
      <c r="E27" s="64">
        <v>2.39</v>
      </c>
      <c r="F27" s="64">
        <v>7.4</v>
      </c>
      <c r="G27" s="64">
        <v>16.91</v>
      </c>
      <c r="H27" s="64">
        <v>23.8</v>
      </c>
      <c r="I27" s="216" t="s">
        <v>43</v>
      </c>
      <c r="J27" s="64">
        <v>0.66</v>
      </c>
      <c r="K27" s="64">
        <v>345.92</v>
      </c>
      <c r="L27" s="64">
        <v>24.06</v>
      </c>
      <c r="M27" s="64">
        <v>97.22</v>
      </c>
      <c r="N27" s="64">
        <v>27.2</v>
      </c>
      <c r="O27" s="64">
        <v>0</v>
      </c>
      <c r="P27" s="64">
        <v>0.45</v>
      </c>
      <c r="Q27" s="64">
        <v>8.77</v>
      </c>
      <c r="R27" s="198"/>
      <c r="S27" s="198"/>
      <c r="T27" s="198"/>
      <c r="U27" s="198"/>
    </row>
    <row r="28" spans="1:21" s="12" customFormat="1" x14ac:dyDescent="0.25">
      <c r="A28" s="215" t="s">
        <v>2672</v>
      </c>
      <c r="B28" s="64">
        <v>11.64</v>
      </c>
      <c r="C28" s="64">
        <v>22.51</v>
      </c>
      <c r="D28" s="64">
        <v>22.4</v>
      </c>
      <c r="E28" s="64">
        <v>2.0699999999999998</v>
      </c>
      <c r="F28" s="64">
        <v>10.28</v>
      </c>
      <c r="G28" s="64">
        <v>16.91</v>
      </c>
      <c r="H28" s="64">
        <v>23.8</v>
      </c>
      <c r="I28" s="216" t="s">
        <v>43</v>
      </c>
      <c r="J28" s="64">
        <v>0.76</v>
      </c>
      <c r="K28" s="64">
        <v>5.23</v>
      </c>
      <c r="L28" s="64">
        <v>24.04</v>
      </c>
      <c r="M28" s="64">
        <v>97.04</v>
      </c>
      <c r="N28" s="64">
        <v>27.1</v>
      </c>
      <c r="O28" s="64">
        <v>0</v>
      </c>
      <c r="P28" s="64">
        <v>0.4</v>
      </c>
      <c r="Q28" s="64">
        <v>8.68</v>
      </c>
      <c r="R28" s="198"/>
      <c r="S28" s="198"/>
      <c r="T28" s="198"/>
      <c r="U28" s="198"/>
    </row>
    <row r="29" spans="1:21" s="12" customFormat="1" x14ac:dyDescent="0.25">
      <c r="A29" s="215" t="s">
        <v>2673</v>
      </c>
      <c r="B29" s="64">
        <v>10.8</v>
      </c>
      <c r="C29" s="64">
        <v>25.9</v>
      </c>
      <c r="D29" s="64">
        <v>23.6</v>
      </c>
      <c r="E29" s="64">
        <v>2.74</v>
      </c>
      <c r="F29" s="64">
        <v>15.62</v>
      </c>
      <c r="G29" s="64">
        <v>16.91</v>
      </c>
      <c r="H29" s="64">
        <v>23.8</v>
      </c>
      <c r="I29" s="216" t="s">
        <v>43</v>
      </c>
      <c r="J29" s="64">
        <v>0.59</v>
      </c>
      <c r="K29" s="64">
        <v>5.27</v>
      </c>
      <c r="L29" s="64">
        <v>23.97</v>
      </c>
      <c r="M29" s="64">
        <v>97.18</v>
      </c>
      <c r="N29" s="64">
        <v>26.9</v>
      </c>
      <c r="O29" s="64">
        <v>0</v>
      </c>
      <c r="P29" s="64">
        <v>0.46</v>
      </c>
      <c r="Q29" s="64">
        <v>8.98</v>
      </c>
      <c r="R29" s="198"/>
      <c r="S29" s="198"/>
      <c r="T29" s="198"/>
      <c r="U29" s="198"/>
    </row>
    <row r="30" spans="1:21" s="12" customFormat="1" x14ac:dyDescent="0.25">
      <c r="A30" s="215" t="s">
        <v>2674</v>
      </c>
      <c r="B30" s="64">
        <v>13.65</v>
      </c>
      <c r="C30" s="64">
        <v>34.700000000000003</v>
      </c>
      <c r="D30" s="64">
        <v>30.74</v>
      </c>
      <c r="E30" s="64">
        <v>2.58</v>
      </c>
      <c r="F30" s="64">
        <v>12.14</v>
      </c>
      <c r="G30" s="64">
        <v>42.69</v>
      </c>
      <c r="H30" s="64">
        <v>10.119999999999999</v>
      </c>
      <c r="I30" s="216" t="s">
        <v>43</v>
      </c>
      <c r="J30" s="64">
        <v>0.51</v>
      </c>
      <c r="K30" s="64">
        <v>2.34</v>
      </c>
      <c r="L30" s="64">
        <v>24.07</v>
      </c>
      <c r="M30" s="64">
        <v>96.81</v>
      </c>
      <c r="N30" s="64">
        <v>28.7</v>
      </c>
      <c r="O30" s="64">
        <v>0</v>
      </c>
      <c r="P30" s="64">
        <v>0.62</v>
      </c>
      <c r="Q30" s="64">
        <v>10.75</v>
      </c>
      <c r="R30" s="198"/>
      <c r="S30" s="198"/>
      <c r="T30" s="198"/>
      <c r="U30" s="198"/>
    </row>
    <row r="31" spans="1:21" s="12" customFormat="1" x14ac:dyDescent="0.25">
      <c r="A31" s="215" t="s">
        <v>2675</v>
      </c>
      <c r="B31" s="64">
        <v>16.96</v>
      </c>
      <c r="C31" s="64">
        <v>41.3</v>
      </c>
      <c r="D31" s="64">
        <v>37.04</v>
      </c>
      <c r="E31" s="64">
        <v>1.98</v>
      </c>
      <c r="F31" s="64">
        <v>10.38</v>
      </c>
      <c r="G31" s="64">
        <v>51.03</v>
      </c>
      <c r="H31" s="64">
        <v>5.7</v>
      </c>
      <c r="I31" s="216" t="s">
        <v>43</v>
      </c>
      <c r="J31" s="64">
        <v>0.19</v>
      </c>
      <c r="K31" s="64">
        <v>9.74</v>
      </c>
      <c r="L31" s="64">
        <v>24.21</v>
      </c>
      <c r="M31" s="64">
        <v>96.77</v>
      </c>
      <c r="N31" s="64">
        <v>37.799999999999997</v>
      </c>
      <c r="O31" s="64">
        <v>0</v>
      </c>
      <c r="P31" s="64">
        <v>0.75</v>
      </c>
      <c r="Q31" s="64">
        <v>12.39</v>
      </c>
      <c r="R31" s="198"/>
      <c r="S31" s="198"/>
      <c r="T31" s="198"/>
      <c r="U31" s="198"/>
    </row>
    <row r="32" spans="1:21" s="12" customFormat="1" x14ac:dyDescent="0.25">
      <c r="A32" s="215" t="s">
        <v>2676</v>
      </c>
      <c r="B32" s="64">
        <v>12.67</v>
      </c>
      <c r="C32" s="64">
        <v>39.450000000000003</v>
      </c>
      <c r="D32" s="64">
        <v>32.58</v>
      </c>
      <c r="E32" s="64">
        <v>2.3199999999999998</v>
      </c>
      <c r="F32" s="64">
        <v>8.26</v>
      </c>
      <c r="G32" s="64">
        <v>51.03</v>
      </c>
      <c r="H32" s="64">
        <v>5.7</v>
      </c>
      <c r="I32" s="216" t="s">
        <v>43</v>
      </c>
      <c r="J32" s="64">
        <v>0.15</v>
      </c>
      <c r="K32" s="64">
        <v>50.39</v>
      </c>
      <c r="L32" s="64">
        <v>24.42</v>
      </c>
      <c r="M32" s="64">
        <v>95.48</v>
      </c>
      <c r="N32" s="64">
        <v>58.6</v>
      </c>
      <c r="O32" s="64">
        <v>0</v>
      </c>
      <c r="P32" s="64">
        <v>0.67</v>
      </c>
      <c r="Q32" s="64">
        <v>13.54</v>
      </c>
      <c r="R32" s="198"/>
      <c r="S32" s="198"/>
      <c r="T32" s="198"/>
      <c r="U32" s="198"/>
    </row>
    <row r="33" spans="1:21" s="12" customFormat="1" x14ac:dyDescent="0.25">
      <c r="A33" s="215" t="s">
        <v>2677</v>
      </c>
      <c r="B33" s="64">
        <v>12.22</v>
      </c>
      <c r="C33" s="64">
        <v>32.97</v>
      </c>
      <c r="D33" s="64">
        <v>28.64</v>
      </c>
      <c r="E33" s="64">
        <v>2.4</v>
      </c>
      <c r="F33" s="64">
        <v>8.68</v>
      </c>
      <c r="G33" s="64">
        <v>51.03</v>
      </c>
      <c r="H33" s="64">
        <v>5.7</v>
      </c>
      <c r="I33" s="216" t="s">
        <v>43</v>
      </c>
      <c r="J33" s="64">
        <v>0.41</v>
      </c>
      <c r="K33" s="64">
        <v>95.92</v>
      </c>
      <c r="L33" s="64">
        <v>24.76</v>
      </c>
      <c r="M33" s="64">
        <v>94.17</v>
      </c>
      <c r="N33" s="64">
        <v>90.6</v>
      </c>
      <c r="O33" s="64">
        <v>0</v>
      </c>
      <c r="P33" s="64">
        <v>0.6</v>
      </c>
      <c r="Q33" s="64">
        <v>14.58</v>
      </c>
      <c r="R33" s="198"/>
      <c r="S33" s="198"/>
      <c r="T33" s="198"/>
      <c r="U33" s="198"/>
    </row>
    <row r="34" spans="1:21" s="12" customFormat="1" x14ac:dyDescent="0.25">
      <c r="A34" s="215" t="s">
        <v>2678</v>
      </c>
      <c r="B34" s="64">
        <v>13.6</v>
      </c>
      <c r="C34" s="64">
        <v>25.52</v>
      </c>
      <c r="D34" s="64">
        <v>25.63</v>
      </c>
      <c r="E34" s="64">
        <v>2.73</v>
      </c>
      <c r="F34" s="64">
        <v>8.69</v>
      </c>
      <c r="G34" s="64">
        <v>88.65</v>
      </c>
      <c r="H34" s="64">
        <v>36.32</v>
      </c>
      <c r="I34" s="216" t="s">
        <v>43</v>
      </c>
      <c r="J34" s="64">
        <v>0.51</v>
      </c>
      <c r="K34" s="64">
        <v>103.91</v>
      </c>
      <c r="L34" s="64">
        <v>25.4</v>
      </c>
      <c r="M34" s="64">
        <v>91.27</v>
      </c>
      <c r="N34" s="64">
        <v>127.8</v>
      </c>
      <c r="O34" s="64">
        <v>0</v>
      </c>
      <c r="P34" s="64">
        <v>0.5</v>
      </c>
      <c r="Q34" s="64">
        <v>14.71</v>
      </c>
      <c r="R34" s="198"/>
      <c r="S34" s="198"/>
      <c r="T34" s="198"/>
      <c r="U34" s="198"/>
    </row>
    <row r="35" spans="1:21" s="12" customFormat="1" x14ac:dyDescent="0.25">
      <c r="A35" s="215" t="s">
        <v>2679</v>
      </c>
      <c r="B35" s="64">
        <v>12.01</v>
      </c>
      <c r="C35" s="64">
        <v>22.48</v>
      </c>
      <c r="D35" s="64">
        <v>22.68</v>
      </c>
      <c r="E35" s="64">
        <v>2.15</v>
      </c>
      <c r="F35" s="64">
        <v>7.44</v>
      </c>
      <c r="G35" s="64">
        <v>100.81</v>
      </c>
      <c r="H35" s="64">
        <v>46.23</v>
      </c>
      <c r="I35" s="216" t="s">
        <v>43</v>
      </c>
      <c r="J35" s="64">
        <v>0.79</v>
      </c>
      <c r="K35" s="64">
        <v>102.06</v>
      </c>
      <c r="L35" s="64">
        <v>25.59</v>
      </c>
      <c r="M35" s="64">
        <v>89.51</v>
      </c>
      <c r="N35" s="64">
        <v>164.7</v>
      </c>
      <c r="O35" s="64">
        <v>0</v>
      </c>
      <c r="P35" s="64">
        <v>0.49</v>
      </c>
      <c r="Q35" s="64">
        <v>14.11</v>
      </c>
      <c r="R35" s="198"/>
      <c r="S35" s="198"/>
      <c r="T35" s="198"/>
      <c r="U35" s="198"/>
    </row>
    <row r="36" spans="1:21" s="12" customFormat="1" x14ac:dyDescent="0.25">
      <c r="A36" s="215" t="s">
        <v>2680</v>
      </c>
      <c r="B36" s="64">
        <v>10.82</v>
      </c>
      <c r="C36" s="64">
        <v>21.18</v>
      </c>
      <c r="D36" s="64">
        <v>21.02</v>
      </c>
      <c r="E36" s="64">
        <v>2.48</v>
      </c>
      <c r="F36" s="64">
        <v>6.37</v>
      </c>
      <c r="G36" s="64">
        <v>100.81</v>
      </c>
      <c r="H36" s="64">
        <v>46.23</v>
      </c>
      <c r="I36" s="216" t="s">
        <v>43</v>
      </c>
      <c r="J36" s="64">
        <v>1.08</v>
      </c>
      <c r="K36" s="64">
        <v>113.47</v>
      </c>
      <c r="L36" s="64">
        <v>26.1</v>
      </c>
      <c r="M36" s="64">
        <v>84.7</v>
      </c>
      <c r="N36" s="64">
        <v>219</v>
      </c>
      <c r="O36" s="64">
        <v>0</v>
      </c>
      <c r="P36" s="64">
        <v>0.48</v>
      </c>
      <c r="Q36" s="64">
        <v>15.4</v>
      </c>
      <c r="R36" s="198"/>
      <c r="S36" s="198"/>
      <c r="T36" s="198"/>
      <c r="U36" s="198"/>
    </row>
    <row r="37" spans="1:21" s="12" customFormat="1" x14ac:dyDescent="0.25">
      <c r="A37" s="215" t="s">
        <v>2681</v>
      </c>
      <c r="B37" s="64">
        <v>11.34</v>
      </c>
      <c r="C37" s="64">
        <v>21.05</v>
      </c>
      <c r="D37" s="64">
        <v>21.35</v>
      </c>
      <c r="E37" s="64">
        <v>2.4900000000000002</v>
      </c>
      <c r="F37" s="64">
        <v>6.18</v>
      </c>
      <c r="G37" s="64">
        <v>100.81</v>
      </c>
      <c r="H37" s="64">
        <v>46.23</v>
      </c>
      <c r="I37" s="216" t="s">
        <v>43</v>
      </c>
      <c r="J37" s="64">
        <v>0.47</v>
      </c>
      <c r="K37" s="64">
        <v>88.72</v>
      </c>
      <c r="L37" s="64">
        <v>26.47</v>
      </c>
      <c r="M37" s="64">
        <v>80.05</v>
      </c>
      <c r="N37" s="64">
        <v>263.5</v>
      </c>
      <c r="O37" s="64">
        <v>0</v>
      </c>
      <c r="P37" s="64">
        <v>0.48</v>
      </c>
      <c r="Q37" s="64">
        <v>16.010000000000002</v>
      </c>
      <c r="R37" s="198"/>
      <c r="S37" s="198"/>
      <c r="T37" s="198"/>
      <c r="U37" s="198"/>
    </row>
    <row r="38" spans="1:21" s="12" customFormat="1" x14ac:dyDescent="0.25">
      <c r="A38" s="215" t="s">
        <v>2682</v>
      </c>
      <c r="B38" s="64">
        <v>12.02</v>
      </c>
      <c r="C38" s="64">
        <v>22.35</v>
      </c>
      <c r="D38" s="64">
        <v>22.62</v>
      </c>
      <c r="E38" s="64">
        <v>2.75</v>
      </c>
      <c r="F38" s="64">
        <v>5.07</v>
      </c>
      <c r="G38" s="64">
        <v>53.54</v>
      </c>
      <c r="H38" s="64">
        <v>27.28</v>
      </c>
      <c r="I38" s="216" t="s">
        <v>43</v>
      </c>
      <c r="J38" s="64">
        <v>0.71</v>
      </c>
      <c r="K38" s="64">
        <v>102.61</v>
      </c>
      <c r="L38" s="64">
        <v>26.8</v>
      </c>
      <c r="M38" s="64">
        <v>79.94</v>
      </c>
      <c r="N38" s="64">
        <v>294.39999999999998</v>
      </c>
      <c r="O38" s="64">
        <v>0</v>
      </c>
      <c r="P38" s="64">
        <v>0.5</v>
      </c>
      <c r="Q38" s="64">
        <v>17.100000000000001</v>
      </c>
      <c r="R38" s="198"/>
      <c r="S38" s="198"/>
      <c r="T38" s="198"/>
      <c r="U38" s="198"/>
    </row>
    <row r="39" spans="1:21" s="12" customFormat="1" x14ac:dyDescent="0.25">
      <c r="A39" s="215" t="s">
        <v>2683</v>
      </c>
      <c r="B39" s="64">
        <v>13.73</v>
      </c>
      <c r="C39" s="64">
        <v>23.97</v>
      </c>
      <c r="D39" s="64">
        <v>24.88</v>
      </c>
      <c r="E39" s="64">
        <v>2.31</v>
      </c>
      <c r="F39" s="64">
        <v>5.24</v>
      </c>
      <c r="G39" s="64">
        <v>38.24</v>
      </c>
      <c r="H39" s="64">
        <v>21.14</v>
      </c>
      <c r="I39" s="216" t="s">
        <v>43</v>
      </c>
      <c r="J39" s="64">
        <v>2.21</v>
      </c>
      <c r="K39" s="64">
        <v>119.98</v>
      </c>
      <c r="L39" s="64">
        <v>26.65</v>
      </c>
      <c r="M39" s="64">
        <v>80.150000000000006</v>
      </c>
      <c r="N39" s="64">
        <v>386.7</v>
      </c>
      <c r="O39" s="64">
        <v>0</v>
      </c>
      <c r="P39" s="64">
        <v>0.5</v>
      </c>
      <c r="Q39" s="64">
        <v>18.3</v>
      </c>
      <c r="R39" s="198"/>
      <c r="S39" s="198"/>
      <c r="T39" s="198"/>
      <c r="U39" s="198"/>
    </row>
    <row r="40" spans="1:21" s="12" customFormat="1" x14ac:dyDescent="0.25">
      <c r="A40" s="215" t="s">
        <v>2684</v>
      </c>
      <c r="B40" s="64">
        <v>13.45</v>
      </c>
      <c r="C40" s="64">
        <v>22.42</v>
      </c>
      <c r="D40" s="64">
        <v>23.8</v>
      </c>
      <c r="E40" s="64">
        <v>1.69</v>
      </c>
      <c r="F40" s="64">
        <v>5.56</v>
      </c>
      <c r="G40" s="64">
        <v>38.24</v>
      </c>
      <c r="H40" s="64">
        <v>21.14</v>
      </c>
      <c r="I40" s="216" t="s">
        <v>43</v>
      </c>
      <c r="J40" s="64">
        <v>1.22</v>
      </c>
      <c r="K40" s="64">
        <v>109.03</v>
      </c>
      <c r="L40" s="64">
        <v>26.35</v>
      </c>
      <c r="M40" s="64">
        <v>81.67</v>
      </c>
      <c r="N40" s="64">
        <v>355.9</v>
      </c>
      <c r="O40" s="64">
        <v>0</v>
      </c>
      <c r="P40" s="64">
        <v>0.49</v>
      </c>
      <c r="Q40" s="64">
        <v>21.04</v>
      </c>
      <c r="R40" s="198"/>
      <c r="S40" s="198"/>
      <c r="T40" s="198"/>
      <c r="U40" s="198"/>
    </row>
    <row r="41" spans="1:21" s="12" customFormat="1" x14ac:dyDescent="0.25">
      <c r="A41" s="215" t="s">
        <v>2685</v>
      </c>
      <c r="B41" s="64">
        <v>16.579999999999998</v>
      </c>
      <c r="C41" s="64">
        <v>24.03</v>
      </c>
      <c r="D41" s="64">
        <v>27.2</v>
      </c>
      <c r="E41" s="64">
        <v>2.0699999999999998</v>
      </c>
      <c r="F41" s="64">
        <v>7.91</v>
      </c>
      <c r="G41" s="64">
        <v>38.24</v>
      </c>
      <c r="H41" s="64">
        <v>21.14</v>
      </c>
      <c r="I41" s="216" t="s">
        <v>43</v>
      </c>
      <c r="J41" s="64">
        <v>0.68</v>
      </c>
      <c r="K41" s="64">
        <v>88.93</v>
      </c>
      <c r="L41" s="64">
        <v>26.82</v>
      </c>
      <c r="M41" s="64">
        <v>78.84</v>
      </c>
      <c r="N41" s="64">
        <v>470.7</v>
      </c>
      <c r="O41" s="64">
        <v>0</v>
      </c>
      <c r="P41" s="64">
        <v>0.45</v>
      </c>
      <c r="Q41" s="64">
        <v>23.52</v>
      </c>
      <c r="R41" s="198"/>
      <c r="S41" s="198"/>
      <c r="T41" s="198"/>
      <c r="U41" s="198"/>
    </row>
    <row r="42" spans="1:21" s="12" customFormat="1" x14ac:dyDescent="0.25">
      <c r="A42" s="215" t="s">
        <v>2686</v>
      </c>
      <c r="B42" s="64">
        <v>15.4</v>
      </c>
      <c r="C42" s="64">
        <v>22.48</v>
      </c>
      <c r="D42" s="64">
        <v>25.4</v>
      </c>
      <c r="E42" s="64">
        <v>2.15</v>
      </c>
      <c r="F42" s="64">
        <v>7.58</v>
      </c>
      <c r="G42" s="64">
        <v>39.44</v>
      </c>
      <c r="H42" s="64">
        <v>15.05</v>
      </c>
      <c r="I42" s="216" t="s">
        <v>43</v>
      </c>
      <c r="J42" s="64">
        <v>0.94</v>
      </c>
      <c r="K42" s="64">
        <v>101.61</v>
      </c>
      <c r="L42" s="64">
        <v>27.77</v>
      </c>
      <c r="M42" s="64">
        <v>75.290000000000006</v>
      </c>
      <c r="N42" s="64">
        <v>615.29999999999995</v>
      </c>
      <c r="O42" s="64">
        <v>0</v>
      </c>
      <c r="P42" s="64">
        <v>0.44</v>
      </c>
      <c r="Q42" s="64">
        <v>24.25</v>
      </c>
      <c r="R42" s="198"/>
      <c r="S42" s="198"/>
      <c r="T42" s="198"/>
      <c r="U42" s="198"/>
    </row>
    <row r="43" spans="1:21" s="12" customFormat="1" x14ac:dyDescent="0.25">
      <c r="A43" s="215" t="s">
        <v>2687</v>
      </c>
      <c r="B43" s="64">
        <v>16.61</v>
      </c>
      <c r="C43" s="64">
        <v>23.39</v>
      </c>
      <c r="D43" s="64">
        <v>26.87</v>
      </c>
      <c r="E43" s="64">
        <v>2.15</v>
      </c>
      <c r="F43" s="64">
        <v>8.48</v>
      </c>
      <c r="G43" s="64">
        <v>39.83</v>
      </c>
      <c r="H43" s="64">
        <v>13.08</v>
      </c>
      <c r="I43" s="216" t="s">
        <v>43</v>
      </c>
      <c r="J43" s="64">
        <v>0.37</v>
      </c>
      <c r="K43" s="64">
        <v>28.9</v>
      </c>
      <c r="L43" s="64">
        <v>28.23</v>
      </c>
      <c r="M43" s="64">
        <v>73.3</v>
      </c>
      <c r="N43" s="64">
        <v>650</v>
      </c>
      <c r="O43" s="64">
        <v>0</v>
      </c>
      <c r="P43" s="64">
        <v>0.43</v>
      </c>
      <c r="Q43" s="64">
        <v>24.66</v>
      </c>
      <c r="R43" s="198"/>
      <c r="S43" s="198"/>
      <c r="T43" s="198"/>
      <c r="U43" s="198"/>
    </row>
    <row r="44" spans="1:21" s="12" customFormat="1" x14ac:dyDescent="0.25">
      <c r="A44" s="215" t="s">
        <v>2688</v>
      </c>
      <c r="B44" s="64">
        <v>16.510000000000002</v>
      </c>
      <c r="C44" s="64">
        <v>22.42</v>
      </c>
      <c r="D44" s="64">
        <v>26.17</v>
      </c>
      <c r="E44" s="64">
        <v>2.0699999999999998</v>
      </c>
      <c r="F44" s="64">
        <v>8.76</v>
      </c>
      <c r="G44" s="64">
        <v>39.83</v>
      </c>
      <c r="H44" s="64">
        <v>13.08</v>
      </c>
      <c r="I44" s="216" t="s">
        <v>43</v>
      </c>
      <c r="J44" s="64">
        <v>0.52</v>
      </c>
      <c r="K44" s="64">
        <v>88.72</v>
      </c>
      <c r="L44" s="64">
        <v>28.82</v>
      </c>
      <c r="M44" s="64">
        <v>71.349999999999994</v>
      </c>
      <c r="N44" s="64">
        <v>744.4</v>
      </c>
      <c r="O44" s="64">
        <v>0</v>
      </c>
      <c r="P44" s="64">
        <v>0.43</v>
      </c>
      <c r="Q44" s="64">
        <v>24.6</v>
      </c>
      <c r="R44" s="198"/>
      <c r="S44" s="198"/>
      <c r="T44" s="198"/>
      <c r="U44" s="198"/>
    </row>
    <row r="45" spans="1:21" s="12" customFormat="1" x14ac:dyDescent="0.25">
      <c r="A45" s="215" t="s">
        <v>2689</v>
      </c>
      <c r="B45" s="64">
        <v>17.059999999999999</v>
      </c>
      <c r="C45" s="64">
        <v>23.07</v>
      </c>
      <c r="D45" s="64">
        <v>27.06</v>
      </c>
      <c r="E45" s="64">
        <v>2.54</v>
      </c>
      <c r="F45" s="64">
        <v>6.71</v>
      </c>
      <c r="G45" s="64">
        <v>39.83</v>
      </c>
      <c r="H45" s="64">
        <v>13.08</v>
      </c>
      <c r="I45" s="216" t="s">
        <v>43</v>
      </c>
      <c r="J45" s="64">
        <v>0.85</v>
      </c>
      <c r="K45" s="64">
        <v>96.11</v>
      </c>
      <c r="L45" s="64">
        <v>29.25</v>
      </c>
      <c r="M45" s="64">
        <v>68.510000000000005</v>
      </c>
      <c r="N45" s="64">
        <v>649.20000000000005</v>
      </c>
      <c r="O45" s="64">
        <v>0</v>
      </c>
      <c r="P45" s="64">
        <v>0.46</v>
      </c>
      <c r="Q45" s="64">
        <v>22.91</v>
      </c>
      <c r="R45" s="198"/>
      <c r="S45" s="198"/>
      <c r="T45" s="198"/>
      <c r="U45" s="198"/>
    </row>
    <row r="46" spans="1:21" s="12" customFormat="1" x14ac:dyDescent="0.25">
      <c r="A46" s="215" t="s">
        <v>2690</v>
      </c>
      <c r="B46" s="64">
        <v>18.59</v>
      </c>
      <c r="C46" s="64">
        <v>21.87</v>
      </c>
      <c r="D46" s="64">
        <v>27.62</v>
      </c>
      <c r="E46" s="64">
        <v>2.5299999999999998</v>
      </c>
      <c r="F46" s="64">
        <v>6.07</v>
      </c>
      <c r="G46" s="64">
        <v>40.049999999999997</v>
      </c>
      <c r="H46" s="64">
        <v>6.86</v>
      </c>
      <c r="I46" s="216" t="s">
        <v>43</v>
      </c>
      <c r="J46" s="64">
        <v>0.79</v>
      </c>
      <c r="K46" s="64">
        <v>89.98</v>
      </c>
      <c r="L46" s="64">
        <v>27.77</v>
      </c>
      <c r="M46" s="64">
        <v>70.78</v>
      </c>
      <c r="N46" s="64">
        <v>461.2</v>
      </c>
      <c r="O46" s="64">
        <v>0</v>
      </c>
      <c r="P46" s="64">
        <v>0.44</v>
      </c>
      <c r="Q46" s="64">
        <v>23.25</v>
      </c>
      <c r="R46" s="198"/>
      <c r="S46" s="198"/>
      <c r="T46" s="198"/>
      <c r="U46" s="198"/>
    </row>
    <row r="47" spans="1:21" s="12" customFormat="1" x14ac:dyDescent="0.25">
      <c r="A47" s="215" t="s">
        <v>2691</v>
      </c>
      <c r="B47" s="64">
        <v>15.28</v>
      </c>
      <c r="C47" s="64">
        <v>20.28</v>
      </c>
      <c r="D47" s="64">
        <v>24.09</v>
      </c>
      <c r="E47" s="64">
        <v>2.91</v>
      </c>
      <c r="F47" s="64">
        <v>6.7</v>
      </c>
      <c r="G47" s="64">
        <v>40.130000000000003</v>
      </c>
      <c r="H47" s="64">
        <v>4.8499999999999996</v>
      </c>
      <c r="I47" s="216" t="s">
        <v>43</v>
      </c>
      <c r="J47" s="64">
        <v>0.84</v>
      </c>
      <c r="K47" s="64">
        <v>84.71</v>
      </c>
      <c r="L47" s="64">
        <v>28.1</v>
      </c>
      <c r="M47" s="64">
        <v>70.12</v>
      </c>
      <c r="N47" s="64">
        <v>578</v>
      </c>
      <c r="O47" s="64">
        <v>0</v>
      </c>
      <c r="P47" s="64">
        <v>0.43</v>
      </c>
      <c r="Q47" s="64">
        <v>22.54</v>
      </c>
      <c r="R47" s="198"/>
      <c r="S47" s="198"/>
      <c r="T47" s="198"/>
      <c r="U47" s="198"/>
    </row>
    <row r="48" spans="1:21" s="12" customFormat="1" x14ac:dyDescent="0.25">
      <c r="A48" s="215" t="s">
        <v>2692</v>
      </c>
      <c r="B48" s="64">
        <v>15.69</v>
      </c>
      <c r="C48" s="64">
        <v>23</v>
      </c>
      <c r="D48" s="64">
        <v>25.92</v>
      </c>
      <c r="E48" s="64">
        <v>2.84</v>
      </c>
      <c r="F48" s="64">
        <v>6.4</v>
      </c>
      <c r="G48" s="64">
        <v>40.130000000000003</v>
      </c>
      <c r="H48" s="64">
        <v>4.8499999999999996</v>
      </c>
      <c r="I48" s="216" t="s">
        <v>43</v>
      </c>
      <c r="J48" s="64">
        <v>0.61</v>
      </c>
      <c r="K48" s="64">
        <v>27.33</v>
      </c>
      <c r="L48" s="64">
        <v>28.93</v>
      </c>
      <c r="M48" s="64">
        <v>65.81</v>
      </c>
      <c r="N48" s="64">
        <v>832.2</v>
      </c>
      <c r="O48" s="64">
        <v>0</v>
      </c>
      <c r="P48" s="64">
        <v>0.44</v>
      </c>
      <c r="Q48" s="64">
        <v>22.66</v>
      </c>
      <c r="R48" s="198"/>
      <c r="S48" s="198"/>
      <c r="T48" s="198"/>
      <c r="U48" s="198"/>
    </row>
    <row r="49" spans="1:21" s="12" customFormat="1" x14ac:dyDescent="0.25">
      <c r="A49" s="215" t="s">
        <v>2693</v>
      </c>
      <c r="B49" s="64">
        <v>16.63</v>
      </c>
      <c r="C49" s="64">
        <v>23.16</v>
      </c>
      <c r="D49" s="64">
        <v>26.76</v>
      </c>
      <c r="E49" s="64">
        <v>2.2200000000000002</v>
      </c>
      <c r="F49" s="64">
        <v>6.49</v>
      </c>
      <c r="G49" s="64">
        <v>40.130000000000003</v>
      </c>
      <c r="H49" s="64">
        <v>4.8499999999999996</v>
      </c>
      <c r="I49" s="216" t="s">
        <v>43</v>
      </c>
      <c r="J49" s="64">
        <v>0.54</v>
      </c>
      <c r="K49" s="64">
        <v>69.02</v>
      </c>
      <c r="L49" s="64">
        <v>29.62</v>
      </c>
      <c r="M49" s="64">
        <v>64.23</v>
      </c>
      <c r="N49" s="64">
        <v>931</v>
      </c>
      <c r="O49" s="64">
        <v>0</v>
      </c>
      <c r="P49" s="64">
        <v>0.44</v>
      </c>
      <c r="Q49" s="64">
        <v>21.54</v>
      </c>
      <c r="R49" s="198"/>
      <c r="S49" s="198"/>
      <c r="T49" s="198"/>
      <c r="U49" s="198"/>
    </row>
    <row r="50" spans="1:21" s="12" customFormat="1" x14ac:dyDescent="0.25">
      <c r="A50" s="215" t="s">
        <v>2694</v>
      </c>
      <c r="B50" s="64">
        <v>15.91</v>
      </c>
      <c r="C50" s="64">
        <v>23.69</v>
      </c>
      <c r="D50" s="64">
        <v>26.48</v>
      </c>
      <c r="E50" s="64">
        <v>2.5</v>
      </c>
      <c r="F50" s="64">
        <v>5.04</v>
      </c>
      <c r="G50" s="64">
        <v>37.76</v>
      </c>
      <c r="H50" s="64">
        <v>3.4</v>
      </c>
      <c r="I50" s="216" t="s">
        <v>43</v>
      </c>
      <c r="J50" s="64">
        <v>0.66</v>
      </c>
      <c r="K50" s="64">
        <v>64.98</v>
      </c>
      <c r="L50" s="64">
        <v>29.53</v>
      </c>
      <c r="M50" s="64">
        <v>65.78</v>
      </c>
      <c r="N50" s="64">
        <v>1022.7</v>
      </c>
      <c r="O50" s="64">
        <v>0</v>
      </c>
      <c r="P50" s="64">
        <v>0.44</v>
      </c>
      <c r="Q50" s="64">
        <v>20.94</v>
      </c>
      <c r="R50" s="198"/>
      <c r="S50" s="198"/>
      <c r="T50" s="198"/>
      <c r="U50" s="198"/>
    </row>
    <row r="51" spans="1:21" s="12" customFormat="1" x14ac:dyDescent="0.25">
      <c r="A51" s="215" t="s">
        <v>2695</v>
      </c>
      <c r="B51" s="64">
        <v>17.78</v>
      </c>
      <c r="C51" s="64">
        <v>24.03</v>
      </c>
      <c r="D51" s="64">
        <v>28.16</v>
      </c>
      <c r="E51" s="64">
        <v>2.5</v>
      </c>
      <c r="F51" s="64">
        <v>5.43</v>
      </c>
      <c r="G51" s="64">
        <v>36.99</v>
      </c>
      <c r="H51" s="64">
        <v>2.93</v>
      </c>
      <c r="I51" s="216" t="s">
        <v>43</v>
      </c>
      <c r="J51" s="64">
        <v>0.64</v>
      </c>
      <c r="K51" s="64">
        <v>54.22</v>
      </c>
      <c r="L51" s="64">
        <v>30.82</v>
      </c>
      <c r="M51" s="64">
        <v>61.29</v>
      </c>
      <c r="N51" s="64">
        <v>953.7</v>
      </c>
      <c r="O51" s="64">
        <v>0</v>
      </c>
      <c r="P51" s="64">
        <v>0.43</v>
      </c>
      <c r="Q51" s="64">
        <v>20.65</v>
      </c>
      <c r="R51" s="198"/>
      <c r="S51" s="198"/>
      <c r="T51" s="198"/>
      <c r="U51" s="198"/>
    </row>
    <row r="52" spans="1:21" s="12" customFormat="1" x14ac:dyDescent="0.25">
      <c r="A52" s="215" t="s">
        <v>2696</v>
      </c>
      <c r="B52" s="64">
        <v>21.15</v>
      </c>
      <c r="C52" s="64">
        <v>23.64</v>
      </c>
      <c r="D52" s="64">
        <v>30.65</v>
      </c>
      <c r="E52" s="64">
        <v>2.5099999999999998</v>
      </c>
      <c r="F52" s="64">
        <v>6.23</v>
      </c>
      <c r="G52" s="64">
        <v>36.99</v>
      </c>
      <c r="H52" s="64">
        <v>2.93</v>
      </c>
      <c r="I52" s="216" t="s">
        <v>43</v>
      </c>
      <c r="J52" s="64">
        <v>0.61</v>
      </c>
      <c r="K52" s="64">
        <v>36.840000000000003</v>
      </c>
      <c r="L52" s="64">
        <v>30.72</v>
      </c>
      <c r="M52" s="64">
        <v>62.9</v>
      </c>
      <c r="N52" s="64">
        <v>1117.5999999999999</v>
      </c>
      <c r="O52" s="64">
        <v>0</v>
      </c>
      <c r="P52" s="64">
        <v>0.44</v>
      </c>
      <c r="Q52" s="64">
        <v>19.829999999999998</v>
      </c>
      <c r="R52" s="198"/>
      <c r="S52" s="198"/>
      <c r="T52" s="198"/>
      <c r="U52" s="198"/>
    </row>
    <row r="53" spans="1:21" s="12" customFormat="1" x14ac:dyDescent="0.25">
      <c r="A53" s="215" t="s">
        <v>2697</v>
      </c>
      <c r="B53" s="64">
        <v>23.36</v>
      </c>
      <c r="C53" s="64">
        <v>25.96</v>
      </c>
      <c r="D53" s="64">
        <v>33.71</v>
      </c>
      <c r="E53" s="64">
        <v>2.4700000000000002</v>
      </c>
      <c r="F53" s="64">
        <v>6.44</v>
      </c>
      <c r="G53" s="64">
        <v>36.99</v>
      </c>
      <c r="H53" s="64">
        <v>2.93</v>
      </c>
      <c r="I53" s="216" t="s">
        <v>43</v>
      </c>
      <c r="J53" s="64">
        <v>0.68</v>
      </c>
      <c r="K53" s="64">
        <v>59.82</v>
      </c>
      <c r="L53" s="64">
        <v>30.55</v>
      </c>
      <c r="M53" s="64">
        <v>62.81</v>
      </c>
      <c r="N53" s="64">
        <v>1075.8</v>
      </c>
      <c r="O53" s="64">
        <v>0</v>
      </c>
      <c r="P53" s="64">
        <v>0.42</v>
      </c>
      <c r="Q53" s="64">
        <v>21.21</v>
      </c>
      <c r="R53" s="198"/>
      <c r="S53" s="198"/>
      <c r="T53" s="198"/>
      <c r="U53" s="198"/>
    </row>
    <row r="54" spans="1:21" s="12" customFormat="1" x14ac:dyDescent="0.25">
      <c r="A54" s="215" t="s">
        <v>2698</v>
      </c>
      <c r="B54" s="64">
        <v>24.73</v>
      </c>
      <c r="C54" s="64">
        <v>29.68</v>
      </c>
      <c r="D54" s="64">
        <v>36.86</v>
      </c>
      <c r="E54" s="64">
        <v>1.91</v>
      </c>
      <c r="F54" s="64">
        <v>6.23</v>
      </c>
      <c r="G54" s="64">
        <v>33.93</v>
      </c>
      <c r="H54" s="64">
        <v>2.44</v>
      </c>
      <c r="I54" s="216" t="s">
        <v>43</v>
      </c>
      <c r="J54" s="64">
        <v>0.99</v>
      </c>
      <c r="K54" s="64">
        <v>16.57</v>
      </c>
      <c r="L54" s="64">
        <v>31.98</v>
      </c>
      <c r="M54" s="64">
        <v>57.24</v>
      </c>
      <c r="N54" s="64">
        <v>705.1</v>
      </c>
      <c r="O54" s="64">
        <v>0</v>
      </c>
      <c r="P54" s="64">
        <v>0.48</v>
      </c>
      <c r="Q54" s="64">
        <v>21.71</v>
      </c>
      <c r="R54" s="198"/>
      <c r="S54" s="198"/>
      <c r="T54" s="198"/>
      <c r="U54" s="198"/>
    </row>
    <row r="55" spans="1:21" s="12" customFormat="1" x14ac:dyDescent="0.25">
      <c r="A55" s="215" t="s">
        <v>2699</v>
      </c>
      <c r="B55" s="64">
        <v>21.13</v>
      </c>
      <c r="C55" s="64">
        <v>25</v>
      </c>
      <c r="D55" s="64">
        <v>31.39</v>
      </c>
      <c r="E55" s="64">
        <v>2.78</v>
      </c>
      <c r="F55" s="64">
        <v>8.15</v>
      </c>
      <c r="G55" s="64">
        <v>32.94</v>
      </c>
      <c r="H55" s="64">
        <v>2.44</v>
      </c>
      <c r="I55" s="216" t="s">
        <v>43</v>
      </c>
      <c r="J55" s="64">
        <v>0.88</v>
      </c>
      <c r="K55" s="64">
        <v>6.43</v>
      </c>
      <c r="L55" s="64">
        <v>30.86</v>
      </c>
      <c r="M55" s="64">
        <v>57.93</v>
      </c>
      <c r="N55" s="64">
        <v>671.9</v>
      </c>
      <c r="O55" s="64">
        <v>0</v>
      </c>
      <c r="P55" s="64">
        <v>0.45</v>
      </c>
      <c r="Q55" s="64">
        <v>21.02</v>
      </c>
      <c r="R55" s="198"/>
      <c r="S55" s="198"/>
      <c r="T55" s="198"/>
      <c r="U55" s="198"/>
    </row>
    <row r="56" spans="1:21" s="12" customFormat="1" x14ac:dyDescent="0.25">
      <c r="A56" s="215" t="s">
        <v>2700</v>
      </c>
      <c r="B56" s="64">
        <v>20.71</v>
      </c>
      <c r="C56" s="64">
        <v>25.15</v>
      </c>
      <c r="D56" s="64">
        <v>31.13</v>
      </c>
      <c r="E56" s="64">
        <v>2.73</v>
      </c>
      <c r="F56" s="64">
        <v>9.11</v>
      </c>
      <c r="G56" s="64">
        <v>32.94</v>
      </c>
      <c r="H56" s="64">
        <v>2.44</v>
      </c>
      <c r="I56" s="216" t="s">
        <v>43</v>
      </c>
      <c r="J56" s="64">
        <v>1.1200000000000001</v>
      </c>
      <c r="K56" s="64">
        <v>7.85</v>
      </c>
      <c r="L56" s="64">
        <v>30.9</v>
      </c>
      <c r="M56" s="64">
        <v>57.89</v>
      </c>
      <c r="N56" s="64">
        <v>618.6</v>
      </c>
      <c r="O56" s="64">
        <v>0</v>
      </c>
      <c r="P56" s="64">
        <v>0.45</v>
      </c>
      <c r="Q56" s="64">
        <v>20.29</v>
      </c>
      <c r="R56" s="198"/>
      <c r="S56" s="198"/>
      <c r="T56" s="198"/>
      <c r="U56" s="198"/>
    </row>
    <row r="57" spans="1:21" s="12" customFormat="1" x14ac:dyDescent="0.25">
      <c r="A57" s="215" t="s">
        <v>2701</v>
      </c>
      <c r="B57" s="64">
        <v>21.91</v>
      </c>
      <c r="C57" s="64">
        <v>23.58</v>
      </c>
      <c r="D57" s="64">
        <v>31.23</v>
      </c>
      <c r="E57" s="64">
        <v>3.09</v>
      </c>
      <c r="F57" s="64">
        <v>7.28</v>
      </c>
      <c r="G57" s="64">
        <v>32.94</v>
      </c>
      <c r="H57" s="64">
        <v>2.44</v>
      </c>
      <c r="I57" s="216" t="s">
        <v>43</v>
      </c>
      <c r="J57" s="64">
        <v>0.64</v>
      </c>
      <c r="K57" s="64">
        <v>24.49</v>
      </c>
      <c r="L57" s="64">
        <v>30.99</v>
      </c>
      <c r="M57" s="64">
        <v>58.4</v>
      </c>
      <c r="N57" s="64">
        <v>850.4</v>
      </c>
      <c r="O57" s="64">
        <v>0</v>
      </c>
      <c r="P57" s="64">
        <v>0.46</v>
      </c>
      <c r="Q57" s="64">
        <v>18.239999999999998</v>
      </c>
      <c r="R57" s="198"/>
      <c r="S57" s="198"/>
      <c r="T57" s="198"/>
      <c r="U57" s="198"/>
    </row>
    <row r="58" spans="1:21" s="12" customFormat="1" x14ac:dyDescent="0.25">
      <c r="A58" s="215" t="s">
        <v>2702</v>
      </c>
      <c r="B58" s="64">
        <v>19.54</v>
      </c>
      <c r="C58" s="64">
        <v>22.88</v>
      </c>
      <c r="D58" s="64">
        <v>28.94</v>
      </c>
      <c r="E58" s="64">
        <v>3.57</v>
      </c>
      <c r="F58" s="64">
        <v>7.35</v>
      </c>
      <c r="G58" s="64">
        <v>34.15</v>
      </c>
      <c r="H58" s="64">
        <v>2.4900000000000002</v>
      </c>
      <c r="I58" s="216" t="s">
        <v>43</v>
      </c>
      <c r="J58" s="64">
        <v>0.66</v>
      </c>
      <c r="K58" s="64">
        <v>16.41</v>
      </c>
      <c r="L58" s="64">
        <v>30.54</v>
      </c>
      <c r="M58" s="64">
        <v>60.02</v>
      </c>
      <c r="N58" s="64">
        <v>838.8</v>
      </c>
      <c r="O58" s="64">
        <v>0</v>
      </c>
      <c r="P58" s="64">
        <v>0.43</v>
      </c>
      <c r="Q58" s="64">
        <v>16.850000000000001</v>
      </c>
      <c r="R58" s="198"/>
      <c r="S58" s="198"/>
      <c r="T58" s="198"/>
      <c r="U58" s="198"/>
    </row>
    <row r="59" spans="1:21" s="12" customFormat="1" x14ac:dyDescent="0.25">
      <c r="A59" s="215" t="s">
        <v>2703</v>
      </c>
      <c r="B59" s="64">
        <v>19.03</v>
      </c>
      <c r="C59" s="64">
        <v>23.73</v>
      </c>
      <c r="D59" s="64">
        <v>29</v>
      </c>
      <c r="E59" s="64">
        <v>3.75</v>
      </c>
      <c r="F59" s="64">
        <v>7.29</v>
      </c>
      <c r="G59" s="64">
        <v>34.54</v>
      </c>
      <c r="H59" s="64">
        <v>2.4900000000000002</v>
      </c>
      <c r="I59" s="216" t="s">
        <v>43</v>
      </c>
      <c r="J59" s="64">
        <v>0.71</v>
      </c>
      <c r="K59" s="64">
        <v>22.66</v>
      </c>
      <c r="L59" s="64">
        <v>31.3</v>
      </c>
      <c r="M59" s="64">
        <v>57.94</v>
      </c>
      <c r="N59" s="64">
        <v>981.2</v>
      </c>
      <c r="O59" s="64">
        <v>0</v>
      </c>
      <c r="P59" s="64">
        <v>0.45</v>
      </c>
      <c r="Q59" s="64">
        <v>15.3</v>
      </c>
      <c r="R59" s="198"/>
      <c r="S59" s="198"/>
      <c r="T59" s="198"/>
      <c r="U59" s="198"/>
    </row>
    <row r="60" spans="1:21" s="12" customFormat="1" x14ac:dyDescent="0.25">
      <c r="A60" s="215" t="s">
        <v>2704</v>
      </c>
      <c r="B60" s="64">
        <v>22.37</v>
      </c>
      <c r="C60" s="64">
        <v>26.68</v>
      </c>
      <c r="D60" s="64">
        <v>33.31</v>
      </c>
      <c r="E60" s="64">
        <v>3.36</v>
      </c>
      <c r="F60" s="64">
        <v>5.86</v>
      </c>
      <c r="G60" s="64">
        <v>34.54</v>
      </c>
      <c r="H60" s="64">
        <v>2.4900000000000002</v>
      </c>
      <c r="I60" s="216" t="s">
        <v>43</v>
      </c>
      <c r="J60" s="64">
        <v>0.51</v>
      </c>
      <c r="K60" s="64">
        <v>28.04</v>
      </c>
      <c r="L60" s="64">
        <v>31.39</v>
      </c>
      <c r="M60" s="64">
        <v>57.2</v>
      </c>
      <c r="N60" s="64">
        <v>937.1</v>
      </c>
      <c r="O60" s="64">
        <v>0</v>
      </c>
      <c r="P60" s="64">
        <v>0.43</v>
      </c>
      <c r="Q60" s="64">
        <v>15.4</v>
      </c>
      <c r="R60" s="198"/>
      <c r="S60" s="198"/>
      <c r="T60" s="198"/>
      <c r="U60" s="198"/>
    </row>
    <row r="61" spans="1:21" s="12" customFormat="1" x14ac:dyDescent="0.25">
      <c r="A61" s="215" t="s">
        <v>2705</v>
      </c>
      <c r="B61" s="64">
        <v>24.87</v>
      </c>
      <c r="C61" s="64">
        <v>24.5</v>
      </c>
      <c r="D61" s="64">
        <v>33.96</v>
      </c>
      <c r="E61" s="64">
        <v>3.58</v>
      </c>
      <c r="F61" s="64">
        <v>6.58</v>
      </c>
      <c r="G61" s="64">
        <v>34.54</v>
      </c>
      <c r="H61" s="64">
        <v>2.4900000000000002</v>
      </c>
      <c r="I61" s="216" t="s">
        <v>43</v>
      </c>
      <c r="J61" s="64">
        <v>0.97</v>
      </c>
      <c r="K61" s="64">
        <v>11.38</v>
      </c>
      <c r="L61" s="64">
        <v>32.06</v>
      </c>
      <c r="M61" s="64">
        <v>56.04</v>
      </c>
      <c r="N61" s="64">
        <v>1073</v>
      </c>
      <c r="O61" s="64">
        <v>0</v>
      </c>
      <c r="P61" s="64">
        <v>0.4</v>
      </c>
      <c r="Q61" s="64">
        <v>14.87</v>
      </c>
      <c r="R61" s="198"/>
      <c r="S61" s="198"/>
      <c r="T61" s="198"/>
      <c r="U61" s="198"/>
    </row>
    <row r="62" spans="1:21" s="12" customFormat="1" x14ac:dyDescent="0.25">
      <c r="A62" s="215" t="s">
        <v>2706</v>
      </c>
      <c r="B62" s="64">
        <v>21.89</v>
      </c>
      <c r="C62" s="64">
        <v>26.21</v>
      </c>
      <c r="D62" s="64">
        <v>32.67</v>
      </c>
      <c r="E62" s="64">
        <v>3.95</v>
      </c>
      <c r="F62" s="64">
        <v>5.63</v>
      </c>
      <c r="G62" s="64">
        <v>35.42</v>
      </c>
      <c r="H62" s="64">
        <v>10.95</v>
      </c>
      <c r="I62" s="216" t="s">
        <v>43</v>
      </c>
      <c r="J62" s="64">
        <v>1.24</v>
      </c>
      <c r="K62" s="64">
        <v>20.25</v>
      </c>
      <c r="L62" s="64">
        <v>32.450000000000003</v>
      </c>
      <c r="M62" s="64">
        <v>55</v>
      </c>
      <c r="N62" s="64">
        <v>873.8</v>
      </c>
      <c r="O62" s="64">
        <v>0</v>
      </c>
      <c r="P62" s="64">
        <v>0.45</v>
      </c>
      <c r="Q62" s="64">
        <v>14.18</v>
      </c>
      <c r="R62" s="198"/>
      <c r="S62" s="198"/>
      <c r="T62" s="198"/>
      <c r="U62" s="198"/>
    </row>
    <row r="63" spans="1:21" s="12" customFormat="1" x14ac:dyDescent="0.25">
      <c r="A63" s="215" t="s">
        <v>2707</v>
      </c>
      <c r="B63" s="64">
        <v>20.72</v>
      </c>
      <c r="C63" s="64">
        <v>27.58</v>
      </c>
      <c r="D63" s="64">
        <v>32.479999999999997</v>
      </c>
      <c r="E63" s="64">
        <v>3.59</v>
      </c>
      <c r="F63" s="64">
        <v>6.06</v>
      </c>
      <c r="G63" s="64">
        <v>35.71</v>
      </c>
      <c r="H63" s="64">
        <v>10.95</v>
      </c>
      <c r="I63" s="216" t="s">
        <v>43</v>
      </c>
      <c r="J63" s="64">
        <v>0.69</v>
      </c>
      <c r="K63" s="64">
        <v>65.19</v>
      </c>
      <c r="L63" s="64">
        <v>30.5</v>
      </c>
      <c r="M63" s="64">
        <v>60.58</v>
      </c>
      <c r="N63" s="64">
        <v>797.9</v>
      </c>
      <c r="O63" s="64">
        <v>0</v>
      </c>
      <c r="P63" s="64">
        <v>0.42</v>
      </c>
      <c r="Q63" s="64">
        <v>14.56</v>
      </c>
      <c r="R63" s="198"/>
      <c r="S63" s="198"/>
      <c r="T63" s="198"/>
      <c r="U63" s="198"/>
    </row>
    <row r="64" spans="1:21" s="12" customFormat="1" x14ac:dyDescent="0.25">
      <c r="A64" s="215" t="s">
        <v>2708</v>
      </c>
      <c r="B64" s="64">
        <v>19.13</v>
      </c>
      <c r="C64" s="64">
        <v>27.54</v>
      </c>
      <c r="D64" s="64">
        <v>31.18</v>
      </c>
      <c r="E64" s="64">
        <v>3.89</v>
      </c>
      <c r="F64" s="64">
        <v>10.52</v>
      </c>
      <c r="G64" s="64">
        <v>35.71</v>
      </c>
      <c r="H64" s="64">
        <v>10.95</v>
      </c>
      <c r="I64" s="216" t="s">
        <v>43</v>
      </c>
      <c r="J64" s="64">
        <v>0.64</v>
      </c>
      <c r="K64" s="64">
        <v>36.21</v>
      </c>
      <c r="L64" s="64">
        <v>31.43</v>
      </c>
      <c r="M64" s="64">
        <v>57.04</v>
      </c>
      <c r="N64" s="64">
        <v>807.1</v>
      </c>
      <c r="O64" s="64">
        <v>0</v>
      </c>
      <c r="P64" s="64">
        <v>0.4</v>
      </c>
      <c r="Q64" s="64">
        <v>14.63</v>
      </c>
      <c r="R64" s="198"/>
      <c r="S64" s="198"/>
      <c r="T64" s="198"/>
      <c r="U64" s="198"/>
    </row>
    <row r="65" spans="1:21" s="12" customFormat="1" x14ac:dyDescent="0.25">
      <c r="A65" s="215" t="s">
        <v>2709</v>
      </c>
      <c r="B65" s="64">
        <v>20.28</v>
      </c>
      <c r="C65" s="64">
        <v>29.29</v>
      </c>
      <c r="D65" s="64">
        <v>33.08</v>
      </c>
      <c r="E65" s="64">
        <v>3.72</v>
      </c>
      <c r="F65" s="64">
        <v>8.56</v>
      </c>
      <c r="G65" s="64">
        <v>35.71</v>
      </c>
      <c r="H65" s="64">
        <v>10.95</v>
      </c>
      <c r="I65" s="216" t="s">
        <v>43</v>
      </c>
      <c r="J65" s="64">
        <v>0.68</v>
      </c>
      <c r="K65" s="64">
        <v>85.88</v>
      </c>
      <c r="L65" s="64">
        <v>30.68</v>
      </c>
      <c r="M65" s="64">
        <v>59.9</v>
      </c>
      <c r="N65" s="64">
        <v>692.4</v>
      </c>
      <c r="O65" s="64">
        <v>0</v>
      </c>
      <c r="P65" s="64">
        <v>0.42</v>
      </c>
      <c r="Q65" s="64">
        <v>14.84</v>
      </c>
      <c r="R65" s="198"/>
      <c r="S65" s="198"/>
      <c r="T65" s="198"/>
      <c r="U65" s="198"/>
    </row>
    <row r="66" spans="1:21" s="12" customFormat="1" x14ac:dyDescent="0.25">
      <c r="A66" s="215" t="s">
        <v>2710</v>
      </c>
      <c r="B66" s="64">
        <v>22.77</v>
      </c>
      <c r="C66" s="64">
        <v>27.77</v>
      </c>
      <c r="D66" s="64">
        <v>34.229999999999997</v>
      </c>
      <c r="E66" s="64">
        <v>3.49</v>
      </c>
      <c r="F66" s="64">
        <v>12.15</v>
      </c>
      <c r="G66" s="64">
        <v>40.35</v>
      </c>
      <c r="H66" s="64">
        <v>14.17</v>
      </c>
      <c r="I66" s="216" t="s">
        <v>43</v>
      </c>
      <c r="J66" s="64">
        <v>0.5</v>
      </c>
      <c r="K66" s="64">
        <v>47.99</v>
      </c>
      <c r="L66" s="64">
        <v>30.75</v>
      </c>
      <c r="M66" s="64">
        <v>60.82</v>
      </c>
      <c r="N66" s="64">
        <v>661.6</v>
      </c>
      <c r="O66" s="64">
        <v>0</v>
      </c>
      <c r="P66" s="64">
        <v>0.45</v>
      </c>
      <c r="Q66" s="64">
        <v>16.09</v>
      </c>
      <c r="R66" s="198"/>
      <c r="S66" s="198"/>
      <c r="T66" s="198"/>
      <c r="U66" s="198"/>
    </row>
    <row r="67" spans="1:21" s="12" customFormat="1" x14ac:dyDescent="0.25">
      <c r="A67" s="215" t="s">
        <v>2711</v>
      </c>
      <c r="B67" s="64">
        <v>18.489999999999998</v>
      </c>
      <c r="C67" s="64">
        <v>26.3</v>
      </c>
      <c r="D67" s="64">
        <v>29.99</v>
      </c>
      <c r="E67" s="64">
        <v>3.97</v>
      </c>
      <c r="F67" s="64">
        <v>13.02</v>
      </c>
      <c r="G67" s="64">
        <v>41.85</v>
      </c>
      <c r="H67" s="64">
        <v>14.17</v>
      </c>
      <c r="I67" s="216" t="s">
        <v>43</v>
      </c>
      <c r="J67" s="64">
        <v>0.74</v>
      </c>
      <c r="K67" s="64">
        <v>31.29</v>
      </c>
      <c r="L67" s="64">
        <v>30.58</v>
      </c>
      <c r="M67" s="64">
        <v>60.2</v>
      </c>
      <c r="N67" s="64">
        <v>664.3</v>
      </c>
      <c r="O67" s="64">
        <v>0</v>
      </c>
      <c r="P67" s="64">
        <v>0.42</v>
      </c>
      <c r="Q67" s="64">
        <v>16.68</v>
      </c>
      <c r="R67" s="198"/>
      <c r="S67" s="198"/>
      <c r="T67" s="198"/>
      <c r="U67" s="198"/>
    </row>
    <row r="68" spans="1:21" s="12" customFormat="1" x14ac:dyDescent="0.25">
      <c r="A68" s="215" t="s">
        <v>2712</v>
      </c>
      <c r="B68" s="64">
        <v>16.510000000000002</v>
      </c>
      <c r="C68" s="64">
        <v>25.21</v>
      </c>
      <c r="D68" s="64">
        <v>27.8</v>
      </c>
      <c r="E68" s="64">
        <v>4.59</v>
      </c>
      <c r="F68" s="64">
        <v>12.54</v>
      </c>
      <c r="G68" s="64">
        <v>41.85</v>
      </c>
      <c r="H68" s="64">
        <v>14.17</v>
      </c>
      <c r="I68" s="216" t="s">
        <v>43</v>
      </c>
      <c r="J68" s="64">
        <v>1.1399999999999999</v>
      </c>
      <c r="K68" s="64">
        <v>17.940000000000001</v>
      </c>
      <c r="L68" s="64">
        <v>31.08</v>
      </c>
      <c r="M68" s="64">
        <v>58.99</v>
      </c>
      <c r="N68" s="64">
        <v>469.2</v>
      </c>
      <c r="O68" s="64">
        <v>0</v>
      </c>
      <c r="P68" s="64">
        <v>0.43</v>
      </c>
      <c r="Q68" s="64">
        <v>15.98</v>
      </c>
      <c r="R68" s="198"/>
      <c r="S68" s="198"/>
      <c r="T68" s="198"/>
      <c r="U68" s="198"/>
    </row>
    <row r="69" spans="1:21" s="12" customFormat="1" x14ac:dyDescent="0.25">
      <c r="A69" s="215" t="s">
        <v>2713</v>
      </c>
      <c r="B69" s="64">
        <v>17.420000000000002</v>
      </c>
      <c r="C69" s="64">
        <v>26.24</v>
      </c>
      <c r="D69" s="64">
        <v>29.1</v>
      </c>
      <c r="E69" s="64">
        <v>4.2300000000000004</v>
      </c>
      <c r="F69" s="64">
        <v>8.81</v>
      </c>
      <c r="G69" s="64">
        <v>41.85</v>
      </c>
      <c r="H69" s="64">
        <v>14.17</v>
      </c>
      <c r="I69" s="216" t="s">
        <v>43</v>
      </c>
      <c r="J69" s="64">
        <v>0.91</v>
      </c>
      <c r="K69" s="64">
        <v>15.27</v>
      </c>
      <c r="L69" s="64">
        <v>31.31</v>
      </c>
      <c r="M69" s="64">
        <v>57.06</v>
      </c>
      <c r="N69" s="64">
        <v>324.39999999999998</v>
      </c>
      <c r="O69" s="64">
        <v>0</v>
      </c>
      <c r="P69" s="64">
        <v>0.43</v>
      </c>
      <c r="Q69" s="64">
        <v>14.44</v>
      </c>
      <c r="R69" s="198"/>
      <c r="S69" s="198"/>
      <c r="T69" s="198"/>
      <c r="U69" s="198"/>
    </row>
    <row r="70" spans="1:21" s="12" customFormat="1" x14ac:dyDescent="0.25">
      <c r="A70" s="215" t="s">
        <v>2714</v>
      </c>
      <c r="B70" s="64">
        <v>14.37</v>
      </c>
      <c r="C70" s="64">
        <v>25.03</v>
      </c>
      <c r="D70" s="64">
        <v>25.98</v>
      </c>
      <c r="E70" s="64">
        <v>5.0599999999999996</v>
      </c>
      <c r="F70" s="64">
        <v>11.39</v>
      </c>
      <c r="G70" s="64">
        <v>50.29</v>
      </c>
      <c r="H70" s="64">
        <v>24.26</v>
      </c>
      <c r="I70" s="216" t="s">
        <v>43</v>
      </c>
      <c r="J70" s="64">
        <v>0.7</v>
      </c>
      <c r="K70" s="64">
        <v>26.46</v>
      </c>
      <c r="L70" s="64">
        <v>31.3</v>
      </c>
      <c r="M70" s="64">
        <v>56.87</v>
      </c>
      <c r="N70" s="64">
        <v>338</v>
      </c>
      <c r="O70" s="64">
        <v>0</v>
      </c>
      <c r="P70" s="64">
        <v>0.41</v>
      </c>
      <c r="Q70" s="64">
        <v>12.29</v>
      </c>
      <c r="R70" s="198"/>
      <c r="S70" s="198"/>
      <c r="T70" s="198"/>
      <c r="U70" s="198"/>
    </row>
    <row r="71" spans="1:21" s="12" customFormat="1" x14ac:dyDescent="0.25">
      <c r="A71" s="215" t="s">
        <v>2715</v>
      </c>
      <c r="B71" s="64">
        <v>12.05</v>
      </c>
      <c r="C71" s="64">
        <v>25.38</v>
      </c>
      <c r="D71" s="64">
        <v>24.32</v>
      </c>
      <c r="E71" s="64">
        <v>4.79</v>
      </c>
      <c r="F71" s="64">
        <v>10.75</v>
      </c>
      <c r="G71" s="64">
        <v>53.02</v>
      </c>
      <c r="H71" s="64">
        <v>24.26</v>
      </c>
      <c r="I71" s="216" t="s">
        <v>43</v>
      </c>
      <c r="J71" s="64">
        <v>0.56000000000000005</v>
      </c>
      <c r="K71" s="64">
        <v>75.67</v>
      </c>
      <c r="L71" s="64">
        <v>30.2</v>
      </c>
      <c r="M71" s="64">
        <v>60.05</v>
      </c>
      <c r="N71" s="64">
        <v>331.2</v>
      </c>
      <c r="O71" s="64">
        <v>0</v>
      </c>
      <c r="P71" s="64">
        <v>0.4</v>
      </c>
      <c r="Q71" s="64">
        <v>10.73</v>
      </c>
      <c r="R71" s="198"/>
      <c r="S71" s="198"/>
      <c r="T71" s="198"/>
      <c r="U71" s="198"/>
    </row>
    <row r="72" spans="1:21" s="12" customFormat="1" x14ac:dyDescent="0.25">
      <c r="A72" s="215" t="s">
        <v>2716</v>
      </c>
      <c r="B72" s="64">
        <v>11.23</v>
      </c>
      <c r="C72" s="64">
        <v>26.79</v>
      </c>
      <c r="D72" s="64">
        <v>24.44</v>
      </c>
      <c r="E72" s="64">
        <v>3.08</v>
      </c>
      <c r="F72" s="64">
        <v>9.1</v>
      </c>
      <c r="G72" s="64">
        <v>53.02</v>
      </c>
      <c r="H72" s="64">
        <v>24.26</v>
      </c>
      <c r="I72" s="216" t="s">
        <v>43</v>
      </c>
      <c r="J72" s="64">
        <v>0.86</v>
      </c>
      <c r="K72" s="64">
        <v>36.49</v>
      </c>
      <c r="L72" s="64">
        <v>30.15</v>
      </c>
      <c r="M72" s="64">
        <v>59.9</v>
      </c>
      <c r="N72" s="64">
        <v>471.3</v>
      </c>
      <c r="O72" s="64">
        <v>0</v>
      </c>
      <c r="P72" s="64">
        <v>0.4</v>
      </c>
      <c r="Q72" s="64">
        <v>11.29</v>
      </c>
      <c r="R72" s="198"/>
      <c r="S72" s="198"/>
      <c r="T72" s="198"/>
      <c r="U72" s="198"/>
    </row>
    <row r="73" spans="1:21" s="12" customFormat="1" x14ac:dyDescent="0.25">
      <c r="A73" s="215" t="s">
        <v>2717</v>
      </c>
      <c r="B73" s="64">
        <v>11.5</v>
      </c>
      <c r="C73" s="64">
        <v>27.05</v>
      </c>
      <c r="D73" s="64">
        <v>24.8</v>
      </c>
      <c r="E73" s="64">
        <v>4.21</v>
      </c>
      <c r="F73" s="64">
        <v>10.84</v>
      </c>
      <c r="G73" s="64">
        <v>53.02</v>
      </c>
      <c r="H73" s="64">
        <v>24.26</v>
      </c>
      <c r="I73" s="216" t="s">
        <v>43</v>
      </c>
      <c r="J73" s="64">
        <v>0.59</v>
      </c>
      <c r="K73" s="64">
        <v>67.98</v>
      </c>
      <c r="L73" s="64">
        <v>30.54</v>
      </c>
      <c r="M73" s="64">
        <v>58.31</v>
      </c>
      <c r="N73" s="64">
        <v>446</v>
      </c>
      <c r="O73" s="64">
        <v>0</v>
      </c>
      <c r="P73" s="64">
        <v>0.4</v>
      </c>
      <c r="Q73" s="64">
        <v>10.91</v>
      </c>
      <c r="R73" s="198"/>
      <c r="S73" s="198"/>
      <c r="T73" s="198"/>
      <c r="U73" s="198"/>
    </row>
    <row r="74" spans="1:21" s="12" customFormat="1" x14ac:dyDescent="0.25">
      <c r="A74" s="215" t="s">
        <v>2718</v>
      </c>
      <c r="B74" s="64">
        <v>12.26</v>
      </c>
      <c r="C74" s="64">
        <v>26.75</v>
      </c>
      <c r="D74" s="64">
        <v>25.24</v>
      </c>
      <c r="E74" s="64">
        <v>3.47</v>
      </c>
      <c r="F74" s="64">
        <v>10.3</v>
      </c>
      <c r="G74" s="64">
        <v>42.21</v>
      </c>
      <c r="H74" s="64">
        <v>14.05</v>
      </c>
      <c r="I74" s="216" t="s">
        <v>43</v>
      </c>
      <c r="J74" s="64">
        <v>0.41</v>
      </c>
      <c r="K74" s="64">
        <v>44.8</v>
      </c>
      <c r="L74" s="64">
        <v>30.35</v>
      </c>
      <c r="M74" s="64">
        <v>58.61</v>
      </c>
      <c r="N74" s="64">
        <v>174.7</v>
      </c>
      <c r="O74" s="64">
        <v>0</v>
      </c>
      <c r="P74" s="64">
        <v>0.41</v>
      </c>
      <c r="Q74" s="64">
        <v>10.6</v>
      </c>
      <c r="R74" s="198"/>
      <c r="S74" s="198"/>
      <c r="T74" s="198"/>
      <c r="U74" s="198"/>
    </row>
    <row r="75" spans="1:21" s="12" customFormat="1" x14ac:dyDescent="0.25">
      <c r="A75" s="215" t="s">
        <v>2719</v>
      </c>
      <c r="B75" s="64">
        <v>11.9</v>
      </c>
      <c r="C75" s="64">
        <v>27.6</v>
      </c>
      <c r="D75" s="64">
        <v>25.42</v>
      </c>
      <c r="E75" s="64">
        <v>3.68</v>
      </c>
      <c r="F75" s="64">
        <v>16.149999999999999</v>
      </c>
      <c r="G75" s="64">
        <v>38.71</v>
      </c>
      <c r="H75" s="64">
        <v>14.05</v>
      </c>
      <c r="I75" s="216" t="s">
        <v>43</v>
      </c>
      <c r="J75" s="64">
        <v>0.55000000000000004</v>
      </c>
      <c r="K75" s="64">
        <v>56.89</v>
      </c>
      <c r="L75" s="64">
        <v>30.24</v>
      </c>
      <c r="M75" s="64">
        <v>60.14</v>
      </c>
      <c r="N75" s="64">
        <v>115.5</v>
      </c>
      <c r="O75" s="64">
        <v>0</v>
      </c>
      <c r="P75" s="64">
        <v>0.44</v>
      </c>
      <c r="Q75" s="64">
        <v>11.11</v>
      </c>
      <c r="R75" s="198"/>
      <c r="S75" s="198"/>
      <c r="T75" s="198"/>
      <c r="U75" s="198"/>
    </row>
    <row r="76" spans="1:21" s="12" customFormat="1" x14ac:dyDescent="0.25">
      <c r="A76" s="215" t="s">
        <v>2720</v>
      </c>
      <c r="B76" s="64">
        <v>11</v>
      </c>
      <c r="C76" s="64">
        <v>26.68</v>
      </c>
      <c r="D76" s="64">
        <v>24.19</v>
      </c>
      <c r="E76" s="64">
        <v>3.75</v>
      </c>
      <c r="F76" s="64">
        <v>17.78</v>
      </c>
      <c r="G76" s="64">
        <v>38.71</v>
      </c>
      <c r="H76" s="64">
        <v>14.05</v>
      </c>
      <c r="I76" s="216" t="s">
        <v>43</v>
      </c>
      <c r="J76" s="64">
        <v>0.5</v>
      </c>
      <c r="K76" s="64">
        <v>60.15</v>
      </c>
      <c r="L76" s="64">
        <v>30.1</v>
      </c>
      <c r="M76" s="64">
        <v>60.08</v>
      </c>
      <c r="N76" s="64">
        <v>124.3</v>
      </c>
      <c r="O76" s="64">
        <v>0</v>
      </c>
      <c r="P76" s="64">
        <v>0.42</v>
      </c>
      <c r="Q76" s="64">
        <v>11.56</v>
      </c>
      <c r="R76" s="198"/>
      <c r="S76" s="198"/>
      <c r="T76" s="198"/>
      <c r="U76" s="198"/>
    </row>
    <row r="77" spans="1:21" s="12" customFormat="1" x14ac:dyDescent="0.25">
      <c r="A77" s="215" t="s">
        <v>2721</v>
      </c>
      <c r="B77" s="64">
        <v>12.14</v>
      </c>
      <c r="C77" s="64">
        <v>29.07</v>
      </c>
      <c r="D77" s="64">
        <v>26.43</v>
      </c>
      <c r="E77" s="64">
        <v>4.05</v>
      </c>
      <c r="F77" s="64">
        <v>13.47</v>
      </c>
      <c r="G77" s="64">
        <v>38.71</v>
      </c>
      <c r="H77" s="64">
        <v>14.05</v>
      </c>
      <c r="I77" s="216" t="s">
        <v>43</v>
      </c>
      <c r="J77" s="64">
        <v>0.65</v>
      </c>
      <c r="K77" s="64">
        <v>25.98</v>
      </c>
      <c r="L77" s="64">
        <v>30.31</v>
      </c>
      <c r="M77" s="64">
        <v>58.18</v>
      </c>
      <c r="N77" s="64">
        <v>151.80000000000001</v>
      </c>
      <c r="O77" s="64">
        <v>0</v>
      </c>
      <c r="P77" s="64">
        <v>0.45</v>
      </c>
      <c r="Q77" s="64">
        <v>12.2</v>
      </c>
      <c r="R77" s="198"/>
      <c r="S77" s="198"/>
      <c r="T77" s="198"/>
      <c r="U77" s="198"/>
    </row>
    <row r="78" spans="1:21" s="12" customFormat="1" x14ac:dyDescent="0.25">
      <c r="A78" s="215" t="s">
        <v>2722</v>
      </c>
      <c r="B78" s="64">
        <v>13.57</v>
      </c>
      <c r="C78" s="64">
        <v>27.26</v>
      </c>
      <c r="D78" s="64">
        <v>26.57</v>
      </c>
      <c r="E78" s="64">
        <v>4.3099999999999996</v>
      </c>
      <c r="F78" s="64">
        <v>12.26</v>
      </c>
      <c r="G78" s="64">
        <v>39.71</v>
      </c>
      <c r="H78" s="64">
        <v>11.89</v>
      </c>
      <c r="I78" s="216" t="s">
        <v>43</v>
      </c>
      <c r="J78" s="64">
        <v>0.79</v>
      </c>
      <c r="K78" s="64">
        <v>17.989999999999998</v>
      </c>
      <c r="L78" s="64">
        <v>30.23</v>
      </c>
      <c r="M78" s="64">
        <v>57.82</v>
      </c>
      <c r="N78" s="64">
        <v>167.5</v>
      </c>
      <c r="O78" s="64">
        <v>0</v>
      </c>
      <c r="P78" s="64">
        <v>0.44</v>
      </c>
      <c r="Q78" s="64">
        <v>12.05</v>
      </c>
      <c r="R78" s="198"/>
      <c r="S78" s="198"/>
      <c r="T78" s="198"/>
      <c r="U78" s="198"/>
    </row>
    <row r="79" spans="1:21" s="12" customFormat="1" x14ac:dyDescent="0.25">
      <c r="A79" s="215" t="s">
        <v>2723</v>
      </c>
      <c r="B79" s="64">
        <v>11.48</v>
      </c>
      <c r="C79" s="64">
        <v>31.05</v>
      </c>
      <c r="D79" s="64">
        <v>26.98</v>
      </c>
      <c r="E79" s="64">
        <v>4.68</v>
      </c>
      <c r="F79" s="64">
        <v>13.91</v>
      </c>
      <c r="G79" s="64">
        <v>40.03</v>
      </c>
      <c r="H79" s="64">
        <v>11.89</v>
      </c>
      <c r="I79" s="216" t="s">
        <v>43</v>
      </c>
      <c r="J79" s="64">
        <v>0.93</v>
      </c>
      <c r="K79" s="64">
        <v>4.63</v>
      </c>
      <c r="L79" s="64">
        <v>30.64</v>
      </c>
      <c r="M79" s="64">
        <v>56.84</v>
      </c>
      <c r="N79" s="64">
        <v>161.4</v>
      </c>
      <c r="O79" s="64">
        <v>0</v>
      </c>
      <c r="P79" s="64">
        <v>0.53</v>
      </c>
      <c r="Q79" s="64">
        <v>11.83</v>
      </c>
      <c r="R79" s="198"/>
      <c r="S79" s="198"/>
      <c r="T79" s="198"/>
      <c r="U79" s="198"/>
    </row>
    <row r="80" spans="1:21" s="12" customFormat="1" x14ac:dyDescent="0.25">
      <c r="A80" s="215" t="s">
        <v>2724</v>
      </c>
      <c r="B80" s="64">
        <v>14.26</v>
      </c>
      <c r="C80" s="64">
        <v>31.8</v>
      </c>
      <c r="D80" s="64">
        <v>29.63</v>
      </c>
      <c r="E80" s="64">
        <v>4.05</v>
      </c>
      <c r="F80" s="64">
        <v>10.39</v>
      </c>
      <c r="G80" s="64">
        <v>40.03</v>
      </c>
      <c r="H80" s="64">
        <v>11.89</v>
      </c>
      <c r="I80" s="216" t="s">
        <v>43</v>
      </c>
      <c r="J80" s="64">
        <v>0.86</v>
      </c>
      <c r="K80" s="64">
        <v>5.15</v>
      </c>
      <c r="L80" s="64">
        <v>30.45</v>
      </c>
      <c r="M80" s="64">
        <v>58.21</v>
      </c>
      <c r="N80" s="64">
        <v>115.7</v>
      </c>
      <c r="O80" s="64">
        <v>0</v>
      </c>
      <c r="P80" s="64">
        <v>0.6</v>
      </c>
      <c r="Q80" s="64">
        <v>11.43</v>
      </c>
      <c r="R80" s="198"/>
      <c r="S80" s="198"/>
      <c r="T80" s="198"/>
      <c r="U80" s="198"/>
    </row>
    <row r="81" spans="1:26" s="12" customFormat="1" x14ac:dyDescent="0.25">
      <c r="A81" s="215" t="s">
        <v>2725</v>
      </c>
      <c r="B81" s="64">
        <v>19.68</v>
      </c>
      <c r="C81" s="64">
        <v>30.21</v>
      </c>
      <c r="D81" s="64">
        <v>33.07</v>
      </c>
      <c r="E81" s="64">
        <v>4.12</v>
      </c>
      <c r="F81" s="64">
        <v>7.35</v>
      </c>
      <c r="G81" s="64">
        <v>40.03</v>
      </c>
      <c r="H81" s="64">
        <v>11.89</v>
      </c>
      <c r="I81" s="216" t="s">
        <v>43</v>
      </c>
      <c r="J81" s="64">
        <v>0.57999999999999996</v>
      </c>
      <c r="K81" s="64">
        <v>3.61</v>
      </c>
      <c r="L81" s="64">
        <v>30.07</v>
      </c>
      <c r="M81" s="64">
        <v>59.65</v>
      </c>
      <c r="N81" s="64">
        <v>78.7</v>
      </c>
      <c r="O81" s="64">
        <v>0</v>
      </c>
      <c r="P81" s="64">
        <v>0.56000000000000005</v>
      </c>
      <c r="Q81" s="64">
        <v>10.64</v>
      </c>
      <c r="R81" s="198"/>
      <c r="S81" s="198"/>
      <c r="T81" s="198"/>
      <c r="U81" s="198"/>
    </row>
    <row r="82" spans="1:26" s="12" customFormat="1" x14ac:dyDescent="0.25">
      <c r="A82" s="215" t="s">
        <v>2726</v>
      </c>
      <c r="B82" s="64">
        <v>14.1</v>
      </c>
      <c r="C82" s="64">
        <v>30.83</v>
      </c>
      <c r="D82" s="64">
        <v>28.97</v>
      </c>
      <c r="E82" s="64">
        <v>4.3</v>
      </c>
      <c r="F82" s="64">
        <v>12.29</v>
      </c>
      <c r="G82" s="217" t="s">
        <v>42</v>
      </c>
      <c r="H82" s="217" t="s">
        <v>42</v>
      </c>
      <c r="I82" s="216" t="s">
        <v>43</v>
      </c>
      <c r="J82" s="64">
        <v>0.55000000000000004</v>
      </c>
      <c r="K82" s="64">
        <v>9.41</v>
      </c>
      <c r="L82" s="64">
        <v>29.96</v>
      </c>
      <c r="M82" s="64">
        <v>59.85</v>
      </c>
      <c r="N82" s="64">
        <v>63.6</v>
      </c>
      <c r="O82" s="64">
        <v>0</v>
      </c>
      <c r="P82" s="64">
        <v>0.64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5" t="s">
        <v>2727</v>
      </c>
      <c r="B83" s="64">
        <v>17.399999999999999</v>
      </c>
      <c r="C83" s="64">
        <v>33.119999999999997</v>
      </c>
      <c r="D83" s="64">
        <v>32.880000000000003</v>
      </c>
      <c r="E83" s="64">
        <v>3.6</v>
      </c>
      <c r="F83" s="64">
        <v>12.97</v>
      </c>
      <c r="G83" s="217" t="s">
        <v>42</v>
      </c>
      <c r="H83" s="217" t="s">
        <v>42</v>
      </c>
      <c r="I83" s="216" t="s">
        <v>43</v>
      </c>
      <c r="J83" s="64">
        <v>0.4</v>
      </c>
      <c r="K83" s="64">
        <v>18.059999999999999</v>
      </c>
      <c r="L83" s="64">
        <v>29.69</v>
      </c>
      <c r="M83" s="64">
        <v>61.7</v>
      </c>
      <c r="N83" s="64">
        <v>37.200000000000003</v>
      </c>
      <c r="O83" s="64">
        <v>0</v>
      </c>
      <c r="P83" s="64">
        <v>0.74</v>
      </c>
      <c r="Q83" s="64">
        <v>9.15</v>
      </c>
      <c r="R83" s="198"/>
      <c r="S83" s="198"/>
      <c r="T83" s="198"/>
      <c r="U83" s="198"/>
    </row>
    <row r="84" spans="1:26" s="12" customFormat="1" x14ac:dyDescent="0.25">
      <c r="A84" s="215" t="s">
        <v>2728</v>
      </c>
      <c r="B84" s="64">
        <v>11.62</v>
      </c>
      <c r="C84" s="64">
        <v>29.16</v>
      </c>
      <c r="D84" s="64">
        <v>26.06</v>
      </c>
      <c r="E84" s="64">
        <v>3.62</v>
      </c>
      <c r="F84" s="64">
        <v>6.23</v>
      </c>
      <c r="G84" s="217" t="s">
        <v>42</v>
      </c>
      <c r="H84" s="217" t="s">
        <v>42</v>
      </c>
      <c r="I84" s="216" t="s">
        <v>43</v>
      </c>
      <c r="J84" s="64">
        <v>1.62</v>
      </c>
      <c r="K84" s="64">
        <v>106.58</v>
      </c>
      <c r="L84" s="64">
        <v>26.48</v>
      </c>
      <c r="M84" s="64">
        <v>85.46</v>
      </c>
      <c r="N84" s="64">
        <v>45.4</v>
      </c>
      <c r="O84" s="64">
        <v>4.2</v>
      </c>
      <c r="P84" s="64">
        <v>0.56999999999999995</v>
      </c>
      <c r="Q84" s="64">
        <v>10.15</v>
      </c>
      <c r="R84" s="198"/>
      <c r="S84" s="198"/>
      <c r="T84" s="198"/>
      <c r="U84" s="198"/>
    </row>
    <row r="85" spans="1:26" s="12" customFormat="1" x14ac:dyDescent="0.25">
      <c r="A85" s="215" t="s">
        <v>2729</v>
      </c>
      <c r="B85" s="64">
        <v>11.98</v>
      </c>
      <c r="C85" s="64">
        <v>23.68</v>
      </c>
      <c r="D85" s="64">
        <v>23.33</v>
      </c>
      <c r="E85" s="64">
        <v>3.78</v>
      </c>
      <c r="F85" s="64">
        <v>6.09</v>
      </c>
      <c r="G85" s="217" t="s">
        <v>42</v>
      </c>
      <c r="H85" s="217" t="s">
        <v>42</v>
      </c>
      <c r="I85" s="216" t="s">
        <v>43</v>
      </c>
      <c r="J85" s="64">
        <v>3.4</v>
      </c>
      <c r="K85" s="64">
        <v>116.75</v>
      </c>
      <c r="L85" s="64">
        <v>23.07</v>
      </c>
      <c r="M85" s="64">
        <v>97.24</v>
      </c>
      <c r="N85" s="64">
        <v>37</v>
      </c>
      <c r="O85" s="64">
        <v>14.6</v>
      </c>
      <c r="P85" s="64">
        <v>0.52</v>
      </c>
      <c r="Q85" s="64">
        <v>10.99</v>
      </c>
      <c r="R85" s="198"/>
      <c r="S85" s="198"/>
      <c r="T85" s="198"/>
      <c r="U85" s="198"/>
    </row>
    <row r="86" spans="1:26" s="12" customFormat="1" x14ac:dyDescent="0.25">
      <c r="A86" s="215" t="s">
        <v>2730</v>
      </c>
      <c r="B86" s="64">
        <v>10.94</v>
      </c>
      <c r="C86" s="64">
        <v>25.83</v>
      </c>
      <c r="D86" s="64">
        <v>23.67</v>
      </c>
      <c r="E86" s="64">
        <v>3.71</v>
      </c>
      <c r="F86" s="64">
        <v>5.4</v>
      </c>
      <c r="G86" s="64">
        <v>44.44</v>
      </c>
      <c r="H86" s="64">
        <v>20.079999999999998</v>
      </c>
      <c r="I86" s="216" t="s">
        <v>43</v>
      </c>
      <c r="J86" s="64">
        <v>0.99</v>
      </c>
      <c r="K86" s="64">
        <v>359.43</v>
      </c>
      <c r="L86" s="64">
        <v>22.12</v>
      </c>
      <c r="M86" s="64">
        <v>97.25</v>
      </c>
      <c r="N86" s="64">
        <v>33</v>
      </c>
      <c r="O86" s="64">
        <v>4.8</v>
      </c>
      <c r="P86" s="64">
        <v>0.51</v>
      </c>
      <c r="Q86" s="64">
        <v>12.72</v>
      </c>
      <c r="R86" s="198"/>
      <c r="S86" s="198"/>
      <c r="T86" s="198"/>
      <c r="U86" s="198"/>
    </row>
    <row r="87" spans="1:26" s="12" customFormat="1" x14ac:dyDescent="0.25">
      <c r="A87" s="215" t="s">
        <v>2731</v>
      </c>
      <c r="B87" s="64">
        <v>9.69</v>
      </c>
      <c r="C87" s="64">
        <v>25.71</v>
      </c>
      <c r="D87" s="64">
        <v>22.6</v>
      </c>
      <c r="E87" s="64">
        <v>3.69</v>
      </c>
      <c r="F87" s="64">
        <v>10.5</v>
      </c>
      <c r="G87" s="64">
        <v>44.72</v>
      </c>
      <c r="H87" s="64">
        <v>20.079999999999998</v>
      </c>
      <c r="I87" s="216" t="s">
        <v>43</v>
      </c>
      <c r="J87" s="64">
        <v>0.43</v>
      </c>
      <c r="K87" s="64">
        <v>12.09</v>
      </c>
      <c r="L87" s="64">
        <v>22.57</v>
      </c>
      <c r="M87" s="64">
        <v>97.25</v>
      </c>
      <c r="N87" s="64">
        <v>33.700000000000003</v>
      </c>
      <c r="O87" s="64">
        <v>0</v>
      </c>
      <c r="P87" s="64">
        <v>0.56999999999999995</v>
      </c>
      <c r="Q87" s="64">
        <v>11.86</v>
      </c>
      <c r="R87" s="198"/>
      <c r="S87" s="198"/>
      <c r="T87" s="198"/>
      <c r="U87" s="198"/>
    </row>
    <row r="88" spans="1:26" s="12" customFormat="1" x14ac:dyDescent="0.25">
      <c r="A88" s="215" t="s">
        <v>2732</v>
      </c>
      <c r="B88" s="64">
        <v>6.67</v>
      </c>
      <c r="C88" s="64">
        <v>24.36</v>
      </c>
      <c r="D88" s="64">
        <v>19.440000000000001</v>
      </c>
      <c r="E88" s="64">
        <v>2.1800000000000002</v>
      </c>
      <c r="F88" s="64">
        <v>11.63</v>
      </c>
      <c r="G88" s="64">
        <v>44.72</v>
      </c>
      <c r="H88" s="64">
        <v>20.079999999999998</v>
      </c>
      <c r="I88" s="216" t="s">
        <v>43</v>
      </c>
      <c r="J88" s="64">
        <v>1.24</v>
      </c>
      <c r="K88" s="64">
        <v>119.68</v>
      </c>
      <c r="L88" s="64">
        <v>22.8</v>
      </c>
      <c r="M88" s="64">
        <v>97.25</v>
      </c>
      <c r="N88" s="64">
        <v>34.4</v>
      </c>
      <c r="O88" s="64">
        <v>0</v>
      </c>
      <c r="P88" s="64">
        <v>0.53</v>
      </c>
      <c r="Q88" s="64">
        <v>12.77</v>
      </c>
      <c r="R88" s="198"/>
      <c r="S88" s="198"/>
      <c r="T88" s="198"/>
      <c r="U88" s="198"/>
    </row>
    <row r="89" spans="1:26" s="12" customFormat="1" x14ac:dyDescent="0.25">
      <c r="A89" s="215" t="s">
        <v>2733</v>
      </c>
      <c r="B89" s="64">
        <v>9.1999999999999993</v>
      </c>
      <c r="C89" s="64">
        <v>36.229999999999997</v>
      </c>
      <c r="D89" s="64">
        <v>28.02</v>
      </c>
      <c r="E89" s="64">
        <v>2.48</v>
      </c>
      <c r="F89" s="64">
        <v>8.98</v>
      </c>
      <c r="G89" s="64">
        <v>44.72</v>
      </c>
      <c r="H89" s="64">
        <v>20.079999999999998</v>
      </c>
      <c r="I89" s="216" t="s">
        <v>43</v>
      </c>
      <c r="J89" s="64">
        <v>0.51</v>
      </c>
      <c r="K89" s="64">
        <v>103.06</v>
      </c>
      <c r="L89" s="64">
        <v>23.29</v>
      </c>
      <c r="M89" s="64">
        <v>97.25</v>
      </c>
      <c r="N89" s="64">
        <v>34.1</v>
      </c>
      <c r="O89" s="64">
        <v>0</v>
      </c>
      <c r="P89" s="64">
        <v>0.92</v>
      </c>
      <c r="Q89" s="64">
        <v>13.45</v>
      </c>
      <c r="R89" s="198"/>
      <c r="S89" s="198"/>
      <c r="T89" s="198"/>
      <c r="U89" s="198"/>
    </row>
    <row r="90" spans="1:26" s="12" customFormat="1" x14ac:dyDescent="0.25">
      <c r="A90" s="215" t="s">
        <v>2734</v>
      </c>
      <c r="B90" s="64">
        <v>12.54</v>
      </c>
      <c r="C90" s="64">
        <v>30.2</v>
      </c>
      <c r="D90" s="64">
        <v>27.37</v>
      </c>
      <c r="E90" s="64">
        <v>2.96</v>
      </c>
      <c r="F90" s="64">
        <v>7.5</v>
      </c>
      <c r="G90" s="64">
        <v>30.86</v>
      </c>
      <c r="H90" s="64">
        <v>13.29</v>
      </c>
      <c r="I90" s="216" t="s">
        <v>43</v>
      </c>
      <c r="J90" s="64">
        <v>0.3</v>
      </c>
      <c r="K90" s="64">
        <v>85</v>
      </c>
      <c r="L90" s="64">
        <v>23.42</v>
      </c>
      <c r="M90" s="64">
        <v>97.27</v>
      </c>
      <c r="N90" s="64">
        <v>34.1</v>
      </c>
      <c r="O90" s="64">
        <v>0</v>
      </c>
      <c r="P90" s="64">
        <v>0.82</v>
      </c>
      <c r="Q90" s="64">
        <v>13.49</v>
      </c>
      <c r="R90" s="198"/>
      <c r="S90" s="198"/>
      <c r="T90" s="198"/>
      <c r="U90" s="198"/>
    </row>
    <row r="91" spans="1:26" s="12" customFormat="1" x14ac:dyDescent="0.25">
      <c r="A91" s="215" t="s">
        <v>2735</v>
      </c>
      <c r="B91" s="64">
        <v>12.97</v>
      </c>
      <c r="C91" s="64">
        <v>24.45</v>
      </c>
      <c r="D91" s="64">
        <v>24.54</v>
      </c>
      <c r="E91" s="64">
        <v>2.91</v>
      </c>
      <c r="F91" s="64">
        <v>8.9600000000000009</v>
      </c>
      <c r="G91" s="64">
        <v>26.37</v>
      </c>
      <c r="H91" s="64">
        <v>13.29</v>
      </c>
      <c r="I91" s="216" t="s">
        <v>43</v>
      </c>
      <c r="J91" s="64">
        <v>0.77</v>
      </c>
      <c r="K91" s="64">
        <v>8.24</v>
      </c>
      <c r="L91" s="64">
        <v>23.44</v>
      </c>
      <c r="M91" s="64">
        <v>97.28</v>
      </c>
      <c r="N91" s="64">
        <v>33.799999999999997</v>
      </c>
      <c r="O91" s="64">
        <v>0</v>
      </c>
      <c r="P91" s="64">
        <v>0.69</v>
      </c>
      <c r="Q91" s="64">
        <v>13.74</v>
      </c>
      <c r="R91" s="198"/>
      <c r="S91" s="198"/>
      <c r="T91" s="198"/>
      <c r="U91" s="198"/>
    </row>
    <row r="92" spans="1:26" s="12" customFormat="1" x14ac:dyDescent="0.25">
      <c r="A92" s="215" t="s">
        <v>2736</v>
      </c>
      <c r="B92" s="64">
        <v>14.32</v>
      </c>
      <c r="C92" s="64">
        <v>26.07</v>
      </c>
      <c r="D92" s="64">
        <v>26.52</v>
      </c>
      <c r="E92" s="64">
        <v>2.85</v>
      </c>
      <c r="F92" s="64">
        <v>5.85</v>
      </c>
      <c r="G92" s="64">
        <v>26.37</v>
      </c>
      <c r="H92" s="64">
        <v>13.29</v>
      </c>
      <c r="I92" s="216" t="s">
        <v>43</v>
      </c>
      <c r="J92" s="64">
        <v>0.4</v>
      </c>
      <c r="K92" s="64">
        <v>8.24</v>
      </c>
      <c r="L92" s="64">
        <v>23.29</v>
      </c>
      <c r="M92" s="64">
        <v>97.28</v>
      </c>
      <c r="N92" s="64">
        <v>34.200000000000003</v>
      </c>
      <c r="O92" s="64">
        <v>0</v>
      </c>
      <c r="P92" s="64">
        <v>0.71</v>
      </c>
      <c r="Q92" s="64">
        <v>13.73</v>
      </c>
      <c r="R92" s="198"/>
      <c r="S92" s="198"/>
      <c r="T92" s="198"/>
      <c r="U92" s="198"/>
    </row>
    <row r="93" spans="1:26" s="12" customFormat="1" x14ac:dyDescent="0.25">
      <c r="A93" s="215" t="s">
        <v>2737</v>
      </c>
      <c r="B93" s="64">
        <v>18.25</v>
      </c>
      <c r="C93" s="64">
        <v>24.5</v>
      </c>
      <c r="D93" s="64">
        <v>28.8</v>
      </c>
      <c r="E93" s="64">
        <v>2.79</v>
      </c>
      <c r="F93" s="64">
        <v>6.21</v>
      </c>
      <c r="G93" s="64">
        <v>26.37</v>
      </c>
      <c r="H93" s="64">
        <v>13.29</v>
      </c>
      <c r="I93" s="216" t="s">
        <v>43</v>
      </c>
      <c r="J93" s="64">
        <v>0.21</v>
      </c>
      <c r="K93" s="64">
        <v>346.93</v>
      </c>
      <c r="L93" s="64">
        <v>23.14</v>
      </c>
      <c r="M93" s="64">
        <v>97.27</v>
      </c>
      <c r="N93" s="64">
        <v>34.200000000000003</v>
      </c>
      <c r="O93" s="64">
        <v>0</v>
      </c>
      <c r="P93" s="64">
        <v>0.71</v>
      </c>
      <c r="Q93" s="64">
        <v>12.32</v>
      </c>
      <c r="R93" s="198"/>
      <c r="S93" s="198"/>
      <c r="T93" s="198"/>
      <c r="U93" s="198"/>
    </row>
    <row r="94" spans="1:26" s="12" customFormat="1" x14ac:dyDescent="0.25">
      <c r="A94" s="215" t="s">
        <v>2738</v>
      </c>
      <c r="B94" s="64">
        <v>17.13</v>
      </c>
      <c r="C94" s="64">
        <v>24.23</v>
      </c>
      <c r="D94" s="64">
        <v>27.75</v>
      </c>
      <c r="E94" s="64">
        <v>2.89</v>
      </c>
      <c r="F94" s="64">
        <v>5.08</v>
      </c>
      <c r="G94" s="64">
        <v>17.239999999999998</v>
      </c>
      <c r="H94" s="64">
        <v>2.96</v>
      </c>
      <c r="I94" s="216" t="s">
        <v>43</v>
      </c>
      <c r="J94" s="64">
        <v>0.13</v>
      </c>
      <c r="K94" s="64">
        <v>49.78</v>
      </c>
      <c r="L94" s="64">
        <v>23.07</v>
      </c>
      <c r="M94" s="64">
        <v>97.25</v>
      </c>
      <c r="N94" s="64">
        <v>34.1</v>
      </c>
      <c r="O94" s="64">
        <v>0</v>
      </c>
      <c r="P94" s="64">
        <v>0.71</v>
      </c>
      <c r="Q94" s="64">
        <v>11.29</v>
      </c>
      <c r="R94" s="198"/>
      <c r="S94" s="198"/>
      <c r="T94" s="198"/>
      <c r="U94" s="198"/>
    </row>
    <row r="95" spans="1:26" s="12" customFormat="1" x14ac:dyDescent="0.25">
      <c r="A95" s="215" t="s">
        <v>2739</v>
      </c>
      <c r="B95" s="64">
        <v>18.62</v>
      </c>
      <c r="C95" s="64">
        <v>24.51</v>
      </c>
      <c r="D95" s="64">
        <v>29.1</v>
      </c>
      <c r="E95" s="64">
        <v>2.84</v>
      </c>
      <c r="F95" s="64">
        <v>5.44</v>
      </c>
      <c r="G95" s="64">
        <v>14.47</v>
      </c>
      <c r="H95" s="64">
        <v>2.96</v>
      </c>
      <c r="I95" s="216" t="s">
        <v>43</v>
      </c>
      <c r="J95" s="64">
        <v>0.48</v>
      </c>
      <c r="K95" s="64">
        <v>5.38</v>
      </c>
      <c r="L95" s="64">
        <v>23.31</v>
      </c>
      <c r="M95" s="64">
        <v>97.25</v>
      </c>
      <c r="N95" s="64">
        <v>34.1</v>
      </c>
      <c r="O95" s="64">
        <v>0</v>
      </c>
      <c r="P95" s="64">
        <v>0.8</v>
      </c>
      <c r="Q95" s="64">
        <v>12.05</v>
      </c>
      <c r="R95" s="198"/>
      <c r="S95" s="198"/>
      <c r="T95" s="198"/>
      <c r="U95" s="198"/>
    </row>
    <row r="96" spans="1:26" s="12" customFormat="1" x14ac:dyDescent="0.25">
      <c r="A96" s="215" t="s">
        <v>2740</v>
      </c>
      <c r="B96" s="64">
        <v>19.3</v>
      </c>
      <c r="C96" s="64">
        <v>23.73</v>
      </c>
      <c r="D96" s="64">
        <v>29.22</v>
      </c>
      <c r="E96" s="64">
        <v>3.04</v>
      </c>
      <c r="F96" s="64">
        <v>4.5199999999999996</v>
      </c>
      <c r="G96" s="64">
        <v>14.47</v>
      </c>
      <c r="H96" s="64">
        <v>2.96</v>
      </c>
      <c r="I96" s="216" t="s">
        <v>43</v>
      </c>
      <c r="J96" s="64">
        <v>0.52</v>
      </c>
      <c r="K96" s="64">
        <v>6.04</v>
      </c>
      <c r="L96" s="64">
        <v>23.31</v>
      </c>
      <c r="M96" s="64">
        <v>97.25</v>
      </c>
      <c r="N96" s="64">
        <v>33.700000000000003</v>
      </c>
      <c r="O96" s="64">
        <v>0</v>
      </c>
      <c r="P96" s="64">
        <v>0.77</v>
      </c>
      <c r="Q96" s="64">
        <v>11.57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2741</v>
      </c>
      <c r="B97" s="64">
        <v>20.03</v>
      </c>
      <c r="C97" s="64">
        <v>22.14</v>
      </c>
      <c r="D97" s="64">
        <v>28.93</v>
      </c>
      <c r="E97" s="64">
        <v>3.26</v>
      </c>
      <c r="F97" s="64">
        <v>4.1399999999999997</v>
      </c>
      <c r="G97" s="64">
        <v>14.47</v>
      </c>
      <c r="H97" s="64">
        <v>2.96</v>
      </c>
      <c r="I97" s="216" t="s">
        <v>43</v>
      </c>
      <c r="J97" s="64">
        <v>0.96</v>
      </c>
      <c r="K97" s="64">
        <v>4.42</v>
      </c>
      <c r="L97" s="64">
        <v>23.36</v>
      </c>
      <c r="M97" s="64">
        <v>97.25</v>
      </c>
      <c r="N97" s="64">
        <v>34</v>
      </c>
      <c r="O97" s="64">
        <v>0</v>
      </c>
      <c r="P97" s="64">
        <v>0.74</v>
      </c>
      <c r="Q97" s="64">
        <v>12.17</v>
      </c>
      <c r="R97" s="198"/>
      <c r="S97" s="198"/>
      <c r="T97" s="198"/>
      <c r="U97" s="198"/>
    </row>
    <row r="98" spans="1:33" s="12" customFormat="1" x14ac:dyDescent="0.25">
      <c r="A98" s="215" t="s">
        <v>2742</v>
      </c>
      <c r="B98" s="64">
        <v>17.78</v>
      </c>
      <c r="C98" s="64">
        <v>23.59</v>
      </c>
      <c r="D98" s="64">
        <v>27.92</v>
      </c>
      <c r="E98" s="64">
        <v>3.12</v>
      </c>
      <c r="F98" s="64">
        <v>4.4000000000000004</v>
      </c>
      <c r="G98" s="64">
        <v>14.87</v>
      </c>
      <c r="H98" s="64">
        <v>3</v>
      </c>
      <c r="I98" s="216" t="s">
        <v>43</v>
      </c>
      <c r="J98" s="64">
        <v>0.74</v>
      </c>
      <c r="K98" s="64">
        <v>2.1800000000000002</v>
      </c>
      <c r="L98" s="64">
        <v>23.38</v>
      </c>
      <c r="M98" s="64">
        <v>97.24</v>
      </c>
      <c r="N98" s="64">
        <v>33.6</v>
      </c>
      <c r="O98" s="64">
        <v>0</v>
      </c>
      <c r="P98" s="64">
        <v>0.71</v>
      </c>
      <c r="Q98" s="64">
        <v>11.44</v>
      </c>
      <c r="R98" s="198"/>
      <c r="S98" s="198"/>
      <c r="T98" s="198"/>
      <c r="U98" s="198"/>
    </row>
    <row r="99" spans="1:33" s="12" customFormat="1" x14ac:dyDescent="0.25">
      <c r="A99" s="215" t="s">
        <v>2743</v>
      </c>
      <c r="B99" s="64">
        <v>19.309999999999999</v>
      </c>
      <c r="C99" s="64">
        <v>24.7</v>
      </c>
      <c r="D99" s="64">
        <v>29.77</v>
      </c>
      <c r="E99" s="64">
        <v>2.81</v>
      </c>
      <c r="F99" s="64">
        <v>6.33</v>
      </c>
      <c r="G99" s="64">
        <v>15</v>
      </c>
      <c r="H99" s="64">
        <v>3</v>
      </c>
      <c r="I99" s="216" t="s">
        <v>43</v>
      </c>
      <c r="J99" s="64">
        <v>0.86</v>
      </c>
      <c r="K99" s="64">
        <v>5.0199999999999996</v>
      </c>
      <c r="L99" s="64">
        <v>23.54</v>
      </c>
      <c r="M99" s="64">
        <v>97.23</v>
      </c>
      <c r="N99" s="64">
        <v>33.700000000000003</v>
      </c>
      <c r="O99" s="64">
        <v>0</v>
      </c>
      <c r="P99" s="64">
        <v>0.75</v>
      </c>
      <c r="Q99" s="64">
        <v>11.35</v>
      </c>
      <c r="R99" s="198"/>
      <c r="S99" s="198"/>
      <c r="T99" s="198"/>
      <c r="U99" s="198"/>
    </row>
    <row r="100" spans="1:33" s="12" customFormat="1" x14ac:dyDescent="0.25">
      <c r="A100" s="215" t="s">
        <v>2744</v>
      </c>
      <c r="B100" s="64">
        <v>14.45</v>
      </c>
      <c r="C100" s="64">
        <v>26.27</v>
      </c>
      <c r="D100" s="64">
        <v>26.73</v>
      </c>
      <c r="E100" s="64">
        <v>2.81</v>
      </c>
      <c r="F100" s="64">
        <v>4.8099999999999996</v>
      </c>
      <c r="G100" s="64">
        <v>15</v>
      </c>
      <c r="H100" s="64">
        <v>3</v>
      </c>
      <c r="I100" s="216" t="s">
        <v>43</v>
      </c>
      <c r="J100" s="64">
        <v>0.21</v>
      </c>
      <c r="K100" s="64">
        <v>16.39</v>
      </c>
      <c r="L100" s="64">
        <v>23.59</v>
      </c>
      <c r="M100" s="64">
        <v>97.22</v>
      </c>
      <c r="N100" s="64">
        <v>34.200000000000003</v>
      </c>
      <c r="O100" s="64">
        <v>0</v>
      </c>
      <c r="P100" s="64">
        <v>0.77</v>
      </c>
      <c r="Q100" s="64">
        <v>11.93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2745</v>
      </c>
      <c r="B101" s="64">
        <v>14.64</v>
      </c>
      <c r="C101" s="64">
        <v>21.82</v>
      </c>
      <c r="D101" s="64">
        <v>24.43</v>
      </c>
      <c r="E101" s="64">
        <v>2.56</v>
      </c>
      <c r="F101" s="64">
        <v>8.3800000000000008</v>
      </c>
      <c r="G101" s="64">
        <v>15</v>
      </c>
      <c r="H101" s="64">
        <v>3</v>
      </c>
      <c r="I101" s="216" t="s">
        <v>43</v>
      </c>
      <c r="J101" s="64">
        <v>0.37</v>
      </c>
      <c r="K101" s="64">
        <v>88.63</v>
      </c>
      <c r="L101" s="64">
        <v>23.58</v>
      </c>
      <c r="M101" s="64">
        <v>97.2</v>
      </c>
      <c r="N101" s="64">
        <v>34.1</v>
      </c>
      <c r="O101" s="64">
        <v>0</v>
      </c>
      <c r="P101" s="64">
        <v>0.63</v>
      </c>
      <c r="Q101" s="64">
        <v>12.33</v>
      </c>
      <c r="R101" s="198"/>
      <c r="S101" s="198"/>
      <c r="T101" s="198"/>
      <c r="U101" s="198"/>
    </row>
    <row r="102" spans="1:33" s="12" customFormat="1" x14ac:dyDescent="0.25">
      <c r="A102" s="215" t="s">
        <v>2746</v>
      </c>
      <c r="B102" s="64">
        <v>11.96</v>
      </c>
      <c r="C102" s="64">
        <v>19.91</v>
      </c>
      <c r="D102" s="64">
        <v>21.23</v>
      </c>
      <c r="E102" s="64">
        <v>2.74</v>
      </c>
      <c r="F102" s="64">
        <v>9.23</v>
      </c>
      <c r="G102" s="64">
        <v>18.96</v>
      </c>
      <c r="H102" s="64">
        <v>17.329999999999998</v>
      </c>
      <c r="I102" s="216" t="s">
        <v>43</v>
      </c>
      <c r="J102" s="64">
        <v>0.22</v>
      </c>
      <c r="K102" s="64">
        <v>79.900000000000006</v>
      </c>
      <c r="L102" s="64">
        <v>23.57</v>
      </c>
      <c r="M102" s="64">
        <v>97.22</v>
      </c>
      <c r="N102" s="64">
        <v>33.9</v>
      </c>
      <c r="O102" s="64">
        <v>0</v>
      </c>
      <c r="P102" s="64">
        <v>0.53</v>
      </c>
      <c r="Q102" s="64">
        <v>13</v>
      </c>
      <c r="R102" s="198"/>
      <c r="S102" s="198"/>
      <c r="T102" s="198"/>
      <c r="U102" s="198"/>
    </row>
    <row r="103" spans="1:33" s="12" customFormat="1" x14ac:dyDescent="0.25">
      <c r="A103" s="215" t="s">
        <v>2747</v>
      </c>
      <c r="B103" s="64">
        <v>12.88</v>
      </c>
      <c r="C103" s="64">
        <v>18.43</v>
      </c>
      <c r="D103" s="64">
        <v>21.15</v>
      </c>
      <c r="E103" s="64">
        <v>2.5099999999999998</v>
      </c>
      <c r="F103" s="64">
        <v>10.29</v>
      </c>
      <c r="G103" s="64">
        <v>20.25</v>
      </c>
      <c r="H103" s="64">
        <v>17.329999999999998</v>
      </c>
      <c r="I103" s="216" t="s">
        <v>43</v>
      </c>
      <c r="J103" s="64">
        <v>0.13</v>
      </c>
      <c r="K103" s="64">
        <v>49.73</v>
      </c>
      <c r="L103" s="64">
        <v>23.56</v>
      </c>
      <c r="M103" s="64">
        <v>97.23</v>
      </c>
      <c r="N103" s="64">
        <v>33.700000000000003</v>
      </c>
      <c r="O103" s="64">
        <v>0</v>
      </c>
      <c r="P103" s="64">
        <v>0.5</v>
      </c>
      <c r="Q103" s="64">
        <v>13.76</v>
      </c>
      <c r="R103" s="198"/>
      <c r="S103" s="198"/>
      <c r="T103" s="198"/>
      <c r="U103" s="198"/>
    </row>
    <row r="104" spans="1:33" s="12" customFormat="1" x14ac:dyDescent="0.25">
      <c r="A104" s="215" t="s">
        <v>2748</v>
      </c>
      <c r="B104" s="64">
        <v>15.73</v>
      </c>
      <c r="C104" s="64">
        <v>20.88</v>
      </c>
      <c r="D104" s="64">
        <v>24.79</v>
      </c>
      <c r="E104" s="64">
        <v>1.82</v>
      </c>
      <c r="F104" s="64">
        <v>6.39</v>
      </c>
      <c r="G104" s="64">
        <v>20.25</v>
      </c>
      <c r="H104" s="64">
        <v>17.329999999999998</v>
      </c>
      <c r="I104" s="216" t="s">
        <v>43</v>
      </c>
      <c r="J104" s="64">
        <v>0.1</v>
      </c>
      <c r="K104" s="64">
        <v>24.72</v>
      </c>
      <c r="L104" s="64">
        <v>23.53</v>
      </c>
      <c r="M104" s="64">
        <v>97.23</v>
      </c>
      <c r="N104" s="64">
        <v>33.5</v>
      </c>
      <c r="O104" s="64">
        <v>0</v>
      </c>
      <c r="P104" s="64">
        <v>0.61</v>
      </c>
      <c r="Q104" s="64">
        <v>13.68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5.01</v>
      </c>
      <c r="C106" s="67">
        <f>MIN(C9:C104)</f>
        <v>17.22</v>
      </c>
      <c r="D106" s="67">
        <f t="shared" ref="D106:Q106" si="0">MIN(D9:D104)</f>
        <v>14.56</v>
      </c>
      <c r="E106" s="67">
        <f t="shared" si="0"/>
        <v>1.69</v>
      </c>
      <c r="F106" s="67">
        <f t="shared" si="0"/>
        <v>4.1399999999999997</v>
      </c>
      <c r="G106" s="67">
        <f t="shared" si="0"/>
        <v>11.13</v>
      </c>
      <c r="H106" s="67">
        <f t="shared" si="0"/>
        <v>2.44</v>
      </c>
      <c r="I106" s="67">
        <f t="shared" si="0"/>
        <v>0</v>
      </c>
      <c r="J106" s="67">
        <f t="shared" si="0"/>
        <v>0.03</v>
      </c>
      <c r="K106" s="67">
        <f t="shared" si="0"/>
        <v>1.1299999999999999</v>
      </c>
      <c r="L106" s="67">
        <f t="shared" si="0"/>
        <v>22.12</v>
      </c>
      <c r="M106" s="67">
        <f t="shared" si="0"/>
        <v>55</v>
      </c>
      <c r="N106" s="67">
        <f t="shared" si="0"/>
        <v>24</v>
      </c>
      <c r="O106" s="67">
        <f t="shared" si="0"/>
        <v>0</v>
      </c>
      <c r="P106" s="67">
        <f t="shared" si="0"/>
        <v>0.28999999999999998</v>
      </c>
      <c r="Q106" s="67">
        <f t="shared" si="0"/>
        <v>8.68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24.87</v>
      </c>
      <c r="C107" s="66">
        <f t="shared" ref="C107:Q107" si="1">MAX(C9:C104)</f>
        <v>52.67</v>
      </c>
      <c r="D107" s="66">
        <f t="shared" si="1"/>
        <v>42.51</v>
      </c>
      <c r="E107" s="66">
        <f t="shared" si="1"/>
        <v>5.0599999999999996</v>
      </c>
      <c r="F107" s="66">
        <f t="shared" si="1"/>
        <v>17.78</v>
      </c>
      <c r="G107" s="66">
        <f t="shared" si="1"/>
        <v>100.81</v>
      </c>
      <c r="H107" s="66">
        <f t="shared" si="1"/>
        <v>52</v>
      </c>
      <c r="I107" s="66">
        <f t="shared" si="1"/>
        <v>0</v>
      </c>
      <c r="J107" s="66">
        <f t="shared" si="1"/>
        <v>3.4</v>
      </c>
      <c r="K107" s="66">
        <f t="shared" si="1"/>
        <v>359.48</v>
      </c>
      <c r="L107" s="66">
        <f t="shared" si="1"/>
        <v>32.450000000000003</v>
      </c>
      <c r="M107" s="66">
        <f t="shared" si="1"/>
        <v>97.28</v>
      </c>
      <c r="N107" s="66">
        <f t="shared" si="1"/>
        <v>1117.5999999999999</v>
      </c>
      <c r="O107" s="66">
        <f t="shared" si="1"/>
        <v>14.6</v>
      </c>
      <c r="P107" s="66">
        <f t="shared" si="1"/>
        <v>0.92</v>
      </c>
      <c r="Q107" s="66">
        <f t="shared" si="1"/>
        <v>24.66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14.761562500000002</v>
      </c>
      <c r="C108" s="67">
        <f t="shared" ref="C108:Q108" si="2">AVERAGE(C9:C104)</f>
        <v>25.366041666666661</v>
      </c>
      <c r="D108" s="67">
        <f t="shared" si="2"/>
        <v>26.48</v>
      </c>
      <c r="E108" s="67">
        <f t="shared" si="2"/>
        <v>2.895208333333334</v>
      </c>
      <c r="F108" s="67">
        <f t="shared" si="2"/>
        <v>8.4980208333333334</v>
      </c>
      <c r="G108" s="67">
        <f t="shared" si="2"/>
        <v>37.379891304347815</v>
      </c>
      <c r="H108" s="67">
        <f t="shared" si="2"/>
        <v>13.960108695652172</v>
      </c>
      <c r="I108" s="67" t="e">
        <f t="shared" si="2"/>
        <v>#DIV/0!</v>
      </c>
      <c r="J108" s="67">
        <f t="shared" si="2"/>
        <v>0.66416666666666657</v>
      </c>
      <c r="K108" s="67">
        <f t="shared" si="2"/>
        <v>97.518229166666615</v>
      </c>
      <c r="L108" s="67">
        <f t="shared" si="2"/>
        <v>26.874166666666671</v>
      </c>
      <c r="M108" s="67">
        <f t="shared" si="2"/>
        <v>79.908229166666658</v>
      </c>
      <c r="N108" s="67">
        <f t="shared" si="2"/>
        <v>293.30624999999998</v>
      </c>
      <c r="O108" s="67">
        <f t="shared" si="2"/>
        <v>0.26041666666666669</v>
      </c>
      <c r="P108" s="67">
        <f t="shared" si="2"/>
        <v>0.52656250000000027</v>
      </c>
      <c r="Q108" s="67">
        <f t="shared" si="2"/>
        <v>14.996562499999998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4.4392200187645612</v>
      </c>
      <c r="C109" s="67">
        <f t="shared" ref="C109:Q109" si="3">STDEV(C9:C104)</f>
        <v>5.5676141501150838</v>
      </c>
      <c r="D109" s="67">
        <f t="shared" si="3"/>
        <v>5.1758192842445885</v>
      </c>
      <c r="E109" s="67">
        <f t="shared" si="3"/>
        <v>0.79988154276501267</v>
      </c>
      <c r="F109" s="67">
        <f t="shared" si="3"/>
        <v>2.9498027123295358</v>
      </c>
      <c r="G109" s="67">
        <f t="shared" si="3"/>
        <v>18.305664018354875</v>
      </c>
      <c r="H109" s="67">
        <f t="shared" si="3"/>
        <v>11.379074924698482</v>
      </c>
      <c r="I109" s="67" t="e">
        <f t="shared" si="3"/>
        <v>#DIV/0!</v>
      </c>
      <c r="J109" s="67">
        <f t="shared" si="3"/>
        <v>0.45107046168365866</v>
      </c>
      <c r="K109" s="67">
        <f t="shared" si="3"/>
        <v>115.96121755497033</v>
      </c>
      <c r="L109" s="67">
        <f t="shared" si="3"/>
        <v>3.2586954660339797</v>
      </c>
      <c r="M109" s="67">
        <f t="shared" si="3"/>
        <v>17.388433239235592</v>
      </c>
      <c r="N109" s="67">
        <f t="shared" si="3"/>
        <v>341.47180011871524</v>
      </c>
      <c r="O109" s="67">
        <f t="shared" si="3"/>
        <v>1.6199076755151767</v>
      </c>
      <c r="P109" s="67">
        <f t="shared" si="3"/>
        <v>0.1333442566797442</v>
      </c>
      <c r="Q109" s="67">
        <f t="shared" si="3"/>
        <v>4.175113696056675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2749</v>
      </c>
      <c r="B9" s="64">
        <v>12.95</v>
      </c>
      <c r="C9" s="64">
        <v>19.62</v>
      </c>
      <c r="D9" s="64">
        <v>21.85</v>
      </c>
      <c r="E9" s="64">
        <v>2.72</v>
      </c>
      <c r="F9" s="64">
        <v>5.95</v>
      </c>
      <c r="G9" s="64">
        <v>20.25</v>
      </c>
      <c r="H9" s="64">
        <v>17.329999999999998</v>
      </c>
      <c r="I9" s="216" t="s">
        <v>43</v>
      </c>
      <c r="J9" s="64">
        <v>0.57999999999999996</v>
      </c>
      <c r="K9" s="64">
        <v>6.27</v>
      </c>
      <c r="L9" s="64">
        <v>23.64</v>
      </c>
      <c r="M9" s="64">
        <v>97.23</v>
      </c>
      <c r="N9" s="64">
        <v>33.200000000000003</v>
      </c>
      <c r="O9" s="64">
        <v>0</v>
      </c>
      <c r="P9" s="64">
        <v>0.59</v>
      </c>
      <c r="Q9" s="64">
        <v>12.29</v>
      </c>
      <c r="R9" s="198"/>
      <c r="S9" s="198"/>
      <c r="T9" s="198"/>
      <c r="U9" s="198"/>
    </row>
    <row r="10" spans="1:21" s="12" customFormat="1" x14ac:dyDescent="0.25">
      <c r="A10" s="215" t="s">
        <v>2750</v>
      </c>
      <c r="B10" s="64">
        <v>13.88</v>
      </c>
      <c r="C10" s="64">
        <v>19.559999999999999</v>
      </c>
      <c r="D10" s="64">
        <v>22.58</v>
      </c>
      <c r="E10" s="64">
        <v>2.78</v>
      </c>
      <c r="F10" s="64">
        <v>4.93</v>
      </c>
      <c r="G10" s="64">
        <v>19.91</v>
      </c>
      <c r="H10" s="64">
        <v>3.76</v>
      </c>
      <c r="I10" s="216" t="s">
        <v>43</v>
      </c>
      <c r="J10" s="64">
        <v>0.6</v>
      </c>
      <c r="K10" s="64">
        <v>6.18</v>
      </c>
      <c r="L10" s="64">
        <v>23.72</v>
      </c>
      <c r="M10" s="64">
        <v>97.23</v>
      </c>
      <c r="N10" s="64">
        <v>33.200000000000003</v>
      </c>
      <c r="O10" s="64">
        <v>0</v>
      </c>
      <c r="P10" s="64">
        <v>0.59</v>
      </c>
      <c r="Q10" s="64">
        <v>11.79</v>
      </c>
      <c r="R10" s="198"/>
      <c r="S10" s="198"/>
      <c r="T10" s="198"/>
      <c r="U10" s="198"/>
    </row>
    <row r="11" spans="1:21" s="12" customFormat="1" x14ac:dyDescent="0.25">
      <c r="A11" s="215" t="s">
        <v>2751</v>
      </c>
      <c r="B11" s="64">
        <v>12.64</v>
      </c>
      <c r="C11" s="64">
        <v>21.52</v>
      </c>
      <c r="D11" s="64">
        <v>22.66</v>
      </c>
      <c r="E11" s="64">
        <v>2.4300000000000002</v>
      </c>
      <c r="F11" s="64">
        <v>5.26</v>
      </c>
      <c r="G11" s="64">
        <v>19.809999999999999</v>
      </c>
      <c r="H11" s="64">
        <v>3.76</v>
      </c>
      <c r="I11" s="216" t="s">
        <v>43</v>
      </c>
      <c r="J11" s="64">
        <v>0.34</v>
      </c>
      <c r="K11" s="64">
        <v>14.02</v>
      </c>
      <c r="L11" s="64">
        <v>23.77</v>
      </c>
      <c r="M11" s="64">
        <v>97.24</v>
      </c>
      <c r="N11" s="64">
        <v>33.200000000000003</v>
      </c>
      <c r="O11" s="64">
        <v>0</v>
      </c>
      <c r="P11" s="64">
        <v>0.52</v>
      </c>
      <c r="Q11" s="64">
        <v>11.13</v>
      </c>
      <c r="R11" s="198"/>
      <c r="S11" s="198"/>
      <c r="T11" s="198"/>
      <c r="U11" s="198"/>
    </row>
    <row r="12" spans="1:21" s="12" customFormat="1" x14ac:dyDescent="0.25">
      <c r="A12" s="215" t="s">
        <v>2752</v>
      </c>
      <c r="B12" s="64">
        <v>12.37</v>
      </c>
      <c r="C12" s="64">
        <v>22.43</v>
      </c>
      <c r="D12" s="64">
        <v>22.94</v>
      </c>
      <c r="E12" s="64">
        <v>2.38</v>
      </c>
      <c r="F12" s="64">
        <v>5.69</v>
      </c>
      <c r="G12" s="64">
        <v>19.809999999999999</v>
      </c>
      <c r="H12" s="64">
        <v>3.76</v>
      </c>
      <c r="I12" s="216" t="s">
        <v>43</v>
      </c>
      <c r="J12" s="64">
        <v>0.3</v>
      </c>
      <c r="K12" s="64">
        <v>2.12</v>
      </c>
      <c r="L12" s="64">
        <v>23.67</v>
      </c>
      <c r="M12" s="64">
        <v>97.25</v>
      </c>
      <c r="N12" s="64">
        <v>33.1</v>
      </c>
      <c r="O12" s="64">
        <v>0</v>
      </c>
      <c r="P12" s="64">
        <v>0.52</v>
      </c>
      <c r="Q12" s="64">
        <v>10.6</v>
      </c>
      <c r="R12" s="198"/>
      <c r="S12" s="198"/>
      <c r="T12" s="198"/>
      <c r="U12" s="198"/>
    </row>
    <row r="13" spans="1:21" s="12" customFormat="1" x14ac:dyDescent="0.25">
      <c r="A13" s="215" t="s">
        <v>2753</v>
      </c>
      <c r="B13" s="64">
        <v>11.08</v>
      </c>
      <c r="C13" s="64">
        <v>24.63</v>
      </c>
      <c r="D13" s="64">
        <v>23.12</v>
      </c>
      <c r="E13" s="64">
        <v>2.33</v>
      </c>
      <c r="F13" s="64">
        <v>4.79</v>
      </c>
      <c r="G13" s="64">
        <v>19.809999999999999</v>
      </c>
      <c r="H13" s="64">
        <v>3.76</v>
      </c>
      <c r="I13" s="216" t="s">
        <v>43</v>
      </c>
      <c r="J13" s="64">
        <v>0.15</v>
      </c>
      <c r="K13" s="64">
        <v>31.37</v>
      </c>
      <c r="L13" s="64">
        <v>23.73</v>
      </c>
      <c r="M13" s="64">
        <v>97.24</v>
      </c>
      <c r="N13" s="64">
        <v>33.1</v>
      </c>
      <c r="O13" s="64">
        <v>0</v>
      </c>
      <c r="P13" s="64">
        <v>0.47</v>
      </c>
      <c r="Q13" s="64">
        <v>10.7</v>
      </c>
      <c r="R13" s="198"/>
      <c r="S13" s="198"/>
      <c r="T13" s="198"/>
      <c r="U13" s="198"/>
    </row>
    <row r="14" spans="1:21" s="12" customFormat="1" x14ac:dyDescent="0.25">
      <c r="A14" s="215" t="s">
        <v>2754</v>
      </c>
      <c r="B14" s="64">
        <v>11.46</v>
      </c>
      <c r="C14" s="64">
        <v>23.38</v>
      </c>
      <c r="D14" s="64">
        <v>22.73</v>
      </c>
      <c r="E14" s="64">
        <v>2.62</v>
      </c>
      <c r="F14" s="64">
        <v>4.99</v>
      </c>
      <c r="G14" s="64">
        <v>20.96</v>
      </c>
      <c r="H14" s="64">
        <v>2.4300000000000002</v>
      </c>
      <c r="I14" s="216" t="s">
        <v>43</v>
      </c>
      <c r="J14" s="64">
        <v>0.26</v>
      </c>
      <c r="K14" s="64">
        <v>59.92</v>
      </c>
      <c r="L14" s="64">
        <v>23.78</v>
      </c>
      <c r="M14" s="64">
        <v>97.23</v>
      </c>
      <c r="N14" s="64">
        <v>33.1</v>
      </c>
      <c r="O14" s="64">
        <v>0</v>
      </c>
      <c r="P14" s="64">
        <v>0.48</v>
      </c>
      <c r="Q14" s="64">
        <v>10.75</v>
      </c>
      <c r="R14" s="198"/>
      <c r="S14" s="198"/>
      <c r="T14" s="198"/>
      <c r="U14" s="198"/>
    </row>
    <row r="15" spans="1:21" s="12" customFormat="1" x14ac:dyDescent="0.25">
      <c r="A15" s="215" t="s">
        <v>2755</v>
      </c>
      <c r="B15" s="64">
        <v>8.33</v>
      </c>
      <c r="C15" s="64">
        <v>22.49</v>
      </c>
      <c r="D15" s="64">
        <v>19.73</v>
      </c>
      <c r="E15" s="64">
        <v>2.2799999999999998</v>
      </c>
      <c r="F15" s="64">
        <v>10.19</v>
      </c>
      <c r="G15" s="64">
        <v>21.33</v>
      </c>
      <c r="H15" s="64">
        <v>2.4300000000000002</v>
      </c>
      <c r="I15" s="216" t="s">
        <v>43</v>
      </c>
      <c r="J15" s="64">
        <v>0.7</v>
      </c>
      <c r="K15" s="64">
        <v>107.84</v>
      </c>
      <c r="L15" s="64">
        <v>23.87</v>
      </c>
      <c r="M15" s="64">
        <v>97.22</v>
      </c>
      <c r="N15" s="64">
        <v>33</v>
      </c>
      <c r="O15" s="64">
        <v>0</v>
      </c>
      <c r="P15" s="64">
        <v>0.37</v>
      </c>
      <c r="Q15" s="64">
        <v>11.03</v>
      </c>
      <c r="R15" s="198"/>
      <c r="S15" s="198"/>
      <c r="T15" s="198"/>
      <c r="U15" s="198"/>
    </row>
    <row r="16" spans="1:21" s="12" customFormat="1" x14ac:dyDescent="0.25">
      <c r="A16" s="215" t="s">
        <v>2756</v>
      </c>
      <c r="B16" s="64">
        <v>6.45</v>
      </c>
      <c r="C16" s="64">
        <v>21.65</v>
      </c>
      <c r="D16" s="64">
        <v>17.760000000000002</v>
      </c>
      <c r="E16" s="64">
        <v>2.33</v>
      </c>
      <c r="F16" s="64">
        <v>11.63</v>
      </c>
      <c r="G16" s="64">
        <v>21.33</v>
      </c>
      <c r="H16" s="64">
        <v>2.4300000000000002</v>
      </c>
      <c r="I16" s="216" t="s">
        <v>43</v>
      </c>
      <c r="J16" s="64">
        <v>0.67</v>
      </c>
      <c r="K16" s="64">
        <v>109.68</v>
      </c>
      <c r="L16" s="64">
        <v>23.88</v>
      </c>
      <c r="M16" s="64">
        <v>97.14</v>
      </c>
      <c r="N16" s="64">
        <v>33.1</v>
      </c>
      <c r="O16" s="64">
        <v>0</v>
      </c>
      <c r="P16" s="64">
        <v>0.34</v>
      </c>
      <c r="Q16" s="64">
        <v>12.84</v>
      </c>
      <c r="R16" s="198"/>
      <c r="S16" s="198"/>
      <c r="T16" s="198"/>
      <c r="U16" s="198"/>
    </row>
    <row r="17" spans="1:21" s="12" customFormat="1" x14ac:dyDescent="0.25">
      <c r="A17" s="215" t="s">
        <v>2757</v>
      </c>
      <c r="B17" s="64">
        <v>6.19</v>
      </c>
      <c r="C17" s="64">
        <v>19.22</v>
      </c>
      <c r="D17" s="64">
        <v>16.22</v>
      </c>
      <c r="E17" s="64">
        <v>2.64</v>
      </c>
      <c r="F17" s="64">
        <v>12.45</v>
      </c>
      <c r="G17" s="64">
        <v>21.33</v>
      </c>
      <c r="H17" s="64">
        <v>2.4300000000000002</v>
      </c>
      <c r="I17" s="216" t="s">
        <v>43</v>
      </c>
      <c r="J17" s="64">
        <v>0.62</v>
      </c>
      <c r="K17" s="64">
        <v>113.74</v>
      </c>
      <c r="L17" s="64">
        <v>23.83</v>
      </c>
      <c r="M17" s="64">
        <v>97.15</v>
      </c>
      <c r="N17" s="64">
        <v>33</v>
      </c>
      <c r="O17" s="64">
        <v>0</v>
      </c>
      <c r="P17" s="64">
        <v>0.31</v>
      </c>
      <c r="Q17" s="64">
        <v>14.58</v>
      </c>
      <c r="R17" s="198"/>
      <c r="S17" s="198"/>
      <c r="T17" s="198"/>
      <c r="U17" s="198"/>
    </row>
    <row r="18" spans="1:21" s="12" customFormat="1" x14ac:dyDescent="0.25">
      <c r="A18" s="215" t="s">
        <v>2758</v>
      </c>
      <c r="B18" s="64">
        <v>4.9000000000000004</v>
      </c>
      <c r="C18" s="64">
        <v>16.61</v>
      </c>
      <c r="D18" s="64">
        <v>13.75</v>
      </c>
      <c r="E18" s="64">
        <v>2.35</v>
      </c>
      <c r="F18" s="64">
        <v>11.68</v>
      </c>
      <c r="G18" s="64">
        <v>20.04</v>
      </c>
      <c r="H18" s="64">
        <v>2.2799999999999998</v>
      </c>
      <c r="I18" s="216" t="s">
        <v>43</v>
      </c>
      <c r="J18" s="64">
        <v>0.44</v>
      </c>
      <c r="K18" s="64">
        <v>95.27</v>
      </c>
      <c r="L18" s="64">
        <v>23.77</v>
      </c>
      <c r="M18" s="64">
        <v>97.16</v>
      </c>
      <c r="N18" s="64">
        <v>32.9</v>
      </c>
      <c r="O18" s="64">
        <v>0</v>
      </c>
      <c r="P18" s="64">
        <v>0.32</v>
      </c>
      <c r="Q18" s="64">
        <v>15.83</v>
      </c>
      <c r="R18" s="198"/>
      <c r="S18" s="198"/>
      <c r="T18" s="198"/>
      <c r="U18" s="198"/>
    </row>
    <row r="19" spans="1:21" s="12" customFormat="1" x14ac:dyDescent="0.25">
      <c r="A19" s="215" t="s">
        <v>2759</v>
      </c>
      <c r="B19" s="64">
        <v>5.69</v>
      </c>
      <c r="C19" s="64">
        <v>16.5</v>
      </c>
      <c r="D19" s="64">
        <v>14.31</v>
      </c>
      <c r="E19" s="64">
        <v>2.34</v>
      </c>
      <c r="F19" s="64">
        <v>9.89</v>
      </c>
      <c r="G19" s="64">
        <v>19.62</v>
      </c>
      <c r="H19" s="64">
        <v>2.2799999999999998</v>
      </c>
      <c r="I19" s="216" t="s">
        <v>43</v>
      </c>
      <c r="J19" s="64">
        <v>0.22</v>
      </c>
      <c r="K19" s="64">
        <v>82.1</v>
      </c>
      <c r="L19" s="64">
        <v>23.72</v>
      </c>
      <c r="M19" s="64">
        <v>97.19</v>
      </c>
      <c r="N19" s="64">
        <v>33</v>
      </c>
      <c r="O19" s="64">
        <v>0</v>
      </c>
      <c r="P19" s="64">
        <v>0.33</v>
      </c>
      <c r="Q19" s="64">
        <v>16.59</v>
      </c>
      <c r="R19" s="198"/>
      <c r="S19" s="198"/>
      <c r="T19" s="198"/>
      <c r="U19" s="198"/>
    </row>
    <row r="20" spans="1:21" s="12" customFormat="1" x14ac:dyDescent="0.25">
      <c r="A20" s="215" t="s">
        <v>2760</v>
      </c>
      <c r="B20" s="64">
        <v>7.68</v>
      </c>
      <c r="C20" s="64">
        <v>17.82</v>
      </c>
      <c r="D20" s="64">
        <v>16.64</v>
      </c>
      <c r="E20" s="64">
        <v>2.42</v>
      </c>
      <c r="F20" s="64">
        <v>8.2799999999999994</v>
      </c>
      <c r="G20" s="64">
        <v>19.62</v>
      </c>
      <c r="H20" s="64">
        <v>2.2799999999999998</v>
      </c>
      <c r="I20" s="216" t="s">
        <v>43</v>
      </c>
      <c r="J20" s="64">
        <v>0.16</v>
      </c>
      <c r="K20" s="64">
        <v>81.790000000000006</v>
      </c>
      <c r="L20" s="64">
        <v>23.63</v>
      </c>
      <c r="M20" s="64">
        <v>97.23</v>
      </c>
      <c r="N20" s="64">
        <v>33</v>
      </c>
      <c r="O20" s="64">
        <v>0</v>
      </c>
      <c r="P20" s="64">
        <v>0.37</v>
      </c>
      <c r="Q20" s="64">
        <v>16.059999999999999</v>
      </c>
      <c r="R20" s="198"/>
      <c r="S20" s="198"/>
      <c r="T20" s="198"/>
      <c r="U20" s="198"/>
    </row>
    <row r="21" spans="1:21" s="12" customFormat="1" x14ac:dyDescent="0.25">
      <c r="A21" s="215" t="s">
        <v>2761</v>
      </c>
      <c r="B21" s="64">
        <v>7.86</v>
      </c>
      <c r="C21" s="64">
        <v>17.079999999999998</v>
      </c>
      <c r="D21" s="64">
        <v>16.38</v>
      </c>
      <c r="E21" s="64">
        <v>2.48</v>
      </c>
      <c r="F21" s="64">
        <v>7.66</v>
      </c>
      <c r="G21" s="64">
        <v>19.62</v>
      </c>
      <c r="H21" s="64">
        <v>2.2799999999999998</v>
      </c>
      <c r="I21" s="216" t="s">
        <v>43</v>
      </c>
      <c r="J21" s="64">
        <v>0.22</v>
      </c>
      <c r="K21" s="64">
        <v>2.21</v>
      </c>
      <c r="L21" s="64">
        <v>23.63</v>
      </c>
      <c r="M21" s="64">
        <v>97.23</v>
      </c>
      <c r="N21" s="64">
        <v>32.9</v>
      </c>
      <c r="O21" s="64">
        <v>0</v>
      </c>
      <c r="P21" s="64">
        <v>0.37</v>
      </c>
      <c r="Q21" s="64">
        <v>14.58</v>
      </c>
      <c r="R21" s="198"/>
      <c r="S21" s="198"/>
      <c r="T21" s="198"/>
      <c r="U21" s="198"/>
    </row>
    <row r="22" spans="1:21" s="12" customFormat="1" x14ac:dyDescent="0.25">
      <c r="A22" s="215" t="s">
        <v>2762</v>
      </c>
      <c r="B22" s="64">
        <v>8.17</v>
      </c>
      <c r="C22" s="64">
        <v>18.670000000000002</v>
      </c>
      <c r="D22" s="64">
        <v>17.5</v>
      </c>
      <c r="E22" s="64">
        <v>2.0699999999999998</v>
      </c>
      <c r="F22" s="64">
        <v>7.33</v>
      </c>
      <c r="G22" s="64">
        <v>17.39</v>
      </c>
      <c r="H22" s="64">
        <v>2.25</v>
      </c>
      <c r="I22" s="216" t="s">
        <v>43</v>
      </c>
      <c r="J22" s="64">
        <v>0.46</v>
      </c>
      <c r="K22" s="64">
        <v>3.53</v>
      </c>
      <c r="L22" s="64">
        <v>23.66</v>
      </c>
      <c r="M22" s="64">
        <v>97.23</v>
      </c>
      <c r="N22" s="64">
        <v>32.9</v>
      </c>
      <c r="O22" s="64">
        <v>0</v>
      </c>
      <c r="P22" s="64">
        <v>0.36</v>
      </c>
      <c r="Q22" s="64">
        <v>14.39</v>
      </c>
      <c r="R22" s="198"/>
      <c r="S22" s="198"/>
      <c r="T22" s="198"/>
      <c r="U22" s="198"/>
    </row>
    <row r="23" spans="1:21" s="12" customFormat="1" x14ac:dyDescent="0.25">
      <c r="A23" s="215" t="s">
        <v>2763</v>
      </c>
      <c r="B23" s="64">
        <v>9.23</v>
      </c>
      <c r="C23" s="64">
        <v>20.309999999999999</v>
      </c>
      <c r="D23" s="64">
        <v>19.260000000000002</v>
      </c>
      <c r="E23" s="64">
        <v>2.36</v>
      </c>
      <c r="F23" s="64">
        <v>6.04</v>
      </c>
      <c r="G23" s="64">
        <v>16.670000000000002</v>
      </c>
      <c r="H23" s="64">
        <v>2.25</v>
      </c>
      <c r="I23" s="216" t="s">
        <v>43</v>
      </c>
      <c r="J23" s="64">
        <v>0.52</v>
      </c>
      <c r="K23" s="64">
        <v>358.4</v>
      </c>
      <c r="L23" s="64">
        <v>23.6</v>
      </c>
      <c r="M23" s="64">
        <v>97.23</v>
      </c>
      <c r="N23" s="64">
        <v>32.799999999999997</v>
      </c>
      <c r="O23" s="64">
        <v>0</v>
      </c>
      <c r="P23" s="64">
        <v>0.39</v>
      </c>
      <c r="Q23" s="64">
        <v>13.53</v>
      </c>
      <c r="R23" s="198"/>
      <c r="S23" s="198"/>
      <c r="T23" s="198"/>
      <c r="U23" s="198"/>
    </row>
    <row r="24" spans="1:21" s="12" customFormat="1" x14ac:dyDescent="0.25">
      <c r="A24" s="215" t="s">
        <v>2764</v>
      </c>
      <c r="B24" s="64">
        <v>9.02</v>
      </c>
      <c r="C24" s="64">
        <v>21.88</v>
      </c>
      <c r="D24" s="64">
        <v>19.96</v>
      </c>
      <c r="E24" s="64">
        <v>1.63</v>
      </c>
      <c r="F24" s="64">
        <v>4.82</v>
      </c>
      <c r="G24" s="64">
        <v>16.670000000000002</v>
      </c>
      <c r="H24" s="64">
        <v>2.25</v>
      </c>
      <c r="I24" s="216" t="s">
        <v>43</v>
      </c>
      <c r="J24" s="64">
        <v>0.61</v>
      </c>
      <c r="K24" s="64">
        <v>3.34</v>
      </c>
      <c r="L24" s="64">
        <v>23.63</v>
      </c>
      <c r="M24" s="64">
        <v>97.23</v>
      </c>
      <c r="N24" s="64">
        <v>32.700000000000003</v>
      </c>
      <c r="O24" s="64">
        <v>0</v>
      </c>
      <c r="P24" s="64">
        <v>0.39</v>
      </c>
      <c r="Q24" s="64">
        <v>13.16</v>
      </c>
      <c r="R24" s="198"/>
      <c r="S24" s="198"/>
      <c r="T24" s="198"/>
      <c r="U24" s="198"/>
    </row>
    <row r="25" spans="1:21" s="12" customFormat="1" x14ac:dyDescent="0.25">
      <c r="A25" s="215" t="s">
        <v>2765</v>
      </c>
      <c r="B25" s="64">
        <v>10.119999999999999</v>
      </c>
      <c r="C25" s="64">
        <v>23.16</v>
      </c>
      <c r="D25" s="64">
        <v>21.54</v>
      </c>
      <c r="E25" s="64">
        <v>2.4</v>
      </c>
      <c r="F25" s="64">
        <v>4.26</v>
      </c>
      <c r="G25" s="64">
        <v>16.670000000000002</v>
      </c>
      <c r="H25" s="64">
        <v>2.25</v>
      </c>
      <c r="I25" s="216" t="s">
        <v>43</v>
      </c>
      <c r="J25" s="64">
        <v>0.67</v>
      </c>
      <c r="K25" s="64">
        <v>7.22</v>
      </c>
      <c r="L25" s="64">
        <v>23.73</v>
      </c>
      <c r="M25" s="64">
        <v>97.23</v>
      </c>
      <c r="N25" s="64">
        <v>32.799999999999997</v>
      </c>
      <c r="O25" s="64">
        <v>0</v>
      </c>
      <c r="P25" s="64">
        <v>0.38</v>
      </c>
      <c r="Q25" s="64">
        <v>12.92</v>
      </c>
      <c r="R25" s="198"/>
      <c r="S25" s="198"/>
      <c r="T25" s="198"/>
      <c r="U25" s="198"/>
    </row>
    <row r="26" spans="1:21" s="12" customFormat="1" x14ac:dyDescent="0.25">
      <c r="A26" s="215" t="s">
        <v>2766</v>
      </c>
      <c r="B26" s="64">
        <v>12.34</v>
      </c>
      <c r="C26" s="64">
        <v>27.28</v>
      </c>
      <c r="D26" s="64">
        <v>25.6</v>
      </c>
      <c r="E26" s="64">
        <v>2.7</v>
      </c>
      <c r="F26" s="64">
        <v>4.33</v>
      </c>
      <c r="G26" s="64">
        <v>19.16</v>
      </c>
      <c r="H26" s="64">
        <v>29.94</v>
      </c>
      <c r="I26" s="216" t="s">
        <v>43</v>
      </c>
      <c r="J26" s="64">
        <v>0.64</v>
      </c>
      <c r="K26" s="64">
        <v>3.49</v>
      </c>
      <c r="L26" s="64">
        <v>23.9</v>
      </c>
      <c r="M26" s="64">
        <v>97.23</v>
      </c>
      <c r="N26" s="64">
        <v>33.1</v>
      </c>
      <c r="O26" s="64">
        <v>0</v>
      </c>
      <c r="P26" s="64">
        <v>0.37</v>
      </c>
      <c r="Q26" s="64">
        <v>12.18</v>
      </c>
      <c r="R26" s="198"/>
      <c r="S26" s="198"/>
      <c r="T26" s="198"/>
      <c r="U26" s="198"/>
    </row>
    <row r="27" spans="1:21" s="12" customFormat="1" x14ac:dyDescent="0.25">
      <c r="A27" s="215" t="s">
        <v>2767</v>
      </c>
      <c r="B27" s="64">
        <v>10.44</v>
      </c>
      <c r="C27" s="64">
        <v>28.61</v>
      </c>
      <c r="D27" s="64">
        <v>24.81</v>
      </c>
      <c r="E27" s="64">
        <v>1.96</v>
      </c>
      <c r="F27" s="64">
        <v>3.83</v>
      </c>
      <c r="G27" s="64">
        <v>19.97</v>
      </c>
      <c r="H27" s="64">
        <v>29.94</v>
      </c>
      <c r="I27" s="216" t="s">
        <v>43</v>
      </c>
      <c r="J27" s="64">
        <v>0.82</v>
      </c>
      <c r="K27" s="64">
        <v>8.89</v>
      </c>
      <c r="L27" s="64">
        <v>23.93</v>
      </c>
      <c r="M27" s="64">
        <v>97.23</v>
      </c>
      <c r="N27" s="64">
        <v>33.200000000000003</v>
      </c>
      <c r="O27" s="64">
        <v>0</v>
      </c>
      <c r="P27" s="64">
        <v>0.42</v>
      </c>
      <c r="Q27" s="64">
        <v>13.09</v>
      </c>
      <c r="R27" s="198"/>
      <c r="S27" s="198"/>
      <c r="T27" s="198"/>
      <c r="U27" s="198"/>
    </row>
    <row r="28" spans="1:21" s="12" customFormat="1" x14ac:dyDescent="0.25">
      <c r="A28" s="215" t="s">
        <v>2768</v>
      </c>
      <c r="B28" s="64">
        <v>10.6</v>
      </c>
      <c r="C28" s="64">
        <v>28.14</v>
      </c>
      <c r="D28" s="64">
        <v>24.68</v>
      </c>
      <c r="E28" s="64">
        <v>2.4300000000000002</v>
      </c>
      <c r="F28" s="64">
        <v>4.79</v>
      </c>
      <c r="G28" s="64">
        <v>19.97</v>
      </c>
      <c r="H28" s="64">
        <v>29.94</v>
      </c>
      <c r="I28" s="216" t="s">
        <v>43</v>
      </c>
      <c r="J28" s="64">
        <v>0.73</v>
      </c>
      <c r="K28" s="64">
        <v>8.5</v>
      </c>
      <c r="L28" s="64">
        <v>23.93</v>
      </c>
      <c r="M28" s="64">
        <v>97.23</v>
      </c>
      <c r="N28" s="64">
        <v>33.4</v>
      </c>
      <c r="O28" s="64">
        <v>0</v>
      </c>
      <c r="P28" s="64">
        <v>0.45</v>
      </c>
      <c r="Q28" s="64">
        <v>14.22</v>
      </c>
      <c r="R28" s="198"/>
      <c r="S28" s="198"/>
      <c r="T28" s="198"/>
      <c r="U28" s="198"/>
    </row>
    <row r="29" spans="1:21" s="12" customFormat="1" x14ac:dyDescent="0.25">
      <c r="A29" s="215" t="s">
        <v>2769</v>
      </c>
      <c r="B29" s="64">
        <v>13.95</v>
      </c>
      <c r="C29" s="64">
        <v>23.85</v>
      </c>
      <c r="D29" s="64">
        <v>25</v>
      </c>
      <c r="E29" s="64">
        <v>2.4500000000000002</v>
      </c>
      <c r="F29" s="64">
        <v>4.32</v>
      </c>
      <c r="G29" s="64">
        <v>19.97</v>
      </c>
      <c r="H29" s="64">
        <v>29.94</v>
      </c>
      <c r="I29" s="216" t="s">
        <v>43</v>
      </c>
      <c r="J29" s="64">
        <v>1.05</v>
      </c>
      <c r="K29" s="64">
        <v>6.99</v>
      </c>
      <c r="L29" s="64">
        <v>23.89</v>
      </c>
      <c r="M29" s="64">
        <v>97.23</v>
      </c>
      <c r="N29" s="64">
        <v>33.4</v>
      </c>
      <c r="O29" s="64">
        <v>0</v>
      </c>
      <c r="P29" s="64">
        <v>0.47</v>
      </c>
      <c r="Q29" s="64">
        <v>14.75</v>
      </c>
      <c r="R29" s="198"/>
      <c r="S29" s="198"/>
      <c r="T29" s="198"/>
      <c r="U29" s="198"/>
    </row>
    <row r="30" spans="1:21" s="12" customFormat="1" x14ac:dyDescent="0.25">
      <c r="A30" s="215" t="s">
        <v>2770</v>
      </c>
      <c r="B30" s="64">
        <v>14.58</v>
      </c>
      <c r="C30" s="64">
        <v>24.83</v>
      </c>
      <c r="D30" s="64">
        <v>26.04</v>
      </c>
      <c r="E30" s="64">
        <v>2.4300000000000002</v>
      </c>
      <c r="F30" s="64">
        <v>4.32</v>
      </c>
      <c r="G30" s="64">
        <v>31.96</v>
      </c>
      <c r="H30" s="64">
        <v>8.0299999999999994</v>
      </c>
      <c r="I30" s="216" t="s">
        <v>43</v>
      </c>
      <c r="J30" s="64">
        <v>0.86</v>
      </c>
      <c r="K30" s="64">
        <v>7.79</v>
      </c>
      <c r="L30" s="64">
        <v>23.82</v>
      </c>
      <c r="M30" s="64">
        <v>97.23</v>
      </c>
      <c r="N30" s="64">
        <v>35.299999999999997</v>
      </c>
      <c r="O30" s="64">
        <v>0</v>
      </c>
      <c r="P30" s="64">
        <v>0.51</v>
      </c>
      <c r="Q30" s="64">
        <v>14.75</v>
      </c>
      <c r="R30" s="198"/>
      <c r="S30" s="198"/>
      <c r="T30" s="198"/>
      <c r="U30" s="198"/>
    </row>
    <row r="31" spans="1:21" s="12" customFormat="1" x14ac:dyDescent="0.25">
      <c r="A31" s="215" t="s">
        <v>2771</v>
      </c>
      <c r="B31" s="64">
        <v>15.33</v>
      </c>
      <c r="C31" s="64">
        <v>26.24</v>
      </c>
      <c r="D31" s="64">
        <v>27.42</v>
      </c>
      <c r="E31" s="64">
        <v>2.36</v>
      </c>
      <c r="F31" s="64">
        <v>4.7699999999999996</v>
      </c>
      <c r="G31" s="64">
        <v>35.840000000000003</v>
      </c>
      <c r="H31" s="64">
        <v>8.0299999999999994</v>
      </c>
      <c r="I31" s="216" t="s">
        <v>43</v>
      </c>
      <c r="J31" s="64">
        <v>0.61</v>
      </c>
      <c r="K31" s="64">
        <v>3.61</v>
      </c>
      <c r="L31" s="64">
        <v>23.9</v>
      </c>
      <c r="M31" s="64">
        <v>97.22</v>
      </c>
      <c r="N31" s="64">
        <v>44.7</v>
      </c>
      <c r="O31" s="64">
        <v>0</v>
      </c>
      <c r="P31" s="64">
        <v>0.51</v>
      </c>
      <c r="Q31" s="64">
        <v>15.43</v>
      </c>
      <c r="R31" s="198"/>
      <c r="S31" s="198"/>
      <c r="T31" s="198"/>
      <c r="U31" s="198"/>
    </row>
    <row r="32" spans="1:21" s="12" customFormat="1" x14ac:dyDescent="0.25">
      <c r="A32" s="215" t="s">
        <v>2772</v>
      </c>
      <c r="B32" s="64">
        <v>14.79</v>
      </c>
      <c r="C32" s="64">
        <v>21.34</v>
      </c>
      <c r="D32" s="64">
        <v>24.28</v>
      </c>
      <c r="E32" s="64">
        <v>2.57</v>
      </c>
      <c r="F32" s="64">
        <v>4.38</v>
      </c>
      <c r="G32" s="64">
        <v>35.840000000000003</v>
      </c>
      <c r="H32" s="64">
        <v>8.0299999999999994</v>
      </c>
      <c r="I32" s="216" t="s">
        <v>43</v>
      </c>
      <c r="J32" s="64">
        <v>0.84</v>
      </c>
      <c r="K32" s="64">
        <v>8.3800000000000008</v>
      </c>
      <c r="L32" s="64">
        <v>24.15</v>
      </c>
      <c r="M32" s="64">
        <v>96.49</v>
      </c>
      <c r="N32" s="64">
        <v>66.3</v>
      </c>
      <c r="O32" s="64">
        <v>0</v>
      </c>
      <c r="P32" s="64">
        <v>0.44</v>
      </c>
      <c r="Q32" s="64">
        <v>14.66</v>
      </c>
      <c r="R32" s="198"/>
      <c r="S32" s="198"/>
      <c r="T32" s="198"/>
      <c r="U32" s="198"/>
    </row>
    <row r="33" spans="1:21" s="12" customFormat="1" x14ac:dyDescent="0.25">
      <c r="A33" s="215" t="s">
        <v>2773</v>
      </c>
      <c r="B33" s="64">
        <v>17.34</v>
      </c>
      <c r="C33" s="64">
        <v>18.77</v>
      </c>
      <c r="D33" s="64">
        <v>24.91</v>
      </c>
      <c r="E33" s="64">
        <v>2.61</v>
      </c>
      <c r="F33" s="64">
        <v>5.22</v>
      </c>
      <c r="G33" s="64">
        <v>35.840000000000003</v>
      </c>
      <c r="H33" s="64">
        <v>8.0299999999999994</v>
      </c>
      <c r="I33" s="216" t="s">
        <v>43</v>
      </c>
      <c r="J33" s="64">
        <v>0.67</v>
      </c>
      <c r="K33" s="64">
        <v>2.6</v>
      </c>
      <c r="L33" s="64">
        <v>24.41</v>
      </c>
      <c r="M33" s="64">
        <v>94.85</v>
      </c>
      <c r="N33" s="64">
        <v>85.1</v>
      </c>
      <c r="O33" s="64">
        <v>0</v>
      </c>
      <c r="P33" s="64">
        <v>0.44</v>
      </c>
      <c r="Q33" s="64">
        <v>13.55</v>
      </c>
      <c r="R33" s="198"/>
      <c r="S33" s="198"/>
      <c r="T33" s="198"/>
      <c r="U33" s="198"/>
    </row>
    <row r="34" spans="1:21" s="12" customFormat="1" x14ac:dyDescent="0.25">
      <c r="A34" s="215" t="s">
        <v>2774</v>
      </c>
      <c r="B34" s="64">
        <v>19.3</v>
      </c>
      <c r="C34" s="64">
        <v>17.61</v>
      </c>
      <c r="D34" s="64">
        <v>25.84</v>
      </c>
      <c r="E34" s="64">
        <v>2.77</v>
      </c>
      <c r="F34" s="64">
        <v>5.52</v>
      </c>
      <c r="G34" s="64">
        <v>38.590000000000003</v>
      </c>
      <c r="H34" s="64">
        <v>3.89</v>
      </c>
      <c r="I34" s="216" t="s">
        <v>43</v>
      </c>
      <c r="J34" s="64">
        <v>0.66</v>
      </c>
      <c r="K34" s="64">
        <v>6.58</v>
      </c>
      <c r="L34" s="64">
        <v>24.55</v>
      </c>
      <c r="M34" s="64">
        <v>93.9</v>
      </c>
      <c r="N34" s="64">
        <v>89.2</v>
      </c>
      <c r="O34" s="64">
        <v>0</v>
      </c>
      <c r="P34" s="64">
        <v>0.46</v>
      </c>
      <c r="Q34" s="64">
        <v>13.03</v>
      </c>
      <c r="R34" s="198"/>
      <c r="S34" s="198"/>
      <c r="T34" s="198"/>
      <c r="U34" s="198"/>
    </row>
    <row r="35" spans="1:21" s="12" customFormat="1" x14ac:dyDescent="0.25">
      <c r="A35" s="215" t="s">
        <v>2775</v>
      </c>
      <c r="B35" s="64">
        <v>18.989999999999998</v>
      </c>
      <c r="C35" s="64">
        <v>20.53</v>
      </c>
      <c r="D35" s="64">
        <v>27.21</v>
      </c>
      <c r="E35" s="64">
        <v>2.34</v>
      </c>
      <c r="F35" s="64">
        <v>5.07</v>
      </c>
      <c r="G35" s="64">
        <v>39.479999999999997</v>
      </c>
      <c r="H35" s="64">
        <v>3.89</v>
      </c>
      <c r="I35" s="216" t="s">
        <v>43</v>
      </c>
      <c r="J35" s="64">
        <v>0.48</v>
      </c>
      <c r="K35" s="64">
        <v>359.85</v>
      </c>
      <c r="L35" s="64">
        <v>24.82</v>
      </c>
      <c r="M35" s="64">
        <v>93.07</v>
      </c>
      <c r="N35" s="64">
        <v>186.8</v>
      </c>
      <c r="O35" s="64">
        <v>0</v>
      </c>
      <c r="P35" s="64">
        <v>0.45</v>
      </c>
      <c r="Q35" s="64">
        <v>13.25</v>
      </c>
      <c r="R35" s="198"/>
      <c r="S35" s="198"/>
      <c r="T35" s="198"/>
      <c r="U35" s="198"/>
    </row>
    <row r="36" spans="1:21" s="12" customFormat="1" x14ac:dyDescent="0.25">
      <c r="A36" s="215" t="s">
        <v>2776</v>
      </c>
      <c r="B36" s="64">
        <v>19.48</v>
      </c>
      <c r="C36" s="64">
        <v>20.66</v>
      </c>
      <c r="D36" s="64">
        <v>27.67</v>
      </c>
      <c r="E36" s="64">
        <v>2.65</v>
      </c>
      <c r="F36" s="64">
        <v>5.0599999999999996</v>
      </c>
      <c r="G36" s="64">
        <v>39.479999999999997</v>
      </c>
      <c r="H36" s="64">
        <v>3.89</v>
      </c>
      <c r="I36" s="216" t="s">
        <v>43</v>
      </c>
      <c r="J36" s="64">
        <v>0.63</v>
      </c>
      <c r="K36" s="64">
        <v>8.94</v>
      </c>
      <c r="L36" s="64">
        <v>25.65</v>
      </c>
      <c r="M36" s="64">
        <v>88.74</v>
      </c>
      <c r="N36" s="64">
        <v>152.6</v>
      </c>
      <c r="O36" s="64">
        <v>0</v>
      </c>
      <c r="P36" s="64">
        <v>0.47</v>
      </c>
      <c r="Q36" s="64">
        <v>13.05</v>
      </c>
      <c r="R36" s="198"/>
      <c r="S36" s="198"/>
      <c r="T36" s="198"/>
      <c r="U36" s="198"/>
    </row>
    <row r="37" spans="1:21" s="12" customFormat="1" x14ac:dyDescent="0.25">
      <c r="A37" s="215" t="s">
        <v>2777</v>
      </c>
      <c r="B37" s="64">
        <v>21.75</v>
      </c>
      <c r="C37" s="64">
        <v>23.38</v>
      </c>
      <c r="D37" s="64">
        <v>30.99</v>
      </c>
      <c r="E37" s="64">
        <v>2.83</v>
      </c>
      <c r="F37" s="64">
        <v>3.49</v>
      </c>
      <c r="G37" s="64">
        <v>39.479999999999997</v>
      </c>
      <c r="H37" s="64">
        <v>3.89</v>
      </c>
      <c r="I37" s="216" t="s">
        <v>43</v>
      </c>
      <c r="J37" s="64">
        <v>0.79</v>
      </c>
      <c r="K37" s="64">
        <v>9.73</v>
      </c>
      <c r="L37" s="64">
        <v>25.37</v>
      </c>
      <c r="M37" s="64">
        <v>89.5</v>
      </c>
      <c r="N37" s="64">
        <v>141.1</v>
      </c>
      <c r="O37" s="64">
        <v>0</v>
      </c>
      <c r="P37" s="64">
        <v>0.47</v>
      </c>
      <c r="Q37" s="64">
        <v>13.63</v>
      </c>
      <c r="R37" s="198"/>
      <c r="S37" s="198"/>
      <c r="T37" s="198"/>
      <c r="U37" s="198"/>
    </row>
    <row r="38" spans="1:21" s="12" customFormat="1" x14ac:dyDescent="0.25">
      <c r="A38" s="215" t="s">
        <v>2778</v>
      </c>
      <c r="B38" s="64">
        <v>31.06</v>
      </c>
      <c r="C38" s="64">
        <v>21.13</v>
      </c>
      <c r="D38" s="64">
        <v>36.89</v>
      </c>
      <c r="E38" s="64">
        <v>2.59</v>
      </c>
      <c r="F38" s="64">
        <v>5.92</v>
      </c>
      <c r="G38" s="64">
        <v>42.35</v>
      </c>
      <c r="H38" s="64">
        <v>17.43</v>
      </c>
      <c r="I38" s="216" t="s">
        <v>43</v>
      </c>
      <c r="J38" s="64">
        <v>0.46</v>
      </c>
      <c r="K38" s="64">
        <v>11.33</v>
      </c>
      <c r="L38" s="64">
        <v>25.36</v>
      </c>
      <c r="M38" s="64">
        <v>88.76</v>
      </c>
      <c r="N38" s="64">
        <v>198.6</v>
      </c>
      <c r="O38" s="64">
        <v>0</v>
      </c>
      <c r="P38" s="64">
        <v>0.5</v>
      </c>
      <c r="Q38" s="64">
        <v>13.08</v>
      </c>
      <c r="R38" s="198"/>
      <c r="S38" s="198"/>
      <c r="T38" s="198"/>
      <c r="U38" s="198"/>
    </row>
    <row r="39" spans="1:21" s="12" customFormat="1" x14ac:dyDescent="0.25">
      <c r="A39" s="215" t="s">
        <v>2779</v>
      </c>
      <c r="B39" s="64">
        <v>22.81</v>
      </c>
      <c r="C39" s="64">
        <v>20.92</v>
      </c>
      <c r="D39" s="64">
        <v>30.48</v>
      </c>
      <c r="E39" s="64">
        <v>2.83</v>
      </c>
      <c r="F39" s="64">
        <v>6.68</v>
      </c>
      <c r="G39" s="64">
        <v>43.28</v>
      </c>
      <c r="H39" s="64">
        <v>17.43</v>
      </c>
      <c r="I39" s="216" t="s">
        <v>43</v>
      </c>
      <c r="J39" s="64">
        <v>0.59</v>
      </c>
      <c r="K39" s="64">
        <v>4.2</v>
      </c>
      <c r="L39" s="64">
        <v>25.91</v>
      </c>
      <c r="M39" s="64">
        <v>84.73</v>
      </c>
      <c r="N39" s="64">
        <v>280.8</v>
      </c>
      <c r="O39" s="64">
        <v>0</v>
      </c>
      <c r="P39" s="64">
        <v>0.53</v>
      </c>
      <c r="Q39" s="64">
        <v>15.93</v>
      </c>
      <c r="R39" s="198"/>
      <c r="S39" s="198"/>
      <c r="T39" s="198"/>
      <c r="U39" s="198"/>
    </row>
    <row r="40" spans="1:21" s="12" customFormat="1" x14ac:dyDescent="0.25">
      <c r="A40" s="215" t="s">
        <v>2780</v>
      </c>
      <c r="B40" s="64">
        <v>22.44</v>
      </c>
      <c r="C40" s="64">
        <v>21.63</v>
      </c>
      <c r="D40" s="64">
        <v>30.58</v>
      </c>
      <c r="E40" s="64">
        <v>2.57</v>
      </c>
      <c r="F40" s="64">
        <v>7.42</v>
      </c>
      <c r="G40" s="64">
        <v>43.28</v>
      </c>
      <c r="H40" s="64">
        <v>17.43</v>
      </c>
      <c r="I40" s="216" t="s">
        <v>43</v>
      </c>
      <c r="J40" s="64">
        <v>0.64</v>
      </c>
      <c r="K40" s="64">
        <v>8.98</v>
      </c>
      <c r="L40" s="64">
        <v>26.97</v>
      </c>
      <c r="M40" s="64">
        <v>80.099999999999994</v>
      </c>
      <c r="N40" s="64">
        <v>457.6</v>
      </c>
      <c r="O40" s="64">
        <v>0</v>
      </c>
      <c r="P40" s="64">
        <v>0.51</v>
      </c>
      <c r="Q40" s="64">
        <v>16.149999999999999</v>
      </c>
      <c r="R40" s="198"/>
      <c r="S40" s="198"/>
      <c r="T40" s="198"/>
      <c r="U40" s="198"/>
    </row>
    <row r="41" spans="1:21" s="12" customFormat="1" x14ac:dyDescent="0.25">
      <c r="A41" s="215" t="s">
        <v>2781</v>
      </c>
      <c r="B41" s="64">
        <v>19.96</v>
      </c>
      <c r="C41" s="64">
        <v>17.82</v>
      </c>
      <c r="D41" s="64">
        <v>26.49</v>
      </c>
      <c r="E41" s="64">
        <v>3.09</v>
      </c>
      <c r="F41" s="64">
        <v>8.51</v>
      </c>
      <c r="G41" s="64">
        <v>43.28</v>
      </c>
      <c r="H41" s="64">
        <v>17.43</v>
      </c>
      <c r="I41" s="216" t="s">
        <v>43</v>
      </c>
      <c r="J41" s="64">
        <v>0.4</v>
      </c>
      <c r="K41" s="64">
        <v>48.82</v>
      </c>
      <c r="L41" s="64">
        <v>27.52</v>
      </c>
      <c r="M41" s="64">
        <v>76.69</v>
      </c>
      <c r="N41" s="64">
        <v>446.5</v>
      </c>
      <c r="O41" s="64">
        <v>0</v>
      </c>
      <c r="P41" s="64">
        <v>0.5</v>
      </c>
      <c r="Q41" s="64">
        <v>16.36</v>
      </c>
      <c r="R41" s="198"/>
      <c r="S41" s="198"/>
      <c r="T41" s="198"/>
      <c r="U41" s="198"/>
    </row>
    <row r="42" spans="1:21" s="12" customFormat="1" x14ac:dyDescent="0.25">
      <c r="A42" s="215" t="s">
        <v>2782</v>
      </c>
      <c r="B42" s="64">
        <v>20.8</v>
      </c>
      <c r="C42" s="64">
        <v>20.23</v>
      </c>
      <c r="D42" s="64">
        <v>28.49</v>
      </c>
      <c r="E42" s="64">
        <v>3.23</v>
      </c>
      <c r="F42" s="64">
        <v>8.01</v>
      </c>
      <c r="G42" s="64">
        <v>44.29</v>
      </c>
      <c r="H42" s="64">
        <v>11.06</v>
      </c>
      <c r="I42" s="216" t="s">
        <v>43</v>
      </c>
      <c r="J42" s="64">
        <v>0.42</v>
      </c>
      <c r="K42" s="64">
        <v>51.03</v>
      </c>
      <c r="L42" s="64">
        <v>26.85</v>
      </c>
      <c r="M42" s="64">
        <v>79.180000000000007</v>
      </c>
      <c r="N42" s="64">
        <v>373.8</v>
      </c>
      <c r="O42" s="64">
        <v>0</v>
      </c>
      <c r="P42" s="64">
        <v>0.5</v>
      </c>
      <c r="Q42" s="64">
        <v>17.329999999999998</v>
      </c>
      <c r="R42" s="198"/>
      <c r="S42" s="198"/>
      <c r="T42" s="198"/>
      <c r="U42" s="198"/>
    </row>
    <row r="43" spans="1:21" s="12" customFormat="1" x14ac:dyDescent="0.25">
      <c r="A43" s="215" t="s">
        <v>2783</v>
      </c>
      <c r="B43" s="64">
        <v>20.52</v>
      </c>
      <c r="C43" s="64">
        <v>18.100000000000001</v>
      </c>
      <c r="D43" s="64">
        <v>27.09</v>
      </c>
      <c r="E43" s="64">
        <v>3.43</v>
      </c>
      <c r="F43" s="64">
        <v>5.22</v>
      </c>
      <c r="G43" s="64">
        <v>44.61</v>
      </c>
      <c r="H43" s="64">
        <v>11.06</v>
      </c>
      <c r="I43" s="216" t="s">
        <v>43</v>
      </c>
      <c r="J43" s="64">
        <v>0.4</v>
      </c>
      <c r="K43" s="64">
        <v>25.43</v>
      </c>
      <c r="L43" s="64">
        <v>27.04</v>
      </c>
      <c r="M43" s="64">
        <v>78.5</v>
      </c>
      <c r="N43" s="64">
        <v>398</v>
      </c>
      <c r="O43" s="64">
        <v>0</v>
      </c>
      <c r="P43" s="64">
        <v>0.48</v>
      </c>
      <c r="Q43" s="217" t="s">
        <v>42</v>
      </c>
      <c r="R43" s="198"/>
      <c r="S43" s="198"/>
      <c r="T43" s="198"/>
      <c r="U43" s="198"/>
    </row>
    <row r="44" spans="1:21" s="12" customFormat="1" x14ac:dyDescent="0.25">
      <c r="A44" s="215" t="s">
        <v>2784</v>
      </c>
      <c r="B44" s="64">
        <v>21.82</v>
      </c>
      <c r="C44" s="64">
        <v>19.920000000000002</v>
      </c>
      <c r="D44" s="64">
        <v>29.14</v>
      </c>
      <c r="E44" s="64">
        <v>3.79</v>
      </c>
      <c r="F44" s="64">
        <v>5.4</v>
      </c>
      <c r="G44" s="64">
        <v>44.61</v>
      </c>
      <c r="H44" s="64">
        <v>11.06</v>
      </c>
      <c r="I44" s="216" t="s">
        <v>43</v>
      </c>
      <c r="J44" s="64">
        <v>0.55000000000000004</v>
      </c>
      <c r="K44" s="64">
        <v>41.2</v>
      </c>
      <c r="L44" s="64">
        <v>27.43</v>
      </c>
      <c r="M44" s="64">
        <v>77.06</v>
      </c>
      <c r="N44" s="64">
        <v>471.6</v>
      </c>
      <c r="O44" s="64">
        <v>0</v>
      </c>
      <c r="P44" s="64">
        <v>0.47</v>
      </c>
      <c r="Q44" s="64">
        <v>16.559999999999999</v>
      </c>
      <c r="R44" s="198"/>
      <c r="S44" s="198"/>
      <c r="T44" s="198"/>
      <c r="U44" s="198"/>
    </row>
    <row r="45" spans="1:21" s="12" customFormat="1" x14ac:dyDescent="0.25">
      <c r="A45" s="215" t="s">
        <v>2785</v>
      </c>
      <c r="B45" s="64">
        <v>23.4</v>
      </c>
      <c r="C45" s="64">
        <v>21.31</v>
      </c>
      <c r="D45" s="64">
        <v>31.17</v>
      </c>
      <c r="E45" s="64">
        <v>3.4</v>
      </c>
      <c r="F45" s="64">
        <v>5.04</v>
      </c>
      <c r="G45" s="64">
        <v>44.61</v>
      </c>
      <c r="H45" s="64">
        <v>11.06</v>
      </c>
      <c r="I45" s="216" t="s">
        <v>43</v>
      </c>
      <c r="J45" s="64">
        <v>0.37</v>
      </c>
      <c r="K45" s="64">
        <v>57.92</v>
      </c>
      <c r="L45" s="64">
        <v>26.95</v>
      </c>
      <c r="M45" s="64">
        <v>79</v>
      </c>
      <c r="N45" s="64">
        <v>521.4</v>
      </c>
      <c r="O45" s="64">
        <v>0</v>
      </c>
      <c r="P45" s="64">
        <v>0.49</v>
      </c>
      <c r="Q45" s="64">
        <v>16.53</v>
      </c>
      <c r="R45" s="198"/>
      <c r="S45" s="198"/>
      <c r="T45" s="198"/>
      <c r="U45" s="198"/>
    </row>
    <row r="46" spans="1:21" s="12" customFormat="1" x14ac:dyDescent="0.25">
      <c r="A46" s="215" t="s">
        <v>2786</v>
      </c>
      <c r="B46" s="64">
        <v>21.81</v>
      </c>
      <c r="C46" s="64">
        <v>21.08</v>
      </c>
      <c r="D46" s="64">
        <v>29.77</v>
      </c>
      <c r="E46" s="64">
        <v>3.43</v>
      </c>
      <c r="F46" s="64">
        <v>5.77</v>
      </c>
      <c r="G46" s="64">
        <v>44.34</v>
      </c>
      <c r="H46" s="64">
        <v>9.5500000000000007</v>
      </c>
      <c r="I46" s="216" t="s">
        <v>43</v>
      </c>
      <c r="J46" s="64">
        <v>0.46</v>
      </c>
      <c r="K46" s="64">
        <v>26.97</v>
      </c>
      <c r="L46" s="64">
        <v>28.19</v>
      </c>
      <c r="M46" s="64">
        <v>73.319999999999993</v>
      </c>
      <c r="N46" s="64">
        <v>547.5</v>
      </c>
      <c r="O46" s="64">
        <v>0</v>
      </c>
      <c r="P46" s="64">
        <v>0.48</v>
      </c>
      <c r="Q46" s="64">
        <v>16.55</v>
      </c>
      <c r="R46" s="198"/>
      <c r="S46" s="198"/>
      <c r="T46" s="198"/>
      <c r="U46" s="198"/>
    </row>
    <row r="47" spans="1:21" s="12" customFormat="1" x14ac:dyDescent="0.25">
      <c r="A47" s="215" t="s">
        <v>2787</v>
      </c>
      <c r="B47" s="64">
        <v>20.2</v>
      </c>
      <c r="C47" s="64">
        <v>22.12</v>
      </c>
      <c r="D47" s="64">
        <v>29.05</v>
      </c>
      <c r="E47" s="64">
        <v>3.08</v>
      </c>
      <c r="F47" s="64">
        <v>5.71</v>
      </c>
      <c r="G47" s="64">
        <v>44.26</v>
      </c>
      <c r="H47" s="64">
        <v>9.5500000000000007</v>
      </c>
      <c r="I47" s="216" t="s">
        <v>43</v>
      </c>
      <c r="J47" s="64">
        <v>0.44</v>
      </c>
      <c r="K47" s="64">
        <v>61.01</v>
      </c>
      <c r="L47" s="64">
        <v>27.73</v>
      </c>
      <c r="M47" s="64">
        <v>74.58</v>
      </c>
      <c r="N47" s="64">
        <v>374.8</v>
      </c>
      <c r="O47" s="64">
        <v>0</v>
      </c>
      <c r="P47" s="64">
        <v>0.49</v>
      </c>
      <c r="Q47" s="64">
        <v>16.649999999999999</v>
      </c>
      <c r="R47" s="198"/>
      <c r="S47" s="198"/>
      <c r="T47" s="198"/>
      <c r="U47" s="198"/>
    </row>
    <row r="48" spans="1:21" s="12" customFormat="1" x14ac:dyDescent="0.25">
      <c r="A48" s="215" t="s">
        <v>2788</v>
      </c>
      <c r="B48" s="64">
        <v>21.17</v>
      </c>
      <c r="C48" s="64">
        <v>23.43</v>
      </c>
      <c r="D48" s="64">
        <v>30.56</v>
      </c>
      <c r="E48" s="64">
        <v>3.39</v>
      </c>
      <c r="F48" s="64">
        <v>5.64</v>
      </c>
      <c r="G48" s="64">
        <v>44.26</v>
      </c>
      <c r="H48" s="64">
        <v>9.5500000000000007</v>
      </c>
      <c r="I48" s="216" t="s">
        <v>43</v>
      </c>
      <c r="J48" s="64">
        <v>0.41</v>
      </c>
      <c r="K48" s="64">
        <v>23.55</v>
      </c>
      <c r="L48" s="64">
        <v>27.33</v>
      </c>
      <c r="M48" s="64">
        <v>76.91</v>
      </c>
      <c r="N48" s="64">
        <v>340.9</v>
      </c>
      <c r="O48" s="64">
        <v>0</v>
      </c>
      <c r="P48" s="64">
        <v>0.51</v>
      </c>
      <c r="Q48" s="64">
        <v>16.079999999999998</v>
      </c>
      <c r="R48" s="198"/>
      <c r="S48" s="198"/>
      <c r="T48" s="198"/>
      <c r="U48" s="198"/>
    </row>
    <row r="49" spans="1:21" s="12" customFormat="1" x14ac:dyDescent="0.25">
      <c r="A49" s="215" t="s">
        <v>2789</v>
      </c>
      <c r="B49" s="64">
        <v>24.35</v>
      </c>
      <c r="C49" s="64">
        <v>27.15</v>
      </c>
      <c r="D49" s="64">
        <v>35.15</v>
      </c>
      <c r="E49" s="64">
        <v>3.42</v>
      </c>
      <c r="F49" s="64">
        <v>5.19</v>
      </c>
      <c r="G49" s="64">
        <v>44.26</v>
      </c>
      <c r="H49" s="64">
        <v>9.5500000000000007</v>
      </c>
      <c r="I49" s="216" t="s">
        <v>43</v>
      </c>
      <c r="J49" s="64">
        <v>0.42</v>
      </c>
      <c r="K49" s="64">
        <v>20.350000000000001</v>
      </c>
      <c r="L49" s="64">
        <v>27.59</v>
      </c>
      <c r="M49" s="64">
        <v>76.819999999999993</v>
      </c>
      <c r="N49" s="64">
        <v>442</v>
      </c>
      <c r="O49" s="64">
        <v>0</v>
      </c>
      <c r="P49" s="64">
        <v>0.55000000000000004</v>
      </c>
      <c r="Q49" s="64">
        <v>16.55</v>
      </c>
      <c r="R49" s="198"/>
      <c r="S49" s="198"/>
      <c r="T49" s="198"/>
      <c r="U49" s="198"/>
    </row>
    <row r="50" spans="1:21" s="12" customFormat="1" x14ac:dyDescent="0.25">
      <c r="A50" s="215" t="s">
        <v>2790</v>
      </c>
      <c r="B50" s="64">
        <v>26.77</v>
      </c>
      <c r="C50" s="64">
        <v>25.96</v>
      </c>
      <c r="D50" s="64">
        <v>36.44</v>
      </c>
      <c r="E50" s="64">
        <v>3.38</v>
      </c>
      <c r="F50" s="64">
        <v>8.16</v>
      </c>
      <c r="G50" s="64">
        <v>44.94</v>
      </c>
      <c r="H50" s="64">
        <v>10.16</v>
      </c>
      <c r="I50" s="216" t="s">
        <v>43</v>
      </c>
      <c r="J50" s="64">
        <v>0.55000000000000004</v>
      </c>
      <c r="K50" s="64">
        <v>42.47</v>
      </c>
      <c r="L50" s="64">
        <v>27.74</v>
      </c>
      <c r="M50" s="64">
        <v>76.12</v>
      </c>
      <c r="N50" s="64">
        <v>348.4</v>
      </c>
      <c r="O50" s="64">
        <v>0</v>
      </c>
      <c r="P50" s="64">
        <v>0.61</v>
      </c>
      <c r="Q50" s="64">
        <v>17.41</v>
      </c>
      <c r="R50" s="198"/>
      <c r="S50" s="198"/>
      <c r="T50" s="198"/>
      <c r="U50" s="198"/>
    </row>
    <row r="51" spans="1:21" s="12" customFormat="1" x14ac:dyDescent="0.25">
      <c r="A51" s="215" t="s">
        <v>2791</v>
      </c>
      <c r="B51" s="64">
        <v>22.6</v>
      </c>
      <c r="C51" s="64">
        <v>23.05</v>
      </c>
      <c r="D51" s="64">
        <v>31.49</v>
      </c>
      <c r="E51" s="64">
        <v>3.48</v>
      </c>
      <c r="F51" s="64">
        <v>8.8800000000000008</v>
      </c>
      <c r="G51" s="64">
        <v>45.15</v>
      </c>
      <c r="H51" s="64">
        <v>10.16</v>
      </c>
      <c r="I51" s="216" t="s">
        <v>43</v>
      </c>
      <c r="J51" s="64">
        <v>0.62</v>
      </c>
      <c r="K51" s="64">
        <v>104.27</v>
      </c>
      <c r="L51" s="64">
        <v>27.79</v>
      </c>
      <c r="M51" s="64">
        <v>74.319999999999993</v>
      </c>
      <c r="N51" s="64">
        <v>625.70000000000005</v>
      </c>
      <c r="O51" s="64">
        <v>0</v>
      </c>
      <c r="P51" s="64">
        <v>0.56999999999999995</v>
      </c>
      <c r="Q51" s="64">
        <v>19.27</v>
      </c>
      <c r="R51" s="198"/>
      <c r="S51" s="198"/>
      <c r="T51" s="198"/>
      <c r="U51" s="198"/>
    </row>
    <row r="52" spans="1:21" s="12" customFormat="1" x14ac:dyDescent="0.25">
      <c r="A52" s="215" t="s">
        <v>2792</v>
      </c>
      <c r="B52" s="64">
        <v>18.96</v>
      </c>
      <c r="C52" s="64">
        <v>22.84</v>
      </c>
      <c r="D52" s="64">
        <v>28.46</v>
      </c>
      <c r="E52" s="64">
        <v>3.56</v>
      </c>
      <c r="F52" s="64">
        <v>12.59</v>
      </c>
      <c r="G52" s="64">
        <v>45.15</v>
      </c>
      <c r="H52" s="64">
        <v>10.16</v>
      </c>
      <c r="I52" s="216" t="s">
        <v>43</v>
      </c>
      <c r="J52" s="64">
        <v>0.79</v>
      </c>
      <c r="K52" s="64">
        <v>102.33</v>
      </c>
      <c r="L52" s="64">
        <v>27.61</v>
      </c>
      <c r="M52" s="64">
        <v>76.06</v>
      </c>
      <c r="N52" s="64">
        <v>572.6</v>
      </c>
      <c r="O52" s="64">
        <v>0</v>
      </c>
      <c r="P52" s="64">
        <v>0.56999999999999995</v>
      </c>
      <c r="Q52" s="64">
        <v>20.41</v>
      </c>
      <c r="R52" s="198"/>
      <c r="S52" s="198"/>
      <c r="T52" s="198"/>
      <c r="U52" s="198"/>
    </row>
    <row r="53" spans="1:21" s="12" customFormat="1" x14ac:dyDescent="0.25">
      <c r="A53" s="215" t="s">
        <v>2793</v>
      </c>
      <c r="B53" s="64">
        <v>21.77</v>
      </c>
      <c r="C53" s="64">
        <v>23.01</v>
      </c>
      <c r="D53" s="64">
        <v>30.8</v>
      </c>
      <c r="E53" s="64">
        <v>3.62</v>
      </c>
      <c r="F53" s="64">
        <v>12.89</v>
      </c>
      <c r="G53" s="64">
        <v>45.15</v>
      </c>
      <c r="H53" s="64">
        <v>10.16</v>
      </c>
      <c r="I53" s="216" t="s">
        <v>43</v>
      </c>
      <c r="J53" s="64">
        <v>0.87</v>
      </c>
      <c r="K53" s="64">
        <v>14.79</v>
      </c>
      <c r="L53" s="64">
        <v>29.08</v>
      </c>
      <c r="M53" s="64">
        <v>71.45</v>
      </c>
      <c r="N53" s="64">
        <v>566</v>
      </c>
      <c r="O53" s="64">
        <v>0</v>
      </c>
      <c r="P53" s="64">
        <v>0.61</v>
      </c>
      <c r="Q53" s="64">
        <v>21.19</v>
      </c>
      <c r="R53" s="198"/>
      <c r="S53" s="198"/>
      <c r="T53" s="198"/>
      <c r="U53" s="198"/>
    </row>
    <row r="54" spans="1:21" s="12" customFormat="1" x14ac:dyDescent="0.25">
      <c r="A54" s="215" t="s">
        <v>2794</v>
      </c>
      <c r="B54" s="64">
        <v>22.98</v>
      </c>
      <c r="C54" s="64">
        <v>24.5</v>
      </c>
      <c r="D54" s="64">
        <v>32.6</v>
      </c>
      <c r="E54" s="64">
        <v>3.98</v>
      </c>
      <c r="F54" s="64">
        <v>9.41</v>
      </c>
      <c r="G54" s="64">
        <v>49.64</v>
      </c>
      <c r="H54" s="64">
        <v>23.74</v>
      </c>
      <c r="I54" s="216" t="s">
        <v>43</v>
      </c>
      <c r="J54" s="64">
        <v>0.91</v>
      </c>
      <c r="K54" s="64">
        <v>12.54</v>
      </c>
      <c r="L54" s="64">
        <v>29.1</v>
      </c>
      <c r="M54" s="64">
        <v>70.569999999999993</v>
      </c>
      <c r="N54" s="64">
        <v>496.4</v>
      </c>
      <c r="O54" s="64">
        <v>0</v>
      </c>
      <c r="P54" s="64">
        <v>0.67</v>
      </c>
      <c r="Q54" s="64">
        <v>21.53</v>
      </c>
      <c r="R54" s="198"/>
      <c r="S54" s="198"/>
      <c r="T54" s="198"/>
      <c r="U54" s="198"/>
    </row>
    <row r="55" spans="1:21" s="12" customFormat="1" x14ac:dyDescent="0.25">
      <c r="A55" s="215" t="s">
        <v>2795</v>
      </c>
      <c r="B55" s="64">
        <v>22.47</v>
      </c>
      <c r="C55" s="64">
        <v>23.74</v>
      </c>
      <c r="D55" s="64">
        <v>31.77</v>
      </c>
      <c r="E55" s="64">
        <v>4.04</v>
      </c>
      <c r="F55" s="64">
        <v>6.25</v>
      </c>
      <c r="G55" s="64">
        <v>51.09</v>
      </c>
      <c r="H55" s="64">
        <v>23.74</v>
      </c>
      <c r="I55" s="216" t="s">
        <v>43</v>
      </c>
      <c r="J55" s="64">
        <v>0.52</v>
      </c>
      <c r="K55" s="64">
        <v>30.04</v>
      </c>
      <c r="L55" s="64">
        <v>28.91</v>
      </c>
      <c r="M55" s="64">
        <v>71.430000000000007</v>
      </c>
      <c r="N55" s="64">
        <v>446.6</v>
      </c>
      <c r="O55" s="64">
        <v>0</v>
      </c>
      <c r="P55" s="64">
        <v>0.57999999999999996</v>
      </c>
      <c r="Q55" s="64">
        <v>20.21</v>
      </c>
      <c r="R55" s="198"/>
      <c r="S55" s="198"/>
      <c r="T55" s="198"/>
      <c r="U55" s="198"/>
    </row>
    <row r="56" spans="1:21" s="12" customFormat="1" x14ac:dyDescent="0.25">
      <c r="A56" s="215" t="s">
        <v>2796</v>
      </c>
      <c r="B56" s="64">
        <v>25.8</v>
      </c>
      <c r="C56" s="64">
        <v>26.15</v>
      </c>
      <c r="D56" s="64">
        <v>35.770000000000003</v>
      </c>
      <c r="E56" s="64">
        <v>2.87</v>
      </c>
      <c r="F56" s="64">
        <v>6.77</v>
      </c>
      <c r="G56" s="64">
        <v>51.09</v>
      </c>
      <c r="H56" s="64">
        <v>23.74</v>
      </c>
      <c r="I56" s="216" t="s">
        <v>43</v>
      </c>
      <c r="J56" s="64">
        <v>0.24</v>
      </c>
      <c r="K56" s="64">
        <v>45.96</v>
      </c>
      <c r="L56" s="64">
        <v>29.46</v>
      </c>
      <c r="M56" s="64">
        <v>69.989999999999995</v>
      </c>
      <c r="N56" s="64">
        <v>810.8</v>
      </c>
      <c r="O56" s="64">
        <v>0</v>
      </c>
      <c r="P56" s="64">
        <v>0.6</v>
      </c>
      <c r="Q56" s="64">
        <v>19.34</v>
      </c>
      <c r="R56" s="198"/>
      <c r="S56" s="198"/>
      <c r="T56" s="198"/>
      <c r="U56" s="198"/>
    </row>
    <row r="57" spans="1:21" s="12" customFormat="1" x14ac:dyDescent="0.25">
      <c r="A57" s="215" t="s">
        <v>2797</v>
      </c>
      <c r="B57" s="64">
        <v>22.51</v>
      </c>
      <c r="C57" s="64">
        <v>25.01</v>
      </c>
      <c r="D57" s="64">
        <v>32.5</v>
      </c>
      <c r="E57" s="64">
        <v>3.62</v>
      </c>
      <c r="F57" s="64">
        <v>6.8</v>
      </c>
      <c r="G57" s="64">
        <v>51.09</v>
      </c>
      <c r="H57" s="64">
        <v>23.74</v>
      </c>
      <c r="I57" s="216" t="s">
        <v>43</v>
      </c>
      <c r="J57" s="64">
        <v>0.79</v>
      </c>
      <c r="K57" s="64">
        <v>14.42</v>
      </c>
      <c r="L57" s="64">
        <v>30.66</v>
      </c>
      <c r="M57" s="64">
        <v>65.900000000000006</v>
      </c>
      <c r="N57" s="64">
        <v>1004.4</v>
      </c>
      <c r="O57" s="64">
        <v>0</v>
      </c>
      <c r="P57" s="64">
        <v>0.6</v>
      </c>
      <c r="Q57" s="64">
        <v>18.43</v>
      </c>
      <c r="R57" s="198"/>
      <c r="S57" s="198"/>
      <c r="T57" s="198"/>
      <c r="U57" s="198"/>
    </row>
    <row r="58" spans="1:21" s="12" customFormat="1" x14ac:dyDescent="0.25">
      <c r="A58" s="215" t="s">
        <v>2798</v>
      </c>
      <c r="B58" s="64">
        <v>22.29</v>
      </c>
      <c r="C58" s="64">
        <v>25.56</v>
      </c>
      <c r="D58" s="64">
        <v>32.630000000000003</v>
      </c>
      <c r="E58" s="64">
        <v>3.88</v>
      </c>
      <c r="F58" s="64">
        <v>6.88</v>
      </c>
      <c r="G58" s="64">
        <v>48.84</v>
      </c>
      <c r="H58" s="64">
        <v>12.31</v>
      </c>
      <c r="I58" s="216" t="s">
        <v>43</v>
      </c>
      <c r="J58" s="64">
        <v>0.61</v>
      </c>
      <c r="K58" s="64">
        <v>49.81</v>
      </c>
      <c r="L58" s="64">
        <v>30.95</v>
      </c>
      <c r="M58" s="64">
        <v>64.02</v>
      </c>
      <c r="N58" s="64">
        <v>830.9</v>
      </c>
      <c r="O58" s="64">
        <v>0</v>
      </c>
      <c r="P58" s="64">
        <v>0.57999999999999996</v>
      </c>
      <c r="Q58" s="64">
        <v>18.37</v>
      </c>
      <c r="R58" s="198"/>
      <c r="S58" s="198"/>
      <c r="T58" s="198"/>
      <c r="U58" s="198"/>
    </row>
    <row r="59" spans="1:21" s="12" customFormat="1" x14ac:dyDescent="0.25">
      <c r="A59" s="215" t="s">
        <v>2799</v>
      </c>
      <c r="B59" s="64">
        <v>21.29</v>
      </c>
      <c r="C59" s="64">
        <v>25.95</v>
      </c>
      <c r="D59" s="64">
        <v>32.04</v>
      </c>
      <c r="E59" s="64">
        <v>4.43</v>
      </c>
      <c r="F59" s="64">
        <v>7.09</v>
      </c>
      <c r="G59" s="64">
        <v>48.12</v>
      </c>
      <c r="H59" s="64">
        <v>12.31</v>
      </c>
      <c r="I59" s="216" t="s">
        <v>43</v>
      </c>
      <c r="J59" s="64">
        <v>0.82</v>
      </c>
      <c r="K59" s="64">
        <v>66.959999999999994</v>
      </c>
      <c r="L59" s="64">
        <v>29.69</v>
      </c>
      <c r="M59" s="64">
        <v>66.89</v>
      </c>
      <c r="N59" s="64">
        <v>838.2</v>
      </c>
      <c r="O59" s="64">
        <v>0</v>
      </c>
      <c r="P59" s="64">
        <v>0.56999999999999995</v>
      </c>
      <c r="Q59" s="64">
        <v>17.329999999999998</v>
      </c>
      <c r="R59" s="198"/>
      <c r="S59" s="198"/>
      <c r="T59" s="198"/>
      <c r="U59" s="198"/>
    </row>
    <row r="60" spans="1:21" s="12" customFormat="1" x14ac:dyDescent="0.25">
      <c r="A60" s="215" t="s">
        <v>2800</v>
      </c>
      <c r="B60" s="64">
        <v>20.5</v>
      </c>
      <c r="C60" s="64">
        <v>26.65</v>
      </c>
      <c r="D60" s="64">
        <v>31.79</v>
      </c>
      <c r="E60" s="64">
        <v>4.01</v>
      </c>
      <c r="F60" s="64">
        <v>6.49</v>
      </c>
      <c r="G60" s="64">
        <v>48.12</v>
      </c>
      <c r="H60" s="64">
        <v>12.31</v>
      </c>
      <c r="I60" s="216" t="s">
        <v>43</v>
      </c>
      <c r="J60" s="64">
        <v>0.91</v>
      </c>
      <c r="K60" s="64">
        <v>9.44</v>
      </c>
      <c r="L60" s="64">
        <v>30.61</v>
      </c>
      <c r="M60" s="64">
        <v>64.25</v>
      </c>
      <c r="N60" s="64">
        <v>864.4</v>
      </c>
      <c r="O60" s="64">
        <v>0</v>
      </c>
      <c r="P60" s="64">
        <v>0.6</v>
      </c>
      <c r="Q60" s="64">
        <v>17.82</v>
      </c>
      <c r="R60" s="198"/>
      <c r="S60" s="198"/>
      <c r="T60" s="198"/>
      <c r="U60" s="198"/>
    </row>
    <row r="61" spans="1:21" s="12" customFormat="1" x14ac:dyDescent="0.25">
      <c r="A61" s="215" t="s">
        <v>2801</v>
      </c>
      <c r="B61" s="64">
        <v>19.809999999999999</v>
      </c>
      <c r="C61" s="64">
        <v>27.18</v>
      </c>
      <c r="D61" s="64">
        <v>31.53</v>
      </c>
      <c r="E61" s="64">
        <v>4.34</v>
      </c>
      <c r="F61" s="64">
        <v>7.53</v>
      </c>
      <c r="G61" s="64">
        <v>48.12</v>
      </c>
      <c r="H61" s="64">
        <v>12.31</v>
      </c>
      <c r="I61" s="216" t="s">
        <v>43</v>
      </c>
      <c r="J61" s="64">
        <v>1.25</v>
      </c>
      <c r="K61" s="64">
        <v>9.1999999999999993</v>
      </c>
      <c r="L61" s="64">
        <v>31.39</v>
      </c>
      <c r="M61" s="64">
        <v>60.76</v>
      </c>
      <c r="N61" s="64">
        <v>980.5</v>
      </c>
      <c r="O61" s="64">
        <v>0</v>
      </c>
      <c r="P61" s="64">
        <v>0.55000000000000004</v>
      </c>
      <c r="Q61" s="64">
        <v>17.02</v>
      </c>
      <c r="R61" s="198"/>
      <c r="S61" s="198"/>
      <c r="T61" s="198"/>
      <c r="U61" s="198"/>
    </row>
    <row r="62" spans="1:21" s="12" customFormat="1" x14ac:dyDescent="0.25">
      <c r="A62" s="215" t="s">
        <v>2802</v>
      </c>
      <c r="B62" s="64">
        <v>17.47</v>
      </c>
      <c r="C62" s="64">
        <v>27.41</v>
      </c>
      <c r="D62" s="64">
        <v>29.78</v>
      </c>
      <c r="E62" s="64">
        <v>4.18</v>
      </c>
      <c r="F62" s="64">
        <v>9.89</v>
      </c>
      <c r="G62" s="64">
        <v>47.27</v>
      </c>
      <c r="H62" s="64">
        <v>15.92</v>
      </c>
      <c r="I62" s="216" t="s">
        <v>43</v>
      </c>
      <c r="J62" s="64">
        <v>1.25</v>
      </c>
      <c r="K62" s="64">
        <v>5.14</v>
      </c>
      <c r="L62" s="64">
        <v>32.42</v>
      </c>
      <c r="M62" s="64">
        <v>58.72</v>
      </c>
      <c r="N62" s="64">
        <v>662.4</v>
      </c>
      <c r="O62" s="64">
        <v>0</v>
      </c>
      <c r="P62" s="64">
        <v>0.57999999999999996</v>
      </c>
      <c r="Q62" s="64">
        <v>16.61</v>
      </c>
      <c r="R62" s="198"/>
      <c r="S62" s="198"/>
      <c r="T62" s="198"/>
      <c r="U62" s="198"/>
    </row>
    <row r="63" spans="1:21" s="12" customFormat="1" x14ac:dyDescent="0.25">
      <c r="A63" s="215" t="s">
        <v>2803</v>
      </c>
      <c r="B63" s="64">
        <v>15.6</v>
      </c>
      <c r="C63" s="64">
        <v>24.65</v>
      </c>
      <c r="D63" s="64">
        <v>26.76</v>
      </c>
      <c r="E63" s="64">
        <v>4.12</v>
      </c>
      <c r="F63" s="64">
        <v>16.670000000000002</v>
      </c>
      <c r="G63" s="64">
        <v>46.99</v>
      </c>
      <c r="H63" s="64">
        <v>15.92</v>
      </c>
      <c r="I63" s="216" t="s">
        <v>43</v>
      </c>
      <c r="J63" s="64">
        <v>0.76</v>
      </c>
      <c r="K63" s="64">
        <v>22.47</v>
      </c>
      <c r="L63" s="64">
        <v>31.08</v>
      </c>
      <c r="M63" s="64">
        <v>62.49</v>
      </c>
      <c r="N63" s="64">
        <v>649.70000000000005</v>
      </c>
      <c r="O63" s="64">
        <v>0</v>
      </c>
      <c r="P63" s="64">
        <v>0.51</v>
      </c>
      <c r="Q63" s="64">
        <v>15.82</v>
      </c>
      <c r="R63" s="198"/>
      <c r="S63" s="198"/>
      <c r="T63" s="198"/>
      <c r="U63" s="198"/>
    </row>
    <row r="64" spans="1:21" s="12" customFormat="1" x14ac:dyDescent="0.25">
      <c r="A64" s="215" t="s">
        <v>2804</v>
      </c>
      <c r="B64" s="64">
        <v>12.84</v>
      </c>
      <c r="C64" s="64">
        <v>25.27</v>
      </c>
      <c r="D64" s="64">
        <v>24.89</v>
      </c>
      <c r="E64" s="64">
        <v>3.73</v>
      </c>
      <c r="F64" s="64">
        <v>16.63</v>
      </c>
      <c r="G64" s="64">
        <v>46.99</v>
      </c>
      <c r="H64" s="64">
        <v>15.92</v>
      </c>
      <c r="I64" s="216" t="s">
        <v>43</v>
      </c>
      <c r="J64" s="64">
        <v>0.74</v>
      </c>
      <c r="K64" s="64">
        <v>14.66</v>
      </c>
      <c r="L64" s="64">
        <v>30.27</v>
      </c>
      <c r="M64" s="64">
        <v>64.92</v>
      </c>
      <c r="N64" s="64">
        <v>355.6</v>
      </c>
      <c r="O64" s="64">
        <v>0</v>
      </c>
      <c r="P64" s="64">
        <v>0.6</v>
      </c>
      <c r="Q64" s="64">
        <v>15.58</v>
      </c>
      <c r="R64" s="198"/>
      <c r="S64" s="198"/>
      <c r="T64" s="198"/>
      <c r="U64" s="198"/>
    </row>
    <row r="65" spans="1:21" s="12" customFormat="1" x14ac:dyDescent="0.25">
      <c r="A65" s="215" t="s">
        <v>2805</v>
      </c>
      <c r="B65" s="64">
        <v>13.48</v>
      </c>
      <c r="C65" s="64">
        <v>26.56</v>
      </c>
      <c r="D65" s="64">
        <v>26.11</v>
      </c>
      <c r="E65" s="64">
        <v>4.12</v>
      </c>
      <c r="F65" s="64">
        <v>19.46</v>
      </c>
      <c r="G65" s="64">
        <v>46.99</v>
      </c>
      <c r="H65" s="64">
        <v>15.92</v>
      </c>
      <c r="I65" s="216" t="s">
        <v>43</v>
      </c>
      <c r="J65" s="64">
        <v>0.74</v>
      </c>
      <c r="K65" s="64">
        <v>3.59</v>
      </c>
      <c r="L65" s="64">
        <v>29.55</v>
      </c>
      <c r="M65" s="64">
        <v>67.91</v>
      </c>
      <c r="N65" s="64">
        <v>216.3</v>
      </c>
      <c r="O65" s="64">
        <v>0</v>
      </c>
      <c r="P65" s="64">
        <v>0.59</v>
      </c>
      <c r="Q65" s="64">
        <v>14.84</v>
      </c>
      <c r="R65" s="198"/>
      <c r="S65" s="198"/>
      <c r="T65" s="198"/>
      <c r="U65" s="198"/>
    </row>
    <row r="66" spans="1:21" s="12" customFormat="1" x14ac:dyDescent="0.25">
      <c r="A66" s="215" t="s">
        <v>2806</v>
      </c>
      <c r="B66" s="64">
        <v>15.55</v>
      </c>
      <c r="C66" s="64">
        <v>27.26</v>
      </c>
      <c r="D66" s="64">
        <v>28.16</v>
      </c>
      <c r="E66" s="64">
        <v>3.66</v>
      </c>
      <c r="F66" s="64">
        <v>12.28</v>
      </c>
      <c r="G66" s="64">
        <v>49.81</v>
      </c>
      <c r="H66" s="64">
        <v>7.45</v>
      </c>
      <c r="I66" s="216" t="s">
        <v>43</v>
      </c>
      <c r="J66" s="64">
        <v>0.91</v>
      </c>
      <c r="K66" s="64">
        <v>1.19</v>
      </c>
      <c r="L66" s="64">
        <v>29.56</v>
      </c>
      <c r="M66" s="64">
        <v>68.930000000000007</v>
      </c>
      <c r="N66" s="64">
        <v>335.9</v>
      </c>
      <c r="O66" s="64">
        <v>0</v>
      </c>
      <c r="P66" s="64">
        <v>0.62</v>
      </c>
      <c r="Q66" s="64">
        <v>14.91</v>
      </c>
      <c r="R66" s="198"/>
      <c r="S66" s="198"/>
      <c r="T66" s="198"/>
      <c r="U66" s="198"/>
    </row>
    <row r="67" spans="1:21" s="12" customFormat="1" x14ac:dyDescent="0.25">
      <c r="A67" s="215" t="s">
        <v>2807</v>
      </c>
      <c r="B67" s="64">
        <v>13.56</v>
      </c>
      <c r="C67" s="64">
        <v>25.32</v>
      </c>
      <c r="D67" s="64">
        <v>25.49</v>
      </c>
      <c r="E67" s="64">
        <v>4.29</v>
      </c>
      <c r="F67" s="64">
        <v>9.23</v>
      </c>
      <c r="G67" s="64">
        <v>50.73</v>
      </c>
      <c r="H67" s="64">
        <v>7.45</v>
      </c>
      <c r="I67" s="216" t="s">
        <v>43</v>
      </c>
      <c r="J67" s="64">
        <v>1.19</v>
      </c>
      <c r="K67" s="64">
        <v>7.84</v>
      </c>
      <c r="L67" s="64">
        <v>29.89</v>
      </c>
      <c r="M67" s="64">
        <v>68.510000000000005</v>
      </c>
      <c r="N67" s="64">
        <v>225.5</v>
      </c>
      <c r="O67" s="64">
        <v>0</v>
      </c>
      <c r="P67" s="64">
        <v>0.59</v>
      </c>
      <c r="Q67" s="64">
        <v>14.12</v>
      </c>
      <c r="R67" s="198"/>
      <c r="S67" s="198"/>
      <c r="T67" s="198"/>
      <c r="U67" s="198"/>
    </row>
    <row r="68" spans="1:21" s="12" customFormat="1" x14ac:dyDescent="0.25">
      <c r="A68" s="215" t="s">
        <v>2808</v>
      </c>
      <c r="B68" s="64">
        <v>15.5</v>
      </c>
      <c r="C68" s="64">
        <v>30.35</v>
      </c>
      <c r="D68" s="64">
        <v>29.83</v>
      </c>
      <c r="E68" s="64">
        <v>4.53</v>
      </c>
      <c r="F68" s="64">
        <v>12.55</v>
      </c>
      <c r="G68" s="64">
        <v>50.73</v>
      </c>
      <c r="H68" s="64">
        <v>7.45</v>
      </c>
      <c r="I68" s="216" t="s">
        <v>43</v>
      </c>
      <c r="J68" s="64">
        <v>0.66</v>
      </c>
      <c r="K68" s="64">
        <v>7.73</v>
      </c>
      <c r="L68" s="64">
        <v>29.48</v>
      </c>
      <c r="M68" s="64">
        <v>69.23</v>
      </c>
      <c r="N68" s="64">
        <v>260.89999999999998</v>
      </c>
      <c r="O68" s="64">
        <v>0</v>
      </c>
      <c r="P68" s="64">
        <v>0.64</v>
      </c>
      <c r="Q68" s="64">
        <v>12.41</v>
      </c>
      <c r="R68" s="198"/>
      <c r="S68" s="198"/>
      <c r="T68" s="198"/>
      <c r="U68" s="198"/>
    </row>
    <row r="69" spans="1:21" s="12" customFormat="1" x14ac:dyDescent="0.25">
      <c r="A69" s="215" t="s">
        <v>2809</v>
      </c>
      <c r="B69" s="64">
        <v>14.09</v>
      </c>
      <c r="C69" s="64">
        <v>30.22</v>
      </c>
      <c r="D69" s="64">
        <v>28.62</v>
      </c>
      <c r="E69" s="64">
        <v>3.81</v>
      </c>
      <c r="F69" s="64">
        <v>10.68</v>
      </c>
      <c r="G69" s="64">
        <v>50.73</v>
      </c>
      <c r="H69" s="64">
        <v>7.45</v>
      </c>
      <c r="I69" s="216" t="s">
        <v>43</v>
      </c>
      <c r="J69" s="64">
        <v>0.78</v>
      </c>
      <c r="K69" s="64">
        <v>4.32</v>
      </c>
      <c r="L69" s="64">
        <v>29.68</v>
      </c>
      <c r="M69" s="64">
        <v>68.02</v>
      </c>
      <c r="N69" s="64">
        <v>280.10000000000002</v>
      </c>
      <c r="O69" s="64">
        <v>0</v>
      </c>
      <c r="P69" s="64">
        <v>0.64</v>
      </c>
      <c r="Q69" s="64">
        <v>11.57</v>
      </c>
      <c r="R69" s="198"/>
      <c r="S69" s="198"/>
      <c r="T69" s="198"/>
      <c r="U69" s="198"/>
    </row>
    <row r="70" spans="1:21" s="12" customFormat="1" x14ac:dyDescent="0.25">
      <c r="A70" s="215" t="s">
        <v>2810</v>
      </c>
      <c r="B70" s="64">
        <v>13.47</v>
      </c>
      <c r="C70" s="64">
        <v>28.96</v>
      </c>
      <c r="D70" s="64">
        <v>27.43</v>
      </c>
      <c r="E70" s="64">
        <v>3.91</v>
      </c>
      <c r="F70" s="64">
        <v>9.6300000000000008</v>
      </c>
      <c r="G70" s="64">
        <v>49.22</v>
      </c>
      <c r="H70" s="64">
        <v>28.13</v>
      </c>
      <c r="I70" s="216" t="s">
        <v>43</v>
      </c>
      <c r="J70" s="64">
        <v>1.3</v>
      </c>
      <c r="K70" s="64">
        <v>1.36</v>
      </c>
      <c r="L70" s="64">
        <v>30.06</v>
      </c>
      <c r="M70" s="64">
        <v>65.290000000000006</v>
      </c>
      <c r="N70" s="64">
        <v>350.8</v>
      </c>
      <c r="O70" s="64">
        <v>0</v>
      </c>
      <c r="P70" s="64">
        <v>0.61</v>
      </c>
      <c r="Q70" s="64">
        <v>11.9</v>
      </c>
      <c r="R70" s="198"/>
      <c r="S70" s="198"/>
      <c r="T70" s="198"/>
      <c r="U70" s="198"/>
    </row>
    <row r="71" spans="1:21" s="12" customFormat="1" x14ac:dyDescent="0.25">
      <c r="A71" s="215" t="s">
        <v>2811</v>
      </c>
      <c r="B71" s="64">
        <v>11.93</v>
      </c>
      <c r="C71" s="64">
        <v>28.77</v>
      </c>
      <c r="D71" s="64">
        <v>26.09</v>
      </c>
      <c r="E71" s="64">
        <v>4.51</v>
      </c>
      <c r="F71" s="64">
        <v>10.92</v>
      </c>
      <c r="G71" s="64">
        <v>48.73</v>
      </c>
      <c r="H71" s="64">
        <v>28.13</v>
      </c>
      <c r="I71" s="216" t="s">
        <v>43</v>
      </c>
      <c r="J71" s="64">
        <v>0.66</v>
      </c>
      <c r="K71" s="64">
        <v>5.03</v>
      </c>
      <c r="L71" s="64">
        <v>29.85</v>
      </c>
      <c r="M71" s="64">
        <v>63.69</v>
      </c>
      <c r="N71" s="64">
        <v>425.8</v>
      </c>
      <c r="O71" s="64">
        <v>0</v>
      </c>
      <c r="P71" s="64">
        <v>0.57999999999999996</v>
      </c>
      <c r="Q71" s="64">
        <v>10.25</v>
      </c>
      <c r="R71" s="198"/>
      <c r="S71" s="198"/>
      <c r="T71" s="198"/>
      <c r="U71" s="198"/>
    </row>
    <row r="72" spans="1:21" s="12" customFormat="1" x14ac:dyDescent="0.25">
      <c r="A72" s="215" t="s">
        <v>2812</v>
      </c>
      <c r="B72" s="64">
        <v>10.61</v>
      </c>
      <c r="C72" s="64">
        <v>28.78</v>
      </c>
      <c r="D72" s="64">
        <v>25.04</v>
      </c>
      <c r="E72" s="64">
        <v>2.77</v>
      </c>
      <c r="F72" s="64">
        <v>9.8000000000000007</v>
      </c>
      <c r="G72" s="64">
        <v>48.73</v>
      </c>
      <c r="H72" s="64">
        <v>28.13</v>
      </c>
      <c r="I72" s="216" t="s">
        <v>43</v>
      </c>
      <c r="J72" s="64">
        <v>0.89</v>
      </c>
      <c r="K72" s="64">
        <v>15.55</v>
      </c>
      <c r="L72" s="64">
        <v>29.9</v>
      </c>
      <c r="M72" s="64">
        <v>66.09</v>
      </c>
      <c r="N72" s="64">
        <v>459.1</v>
      </c>
      <c r="O72" s="64">
        <v>0</v>
      </c>
      <c r="P72" s="64">
        <v>0.61</v>
      </c>
      <c r="Q72" s="64">
        <v>10.18</v>
      </c>
      <c r="R72" s="198"/>
      <c r="S72" s="198"/>
      <c r="T72" s="198"/>
      <c r="U72" s="198"/>
    </row>
    <row r="73" spans="1:21" s="12" customFormat="1" x14ac:dyDescent="0.25">
      <c r="A73" s="215" t="s">
        <v>2813</v>
      </c>
      <c r="B73" s="64">
        <v>10.95</v>
      </c>
      <c r="C73" s="64">
        <v>27.45</v>
      </c>
      <c r="D73" s="64">
        <v>24.57</v>
      </c>
      <c r="E73" s="64">
        <v>3.86</v>
      </c>
      <c r="F73" s="64">
        <v>14.5</v>
      </c>
      <c r="G73" s="64">
        <v>48.73</v>
      </c>
      <c r="H73" s="64">
        <v>28.13</v>
      </c>
      <c r="I73" s="216" t="s">
        <v>43</v>
      </c>
      <c r="J73" s="64">
        <v>1.01</v>
      </c>
      <c r="K73" s="64">
        <v>9.76</v>
      </c>
      <c r="L73" s="64">
        <v>29.3</v>
      </c>
      <c r="M73" s="64">
        <v>67.3</v>
      </c>
      <c r="N73" s="64">
        <v>221.6</v>
      </c>
      <c r="O73" s="64">
        <v>0</v>
      </c>
      <c r="P73" s="64">
        <v>0.62</v>
      </c>
      <c r="Q73" s="64">
        <v>9.77</v>
      </c>
      <c r="R73" s="198"/>
      <c r="S73" s="198"/>
      <c r="T73" s="198"/>
      <c r="U73" s="198"/>
    </row>
    <row r="74" spans="1:21" s="12" customFormat="1" x14ac:dyDescent="0.25">
      <c r="A74" s="215" t="s">
        <v>2814</v>
      </c>
      <c r="B74" s="64">
        <v>10.73</v>
      </c>
      <c r="C74" s="64">
        <v>35.200000000000003</v>
      </c>
      <c r="D74" s="64">
        <v>28.67</v>
      </c>
      <c r="E74" s="64">
        <v>3.75</v>
      </c>
      <c r="F74" s="64">
        <v>23.1</v>
      </c>
      <c r="G74" s="64">
        <v>48.5</v>
      </c>
      <c r="H74" s="64">
        <v>28.44</v>
      </c>
      <c r="I74" s="216" t="s">
        <v>43</v>
      </c>
      <c r="J74" s="64">
        <v>0.36</v>
      </c>
      <c r="K74" s="64">
        <v>56.3</v>
      </c>
      <c r="L74" s="64">
        <v>28.87</v>
      </c>
      <c r="M74" s="64">
        <v>69.290000000000006</v>
      </c>
      <c r="N74" s="64">
        <v>162.19999999999999</v>
      </c>
      <c r="O74" s="64">
        <v>0</v>
      </c>
      <c r="P74" s="64">
        <v>0.59</v>
      </c>
      <c r="Q74" s="64">
        <v>11.12</v>
      </c>
      <c r="R74" s="198"/>
      <c r="S74" s="198"/>
      <c r="T74" s="198"/>
      <c r="U74" s="198"/>
    </row>
    <row r="75" spans="1:21" s="12" customFormat="1" x14ac:dyDescent="0.25">
      <c r="A75" s="215" t="s">
        <v>2815</v>
      </c>
      <c r="B75" s="64">
        <v>10.029999999999999</v>
      </c>
      <c r="C75" s="64">
        <v>32.49</v>
      </c>
      <c r="D75" s="64">
        <v>26.62</v>
      </c>
      <c r="E75" s="64">
        <v>3.65</v>
      </c>
      <c r="F75" s="64">
        <v>25.71</v>
      </c>
      <c r="G75" s="64">
        <v>48.42</v>
      </c>
      <c r="H75" s="64">
        <v>28.44</v>
      </c>
      <c r="I75" s="216" t="s">
        <v>43</v>
      </c>
      <c r="J75" s="64">
        <v>0.34</v>
      </c>
      <c r="K75" s="64">
        <v>12.18</v>
      </c>
      <c r="L75" s="64">
        <v>29.01</v>
      </c>
      <c r="M75" s="64">
        <v>68.77</v>
      </c>
      <c r="N75" s="64">
        <v>125.5</v>
      </c>
      <c r="O75" s="64">
        <v>0</v>
      </c>
      <c r="P75" s="64">
        <v>0.7</v>
      </c>
      <c r="Q75" s="64">
        <v>11.48</v>
      </c>
      <c r="R75" s="198"/>
      <c r="S75" s="198"/>
      <c r="T75" s="198"/>
      <c r="U75" s="198"/>
    </row>
    <row r="76" spans="1:21" s="12" customFormat="1" x14ac:dyDescent="0.25">
      <c r="A76" s="215" t="s">
        <v>2816</v>
      </c>
      <c r="B76" s="64">
        <v>16.260000000000002</v>
      </c>
      <c r="C76" s="64">
        <v>31.03</v>
      </c>
      <c r="D76" s="64">
        <v>30.81</v>
      </c>
      <c r="E76" s="64">
        <v>3.71</v>
      </c>
      <c r="F76" s="64">
        <v>29.23</v>
      </c>
      <c r="G76" s="64">
        <v>48.42</v>
      </c>
      <c r="H76" s="64">
        <v>28.44</v>
      </c>
      <c r="I76" s="216" t="s">
        <v>43</v>
      </c>
      <c r="J76" s="64">
        <v>0.64</v>
      </c>
      <c r="K76" s="64">
        <v>0.25</v>
      </c>
      <c r="L76" s="64">
        <v>29.13</v>
      </c>
      <c r="M76" s="64">
        <v>67.75</v>
      </c>
      <c r="N76" s="64">
        <v>124.7</v>
      </c>
      <c r="O76" s="64">
        <v>0</v>
      </c>
      <c r="P76" s="64">
        <v>0.89</v>
      </c>
      <c r="Q76" s="64">
        <v>12.26</v>
      </c>
      <c r="R76" s="198"/>
      <c r="S76" s="198"/>
      <c r="T76" s="198"/>
      <c r="U76" s="198"/>
    </row>
    <row r="77" spans="1:21" s="12" customFormat="1" x14ac:dyDescent="0.25">
      <c r="A77" s="215" t="s">
        <v>2817</v>
      </c>
      <c r="B77" s="64">
        <v>14.21</v>
      </c>
      <c r="C77" s="64">
        <v>28.81</v>
      </c>
      <c r="D77" s="64">
        <v>27.94</v>
      </c>
      <c r="E77" s="64">
        <v>3.67</v>
      </c>
      <c r="F77" s="64">
        <v>19.96</v>
      </c>
      <c r="G77" s="64">
        <v>48.42</v>
      </c>
      <c r="H77" s="64">
        <v>28.44</v>
      </c>
      <c r="I77" s="216" t="s">
        <v>43</v>
      </c>
      <c r="J77" s="64">
        <v>1.03</v>
      </c>
      <c r="K77" s="64">
        <v>5.64</v>
      </c>
      <c r="L77" s="64">
        <v>29.5</v>
      </c>
      <c r="M77" s="64">
        <v>67.38</v>
      </c>
      <c r="N77" s="64">
        <v>128.69999999999999</v>
      </c>
      <c r="O77" s="64">
        <v>0</v>
      </c>
      <c r="P77" s="64">
        <v>0.78</v>
      </c>
      <c r="Q77" s="64">
        <v>12.13</v>
      </c>
      <c r="R77" s="198"/>
      <c r="S77" s="198"/>
      <c r="T77" s="198"/>
      <c r="U77" s="198"/>
    </row>
    <row r="78" spans="1:21" s="12" customFormat="1" x14ac:dyDescent="0.25">
      <c r="A78" s="215" t="s">
        <v>2818</v>
      </c>
      <c r="B78" s="64">
        <v>15.5</v>
      </c>
      <c r="C78" s="64">
        <v>28.63</v>
      </c>
      <c r="D78" s="64">
        <v>28.88</v>
      </c>
      <c r="E78" s="64">
        <v>3.64</v>
      </c>
      <c r="F78" s="64">
        <v>15.7</v>
      </c>
      <c r="G78" s="64">
        <v>56.12</v>
      </c>
      <c r="H78" s="64">
        <v>26.05</v>
      </c>
      <c r="I78" s="216" t="s">
        <v>43</v>
      </c>
      <c r="J78" s="64">
        <v>1.01</v>
      </c>
      <c r="K78" s="64">
        <v>0.27</v>
      </c>
      <c r="L78" s="64">
        <v>29.59</v>
      </c>
      <c r="M78" s="64">
        <v>67</v>
      </c>
      <c r="N78" s="64">
        <v>122.9</v>
      </c>
      <c r="O78" s="64">
        <v>0</v>
      </c>
      <c r="P78" s="64">
        <v>0.76</v>
      </c>
      <c r="Q78" s="64">
        <v>12.71</v>
      </c>
      <c r="R78" s="198"/>
      <c r="S78" s="198"/>
      <c r="T78" s="198"/>
      <c r="U78" s="198"/>
    </row>
    <row r="79" spans="1:21" s="12" customFormat="1" x14ac:dyDescent="0.25">
      <c r="A79" s="215" t="s">
        <v>2819</v>
      </c>
      <c r="B79" s="64">
        <v>13.23</v>
      </c>
      <c r="C79" s="64">
        <v>27.91</v>
      </c>
      <c r="D79" s="64">
        <v>26.66</v>
      </c>
      <c r="E79" s="64">
        <v>3.99</v>
      </c>
      <c r="F79" s="64">
        <v>17.36</v>
      </c>
      <c r="G79" s="64">
        <v>58.61</v>
      </c>
      <c r="H79" s="64">
        <v>25.76</v>
      </c>
      <c r="I79" s="216" t="s">
        <v>43</v>
      </c>
      <c r="J79" s="64">
        <v>0.84</v>
      </c>
      <c r="K79" s="64">
        <v>359.7</v>
      </c>
      <c r="L79" s="64">
        <v>29.35</v>
      </c>
      <c r="M79" s="64">
        <v>67.540000000000006</v>
      </c>
      <c r="N79" s="64">
        <v>92.1</v>
      </c>
      <c r="O79" s="64">
        <v>0</v>
      </c>
      <c r="P79" s="64">
        <v>0.74</v>
      </c>
      <c r="Q79" s="64">
        <v>11.42</v>
      </c>
      <c r="R79" s="198"/>
      <c r="S79" s="198"/>
      <c r="T79" s="198"/>
      <c r="U79" s="198"/>
    </row>
    <row r="80" spans="1:21" s="12" customFormat="1" x14ac:dyDescent="0.25">
      <c r="A80" s="215" t="s">
        <v>2820</v>
      </c>
      <c r="B80" s="64">
        <v>18.7</v>
      </c>
      <c r="C80" s="64">
        <v>33.68</v>
      </c>
      <c r="D80" s="64">
        <v>34.229999999999997</v>
      </c>
      <c r="E80" s="64">
        <v>3.76</v>
      </c>
      <c r="F80" s="64">
        <v>22.99</v>
      </c>
      <c r="G80" s="64">
        <v>58.61</v>
      </c>
      <c r="H80" s="64">
        <v>25.76</v>
      </c>
      <c r="I80" s="216" t="s">
        <v>43</v>
      </c>
      <c r="J80" s="64">
        <v>0.39</v>
      </c>
      <c r="K80" s="64">
        <v>4.29</v>
      </c>
      <c r="L80" s="64">
        <v>29.28</v>
      </c>
      <c r="M80" s="64">
        <v>67.599999999999994</v>
      </c>
      <c r="N80" s="64">
        <v>83.3</v>
      </c>
      <c r="O80" s="64">
        <v>0</v>
      </c>
      <c r="P80" s="64">
        <v>0.95</v>
      </c>
      <c r="Q80" s="64">
        <v>10.119999999999999</v>
      </c>
      <c r="R80" s="198"/>
      <c r="S80" s="198"/>
      <c r="T80" s="198"/>
      <c r="U80" s="198"/>
    </row>
    <row r="81" spans="1:26" s="12" customFormat="1" x14ac:dyDescent="0.25">
      <c r="A81" s="215" t="s">
        <v>2821</v>
      </c>
      <c r="B81" s="64">
        <v>13.46</v>
      </c>
      <c r="C81" s="64">
        <v>36.67</v>
      </c>
      <c r="D81" s="64">
        <v>31.68</v>
      </c>
      <c r="E81" s="64">
        <v>2.93</v>
      </c>
      <c r="F81" s="64">
        <v>16.59</v>
      </c>
      <c r="G81" s="64">
        <v>58.61</v>
      </c>
      <c r="H81" s="64">
        <v>25.76</v>
      </c>
      <c r="I81" s="216" t="s">
        <v>43</v>
      </c>
      <c r="J81" s="64">
        <v>0.7</v>
      </c>
      <c r="K81" s="64">
        <v>120.55</v>
      </c>
      <c r="L81" s="64">
        <v>28.64</v>
      </c>
      <c r="M81" s="64">
        <v>67.87</v>
      </c>
      <c r="N81" s="64">
        <v>50.6</v>
      </c>
      <c r="O81" s="64">
        <v>0</v>
      </c>
      <c r="P81" s="64">
        <v>0.68</v>
      </c>
      <c r="Q81" s="64">
        <v>9.9700000000000006</v>
      </c>
      <c r="R81" s="198"/>
      <c r="S81" s="198"/>
      <c r="T81" s="198"/>
      <c r="U81" s="198"/>
    </row>
    <row r="82" spans="1:26" s="12" customFormat="1" x14ac:dyDescent="0.25">
      <c r="A82" s="215" t="s">
        <v>2822</v>
      </c>
      <c r="B82" s="64">
        <v>16.440000000000001</v>
      </c>
      <c r="C82" s="64">
        <v>50.31</v>
      </c>
      <c r="D82" s="64">
        <v>41.6</v>
      </c>
      <c r="E82" s="64">
        <v>3.79</v>
      </c>
      <c r="F82" s="64">
        <v>16.48</v>
      </c>
      <c r="G82" s="64">
        <v>57.66</v>
      </c>
      <c r="H82" s="64">
        <v>30.84</v>
      </c>
      <c r="I82" s="216" t="s">
        <v>43</v>
      </c>
      <c r="J82" s="64">
        <v>0.23</v>
      </c>
      <c r="K82" s="64">
        <v>57.36</v>
      </c>
      <c r="L82" s="64">
        <v>28.25</v>
      </c>
      <c r="M82" s="64">
        <v>69.59</v>
      </c>
      <c r="N82" s="64">
        <v>40.6</v>
      </c>
      <c r="O82" s="64">
        <v>0</v>
      </c>
      <c r="P82" s="64">
        <v>1.21</v>
      </c>
      <c r="Q82" s="64">
        <v>11.63</v>
      </c>
      <c r="R82" s="198"/>
      <c r="S82" s="198"/>
      <c r="T82" s="198"/>
      <c r="U82" s="198"/>
    </row>
    <row r="83" spans="1:26" s="12" customFormat="1" x14ac:dyDescent="0.25">
      <c r="A83" s="215" t="s">
        <v>2823</v>
      </c>
      <c r="B83" s="64">
        <v>10.71</v>
      </c>
      <c r="C83" s="64">
        <v>46.16</v>
      </c>
      <c r="D83" s="64">
        <v>34.71</v>
      </c>
      <c r="E83" s="64">
        <v>2.99</v>
      </c>
      <c r="F83" s="64">
        <v>19.41</v>
      </c>
      <c r="G83" s="64">
        <v>57.35</v>
      </c>
      <c r="H83" s="64">
        <v>32.479999999999997</v>
      </c>
      <c r="I83" s="216" t="s">
        <v>43</v>
      </c>
      <c r="J83" s="64">
        <v>0.32</v>
      </c>
      <c r="K83" s="64">
        <v>99.76</v>
      </c>
      <c r="L83" s="64">
        <v>28.03</v>
      </c>
      <c r="M83" s="64">
        <v>70.47</v>
      </c>
      <c r="N83" s="64">
        <v>32.4</v>
      </c>
      <c r="O83" s="64">
        <v>0</v>
      </c>
      <c r="P83" s="64">
        <v>0.67</v>
      </c>
      <c r="Q83" s="64">
        <v>11.03</v>
      </c>
      <c r="R83" s="198"/>
      <c r="S83" s="198"/>
      <c r="T83" s="198"/>
      <c r="U83" s="198"/>
    </row>
    <row r="84" spans="1:26" s="12" customFormat="1" x14ac:dyDescent="0.25">
      <c r="A84" s="215" t="s">
        <v>2824</v>
      </c>
      <c r="B84" s="64">
        <v>27.02</v>
      </c>
      <c r="C84" s="64">
        <v>48.77</v>
      </c>
      <c r="D84" s="64">
        <v>49.21</v>
      </c>
      <c r="E84" s="64">
        <v>3.46</v>
      </c>
      <c r="F84" s="64">
        <v>15.4</v>
      </c>
      <c r="G84" s="64">
        <v>57.35</v>
      </c>
      <c r="H84" s="64">
        <v>32.479999999999997</v>
      </c>
      <c r="I84" s="216" t="s">
        <v>43</v>
      </c>
      <c r="J84" s="64">
        <v>0.12</v>
      </c>
      <c r="K84" s="64">
        <v>27.95</v>
      </c>
      <c r="L84" s="64">
        <v>27.72</v>
      </c>
      <c r="M84" s="64">
        <v>73.11</v>
      </c>
      <c r="N84" s="64">
        <v>30</v>
      </c>
      <c r="O84" s="64">
        <v>0</v>
      </c>
      <c r="P84" s="64">
        <v>1.08</v>
      </c>
      <c r="Q84" s="64">
        <v>10.66</v>
      </c>
      <c r="R84" s="198"/>
      <c r="S84" s="198"/>
      <c r="T84" s="198"/>
      <c r="U84" s="198"/>
    </row>
    <row r="85" spans="1:26" s="12" customFormat="1" x14ac:dyDescent="0.25">
      <c r="A85" s="215" t="s">
        <v>2825</v>
      </c>
      <c r="B85" s="64">
        <v>22.27</v>
      </c>
      <c r="C85" s="64">
        <v>50.8</v>
      </c>
      <c r="D85" s="64">
        <v>46.54</v>
      </c>
      <c r="E85" s="64">
        <v>3.27</v>
      </c>
      <c r="F85" s="64">
        <v>11.33</v>
      </c>
      <c r="G85" s="64">
        <v>57.35</v>
      </c>
      <c r="H85" s="64">
        <v>32.479999999999997</v>
      </c>
      <c r="I85" s="216" t="s">
        <v>43</v>
      </c>
      <c r="J85" s="64">
        <v>0.14000000000000001</v>
      </c>
      <c r="K85" s="64">
        <v>86.99</v>
      </c>
      <c r="L85" s="64">
        <v>27.57</v>
      </c>
      <c r="M85" s="64">
        <v>78.86</v>
      </c>
      <c r="N85" s="64">
        <v>29.7</v>
      </c>
      <c r="O85" s="64">
        <v>0</v>
      </c>
      <c r="P85" s="64">
        <v>1.42</v>
      </c>
      <c r="Q85" s="64">
        <v>12.82</v>
      </c>
      <c r="R85" s="198"/>
      <c r="S85" s="198"/>
      <c r="T85" s="198"/>
      <c r="U85" s="198"/>
    </row>
    <row r="86" spans="1:26" s="12" customFormat="1" x14ac:dyDescent="0.25">
      <c r="A86" s="215" t="s">
        <v>2826</v>
      </c>
      <c r="B86" s="64">
        <v>2.5099999999999998</v>
      </c>
      <c r="C86" s="64">
        <v>49.81</v>
      </c>
      <c r="D86" s="64">
        <v>30.14</v>
      </c>
      <c r="E86" s="64">
        <v>2.97</v>
      </c>
      <c r="F86" s="64">
        <v>17.25</v>
      </c>
      <c r="G86" s="64">
        <v>63.5</v>
      </c>
      <c r="H86" s="64">
        <v>40.409999999999997</v>
      </c>
      <c r="I86" s="216" t="s">
        <v>43</v>
      </c>
      <c r="J86" s="64">
        <v>0.14000000000000001</v>
      </c>
      <c r="K86" s="64">
        <v>117.29</v>
      </c>
      <c r="L86" s="64">
        <v>27.54</v>
      </c>
      <c r="M86" s="64">
        <v>74.87</v>
      </c>
      <c r="N86" s="64">
        <v>29.5</v>
      </c>
      <c r="O86" s="64">
        <v>0</v>
      </c>
      <c r="P86" s="64">
        <v>0.62</v>
      </c>
      <c r="Q86" s="64">
        <v>14.38</v>
      </c>
      <c r="R86" s="198"/>
      <c r="S86" s="198"/>
      <c r="T86" s="198"/>
      <c r="U86" s="198"/>
    </row>
    <row r="87" spans="1:26" s="12" customFormat="1" x14ac:dyDescent="0.25">
      <c r="A87" s="215" t="s">
        <v>2827</v>
      </c>
      <c r="B87" s="64">
        <v>3.68</v>
      </c>
      <c r="C87" s="64">
        <v>61.41</v>
      </c>
      <c r="D87" s="64">
        <v>37.49</v>
      </c>
      <c r="E87" s="64">
        <v>2.29</v>
      </c>
      <c r="F87" s="64">
        <v>14.98</v>
      </c>
      <c r="G87" s="64">
        <v>65.489999999999995</v>
      </c>
      <c r="H87" s="64">
        <v>42.98</v>
      </c>
      <c r="I87" s="216" t="s">
        <v>43</v>
      </c>
      <c r="J87" s="64">
        <v>0.03</v>
      </c>
      <c r="K87" s="64">
        <v>191.99</v>
      </c>
      <c r="L87" s="64">
        <v>27.42</v>
      </c>
      <c r="M87" s="64">
        <v>75.95</v>
      </c>
      <c r="N87" s="64">
        <v>29.6</v>
      </c>
      <c r="O87" s="64">
        <v>0</v>
      </c>
      <c r="P87" s="64">
        <v>0.54</v>
      </c>
      <c r="Q87" s="64">
        <v>15.28</v>
      </c>
      <c r="R87" s="198"/>
      <c r="S87" s="198"/>
      <c r="T87" s="198"/>
      <c r="U87" s="198"/>
    </row>
    <row r="88" spans="1:26" s="12" customFormat="1" x14ac:dyDescent="0.25">
      <c r="A88" s="215" t="s">
        <v>2828</v>
      </c>
      <c r="B88" s="64">
        <v>42.92</v>
      </c>
      <c r="C88" s="64">
        <v>60.5</v>
      </c>
      <c r="D88" s="64">
        <v>68.459999999999994</v>
      </c>
      <c r="E88" s="64">
        <v>2.0699999999999998</v>
      </c>
      <c r="F88" s="64">
        <v>6.5</v>
      </c>
      <c r="G88" s="64">
        <v>65.489999999999995</v>
      </c>
      <c r="H88" s="64">
        <v>42.98</v>
      </c>
      <c r="I88" s="216" t="s">
        <v>43</v>
      </c>
      <c r="J88" s="64">
        <v>0.11</v>
      </c>
      <c r="K88" s="64">
        <v>23.6</v>
      </c>
      <c r="L88" s="64">
        <v>27.39</v>
      </c>
      <c r="M88" s="64">
        <v>78.25</v>
      </c>
      <c r="N88" s="64">
        <v>29.5</v>
      </c>
      <c r="O88" s="64">
        <v>0</v>
      </c>
      <c r="P88" s="64">
        <v>1.63</v>
      </c>
      <c r="Q88" s="64">
        <v>13.07</v>
      </c>
      <c r="R88" s="198"/>
      <c r="S88" s="198"/>
      <c r="T88" s="198"/>
      <c r="U88" s="198"/>
    </row>
    <row r="89" spans="1:26" s="12" customFormat="1" x14ac:dyDescent="0.25">
      <c r="A89" s="215" t="s">
        <v>2829</v>
      </c>
      <c r="B89" s="64">
        <v>35.82</v>
      </c>
      <c r="C89" s="64">
        <v>57.25</v>
      </c>
      <c r="D89" s="64">
        <v>60.97</v>
      </c>
      <c r="E89" s="64">
        <v>2.62</v>
      </c>
      <c r="F89" s="64">
        <v>6.43</v>
      </c>
      <c r="G89" s="64">
        <v>65.489999999999995</v>
      </c>
      <c r="H89" s="64">
        <v>42.98</v>
      </c>
      <c r="I89" s="216" t="s">
        <v>43</v>
      </c>
      <c r="J89" s="64">
        <v>0.05</v>
      </c>
      <c r="K89" s="64">
        <v>343.8</v>
      </c>
      <c r="L89" s="64">
        <v>27.29</v>
      </c>
      <c r="M89" s="64">
        <v>81.040000000000006</v>
      </c>
      <c r="N89" s="64">
        <v>29.6</v>
      </c>
      <c r="O89" s="64">
        <v>0</v>
      </c>
      <c r="P89" s="64">
        <v>1.95</v>
      </c>
      <c r="Q89" s="64">
        <v>15.24</v>
      </c>
      <c r="R89" s="198"/>
      <c r="S89" s="198"/>
      <c r="T89" s="198"/>
      <c r="U89" s="198"/>
    </row>
    <row r="90" spans="1:26" s="12" customFormat="1" x14ac:dyDescent="0.25">
      <c r="A90" s="215" t="s">
        <v>2830</v>
      </c>
      <c r="B90" s="64">
        <v>8.23</v>
      </c>
      <c r="C90" s="64">
        <v>53.1</v>
      </c>
      <c r="D90" s="64">
        <v>36.549999999999997</v>
      </c>
      <c r="E90" s="64">
        <v>2.5499999999999998</v>
      </c>
      <c r="F90" s="64">
        <v>7.96</v>
      </c>
      <c r="G90" s="64">
        <v>69.42</v>
      </c>
      <c r="H90" s="64">
        <v>36.01</v>
      </c>
      <c r="I90" s="216" t="s">
        <v>43</v>
      </c>
      <c r="J90" s="64">
        <v>0.09</v>
      </c>
      <c r="K90" s="64">
        <v>230.66</v>
      </c>
      <c r="L90" s="64">
        <v>27.27</v>
      </c>
      <c r="M90" s="64">
        <v>80.260000000000005</v>
      </c>
      <c r="N90" s="64">
        <v>29.6</v>
      </c>
      <c r="O90" s="64">
        <v>0</v>
      </c>
      <c r="P90" s="64">
        <v>0.92</v>
      </c>
      <c r="Q90" s="64">
        <v>16.440000000000001</v>
      </c>
      <c r="R90" s="198"/>
      <c r="S90" s="198"/>
      <c r="T90" s="198"/>
      <c r="U90" s="198"/>
    </row>
    <row r="91" spans="1:26" s="12" customFormat="1" x14ac:dyDescent="0.25">
      <c r="A91" s="215" t="s">
        <v>2831</v>
      </c>
      <c r="B91" s="64">
        <v>4.8600000000000003</v>
      </c>
      <c r="C91" s="64">
        <v>41.97</v>
      </c>
      <c r="D91" s="64">
        <v>27.71</v>
      </c>
      <c r="E91" s="64">
        <v>2.5299999999999998</v>
      </c>
      <c r="F91" s="64">
        <v>13.02</v>
      </c>
      <c r="G91" s="64">
        <v>70.69</v>
      </c>
      <c r="H91" s="64">
        <v>33.75</v>
      </c>
      <c r="I91" s="216" t="s">
        <v>43</v>
      </c>
      <c r="J91" s="64">
        <v>0.16</v>
      </c>
      <c r="K91" s="64">
        <v>222.15</v>
      </c>
      <c r="L91" s="64">
        <v>27.28</v>
      </c>
      <c r="M91" s="64">
        <v>83.07</v>
      </c>
      <c r="N91" s="64">
        <v>29.4</v>
      </c>
      <c r="O91" s="64">
        <v>0</v>
      </c>
      <c r="P91" s="64">
        <v>0.79</v>
      </c>
      <c r="Q91" s="64">
        <v>16.28</v>
      </c>
      <c r="R91" s="198"/>
      <c r="S91" s="198"/>
      <c r="T91" s="198"/>
      <c r="U91" s="198"/>
    </row>
    <row r="92" spans="1:26" s="12" customFormat="1" x14ac:dyDescent="0.25">
      <c r="A92" s="215" t="s">
        <v>2832</v>
      </c>
      <c r="B92" s="64">
        <v>5.0599999999999996</v>
      </c>
      <c r="C92" s="64">
        <v>29.07</v>
      </c>
      <c r="D92" s="64">
        <v>20.75</v>
      </c>
      <c r="E92" s="64">
        <v>2.1</v>
      </c>
      <c r="F92" s="64">
        <v>16.399999999999999</v>
      </c>
      <c r="G92" s="64">
        <v>70.69</v>
      </c>
      <c r="H92" s="64">
        <v>33.75</v>
      </c>
      <c r="I92" s="216" t="s">
        <v>43</v>
      </c>
      <c r="J92" s="64">
        <v>0.06</v>
      </c>
      <c r="K92" s="64">
        <v>233</v>
      </c>
      <c r="L92" s="64">
        <v>27.07</v>
      </c>
      <c r="M92" s="64">
        <v>84.61</v>
      </c>
      <c r="N92" s="64">
        <v>29.7</v>
      </c>
      <c r="O92" s="64">
        <v>0</v>
      </c>
      <c r="P92" s="64">
        <v>0.74</v>
      </c>
      <c r="Q92" s="64">
        <v>14.29</v>
      </c>
      <c r="R92" s="198"/>
      <c r="S92" s="198"/>
      <c r="T92" s="198"/>
      <c r="U92" s="198"/>
    </row>
    <row r="93" spans="1:26" s="12" customFormat="1" x14ac:dyDescent="0.25">
      <c r="A93" s="215" t="s">
        <v>2833</v>
      </c>
      <c r="B93" s="64">
        <v>20.38</v>
      </c>
      <c r="C93" s="64">
        <v>33.49</v>
      </c>
      <c r="D93" s="64">
        <v>35.47</v>
      </c>
      <c r="E93" s="64">
        <v>2.33</v>
      </c>
      <c r="F93" s="64">
        <v>11.48</v>
      </c>
      <c r="G93" s="64">
        <v>70.69</v>
      </c>
      <c r="H93" s="64">
        <v>33.75</v>
      </c>
      <c r="I93" s="216" t="s">
        <v>43</v>
      </c>
      <c r="J93" s="64">
        <v>0.03</v>
      </c>
      <c r="K93" s="64">
        <v>355</v>
      </c>
      <c r="L93" s="64">
        <v>26.99</v>
      </c>
      <c r="M93" s="64">
        <v>85.43</v>
      </c>
      <c r="N93" s="64">
        <v>29.6</v>
      </c>
      <c r="O93" s="64">
        <v>0</v>
      </c>
      <c r="P93" s="64">
        <v>1.0900000000000001</v>
      </c>
      <c r="Q93" s="64">
        <v>14.18</v>
      </c>
      <c r="R93" s="198"/>
      <c r="S93" s="198"/>
      <c r="T93" s="198"/>
      <c r="U93" s="198"/>
    </row>
    <row r="94" spans="1:26" s="12" customFormat="1" x14ac:dyDescent="0.25">
      <c r="A94" s="215" t="s">
        <v>2834</v>
      </c>
      <c r="B94" s="64">
        <v>9.11</v>
      </c>
      <c r="C94" s="64">
        <v>36.44</v>
      </c>
      <c r="D94" s="64">
        <v>28.06</v>
      </c>
      <c r="E94" s="64">
        <v>2.0299999999999998</v>
      </c>
      <c r="F94" s="64">
        <v>13.78</v>
      </c>
      <c r="G94" s="64">
        <v>66.150000000000006</v>
      </c>
      <c r="H94" s="64">
        <v>30.33</v>
      </c>
      <c r="I94" s="216" t="s">
        <v>43</v>
      </c>
      <c r="J94" s="64">
        <v>0.04</v>
      </c>
      <c r="K94" s="64">
        <v>359.4</v>
      </c>
      <c r="L94" s="64">
        <v>26.92</v>
      </c>
      <c r="M94" s="64">
        <v>85.71</v>
      </c>
      <c r="N94" s="64">
        <v>29.5</v>
      </c>
      <c r="O94" s="64">
        <v>0</v>
      </c>
      <c r="P94" s="64">
        <v>0.83</v>
      </c>
      <c r="Q94" s="64">
        <v>13.35</v>
      </c>
      <c r="R94" s="198"/>
      <c r="S94" s="198"/>
      <c r="T94" s="198"/>
      <c r="U94" s="198"/>
    </row>
    <row r="95" spans="1:26" s="12" customFormat="1" x14ac:dyDescent="0.25">
      <c r="A95" s="215" t="s">
        <v>2835</v>
      </c>
      <c r="B95" s="64">
        <v>20.38</v>
      </c>
      <c r="C95" s="64">
        <v>36.94</v>
      </c>
      <c r="D95" s="64">
        <v>37.380000000000003</v>
      </c>
      <c r="E95" s="64">
        <v>2.23</v>
      </c>
      <c r="F95" s="64">
        <v>10.43</v>
      </c>
      <c r="G95" s="64">
        <v>64.680000000000007</v>
      </c>
      <c r="H95" s="64">
        <v>29.22</v>
      </c>
      <c r="I95" s="216" t="s">
        <v>43</v>
      </c>
      <c r="J95" s="64">
        <v>0.02</v>
      </c>
      <c r="K95" s="64">
        <v>301.12</v>
      </c>
      <c r="L95" s="64">
        <v>26.77</v>
      </c>
      <c r="M95" s="64">
        <v>86.05</v>
      </c>
      <c r="N95" s="64">
        <v>29.6</v>
      </c>
      <c r="O95" s="64">
        <v>0</v>
      </c>
      <c r="P95" s="64">
        <v>0.94</v>
      </c>
      <c r="Q95" s="64">
        <v>12.19</v>
      </c>
      <c r="R95" s="198"/>
      <c r="S95" s="198"/>
      <c r="T95" s="198"/>
      <c r="U95" s="198"/>
    </row>
    <row r="96" spans="1:26" s="12" customFormat="1" x14ac:dyDescent="0.25">
      <c r="A96" s="215" t="s">
        <v>2836</v>
      </c>
      <c r="B96" s="64">
        <v>6.08</v>
      </c>
      <c r="C96" s="64">
        <v>35.49</v>
      </c>
      <c r="D96" s="64">
        <v>25.11</v>
      </c>
      <c r="E96" s="64">
        <v>2.4</v>
      </c>
      <c r="F96" s="64">
        <v>15.55</v>
      </c>
      <c r="G96" s="64">
        <v>64.680000000000007</v>
      </c>
      <c r="H96" s="64">
        <v>29.22</v>
      </c>
      <c r="I96" s="216" t="s">
        <v>43</v>
      </c>
      <c r="J96" s="64">
        <v>0.04</v>
      </c>
      <c r="K96" s="64">
        <v>282.86</v>
      </c>
      <c r="L96" s="64">
        <v>26.79</v>
      </c>
      <c r="M96" s="64">
        <v>85.11</v>
      </c>
      <c r="N96" s="64">
        <v>29.6</v>
      </c>
      <c r="O96" s="64">
        <v>0</v>
      </c>
      <c r="P96" s="64">
        <v>0.7</v>
      </c>
      <c r="Q96" s="64">
        <v>12.51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2837</v>
      </c>
      <c r="B97" s="64">
        <v>10.050000000000001</v>
      </c>
      <c r="C97" s="64">
        <v>35.479999999999997</v>
      </c>
      <c r="D97" s="64">
        <v>28.28</v>
      </c>
      <c r="E97" s="64">
        <v>2.16</v>
      </c>
      <c r="F97" s="64">
        <v>15.35</v>
      </c>
      <c r="G97" s="64">
        <v>64.680000000000007</v>
      </c>
      <c r="H97" s="64">
        <v>29.22</v>
      </c>
      <c r="I97" s="216" t="s">
        <v>43</v>
      </c>
      <c r="J97" s="64">
        <v>0.06</v>
      </c>
      <c r="K97" s="64">
        <v>313.14999999999998</v>
      </c>
      <c r="L97" s="64">
        <v>26.78</v>
      </c>
      <c r="M97" s="64">
        <v>85.69</v>
      </c>
      <c r="N97" s="64">
        <v>29.7</v>
      </c>
      <c r="O97" s="64">
        <v>0</v>
      </c>
      <c r="P97" s="64">
        <v>0.82</v>
      </c>
      <c r="Q97" s="64">
        <v>12.29</v>
      </c>
      <c r="R97" s="198"/>
      <c r="S97" s="198"/>
      <c r="T97" s="198"/>
      <c r="U97" s="198"/>
    </row>
    <row r="98" spans="1:33" s="12" customFormat="1" x14ac:dyDescent="0.25">
      <c r="A98" s="215" t="s">
        <v>2838</v>
      </c>
      <c r="B98" s="64">
        <v>2.91</v>
      </c>
      <c r="C98" s="64">
        <v>26.18</v>
      </c>
      <c r="D98" s="64">
        <v>17.43</v>
      </c>
      <c r="E98" s="64">
        <v>1.86</v>
      </c>
      <c r="F98" s="64">
        <v>17.46</v>
      </c>
      <c r="G98" s="64">
        <v>64.34</v>
      </c>
      <c r="H98" s="64">
        <v>29.32</v>
      </c>
      <c r="I98" s="216" t="s">
        <v>43</v>
      </c>
      <c r="J98" s="64">
        <v>0.03</v>
      </c>
      <c r="K98" s="64">
        <v>32.36</v>
      </c>
      <c r="L98" s="64">
        <v>26.83</v>
      </c>
      <c r="M98" s="64">
        <v>84.17</v>
      </c>
      <c r="N98" s="64">
        <v>29.6</v>
      </c>
      <c r="O98" s="64">
        <v>0</v>
      </c>
      <c r="P98" s="64">
        <v>0.57999999999999996</v>
      </c>
      <c r="Q98" s="64">
        <v>13.63</v>
      </c>
      <c r="R98" s="198"/>
      <c r="S98" s="198"/>
      <c r="T98" s="198"/>
      <c r="U98" s="198"/>
    </row>
    <row r="99" spans="1:33" s="12" customFormat="1" x14ac:dyDescent="0.25">
      <c r="A99" s="215" t="s">
        <v>2839</v>
      </c>
      <c r="B99" s="64">
        <v>1.97</v>
      </c>
      <c r="C99" s="64">
        <v>22.69</v>
      </c>
      <c r="D99" s="64">
        <v>14.75</v>
      </c>
      <c r="E99" s="64">
        <v>1.65</v>
      </c>
      <c r="F99" s="64">
        <v>18.87</v>
      </c>
      <c r="G99" s="64">
        <v>64.22</v>
      </c>
      <c r="H99" s="64">
        <v>29.35</v>
      </c>
      <c r="I99" s="216" t="s">
        <v>43</v>
      </c>
      <c r="J99" s="64">
        <v>0.04</v>
      </c>
      <c r="K99" s="64">
        <v>201.06</v>
      </c>
      <c r="L99" s="64">
        <v>26.71</v>
      </c>
      <c r="M99" s="64">
        <v>84.95</v>
      </c>
      <c r="N99" s="64">
        <v>29.5</v>
      </c>
      <c r="O99" s="64">
        <v>0</v>
      </c>
      <c r="P99" s="64">
        <v>0.47</v>
      </c>
      <c r="Q99" s="64">
        <v>14.33</v>
      </c>
      <c r="R99" s="198"/>
      <c r="S99" s="198"/>
      <c r="T99" s="198"/>
      <c r="U99" s="198"/>
    </row>
    <row r="100" spans="1:33" s="12" customFormat="1" x14ac:dyDescent="0.25">
      <c r="A100" s="215" t="s">
        <v>2840</v>
      </c>
      <c r="B100" s="64">
        <v>1.1499999999999999</v>
      </c>
      <c r="C100" s="64">
        <v>19.940000000000001</v>
      </c>
      <c r="D100" s="64">
        <v>12.57</v>
      </c>
      <c r="E100" s="64">
        <v>1.58</v>
      </c>
      <c r="F100" s="64">
        <v>19.47</v>
      </c>
      <c r="G100" s="64">
        <v>64.22</v>
      </c>
      <c r="H100" s="64">
        <v>29.35</v>
      </c>
      <c r="I100" s="216" t="s">
        <v>43</v>
      </c>
      <c r="J100" s="64">
        <v>0.05</v>
      </c>
      <c r="K100" s="64">
        <v>223.02</v>
      </c>
      <c r="L100" s="64">
        <v>26.59</v>
      </c>
      <c r="M100" s="64">
        <v>85.62</v>
      </c>
      <c r="N100" s="64">
        <v>29.4</v>
      </c>
      <c r="O100" s="64">
        <v>0</v>
      </c>
      <c r="P100" s="64">
        <v>0.41</v>
      </c>
      <c r="Q100" s="64">
        <v>14.23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2841</v>
      </c>
      <c r="B101" s="64">
        <v>1.84</v>
      </c>
      <c r="C101" s="64">
        <v>20.149999999999999</v>
      </c>
      <c r="D101" s="64">
        <v>13.24</v>
      </c>
      <c r="E101" s="64">
        <v>1.75</v>
      </c>
      <c r="F101" s="64">
        <v>17.600000000000001</v>
      </c>
      <c r="G101" s="64">
        <v>64.22</v>
      </c>
      <c r="H101" s="64">
        <v>29.35</v>
      </c>
      <c r="I101" s="216" t="s">
        <v>43</v>
      </c>
      <c r="J101" s="64">
        <v>7.0000000000000007E-2</v>
      </c>
      <c r="K101" s="64">
        <v>236.8</v>
      </c>
      <c r="L101" s="64">
        <v>26.56</v>
      </c>
      <c r="M101" s="64">
        <v>85.92</v>
      </c>
      <c r="N101" s="64">
        <v>29.4</v>
      </c>
      <c r="O101" s="64">
        <v>0</v>
      </c>
      <c r="P101" s="64">
        <v>0.43</v>
      </c>
      <c r="Q101" s="64">
        <v>14.98</v>
      </c>
      <c r="R101" s="198"/>
      <c r="S101" s="198"/>
      <c r="T101" s="198"/>
      <c r="U101" s="198"/>
    </row>
    <row r="102" spans="1:33" s="12" customFormat="1" x14ac:dyDescent="0.25">
      <c r="A102" s="215" t="s">
        <v>2842</v>
      </c>
      <c r="B102" s="64">
        <v>9.2899999999999991</v>
      </c>
      <c r="C102" s="64">
        <v>60.19</v>
      </c>
      <c r="D102" s="64">
        <v>41.31</v>
      </c>
      <c r="E102" s="64">
        <v>2.02</v>
      </c>
      <c r="F102" s="64">
        <v>6.74</v>
      </c>
      <c r="G102" s="64">
        <v>59.56</v>
      </c>
      <c r="H102" s="64">
        <v>24.4</v>
      </c>
      <c r="I102" s="216" t="s">
        <v>43</v>
      </c>
      <c r="J102" s="64">
        <v>0.11</v>
      </c>
      <c r="K102" s="64">
        <v>44.15</v>
      </c>
      <c r="L102" s="64">
        <v>26.47</v>
      </c>
      <c r="M102" s="64">
        <v>88.46</v>
      </c>
      <c r="N102" s="64">
        <v>29.7</v>
      </c>
      <c r="O102" s="64">
        <v>0</v>
      </c>
      <c r="P102" s="64">
        <v>0.72</v>
      </c>
      <c r="Q102" s="64">
        <v>13.8</v>
      </c>
      <c r="R102" s="198"/>
      <c r="S102" s="198"/>
      <c r="T102" s="198"/>
      <c r="U102" s="198"/>
    </row>
    <row r="103" spans="1:33" s="12" customFormat="1" x14ac:dyDescent="0.25">
      <c r="A103" s="215" t="s">
        <v>2843</v>
      </c>
      <c r="B103" s="64">
        <v>10.66</v>
      </c>
      <c r="C103" s="64">
        <v>32.49</v>
      </c>
      <c r="D103" s="64">
        <v>27.13</v>
      </c>
      <c r="E103" s="64">
        <v>2.34</v>
      </c>
      <c r="F103" s="64">
        <v>6.35</v>
      </c>
      <c r="G103" s="64">
        <v>58.06</v>
      </c>
      <c r="H103" s="64">
        <v>22.8</v>
      </c>
      <c r="I103" s="216" t="s">
        <v>43</v>
      </c>
      <c r="J103" s="64">
        <v>0.46</v>
      </c>
      <c r="K103" s="64">
        <v>12.68</v>
      </c>
      <c r="L103" s="64">
        <v>26.19</v>
      </c>
      <c r="M103" s="64">
        <v>91.71</v>
      </c>
      <c r="N103" s="64">
        <v>30</v>
      </c>
      <c r="O103" s="64">
        <v>0</v>
      </c>
      <c r="P103" s="64">
        <v>0.7</v>
      </c>
      <c r="Q103" s="64">
        <v>12.15</v>
      </c>
      <c r="R103" s="198"/>
      <c r="S103" s="198"/>
      <c r="T103" s="198"/>
      <c r="U103" s="198"/>
    </row>
    <row r="104" spans="1:33" s="12" customFormat="1" x14ac:dyDescent="0.25">
      <c r="A104" s="215" t="s">
        <v>2844</v>
      </c>
      <c r="B104" s="64">
        <v>9.24</v>
      </c>
      <c r="C104" s="64">
        <v>25.23</v>
      </c>
      <c r="D104" s="64">
        <v>21.98</v>
      </c>
      <c r="E104" s="64">
        <v>1.46</v>
      </c>
      <c r="F104" s="64">
        <v>7.09</v>
      </c>
      <c r="G104" s="64">
        <v>58.06</v>
      </c>
      <c r="H104" s="64">
        <v>22.8</v>
      </c>
      <c r="I104" s="216" t="s">
        <v>43</v>
      </c>
      <c r="J104" s="64">
        <v>1.34</v>
      </c>
      <c r="K104" s="64">
        <v>8.91</v>
      </c>
      <c r="L104" s="64">
        <v>25.62</v>
      </c>
      <c r="M104" s="64">
        <v>89.56</v>
      </c>
      <c r="N104" s="64">
        <v>31.9</v>
      </c>
      <c r="O104" s="64">
        <v>0.4</v>
      </c>
      <c r="P104" s="64">
        <v>0.66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1.1499999999999999</v>
      </c>
      <c r="C106" s="67">
        <f>MIN(C9:C104)</f>
        <v>16.5</v>
      </c>
      <c r="D106" s="67">
        <f t="shared" ref="D106:Q106" si="0">MIN(D9:D104)</f>
        <v>12.57</v>
      </c>
      <c r="E106" s="67">
        <f t="shared" si="0"/>
        <v>1.46</v>
      </c>
      <c r="F106" s="67">
        <f t="shared" si="0"/>
        <v>3.49</v>
      </c>
      <c r="G106" s="67">
        <f t="shared" si="0"/>
        <v>16.670000000000002</v>
      </c>
      <c r="H106" s="67">
        <f t="shared" si="0"/>
        <v>2.25</v>
      </c>
      <c r="I106" s="67">
        <f t="shared" si="0"/>
        <v>0</v>
      </c>
      <c r="J106" s="67">
        <f t="shared" si="0"/>
        <v>0.02</v>
      </c>
      <c r="K106" s="67">
        <f t="shared" si="0"/>
        <v>0.25</v>
      </c>
      <c r="L106" s="67">
        <f t="shared" si="0"/>
        <v>23.6</v>
      </c>
      <c r="M106" s="67">
        <f t="shared" si="0"/>
        <v>58.72</v>
      </c>
      <c r="N106" s="67">
        <f t="shared" si="0"/>
        <v>29.4</v>
      </c>
      <c r="O106" s="67">
        <f t="shared" si="0"/>
        <v>0</v>
      </c>
      <c r="P106" s="67">
        <f t="shared" si="0"/>
        <v>0.31</v>
      </c>
      <c r="Q106" s="67">
        <f t="shared" si="0"/>
        <v>9.68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42.92</v>
      </c>
      <c r="C107" s="66">
        <f t="shared" ref="C107:Q107" si="1">MAX(C9:C104)</f>
        <v>61.41</v>
      </c>
      <c r="D107" s="66">
        <f t="shared" si="1"/>
        <v>68.459999999999994</v>
      </c>
      <c r="E107" s="66">
        <f t="shared" si="1"/>
        <v>4.53</v>
      </c>
      <c r="F107" s="66">
        <f t="shared" si="1"/>
        <v>29.23</v>
      </c>
      <c r="G107" s="66">
        <f t="shared" si="1"/>
        <v>70.69</v>
      </c>
      <c r="H107" s="66">
        <f t="shared" si="1"/>
        <v>42.98</v>
      </c>
      <c r="I107" s="66">
        <f t="shared" si="1"/>
        <v>0</v>
      </c>
      <c r="J107" s="66">
        <f t="shared" si="1"/>
        <v>1.34</v>
      </c>
      <c r="K107" s="66">
        <f t="shared" si="1"/>
        <v>359.85</v>
      </c>
      <c r="L107" s="66">
        <f t="shared" si="1"/>
        <v>32.42</v>
      </c>
      <c r="M107" s="66">
        <f t="shared" si="1"/>
        <v>97.25</v>
      </c>
      <c r="N107" s="66">
        <f t="shared" si="1"/>
        <v>1004.4</v>
      </c>
      <c r="O107" s="66">
        <f t="shared" si="1"/>
        <v>0.4</v>
      </c>
      <c r="P107" s="66">
        <f t="shared" si="1"/>
        <v>1.95</v>
      </c>
      <c r="Q107" s="66">
        <f t="shared" si="1"/>
        <v>21.53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15.04947916666667</v>
      </c>
      <c r="C108" s="67">
        <f t="shared" ref="C108:Q108" si="2">AVERAGE(C9:C104)</f>
        <v>28.14052083333333</v>
      </c>
      <c r="D108" s="67">
        <f t="shared" si="2"/>
        <v>28.241249999999994</v>
      </c>
      <c r="E108" s="67">
        <f t="shared" si="2"/>
        <v>2.9704166666666665</v>
      </c>
      <c r="F108" s="67">
        <f t="shared" si="2"/>
        <v>10.243750000000002</v>
      </c>
      <c r="G108" s="67">
        <f t="shared" si="2"/>
        <v>44.643229166666664</v>
      </c>
      <c r="H108" s="67">
        <f t="shared" si="2"/>
        <v>17.99989583333333</v>
      </c>
      <c r="I108" s="67" t="e">
        <f t="shared" si="2"/>
        <v>#DIV/0!</v>
      </c>
      <c r="J108" s="67">
        <f t="shared" si="2"/>
        <v>0.5279166666666667</v>
      </c>
      <c r="K108" s="67">
        <f t="shared" si="2"/>
        <v>73.606770833333329</v>
      </c>
      <c r="L108" s="67">
        <f t="shared" si="2"/>
        <v>26.978125000000002</v>
      </c>
      <c r="M108" s="67">
        <f t="shared" si="2"/>
        <v>81.174479166666671</v>
      </c>
      <c r="N108" s="67">
        <f t="shared" si="2"/>
        <v>216.29583333333326</v>
      </c>
      <c r="O108" s="67">
        <f t="shared" si="2"/>
        <v>4.1666666666666666E-3</v>
      </c>
      <c r="P108" s="67">
        <f t="shared" si="2"/>
        <v>0.61333333333333351</v>
      </c>
      <c r="Q108" s="67">
        <f t="shared" si="2"/>
        <v>14.232315789473688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7.5090826925645091</v>
      </c>
      <c r="C109" s="67">
        <f t="shared" ref="C109:Q109" si="3">STDEV(C9:C104)</f>
        <v>10.305869086137976</v>
      </c>
      <c r="D109" s="67">
        <f t="shared" si="3"/>
        <v>8.669695951689258</v>
      </c>
      <c r="E109" s="67">
        <f t="shared" si="3"/>
        <v>0.77137459896591642</v>
      </c>
      <c r="F109" s="67">
        <f t="shared" si="3"/>
        <v>5.5937951056693569</v>
      </c>
      <c r="G109" s="67">
        <f t="shared" si="3"/>
        <v>15.821475112197284</v>
      </c>
      <c r="H109" s="67">
        <f t="shared" si="3"/>
        <v>11.892200318279537</v>
      </c>
      <c r="I109" s="67" t="e">
        <f t="shared" si="3"/>
        <v>#DIV/0!</v>
      </c>
      <c r="J109" s="67">
        <f t="shared" si="3"/>
        <v>0.33453791120751547</v>
      </c>
      <c r="K109" s="67">
        <f t="shared" si="3"/>
        <v>103.74162383937865</v>
      </c>
      <c r="L109" s="67">
        <f t="shared" si="3"/>
        <v>2.3729179516500682</v>
      </c>
      <c r="M109" s="67">
        <f t="shared" si="3"/>
        <v>12.191390738834066</v>
      </c>
      <c r="N109" s="67">
        <f t="shared" si="3"/>
        <v>253.7235167063246</v>
      </c>
      <c r="O109" s="67">
        <f t="shared" si="3"/>
        <v>4.0824829046386304E-2</v>
      </c>
      <c r="P109" s="67">
        <f t="shared" si="3"/>
        <v>0.25756620678418324</v>
      </c>
      <c r="Q109" s="67">
        <f t="shared" si="3"/>
        <v>2.6965626080653093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7" sqref="G13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2845</v>
      </c>
      <c r="B9" s="64">
        <v>9.08</v>
      </c>
      <c r="C9" s="64">
        <v>27.1</v>
      </c>
      <c r="D9" s="64">
        <v>22.89</v>
      </c>
      <c r="E9" s="64">
        <v>2.63</v>
      </c>
      <c r="F9" s="64">
        <v>5.7</v>
      </c>
      <c r="G9" s="64">
        <v>58.06</v>
      </c>
      <c r="H9" s="64">
        <v>22.8</v>
      </c>
      <c r="I9" s="216" t="s">
        <v>43</v>
      </c>
      <c r="J9" s="64">
        <v>0.55000000000000004</v>
      </c>
      <c r="K9" s="64">
        <v>359.41</v>
      </c>
      <c r="L9" s="64">
        <v>23.59</v>
      </c>
      <c r="M9" s="64">
        <v>97.09</v>
      </c>
      <c r="N9" s="64">
        <v>34.299999999999997</v>
      </c>
      <c r="O9" s="64">
        <v>11.4</v>
      </c>
      <c r="P9" s="64">
        <v>0.63</v>
      </c>
      <c r="Q9" s="64">
        <v>8.65</v>
      </c>
      <c r="R9" s="198"/>
      <c r="S9" s="198"/>
      <c r="T9" s="198"/>
      <c r="U9" s="198"/>
    </row>
    <row r="10" spans="1:21" s="12" customFormat="1" x14ac:dyDescent="0.25">
      <c r="A10" s="215" t="s">
        <v>2846</v>
      </c>
      <c r="B10" s="64">
        <v>8.5399999999999991</v>
      </c>
      <c r="C10" s="64">
        <v>27.41</v>
      </c>
      <c r="D10" s="64">
        <v>22.62</v>
      </c>
      <c r="E10" s="64">
        <v>2.61</v>
      </c>
      <c r="F10" s="64">
        <v>3.71</v>
      </c>
      <c r="G10" s="64">
        <v>47.14</v>
      </c>
      <c r="H10" s="64">
        <v>16.71</v>
      </c>
      <c r="I10" s="216" t="s">
        <v>43</v>
      </c>
      <c r="J10" s="64">
        <v>0.37</v>
      </c>
      <c r="K10" s="64">
        <v>16.39</v>
      </c>
      <c r="L10" s="64">
        <v>22.18</v>
      </c>
      <c r="M10" s="64">
        <v>97.25</v>
      </c>
      <c r="N10" s="64">
        <v>32.1</v>
      </c>
      <c r="O10" s="64">
        <v>7.6</v>
      </c>
      <c r="P10" s="64">
        <v>0.6</v>
      </c>
      <c r="Q10" s="64">
        <v>7.68</v>
      </c>
      <c r="R10" s="198"/>
      <c r="S10" s="198"/>
      <c r="T10" s="198"/>
      <c r="U10" s="198"/>
    </row>
    <row r="11" spans="1:21" s="12" customFormat="1" x14ac:dyDescent="0.25">
      <c r="A11" s="215" t="s">
        <v>2847</v>
      </c>
      <c r="B11" s="64">
        <v>7.13</v>
      </c>
      <c r="C11" s="64">
        <v>26.39</v>
      </c>
      <c r="D11" s="64">
        <v>20.93</v>
      </c>
      <c r="E11" s="64">
        <v>2.21</v>
      </c>
      <c r="F11" s="64">
        <v>6.39</v>
      </c>
      <c r="G11" s="64">
        <v>43.6</v>
      </c>
      <c r="H11" s="64">
        <v>14.74</v>
      </c>
      <c r="I11" s="216" t="s">
        <v>43</v>
      </c>
      <c r="J11" s="64">
        <v>0.39</v>
      </c>
      <c r="K11" s="64">
        <v>158.6</v>
      </c>
      <c r="L11" s="64">
        <v>22.03</v>
      </c>
      <c r="M11" s="64">
        <v>97.25</v>
      </c>
      <c r="N11" s="64">
        <v>30.6</v>
      </c>
      <c r="O11" s="64">
        <v>1.4</v>
      </c>
      <c r="P11" s="64">
        <v>0.54</v>
      </c>
      <c r="Q11" s="64">
        <v>6.17</v>
      </c>
      <c r="R11" s="198"/>
      <c r="S11" s="198"/>
      <c r="T11" s="198"/>
      <c r="U11" s="198"/>
    </row>
    <row r="12" spans="1:21" s="12" customFormat="1" x14ac:dyDescent="0.25">
      <c r="A12" s="215" t="s">
        <v>2848</v>
      </c>
      <c r="B12" s="64">
        <v>6.18</v>
      </c>
      <c r="C12" s="64">
        <v>25.23</v>
      </c>
      <c r="D12" s="64">
        <v>19.53</v>
      </c>
      <c r="E12" s="64">
        <v>2.2999999999999998</v>
      </c>
      <c r="F12" s="64">
        <v>8</v>
      </c>
      <c r="G12" s="64">
        <v>43.6</v>
      </c>
      <c r="H12" s="64">
        <v>14.74</v>
      </c>
      <c r="I12" s="216" t="s">
        <v>43</v>
      </c>
      <c r="J12" s="64">
        <v>0.69</v>
      </c>
      <c r="K12" s="64">
        <v>356.18</v>
      </c>
      <c r="L12" s="64">
        <v>22.39</v>
      </c>
      <c r="M12" s="64">
        <v>97.25</v>
      </c>
      <c r="N12" s="64">
        <v>30.6</v>
      </c>
      <c r="O12" s="64">
        <v>1.4</v>
      </c>
      <c r="P12" s="64">
        <v>0.5</v>
      </c>
      <c r="Q12" s="64">
        <v>5.55</v>
      </c>
      <c r="R12" s="198"/>
      <c r="S12" s="198"/>
      <c r="T12" s="198"/>
      <c r="U12" s="198"/>
    </row>
    <row r="13" spans="1:21" s="12" customFormat="1" x14ac:dyDescent="0.25">
      <c r="A13" s="215" t="s">
        <v>2849</v>
      </c>
      <c r="B13" s="64">
        <v>5.45</v>
      </c>
      <c r="C13" s="64">
        <v>21.3</v>
      </c>
      <c r="D13" s="64">
        <v>16.77</v>
      </c>
      <c r="E13" s="64">
        <v>2.2599999999999998</v>
      </c>
      <c r="F13" s="64">
        <v>14.84</v>
      </c>
      <c r="G13" s="64">
        <v>43.6</v>
      </c>
      <c r="H13" s="64">
        <v>14.74</v>
      </c>
      <c r="I13" s="216" t="s">
        <v>43</v>
      </c>
      <c r="J13" s="64">
        <v>0.08</v>
      </c>
      <c r="K13" s="64">
        <v>300.98</v>
      </c>
      <c r="L13" s="64">
        <v>22.51</v>
      </c>
      <c r="M13" s="64">
        <v>97.25</v>
      </c>
      <c r="N13" s="64">
        <v>30.3</v>
      </c>
      <c r="O13" s="64">
        <v>2.2000000000000002</v>
      </c>
      <c r="P13" s="64">
        <v>0.41</v>
      </c>
      <c r="Q13" s="64">
        <v>6.77</v>
      </c>
      <c r="R13" s="198"/>
      <c r="S13" s="198"/>
      <c r="T13" s="198"/>
      <c r="U13" s="198"/>
    </row>
    <row r="14" spans="1:21" s="12" customFormat="1" x14ac:dyDescent="0.25">
      <c r="A14" s="215" t="s">
        <v>2850</v>
      </c>
      <c r="B14" s="64">
        <v>4.4800000000000004</v>
      </c>
      <c r="C14" s="64">
        <v>20.28</v>
      </c>
      <c r="D14" s="64">
        <v>15.43</v>
      </c>
      <c r="E14" s="64">
        <v>2.27</v>
      </c>
      <c r="F14" s="64">
        <v>12.53</v>
      </c>
      <c r="G14" s="64">
        <v>30.66</v>
      </c>
      <c r="H14" s="64">
        <v>11.31</v>
      </c>
      <c r="I14" s="216" t="s">
        <v>43</v>
      </c>
      <c r="J14" s="64">
        <v>0.31</v>
      </c>
      <c r="K14" s="64">
        <v>204.72</v>
      </c>
      <c r="L14" s="64">
        <v>22.64</v>
      </c>
      <c r="M14" s="64">
        <v>97.25</v>
      </c>
      <c r="N14" s="64">
        <v>30.7</v>
      </c>
      <c r="O14" s="64">
        <v>0.8</v>
      </c>
      <c r="P14" s="64">
        <v>0.47</v>
      </c>
      <c r="Q14" s="64">
        <v>7.48</v>
      </c>
      <c r="R14" s="198"/>
      <c r="S14" s="198"/>
      <c r="T14" s="198"/>
      <c r="U14" s="198"/>
    </row>
    <row r="15" spans="1:21" s="12" customFormat="1" x14ac:dyDescent="0.25">
      <c r="A15" s="215" t="s">
        <v>2851</v>
      </c>
      <c r="B15" s="64">
        <v>4.6399999999999997</v>
      </c>
      <c r="C15" s="64">
        <v>23.71</v>
      </c>
      <c r="D15" s="64">
        <v>17.45</v>
      </c>
      <c r="E15" s="64">
        <v>2.3199999999999998</v>
      </c>
      <c r="F15" s="64">
        <v>11.75</v>
      </c>
      <c r="G15" s="64">
        <v>26.48</v>
      </c>
      <c r="H15" s="64">
        <v>10.199999999999999</v>
      </c>
      <c r="I15" s="216" t="s">
        <v>43</v>
      </c>
      <c r="J15" s="64">
        <v>0.77</v>
      </c>
      <c r="K15" s="64">
        <v>165.63</v>
      </c>
      <c r="L15" s="64">
        <v>22.71</v>
      </c>
      <c r="M15" s="64">
        <v>97.25</v>
      </c>
      <c r="N15" s="64">
        <v>30.9</v>
      </c>
      <c r="O15" s="64">
        <v>0.8</v>
      </c>
      <c r="P15" s="64">
        <v>0.47</v>
      </c>
      <c r="Q15" s="64">
        <v>8.66</v>
      </c>
      <c r="R15" s="198"/>
      <c r="S15" s="198"/>
      <c r="T15" s="198"/>
      <c r="U15" s="198"/>
    </row>
    <row r="16" spans="1:21" s="12" customFormat="1" x14ac:dyDescent="0.25">
      <c r="A16" s="215" t="s">
        <v>2852</v>
      </c>
      <c r="B16" s="64">
        <v>4.68</v>
      </c>
      <c r="C16" s="64">
        <v>21.92</v>
      </c>
      <c r="D16" s="64">
        <v>16.5</v>
      </c>
      <c r="E16" s="64">
        <v>2.63</v>
      </c>
      <c r="F16" s="64">
        <v>13.86</v>
      </c>
      <c r="G16" s="64">
        <v>26.48</v>
      </c>
      <c r="H16" s="64">
        <v>10.199999999999999</v>
      </c>
      <c r="I16" s="216" t="s">
        <v>43</v>
      </c>
      <c r="J16" s="64">
        <v>0.06</v>
      </c>
      <c r="K16" s="64">
        <v>220.12</v>
      </c>
      <c r="L16" s="64">
        <v>22.79</v>
      </c>
      <c r="M16" s="64">
        <v>97.25</v>
      </c>
      <c r="N16" s="64">
        <v>30.7</v>
      </c>
      <c r="O16" s="64">
        <v>0.4</v>
      </c>
      <c r="P16" s="64">
        <v>0.45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2853</v>
      </c>
      <c r="B17" s="64">
        <v>5.81</v>
      </c>
      <c r="C17" s="64">
        <v>26.54</v>
      </c>
      <c r="D17" s="64">
        <v>19.95</v>
      </c>
      <c r="E17" s="64">
        <v>2.52</v>
      </c>
      <c r="F17" s="64">
        <v>6.8</v>
      </c>
      <c r="G17" s="64">
        <v>26.48</v>
      </c>
      <c r="H17" s="64">
        <v>10.199999999999999</v>
      </c>
      <c r="I17" s="216" t="s">
        <v>43</v>
      </c>
      <c r="J17" s="64">
        <v>1.06</v>
      </c>
      <c r="K17" s="64">
        <v>358.63</v>
      </c>
      <c r="L17" s="64">
        <v>22.94</v>
      </c>
      <c r="M17" s="64">
        <v>97.25</v>
      </c>
      <c r="N17" s="64">
        <v>30.9</v>
      </c>
      <c r="O17" s="64">
        <v>1.8</v>
      </c>
      <c r="P17" s="64">
        <v>0.52</v>
      </c>
      <c r="Q17" s="64">
        <v>9.83</v>
      </c>
      <c r="R17" s="198"/>
      <c r="S17" s="198"/>
      <c r="T17" s="198"/>
      <c r="U17" s="198"/>
    </row>
    <row r="18" spans="1:21" s="12" customFormat="1" x14ac:dyDescent="0.25">
      <c r="A18" s="215" t="s">
        <v>2854</v>
      </c>
      <c r="B18" s="64">
        <v>7.07</v>
      </c>
      <c r="C18" s="64">
        <v>24.5</v>
      </c>
      <c r="D18" s="64">
        <v>19.84</v>
      </c>
      <c r="E18" s="64">
        <v>2.5</v>
      </c>
      <c r="F18" s="64">
        <v>4.2699999999999996</v>
      </c>
      <c r="G18" s="64">
        <v>25.03</v>
      </c>
      <c r="H18" s="64">
        <v>10.99</v>
      </c>
      <c r="I18" s="216" t="s">
        <v>43</v>
      </c>
      <c r="J18" s="64">
        <v>1.1399999999999999</v>
      </c>
      <c r="K18" s="64">
        <v>350.11</v>
      </c>
      <c r="L18" s="64">
        <v>22.62</v>
      </c>
      <c r="M18" s="64">
        <v>97.25</v>
      </c>
      <c r="N18" s="64">
        <v>31.6</v>
      </c>
      <c r="O18" s="64">
        <v>4</v>
      </c>
      <c r="P18" s="64">
        <v>0.52</v>
      </c>
      <c r="Q18" s="64">
        <v>8.1999999999999993</v>
      </c>
      <c r="R18" s="198"/>
      <c r="S18" s="198"/>
      <c r="T18" s="198"/>
      <c r="U18" s="198"/>
    </row>
    <row r="19" spans="1:21" s="12" customFormat="1" x14ac:dyDescent="0.25">
      <c r="A19" s="215" t="s">
        <v>2855</v>
      </c>
      <c r="B19" s="64">
        <v>7.01</v>
      </c>
      <c r="C19" s="64">
        <v>24.21</v>
      </c>
      <c r="D19" s="64">
        <v>19.63</v>
      </c>
      <c r="E19" s="64">
        <v>2.4700000000000002</v>
      </c>
      <c r="F19" s="64">
        <v>4.3899999999999997</v>
      </c>
      <c r="G19" s="64">
        <v>24.56</v>
      </c>
      <c r="H19" s="64">
        <v>11.14</v>
      </c>
      <c r="I19" s="216" t="s">
        <v>43</v>
      </c>
      <c r="J19" s="64">
        <v>0.78</v>
      </c>
      <c r="K19" s="64">
        <v>340.52</v>
      </c>
      <c r="L19" s="64">
        <v>22.38</v>
      </c>
      <c r="M19" s="64">
        <v>97.25</v>
      </c>
      <c r="N19" s="64">
        <v>30.9</v>
      </c>
      <c r="O19" s="64">
        <v>0.8</v>
      </c>
      <c r="P19" s="64">
        <v>0.49</v>
      </c>
      <c r="Q19" s="64">
        <v>6.94</v>
      </c>
      <c r="R19" s="198"/>
      <c r="S19" s="198"/>
      <c r="T19" s="198"/>
      <c r="U19" s="198"/>
    </row>
    <row r="20" spans="1:21" s="12" customFormat="1" x14ac:dyDescent="0.25">
      <c r="A20" s="215" t="s">
        <v>2856</v>
      </c>
      <c r="B20" s="64">
        <v>6.43</v>
      </c>
      <c r="C20" s="64">
        <v>23.65</v>
      </c>
      <c r="D20" s="64">
        <v>18.850000000000001</v>
      </c>
      <c r="E20" s="64">
        <v>2.52</v>
      </c>
      <c r="F20" s="64">
        <v>6.61</v>
      </c>
      <c r="G20" s="64">
        <v>24.56</v>
      </c>
      <c r="H20" s="64">
        <v>11.14</v>
      </c>
      <c r="I20" s="216" t="s">
        <v>43</v>
      </c>
      <c r="J20" s="64">
        <v>0.67</v>
      </c>
      <c r="K20" s="64">
        <v>347.82</v>
      </c>
      <c r="L20" s="64">
        <v>22.32</v>
      </c>
      <c r="M20" s="64">
        <v>97.25</v>
      </c>
      <c r="N20" s="64">
        <v>30.9</v>
      </c>
      <c r="O20" s="64">
        <v>1</v>
      </c>
      <c r="P20" s="64">
        <v>0.46</v>
      </c>
      <c r="Q20" s="64">
        <v>5.62</v>
      </c>
      <c r="R20" s="198"/>
      <c r="S20" s="198"/>
      <c r="T20" s="198"/>
      <c r="U20" s="198"/>
    </row>
    <row r="21" spans="1:21" s="12" customFormat="1" x14ac:dyDescent="0.25">
      <c r="A21" s="215" t="s">
        <v>2857</v>
      </c>
      <c r="B21" s="64">
        <v>6.27</v>
      </c>
      <c r="C21" s="64">
        <v>24.92</v>
      </c>
      <c r="D21" s="64">
        <v>19.420000000000002</v>
      </c>
      <c r="E21" s="64">
        <v>2.7</v>
      </c>
      <c r="F21" s="64">
        <v>4.67</v>
      </c>
      <c r="G21" s="64">
        <v>24.56</v>
      </c>
      <c r="H21" s="64">
        <v>11.14</v>
      </c>
      <c r="I21" s="216" t="s">
        <v>43</v>
      </c>
      <c r="J21" s="64">
        <v>0.98</v>
      </c>
      <c r="K21" s="64">
        <v>6.72</v>
      </c>
      <c r="L21" s="64">
        <v>22.37</v>
      </c>
      <c r="M21" s="64">
        <v>97.25</v>
      </c>
      <c r="N21" s="64">
        <v>30.6</v>
      </c>
      <c r="O21" s="64">
        <v>0.8</v>
      </c>
      <c r="P21" s="64">
        <v>0.43</v>
      </c>
      <c r="Q21" s="64">
        <v>5.43</v>
      </c>
      <c r="R21" s="198"/>
      <c r="S21" s="198"/>
      <c r="T21" s="198"/>
      <c r="U21" s="198"/>
    </row>
    <row r="22" spans="1:21" s="12" customFormat="1" x14ac:dyDescent="0.25">
      <c r="A22" s="215" t="s">
        <v>2858</v>
      </c>
      <c r="B22" s="64">
        <v>6.06</v>
      </c>
      <c r="C22" s="64">
        <v>24.47</v>
      </c>
      <c r="D22" s="64">
        <v>19.02</v>
      </c>
      <c r="E22" s="64">
        <v>2.36</v>
      </c>
      <c r="F22" s="64">
        <v>4.83</v>
      </c>
      <c r="G22" s="64">
        <v>18.36</v>
      </c>
      <c r="H22" s="64">
        <v>8.4499999999999993</v>
      </c>
      <c r="I22" s="216" t="s">
        <v>43</v>
      </c>
      <c r="J22" s="64">
        <v>0.48</v>
      </c>
      <c r="K22" s="64">
        <v>1.1399999999999999</v>
      </c>
      <c r="L22" s="64">
        <v>22.49</v>
      </c>
      <c r="M22" s="64">
        <v>97.25</v>
      </c>
      <c r="N22" s="64">
        <v>30.4</v>
      </c>
      <c r="O22" s="64">
        <v>0.4</v>
      </c>
      <c r="P22" s="64">
        <v>0.43</v>
      </c>
      <c r="Q22" s="64">
        <v>4.6900000000000004</v>
      </c>
      <c r="R22" s="198"/>
      <c r="S22" s="198"/>
      <c r="T22" s="198"/>
      <c r="U22" s="198"/>
    </row>
    <row r="23" spans="1:21" s="12" customFormat="1" x14ac:dyDescent="0.25">
      <c r="A23" s="215" t="s">
        <v>2859</v>
      </c>
      <c r="B23" s="64">
        <v>5.99</v>
      </c>
      <c r="C23" s="64">
        <v>25.52</v>
      </c>
      <c r="D23" s="64">
        <v>19.54</v>
      </c>
      <c r="E23" s="64">
        <v>2.34</v>
      </c>
      <c r="F23" s="64">
        <v>4.28</v>
      </c>
      <c r="G23" s="64">
        <v>16.36</v>
      </c>
      <c r="H23" s="64">
        <v>8.4499999999999993</v>
      </c>
      <c r="I23" s="216" t="s">
        <v>43</v>
      </c>
      <c r="J23" s="64">
        <v>0.55000000000000004</v>
      </c>
      <c r="K23" s="64">
        <v>345.94</v>
      </c>
      <c r="L23" s="64">
        <v>22.48</v>
      </c>
      <c r="M23" s="64">
        <v>97.25</v>
      </c>
      <c r="N23" s="64">
        <v>31</v>
      </c>
      <c r="O23" s="64">
        <v>0.8</v>
      </c>
      <c r="P23" s="64">
        <v>0.41</v>
      </c>
      <c r="Q23" s="64">
        <v>3.92</v>
      </c>
      <c r="R23" s="198"/>
      <c r="S23" s="198"/>
      <c r="T23" s="198"/>
      <c r="U23" s="198"/>
    </row>
    <row r="24" spans="1:21" s="12" customFormat="1" x14ac:dyDescent="0.25">
      <c r="A24" s="215" t="s">
        <v>2860</v>
      </c>
      <c r="B24" s="64">
        <v>5.66</v>
      </c>
      <c r="C24" s="64">
        <v>25.06</v>
      </c>
      <c r="D24" s="64">
        <v>19.010000000000002</v>
      </c>
      <c r="E24" s="64">
        <v>2.4500000000000002</v>
      </c>
      <c r="F24" s="64">
        <v>7.62</v>
      </c>
      <c r="G24" s="64">
        <v>16.36</v>
      </c>
      <c r="H24" s="64">
        <v>8.4499999999999993</v>
      </c>
      <c r="I24" s="216" t="s">
        <v>43</v>
      </c>
      <c r="J24" s="64">
        <v>0.19</v>
      </c>
      <c r="K24" s="64">
        <v>356.32</v>
      </c>
      <c r="L24" s="64">
        <v>22.43</v>
      </c>
      <c r="M24" s="64">
        <v>97.25</v>
      </c>
      <c r="N24" s="64">
        <v>30.7</v>
      </c>
      <c r="O24" s="64">
        <v>0</v>
      </c>
      <c r="P24" s="64">
        <v>0.38</v>
      </c>
      <c r="Q24" s="64">
        <v>3.91</v>
      </c>
      <c r="R24" s="198"/>
      <c r="S24" s="198"/>
      <c r="T24" s="198"/>
      <c r="U24" s="198"/>
    </row>
    <row r="25" spans="1:21" s="12" customFormat="1" x14ac:dyDescent="0.25">
      <c r="A25" s="215" t="s">
        <v>2861</v>
      </c>
      <c r="B25" s="64">
        <v>6.61</v>
      </c>
      <c r="C25" s="64">
        <v>25.23</v>
      </c>
      <c r="D25" s="64">
        <v>19.87</v>
      </c>
      <c r="E25" s="64">
        <v>2.54</v>
      </c>
      <c r="F25" s="64">
        <v>12.36</v>
      </c>
      <c r="G25" s="64">
        <v>16.36</v>
      </c>
      <c r="H25" s="64">
        <v>8.4499999999999993</v>
      </c>
      <c r="I25" s="216" t="s">
        <v>43</v>
      </c>
      <c r="J25" s="64">
        <v>0.49</v>
      </c>
      <c r="K25" s="64">
        <v>344.02</v>
      </c>
      <c r="L25" s="64">
        <v>22.48</v>
      </c>
      <c r="M25" s="64">
        <v>97.25</v>
      </c>
      <c r="N25" s="64">
        <v>30.9</v>
      </c>
      <c r="O25" s="64">
        <v>0</v>
      </c>
      <c r="P25" s="64">
        <v>0.37</v>
      </c>
      <c r="Q25" s="64">
        <v>5.34</v>
      </c>
      <c r="R25" s="198"/>
      <c r="S25" s="198"/>
      <c r="T25" s="198"/>
      <c r="U25" s="198"/>
    </row>
    <row r="26" spans="1:21" s="12" customFormat="1" x14ac:dyDescent="0.25">
      <c r="A26" s="215" t="s">
        <v>2862</v>
      </c>
      <c r="B26" s="64">
        <v>3.75</v>
      </c>
      <c r="C26" s="64">
        <v>20.420000000000002</v>
      </c>
      <c r="D26" s="64">
        <v>14.92</v>
      </c>
      <c r="E26" s="64">
        <v>2.5</v>
      </c>
      <c r="F26" s="64">
        <v>14.05</v>
      </c>
      <c r="G26" s="64">
        <v>13</v>
      </c>
      <c r="H26" s="64">
        <v>9.41</v>
      </c>
      <c r="I26" s="216" t="s">
        <v>43</v>
      </c>
      <c r="J26" s="64">
        <v>0.04</v>
      </c>
      <c r="K26" s="64">
        <v>359.31</v>
      </c>
      <c r="L26" s="64">
        <v>22.37</v>
      </c>
      <c r="M26" s="64">
        <v>97.25</v>
      </c>
      <c r="N26" s="64">
        <v>30.6</v>
      </c>
      <c r="O26" s="64">
        <v>0</v>
      </c>
      <c r="P26" s="64">
        <v>0.3</v>
      </c>
      <c r="Q26" s="64">
        <v>6.28</v>
      </c>
      <c r="R26" s="198"/>
      <c r="S26" s="198"/>
      <c r="T26" s="198"/>
      <c r="U26" s="198"/>
    </row>
    <row r="27" spans="1:21" s="12" customFormat="1" x14ac:dyDescent="0.25">
      <c r="A27" s="215" t="s">
        <v>2863</v>
      </c>
      <c r="B27" s="64">
        <v>3.79</v>
      </c>
      <c r="C27" s="64">
        <v>18.95</v>
      </c>
      <c r="D27" s="64">
        <v>14.14</v>
      </c>
      <c r="E27" s="64">
        <v>2.2599999999999998</v>
      </c>
      <c r="F27" s="64">
        <v>12.73</v>
      </c>
      <c r="G27" s="64">
        <v>11.91</v>
      </c>
      <c r="H27" s="64">
        <v>9.41</v>
      </c>
      <c r="I27" s="216" t="s">
        <v>43</v>
      </c>
      <c r="J27" s="64">
        <v>0.11</v>
      </c>
      <c r="K27" s="64">
        <v>12.64</v>
      </c>
      <c r="L27" s="64">
        <v>22.42</v>
      </c>
      <c r="M27" s="64">
        <v>97.25</v>
      </c>
      <c r="N27" s="64">
        <v>30.8</v>
      </c>
      <c r="O27" s="64">
        <v>0.4</v>
      </c>
      <c r="P27" s="64">
        <v>0.31</v>
      </c>
      <c r="Q27" s="64">
        <v>6.93</v>
      </c>
      <c r="R27" s="198"/>
      <c r="S27" s="198"/>
      <c r="T27" s="198"/>
      <c r="U27" s="198"/>
    </row>
    <row r="28" spans="1:21" s="12" customFormat="1" x14ac:dyDescent="0.25">
      <c r="A28" s="215" t="s">
        <v>2864</v>
      </c>
      <c r="B28" s="64">
        <v>5.88</v>
      </c>
      <c r="C28" s="64">
        <v>21.78</v>
      </c>
      <c r="D28" s="64">
        <v>17.38</v>
      </c>
      <c r="E28" s="64">
        <v>2.94</v>
      </c>
      <c r="F28" s="64">
        <v>11.45</v>
      </c>
      <c r="G28" s="64">
        <v>11.91</v>
      </c>
      <c r="H28" s="64">
        <v>9.41</v>
      </c>
      <c r="I28" s="216" t="s">
        <v>43</v>
      </c>
      <c r="J28" s="64">
        <v>0.18</v>
      </c>
      <c r="K28" s="64">
        <v>357.97</v>
      </c>
      <c r="L28" s="64">
        <v>22.46</v>
      </c>
      <c r="M28" s="64">
        <v>97.25</v>
      </c>
      <c r="N28" s="64">
        <v>30.6</v>
      </c>
      <c r="O28" s="64">
        <v>0</v>
      </c>
      <c r="P28" s="64">
        <v>0.32</v>
      </c>
      <c r="Q28" s="64">
        <v>7.72</v>
      </c>
      <c r="R28" s="198"/>
      <c r="S28" s="198"/>
      <c r="T28" s="198"/>
      <c r="U28" s="198"/>
    </row>
    <row r="29" spans="1:21" s="12" customFormat="1" x14ac:dyDescent="0.25">
      <c r="A29" s="215" t="s">
        <v>2865</v>
      </c>
      <c r="B29" s="64">
        <v>6.57</v>
      </c>
      <c r="C29" s="64">
        <v>20.96</v>
      </c>
      <c r="D29" s="64">
        <v>17.48</v>
      </c>
      <c r="E29" s="64">
        <v>2.64</v>
      </c>
      <c r="F29" s="64">
        <v>7.36</v>
      </c>
      <c r="G29" s="64">
        <v>11.91</v>
      </c>
      <c r="H29" s="64">
        <v>9.41</v>
      </c>
      <c r="I29" s="216" t="s">
        <v>43</v>
      </c>
      <c r="J29" s="64">
        <v>0.17</v>
      </c>
      <c r="K29" s="64">
        <v>343.62</v>
      </c>
      <c r="L29" s="64">
        <v>22.51</v>
      </c>
      <c r="M29" s="64">
        <v>97.25</v>
      </c>
      <c r="N29" s="64">
        <v>30.7</v>
      </c>
      <c r="O29" s="64">
        <v>0</v>
      </c>
      <c r="P29" s="64">
        <v>0.39</v>
      </c>
      <c r="Q29" s="64">
        <v>7.14</v>
      </c>
      <c r="R29" s="198"/>
      <c r="S29" s="198"/>
      <c r="T29" s="198"/>
      <c r="U29" s="198"/>
    </row>
    <row r="30" spans="1:21" s="12" customFormat="1" x14ac:dyDescent="0.25">
      <c r="A30" s="215" t="s">
        <v>2866</v>
      </c>
      <c r="B30" s="64">
        <v>6.8</v>
      </c>
      <c r="C30" s="64">
        <v>22.67</v>
      </c>
      <c r="D30" s="64">
        <v>18.62</v>
      </c>
      <c r="E30" s="64">
        <v>2.85</v>
      </c>
      <c r="F30" s="64">
        <v>8.2100000000000009</v>
      </c>
      <c r="G30" s="64">
        <v>10.38</v>
      </c>
      <c r="H30" s="64">
        <v>9.36</v>
      </c>
      <c r="I30" s="216" t="s">
        <v>43</v>
      </c>
      <c r="J30" s="64">
        <v>7.0000000000000007E-2</v>
      </c>
      <c r="K30" s="64">
        <v>262.68</v>
      </c>
      <c r="L30" s="64">
        <v>22.39</v>
      </c>
      <c r="M30" s="64">
        <v>97.25</v>
      </c>
      <c r="N30" s="64">
        <v>31.7</v>
      </c>
      <c r="O30" s="64">
        <v>0</v>
      </c>
      <c r="P30" s="64">
        <v>0.34</v>
      </c>
      <c r="Q30" s="64">
        <v>6.28</v>
      </c>
      <c r="R30" s="198"/>
      <c r="S30" s="198"/>
      <c r="T30" s="198"/>
      <c r="U30" s="198"/>
    </row>
    <row r="31" spans="1:21" s="12" customFormat="1" x14ac:dyDescent="0.25">
      <c r="A31" s="215" t="s">
        <v>2867</v>
      </c>
      <c r="B31" s="64">
        <v>8.83</v>
      </c>
      <c r="C31" s="64">
        <v>22.5</v>
      </c>
      <c r="D31" s="64">
        <v>20.14</v>
      </c>
      <c r="E31" s="64">
        <v>2.5499999999999998</v>
      </c>
      <c r="F31" s="64">
        <v>4.78</v>
      </c>
      <c r="G31" s="64">
        <v>9.8800000000000008</v>
      </c>
      <c r="H31" s="64">
        <v>9.36</v>
      </c>
      <c r="I31" s="216" t="s">
        <v>43</v>
      </c>
      <c r="J31" s="64">
        <v>0.21</v>
      </c>
      <c r="K31" s="64">
        <v>357.29</v>
      </c>
      <c r="L31" s="64">
        <v>22.48</v>
      </c>
      <c r="M31" s="64">
        <v>97.25</v>
      </c>
      <c r="N31" s="64">
        <v>34.6</v>
      </c>
      <c r="O31" s="64">
        <v>0</v>
      </c>
      <c r="P31" s="64">
        <v>0.38</v>
      </c>
      <c r="Q31" s="64">
        <v>5.48</v>
      </c>
      <c r="R31" s="198"/>
      <c r="S31" s="198"/>
      <c r="T31" s="198"/>
      <c r="U31" s="198"/>
    </row>
    <row r="32" spans="1:21" s="12" customFormat="1" x14ac:dyDescent="0.25">
      <c r="A32" s="215" t="s">
        <v>2868</v>
      </c>
      <c r="B32" s="64">
        <v>9.8000000000000007</v>
      </c>
      <c r="C32" s="64">
        <v>23.29</v>
      </c>
      <c r="D32" s="64">
        <v>21.36</v>
      </c>
      <c r="E32" s="64">
        <v>2.91</v>
      </c>
      <c r="F32" s="64">
        <v>4.6500000000000004</v>
      </c>
      <c r="G32" s="64">
        <v>9.8800000000000008</v>
      </c>
      <c r="H32" s="64">
        <v>9.36</v>
      </c>
      <c r="I32" s="216" t="s">
        <v>43</v>
      </c>
      <c r="J32" s="64">
        <v>0.95</v>
      </c>
      <c r="K32" s="64">
        <v>4.7699999999999996</v>
      </c>
      <c r="L32" s="64">
        <v>22.61</v>
      </c>
      <c r="M32" s="64">
        <v>97.25</v>
      </c>
      <c r="N32" s="64">
        <v>47.5</v>
      </c>
      <c r="O32" s="64">
        <v>0</v>
      </c>
      <c r="P32" s="64">
        <v>0.36</v>
      </c>
      <c r="Q32" s="64">
        <v>5.56</v>
      </c>
      <c r="R32" s="198"/>
      <c r="S32" s="198"/>
      <c r="T32" s="198"/>
      <c r="U32" s="198"/>
    </row>
    <row r="33" spans="1:21" s="12" customFormat="1" x14ac:dyDescent="0.25">
      <c r="A33" s="215" t="s">
        <v>2869</v>
      </c>
      <c r="B33" s="64">
        <v>9.1300000000000008</v>
      </c>
      <c r="C33" s="64">
        <v>24.23</v>
      </c>
      <c r="D33" s="64">
        <v>21.34</v>
      </c>
      <c r="E33" s="64">
        <v>2.98</v>
      </c>
      <c r="F33" s="64">
        <v>4.1900000000000004</v>
      </c>
      <c r="G33" s="64">
        <v>9.8800000000000008</v>
      </c>
      <c r="H33" s="64">
        <v>9.36</v>
      </c>
      <c r="I33" s="216" t="s">
        <v>43</v>
      </c>
      <c r="J33" s="64">
        <v>1.21</v>
      </c>
      <c r="K33" s="64">
        <v>6.74</v>
      </c>
      <c r="L33" s="64">
        <v>22.56</v>
      </c>
      <c r="M33" s="64">
        <v>97.25</v>
      </c>
      <c r="N33" s="64">
        <v>65</v>
      </c>
      <c r="O33" s="64">
        <v>0</v>
      </c>
      <c r="P33" s="64">
        <v>0.37</v>
      </c>
      <c r="Q33" s="64">
        <v>5.37</v>
      </c>
      <c r="R33" s="198"/>
      <c r="S33" s="198"/>
      <c r="T33" s="198"/>
      <c r="U33" s="198"/>
    </row>
    <row r="34" spans="1:21" s="12" customFormat="1" x14ac:dyDescent="0.25">
      <c r="A34" s="215" t="s">
        <v>2870</v>
      </c>
      <c r="B34" s="64">
        <v>9.02</v>
      </c>
      <c r="C34" s="64">
        <v>24.2</v>
      </c>
      <c r="D34" s="64">
        <v>21.24</v>
      </c>
      <c r="E34" s="64">
        <v>3.25</v>
      </c>
      <c r="F34" s="64">
        <v>5.71</v>
      </c>
      <c r="G34" s="64">
        <v>7.72</v>
      </c>
      <c r="H34" s="64">
        <v>7.97</v>
      </c>
      <c r="I34" s="216" t="s">
        <v>43</v>
      </c>
      <c r="J34" s="64">
        <v>0.01</v>
      </c>
      <c r="K34" s="64">
        <v>41.62</v>
      </c>
      <c r="L34" s="64">
        <v>22.64</v>
      </c>
      <c r="M34" s="64">
        <v>97.26</v>
      </c>
      <c r="N34" s="64">
        <v>88.3</v>
      </c>
      <c r="O34" s="64">
        <v>0</v>
      </c>
      <c r="P34" s="64">
        <v>0.35</v>
      </c>
      <c r="Q34" s="64">
        <v>4.6900000000000004</v>
      </c>
      <c r="R34" s="198"/>
      <c r="S34" s="198"/>
      <c r="T34" s="198"/>
      <c r="U34" s="198"/>
    </row>
    <row r="35" spans="1:21" s="12" customFormat="1" x14ac:dyDescent="0.25">
      <c r="A35" s="215" t="s">
        <v>2871</v>
      </c>
      <c r="B35" s="64">
        <v>9.33</v>
      </c>
      <c r="C35" s="64">
        <v>25.08</v>
      </c>
      <c r="D35" s="64">
        <v>21.97</v>
      </c>
      <c r="E35" s="64">
        <v>2.77</v>
      </c>
      <c r="F35" s="64">
        <v>4.3099999999999996</v>
      </c>
      <c r="G35" s="64">
        <v>7.02</v>
      </c>
      <c r="H35" s="64">
        <v>7.67</v>
      </c>
      <c r="I35" s="216" t="s">
        <v>43</v>
      </c>
      <c r="J35" s="64">
        <v>0.71</v>
      </c>
      <c r="K35" s="64">
        <v>174.66</v>
      </c>
      <c r="L35" s="64">
        <v>22.73</v>
      </c>
      <c r="M35" s="64">
        <v>97.28</v>
      </c>
      <c r="N35" s="64">
        <v>59.9</v>
      </c>
      <c r="O35" s="64">
        <v>0</v>
      </c>
      <c r="P35" s="64">
        <v>0.36</v>
      </c>
      <c r="Q35" s="64">
        <v>5.01</v>
      </c>
      <c r="R35" s="198"/>
      <c r="S35" s="198"/>
      <c r="T35" s="198"/>
      <c r="U35" s="198"/>
    </row>
    <row r="36" spans="1:21" s="12" customFormat="1" x14ac:dyDescent="0.25">
      <c r="A36" s="215" t="s">
        <v>2872</v>
      </c>
      <c r="B36" s="64">
        <v>7.52</v>
      </c>
      <c r="C36" s="64">
        <v>21.55</v>
      </c>
      <c r="D36" s="64">
        <v>18.57</v>
      </c>
      <c r="E36" s="64">
        <v>2.59</v>
      </c>
      <c r="F36" s="64">
        <v>11.44</v>
      </c>
      <c r="G36" s="64">
        <v>7.02</v>
      </c>
      <c r="H36" s="64">
        <v>7.67</v>
      </c>
      <c r="I36" s="216" t="s">
        <v>43</v>
      </c>
      <c r="J36" s="64">
        <v>0.18</v>
      </c>
      <c r="K36" s="64">
        <v>158.84</v>
      </c>
      <c r="L36" s="64">
        <v>22.82</v>
      </c>
      <c r="M36" s="64">
        <v>97.28</v>
      </c>
      <c r="N36" s="64">
        <v>163.6</v>
      </c>
      <c r="O36" s="64">
        <v>0</v>
      </c>
      <c r="P36" s="64">
        <v>0.3</v>
      </c>
      <c r="Q36" s="64">
        <v>5.94</v>
      </c>
      <c r="R36" s="198"/>
      <c r="S36" s="198"/>
      <c r="T36" s="198"/>
      <c r="U36" s="198"/>
    </row>
    <row r="37" spans="1:21" s="12" customFormat="1" x14ac:dyDescent="0.25">
      <c r="A37" s="215" t="s">
        <v>2873</v>
      </c>
      <c r="B37" s="64">
        <v>17</v>
      </c>
      <c r="C37" s="64">
        <v>24.18</v>
      </c>
      <c r="D37" s="64">
        <v>27.62</v>
      </c>
      <c r="E37" s="64">
        <v>2.5299999999999998</v>
      </c>
      <c r="F37" s="64">
        <v>10.46</v>
      </c>
      <c r="G37" s="64">
        <v>7.02</v>
      </c>
      <c r="H37" s="64">
        <v>7.67</v>
      </c>
      <c r="I37" s="216" t="s">
        <v>43</v>
      </c>
      <c r="J37" s="64">
        <v>0.16</v>
      </c>
      <c r="K37" s="64">
        <v>14.42</v>
      </c>
      <c r="L37" s="64">
        <v>24.1</v>
      </c>
      <c r="M37" s="64">
        <v>97.28</v>
      </c>
      <c r="N37" s="64">
        <v>302.5</v>
      </c>
      <c r="O37" s="64">
        <v>0</v>
      </c>
      <c r="P37" s="64">
        <v>0.51</v>
      </c>
      <c r="Q37" s="64">
        <v>7.9</v>
      </c>
      <c r="R37" s="198"/>
      <c r="S37" s="198"/>
      <c r="T37" s="198"/>
      <c r="U37" s="198"/>
    </row>
    <row r="38" spans="1:21" s="12" customFormat="1" x14ac:dyDescent="0.25">
      <c r="A38" s="215" t="s">
        <v>2874</v>
      </c>
      <c r="B38" s="64">
        <v>11.8</v>
      </c>
      <c r="C38" s="64">
        <v>24.6</v>
      </c>
      <c r="D38" s="64">
        <v>23.69</v>
      </c>
      <c r="E38" s="64">
        <v>2.56</v>
      </c>
      <c r="F38" s="64">
        <v>10.26</v>
      </c>
      <c r="G38" s="64">
        <v>9.34</v>
      </c>
      <c r="H38" s="64">
        <v>8.0299999999999994</v>
      </c>
      <c r="I38" s="216" t="s">
        <v>43</v>
      </c>
      <c r="J38" s="64">
        <v>0.57999999999999996</v>
      </c>
      <c r="K38" s="64">
        <v>353.4</v>
      </c>
      <c r="L38" s="64">
        <v>25.81</v>
      </c>
      <c r="M38" s="64">
        <v>97.19</v>
      </c>
      <c r="N38" s="64">
        <v>353.5</v>
      </c>
      <c r="O38" s="64">
        <v>0</v>
      </c>
      <c r="P38" s="64">
        <v>0.42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5" t="s">
        <v>2875</v>
      </c>
      <c r="B39" s="64">
        <v>13.81</v>
      </c>
      <c r="C39" s="64">
        <v>24.81</v>
      </c>
      <c r="D39" s="64">
        <v>25.42</v>
      </c>
      <c r="E39" s="64">
        <v>2.34</v>
      </c>
      <c r="F39" s="64">
        <v>10.77</v>
      </c>
      <c r="G39" s="64">
        <v>10.09</v>
      </c>
      <c r="H39" s="64">
        <v>8.1300000000000008</v>
      </c>
      <c r="I39" s="216" t="s">
        <v>43</v>
      </c>
      <c r="J39" s="64">
        <v>0.22</v>
      </c>
      <c r="K39" s="64">
        <v>10.27</v>
      </c>
      <c r="L39" s="64">
        <v>26.94</v>
      </c>
      <c r="M39" s="64">
        <v>89.67</v>
      </c>
      <c r="N39" s="64">
        <v>281.7</v>
      </c>
      <c r="O39" s="64">
        <v>0</v>
      </c>
      <c r="P39" s="64">
        <v>0.48</v>
      </c>
      <c r="Q39" s="64">
        <v>10.46</v>
      </c>
      <c r="R39" s="198"/>
      <c r="S39" s="198"/>
      <c r="T39" s="198"/>
      <c r="U39" s="198"/>
    </row>
    <row r="40" spans="1:21" s="12" customFormat="1" x14ac:dyDescent="0.25">
      <c r="A40" s="215" t="s">
        <v>2876</v>
      </c>
      <c r="B40" s="64">
        <v>12.39</v>
      </c>
      <c r="C40" s="64">
        <v>26.58</v>
      </c>
      <c r="D40" s="64">
        <v>25.25</v>
      </c>
      <c r="E40" s="64">
        <v>1.62</v>
      </c>
      <c r="F40" s="64">
        <v>7.63</v>
      </c>
      <c r="G40" s="64">
        <v>10.09</v>
      </c>
      <c r="H40" s="64">
        <v>8.1300000000000008</v>
      </c>
      <c r="I40" s="216" t="s">
        <v>43</v>
      </c>
      <c r="J40" s="64">
        <v>0.27</v>
      </c>
      <c r="K40" s="64">
        <v>42.2</v>
      </c>
      <c r="L40" s="64">
        <v>25.7</v>
      </c>
      <c r="M40" s="64">
        <v>92.67</v>
      </c>
      <c r="N40" s="64">
        <v>289.7</v>
      </c>
      <c r="O40" s="64">
        <v>0</v>
      </c>
      <c r="P40" s="64">
        <v>0.44</v>
      </c>
      <c r="Q40" s="64">
        <v>10.74</v>
      </c>
      <c r="R40" s="198"/>
      <c r="S40" s="198"/>
      <c r="T40" s="198"/>
      <c r="U40" s="198"/>
    </row>
    <row r="41" spans="1:21" s="12" customFormat="1" x14ac:dyDescent="0.25">
      <c r="A41" s="215" t="s">
        <v>2877</v>
      </c>
      <c r="B41" s="64">
        <v>12.14</v>
      </c>
      <c r="C41" s="64">
        <v>24.85</v>
      </c>
      <c r="D41" s="64">
        <v>24.09</v>
      </c>
      <c r="E41" s="64">
        <v>2.09</v>
      </c>
      <c r="F41" s="64">
        <v>4.66</v>
      </c>
      <c r="G41" s="64">
        <v>10.09</v>
      </c>
      <c r="H41" s="64">
        <v>8.1300000000000008</v>
      </c>
      <c r="I41" s="216" t="s">
        <v>43</v>
      </c>
      <c r="J41" s="64">
        <v>0.21</v>
      </c>
      <c r="K41" s="64">
        <v>12.65</v>
      </c>
      <c r="L41" s="64">
        <v>25.3</v>
      </c>
      <c r="M41" s="64">
        <v>93.99</v>
      </c>
      <c r="N41" s="64">
        <v>233.4</v>
      </c>
      <c r="O41" s="64">
        <v>0</v>
      </c>
      <c r="P41" s="64">
        <v>0.43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2878</v>
      </c>
      <c r="B42" s="64">
        <v>12.28</v>
      </c>
      <c r="C42" s="64">
        <v>24.88</v>
      </c>
      <c r="D42" s="64">
        <v>24.23</v>
      </c>
      <c r="E42" s="64">
        <v>1.98</v>
      </c>
      <c r="F42" s="64">
        <v>4.46</v>
      </c>
      <c r="G42" s="64">
        <v>11.78</v>
      </c>
      <c r="H42" s="64">
        <v>7.44</v>
      </c>
      <c r="I42" s="216" t="s">
        <v>43</v>
      </c>
      <c r="J42" s="64">
        <v>0.28000000000000003</v>
      </c>
      <c r="K42" s="64">
        <v>14.68</v>
      </c>
      <c r="L42" s="64">
        <v>25.59</v>
      </c>
      <c r="M42" s="64">
        <v>92.65</v>
      </c>
      <c r="N42" s="64">
        <v>247.6</v>
      </c>
      <c r="O42" s="64">
        <v>0</v>
      </c>
      <c r="P42" s="64">
        <v>0.42</v>
      </c>
      <c r="Q42" s="64">
        <v>8.2200000000000006</v>
      </c>
      <c r="R42" s="198"/>
      <c r="S42" s="198"/>
      <c r="T42" s="198"/>
      <c r="U42" s="198"/>
    </row>
    <row r="43" spans="1:21" s="12" customFormat="1" x14ac:dyDescent="0.25">
      <c r="A43" s="215" t="s">
        <v>2879</v>
      </c>
      <c r="B43" s="64">
        <v>11.99</v>
      </c>
      <c r="C43" s="64">
        <v>24.57</v>
      </c>
      <c r="D43" s="64">
        <v>23.82</v>
      </c>
      <c r="E43" s="64">
        <v>1.98</v>
      </c>
      <c r="F43" s="64">
        <v>4.8899999999999997</v>
      </c>
      <c r="G43" s="64">
        <v>12.33</v>
      </c>
      <c r="H43" s="64">
        <v>7.22</v>
      </c>
      <c r="I43" s="216" t="s">
        <v>43</v>
      </c>
      <c r="J43" s="64">
        <v>0.28999999999999998</v>
      </c>
      <c r="K43" s="64">
        <v>1.96</v>
      </c>
      <c r="L43" s="64">
        <v>25.9</v>
      </c>
      <c r="M43" s="64">
        <v>90.91</v>
      </c>
      <c r="N43" s="64">
        <v>262.89999999999998</v>
      </c>
      <c r="O43" s="64">
        <v>0</v>
      </c>
      <c r="P43" s="64">
        <v>0.44</v>
      </c>
      <c r="Q43" s="64">
        <v>6.63</v>
      </c>
      <c r="R43" s="198"/>
      <c r="S43" s="198"/>
      <c r="T43" s="198"/>
      <c r="U43" s="198"/>
    </row>
    <row r="44" spans="1:21" s="12" customFormat="1" x14ac:dyDescent="0.25">
      <c r="A44" s="215" t="s">
        <v>2880</v>
      </c>
      <c r="B44" s="64">
        <v>11.69</v>
      </c>
      <c r="C44" s="64">
        <v>26.76</v>
      </c>
      <c r="D44" s="64">
        <v>24.79</v>
      </c>
      <c r="E44" s="64">
        <v>1.75</v>
      </c>
      <c r="F44" s="64">
        <v>4.24</v>
      </c>
      <c r="G44" s="64">
        <v>12.33</v>
      </c>
      <c r="H44" s="64">
        <v>7.22</v>
      </c>
      <c r="I44" s="216" t="s">
        <v>43</v>
      </c>
      <c r="J44" s="64">
        <v>0.19</v>
      </c>
      <c r="K44" s="64">
        <v>27.55</v>
      </c>
      <c r="L44" s="64">
        <v>25.6</v>
      </c>
      <c r="M44" s="64">
        <v>92.36</v>
      </c>
      <c r="N44" s="64">
        <v>277.8</v>
      </c>
      <c r="O44" s="64">
        <v>0</v>
      </c>
      <c r="P44" s="64">
        <v>0.59</v>
      </c>
      <c r="Q44" s="64">
        <v>6.61</v>
      </c>
      <c r="R44" s="198"/>
      <c r="S44" s="198"/>
      <c r="T44" s="198"/>
      <c r="U44" s="198"/>
    </row>
    <row r="45" spans="1:21" s="12" customFormat="1" x14ac:dyDescent="0.25">
      <c r="A45" s="215" t="s">
        <v>2881</v>
      </c>
      <c r="B45" s="64">
        <v>12.59</v>
      </c>
      <c r="C45" s="64">
        <v>27.51</v>
      </c>
      <c r="D45" s="64">
        <v>25.92</v>
      </c>
      <c r="E45" s="64">
        <v>2.1</v>
      </c>
      <c r="F45" s="64">
        <v>5.04</v>
      </c>
      <c r="G45" s="64">
        <v>12.33</v>
      </c>
      <c r="H45" s="64">
        <v>7.22</v>
      </c>
      <c r="I45" s="216" t="s">
        <v>43</v>
      </c>
      <c r="J45" s="64">
        <v>0.19</v>
      </c>
      <c r="K45" s="64">
        <v>18.66</v>
      </c>
      <c r="L45" s="64">
        <v>26.17</v>
      </c>
      <c r="M45" s="64">
        <v>90.85</v>
      </c>
      <c r="N45" s="64">
        <v>342.6</v>
      </c>
      <c r="O45" s="64">
        <v>0</v>
      </c>
      <c r="P45" s="64">
        <v>0.63</v>
      </c>
      <c r="Q45" s="64">
        <v>5.61</v>
      </c>
      <c r="R45" s="198"/>
      <c r="S45" s="198"/>
      <c r="T45" s="198"/>
      <c r="U45" s="198"/>
    </row>
    <row r="46" spans="1:21" s="12" customFormat="1" x14ac:dyDescent="0.25">
      <c r="A46" s="215" t="s">
        <v>2882</v>
      </c>
      <c r="B46" s="64">
        <v>13.03</v>
      </c>
      <c r="C46" s="64">
        <v>29.37</v>
      </c>
      <c r="D46" s="64">
        <v>27.3</v>
      </c>
      <c r="E46" s="64">
        <v>1.97</v>
      </c>
      <c r="F46" s="64">
        <v>3.48</v>
      </c>
      <c r="G46" s="64">
        <v>21.91</v>
      </c>
      <c r="H46" s="64">
        <v>14.9</v>
      </c>
      <c r="I46" s="216" t="s">
        <v>43</v>
      </c>
      <c r="J46" s="64">
        <v>0.27</v>
      </c>
      <c r="K46" s="64">
        <v>26.04</v>
      </c>
      <c r="L46" s="64">
        <v>26.14</v>
      </c>
      <c r="M46" s="64">
        <v>90.39</v>
      </c>
      <c r="N46" s="64">
        <v>269.3</v>
      </c>
      <c r="O46" s="64">
        <v>0</v>
      </c>
      <c r="P46" s="64">
        <v>0.63</v>
      </c>
      <c r="Q46" s="64">
        <v>5.57</v>
      </c>
      <c r="R46" s="198"/>
      <c r="S46" s="198"/>
      <c r="T46" s="198"/>
      <c r="U46" s="198"/>
    </row>
    <row r="47" spans="1:21" s="12" customFormat="1" x14ac:dyDescent="0.25">
      <c r="A47" s="215" t="s">
        <v>2883</v>
      </c>
      <c r="B47" s="64">
        <v>12.74</v>
      </c>
      <c r="C47" s="64">
        <v>28.32</v>
      </c>
      <c r="D47" s="64">
        <v>26.49</v>
      </c>
      <c r="E47" s="64">
        <v>1.78</v>
      </c>
      <c r="F47" s="64">
        <v>3.45</v>
      </c>
      <c r="G47" s="64">
        <v>25.01</v>
      </c>
      <c r="H47" s="64">
        <v>17.39</v>
      </c>
      <c r="I47" s="216" t="s">
        <v>43</v>
      </c>
      <c r="J47" s="64">
        <v>0.33</v>
      </c>
      <c r="K47" s="64">
        <v>0.3</v>
      </c>
      <c r="L47" s="64">
        <v>25.94</v>
      </c>
      <c r="M47" s="64">
        <v>91.07</v>
      </c>
      <c r="N47" s="64">
        <v>269.8</v>
      </c>
      <c r="O47" s="64">
        <v>0</v>
      </c>
      <c r="P47" s="64">
        <v>0.67</v>
      </c>
      <c r="Q47" s="64">
        <v>4.84</v>
      </c>
      <c r="R47" s="198"/>
      <c r="S47" s="198"/>
      <c r="T47" s="198"/>
      <c r="U47" s="198"/>
    </row>
    <row r="48" spans="1:21" s="12" customFormat="1" x14ac:dyDescent="0.25">
      <c r="A48" s="215" t="s">
        <v>2884</v>
      </c>
      <c r="B48" s="64">
        <v>13.36</v>
      </c>
      <c r="C48" s="64">
        <v>30.15</v>
      </c>
      <c r="D48" s="64">
        <v>28</v>
      </c>
      <c r="E48" s="64">
        <v>1.99</v>
      </c>
      <c r="F48" s="64">
        <v>7.65</v>
      </c>
      <c r="G48" s="64">
        <v>25.01</v>
      </c>
      <c r="H48" s="64">
        <v>17.39</v>
      </c>
      <c r="I48" s="216" t="s">
        <v>43</v>
      </c>
      <c r="J48" s="64">
        <v>0.54</v>
      </c>
      <c r="K48" s="64">
        <v>338.11</v>
      </c>
      <c r="L48" s="64">
        <v>27.12</v>
      </c>
      <c r="M48" s="64">
        <v>85.61</v>
      </c>
      <c r="N48" s="64">
        <v>356.5</v>
      </c>
      <c r="O48" s="64">
        <v>0</v>
      </c>
      <c r="P48" s="64">
        <v>0.66</v>
      </c>
      <c r="Q48" s="64">
        <v>5.65</v>
      </c>
      <c r="R48" s="198"/>
      <c r="S48" s="198"/>
      <c r="T48" s="198"/>
      <c r="U48" s="198"/>
    </row>
    <row r="49" spans="1:21" s="12" customFormat="1" x14ac:dyDescent="0.25">
      <c r="A49" s="215" t="s">
        <v>2885</v>
      </c>
      <c r="B49" s="64">
        <v>12.85</v>
      </c>
      <c r="C49" s="64">
        <v>30.52</v>
      </c>
      <c r="D49" s="64">
        <v>27.8</v>
      </c>
      <c r="E49" s="64">
        <v>2.0299999999999998</v>
      </c>
      <c r="F49" s="64">
        <v>10.33</v>
      </c>
      <c r="G49" s="64">
        <v>25.01</v>
      </c>
      <c r="H49" s="64">
        <v>17.39</v>
      </c>
      <c r="I49" s="216" t="s">
        <v>43</v>
      </c>
      <c r="J49" s="64">
        <v>0.26</v>
      </c>
      <c r="K49" s="64">
        <v>7.87</v>
      </c>
      <c r="L49" s="64">
        <v>27.77</v>
      </c>
      <c r="M49" s="64">
        <v>82.42</v>
      </c>
      <c r="N49" s="64">
        <v>382.1</v>
      </c>
      <c r="O49" s="64">
        <v>0</v>
      </c>
      <c r="P49" s="64">
        <v>0.78</v>
      </c>
      <c r="Q49" s="64">
        <v>5.84</v>
      </c>
      <c r="R49" s="198"/>
      <c r="S49" s="198"/>
      <c r="T49" s="198"/>
      <c r="U49" s="198"/>
    </row>
    <row r="50" spans="1:21" s="12" customFormat="1" x14ac:dyDescent="0.25">
      <c r="A50" s="215" t="s">
        <v>2886</v>
      </c>
      <c r="B50" s="64">
        <v>11.74</v>
      </c>
      <c r="C50" s="64">
        <v>30.18</v>
      </c>
      <c r="D50" s="64">
        <v>26.71</v>
      </c>
      <c r="E50" s="64">
        <v>2.25</v>
      </c>
      <c r="F50" s="64">
        <v>13.7</v>
      </c>
      <c r="G50" s="64">
        <v>37.5</v>
      </c>
      <c r="H50" s="64">
        <v>23.51</v>
      </c>
      <c r="I50" s="216" t="s">
        <v>43</v>
      </c>
      <c r="J50" s="64">
        <v>0.27</v>
      </c>
      <c r="K50" s="64">
        <v>352.48</v>
      </c>
      <c r="L50" s="64">
        <v>27.93</v>
      </c>
      <c r="M50" s="64">
        <v>82.01</v>
      </c>
      <c r="N50" s="64">
        <v>339</v>
      </c>
      <c r="O50" s="64">
        <v>0</v>
      </c>
      <c r="P50" s="64">
        <v>0.82</v>
      </c>
      <c r="Q50" s="64">
        <v>5.96</v>
      </c>
      <c r="R50" s="198"/>
      <c r="S50" s="198"/>
      <c r="T50" s="198"/>
      <c r="U50" s="198"/>
    </row>
    <row r="51" spans="1:21" s="12" customFormat="1" x14ac:dyDescent="0.25">
      <c r="A51" s="215" t="s">
        <v>2887</v>
      </c>
      <c r="B51" s="64">
        <v>14.69</v>
      </c>
      <c r="C51" s="64">
        <v>31.77</v>
      </c>
      <c r="D51" s="64">
        <v>29.96</v>
      </c>
      <c r="E51" s="64">
        <v>2.0099999999999998</v>
      </c>
      <c r="F51" s="64">
        <v>8.09</v>
      </c>
      <c r="G51" s="64">
        <v>41.55</v>
      </c>
      <c r="H51" s="64">
        <v>25.5</v>
      </c>
      <c r="I51" s="216" t="s">
        <v>43</v>
      </c>
      <c r="J51" s="64">
        <v>0.28999999999999998</v>
      </c>
      <c r="K51" s="64">
        <v>3.98</v>
      </c>
      <c r="L51" s="64">
        <v>28.11</v>
      </c>
      <c r="M51" s="64">
        <v>81.33</v>
      </c>
      <c r="N51" s="64">
        <v>367.8</v>
      </c>
      <c r="O51" s="64">
        <v>0</v>
      </c>
      <c r="P51" s="64">
        <v>0.91</v>
      </c>
      <c r="Q51" s="64">
        <v>6.34</v>
      </c>
      <c r="R51" s="198"/>
      <c r="S51" s="198"/>
      <c r="T51" s="198"/>
      <c r="U51" s="198"/>
    </row>
    <row r="52" spans="1:21" s="12" customFormat="1" x14ac:dyDescent="0.25">
      <c r="A52" s="215" t="s">
        <v>2888</v>
      </c>
      <c r="B52" s="64">
        <v>16.399999999999999</v>
      </c>
      <c r="C52" s="64">
        <v>33.130000000000003</v>
      </c>
      <c r="D52" s="64">
        <v>32.08</v>
      </c>
      <c r="E52" s="64">
        <v>2.2400000000000002</v>
      </c>
      <c r="F52" s="64">
        <v>8.3000000000000007</v>
      </c>
      <c r="G52" s="64">
        <v>41.55</v>
      </c>
      <c r="H52" s="64">
        <v>25.5</v>
      </c>
      <c r="I52" s="216" t="s">
        <v>43</v>
      </c>
      <c r="J52" s="64">
        <v>0.21</v>
      </c>
      <c r="K52" s="64">
        <v>19.39</v>
      </c>
      <c r="L52" s="64">
        <v>28.27</v>
      </c>
      <c r="M52" s="64">
        <v>79.98</v>
      </c>
      <c r="N52" s="64">
        <v>270.3</v>
      </c>
      <c r="O52" s="64">
        <v>0</v>
      </c>
      <c r="P52" s="64">
        <v>0.99</v>
      </c>
      <c r="Q52" s="64">
        <v>6.58</v>
      </c>
      <c r="R52" s="198"/>
      <c r="S52" s="198"/>
      <c r="T52" s="198"/>
      <c r="U52" s="198"/>
    </row>
    <row r="53" spans="1:21" s="12" customFormat="1" x14ac:dyDescent="0.25">
      <c r="A53" s="215" t="s">
        <v>2889</v>
      </c>
      <c r="B53" s="64">
        <v>12.88</v>
      </c>
      <c r="C53" s="64">
        <v>29.85</v>
      </c>
      <c r="D53" s="64">
        <v>27.45</v>
      </c>
      <c r="E53" s="64">
        <v>2.31</v>
      </c>
      <c r="F53" s="64">
        <v>4.67</v>
      </c>
      <c r="G53" s="64">
        <v>41.55</v>
      </c>
      <c r="H53" s="64">
        <v>25.5</v>
      </c>
      <c r="I53" s="216" t="s">
        <v>43</v>
      </c>
      <c r="J53" s="64">
        <v>0.33</v>
      </c>
      <c r="K53" s="64">
        <v>25.22</v>
      </c>
      <c r="L53" s="64">
        <v>27.77</v>
      </c>
      <c r="M53" s="64">
        <v>81.45</v>
      </c>
      <c r="N53" s="64">
        <v>370.4</v>
      </c>
      <c r="O53" s="64">
        <v>0</v>
      </c>
      <c r="P53" s="64">
        <v>0.81</v>
      </c>
      <c r="Q53" s="64">
        <v>5.63</v>
      </c>
      <c r="R53" s="198"/>
      <c r="S53" s="198"/>
      <c r="T53" s="198"/>
      <c r="U53" s="198"/>
    </row>
    <row r="54" spans="1:21" s="12" customFormat="1" x14ac:dyDescent="0.25">
      <c r="A54" s="215" t="s">
        <v>2890</v>
      </c>
      <c r="B54" s="64">
        <v>9.75</v>
      </c>
      <c r="C54" s="64">
        <v>31.27</v>
      </c>
      <c r="D54" s="64">
        <v>25.73</v>
      </c>
      <c r="E54" s="64">
        <v>2.16</v>
      </c>
      <c r="F54" s="64">
        <v>7.36</v>
      </c>
      <c r="G54" s="64">
        <v>37.700000000000003</v>
      </c>
      <c r="H54" s="64">
        <v>22.15</v>
      </c>
      <c r="I54" s="216" t="s">
        <v>43</v>
      </c>
      <c r="J54" s="64">
        <v>0.34</v>
      </c>
      <c r="K54" s="64">
        <v>25.08</v>
      </c>
      <c r="L54" s="64">
        <v>27.6</v>
      </c>
      <c r="M54" s="64">
        <v>81.84</v>
      </c>
      <c r="N54" s="64">
        <v>245.4</v>
      </c>
      <c r="O54" s="64">
        <v>0</v>
      </c>
      <c r="P54" s="64">
        <v>0.73</v>
      </c>
      <c r="Q54" s="64">
        <v>3.06</v>
      </c>
      <c r="R54" s="198"/>
      <c r="S54" s="198"/>
      <c r="T54" s="198"/>
      <c r="U54" s="198"/>
    </row>
    <row r="55" spans="1:21" s="12" customFormat="1" x14ac:dyDescent="0.25">
      <c r="A55" s="215" t="s">
        <v>2891</v>
      </c>
      <c r="B55" s="64">
        <v>4.75</v>
      </c>
      <c r="C55" s="64">
        <v>35.71</v>
      </c>
      <c r="D55" s="64">
        <v>24.17</v>
      </c>
      <c r="E55" s="64">
        <v>1.96</v>
      </c>
      <c r="F55" s="64">
        <v>11.55</v>
      </c>
      <c r="G55" s="64">
        <v>36.46</v>
      </c>
      <c r="H55" s="64">
        <v>21.41</v>
      </c>
      <c r="I55" s="216" t="s">
        <v>43</v>
      </c>
      <c r="J55" s="64">
        <v>0.36</v>
      </c>
      <c r="K55" s="64">
        <v>17.100000000000001</v>
      </c>
      <c r="L55" s="64">
        <v>27.95</v>
      </c>
      <c r="M55" s="64">
        <v>81.040000000000006</v>
      </c>
      <c r="N55" s="64">
        <v>513.9</v>
      </c>
      <c r="O55" s="64">
        <v>0</v>
      </c>
      <c r="P55" s="64">
        <v>0.69</v>
      </c>
      <c r="Q55" s="64">
        <v>0.05</v>
      </c>
      <c r="R55" s="198"/>
      <c r="S55" s="198"/>
      <c r="T55" s="198"/>
      <c r="U55" s="198"/>
    </row>
    <row r="56" spans="1:21" s="12" customFormat="1" x14ac:dyDescent="0.25">
      <c r="A56" s="215" t="s">
        <v>2892</v>
      </c>
      <c r="B56" s="64">
        <v>2.79</v>
      </c>
      <c r="C56" s="64">
        <v>37.32</v>
      </c>
      <c r="D56" s="64">
        <v>23.48</v>
      </c>
      <c r="E56" s="64">
        <v>2.02</v>
      </c>
      <c r="F56" s="64">
        <v>6.98</v>
      </c>
      <c r="G56" s="64">
        <v>36.46</v>
      </c>
      <c r="H56" s="64">
        <v>21.41</v>
      </c>
      <c r="I56" s="216" t="s">
        <v>43</v>
      </c>
      <c r="J56" s="64">
        <v>0.39</v>
      </c>
      <c r="K56" s="64">
        <v>5.25</v>
      </c>
      <c r="L56" s="64">
        <v>28.84</v>
      </c>
      <c r="M56" s="64">
        <v>76.819999999999993</v>
      </c>
      <c r="N56" s="64">
        <v>486</v>
      </c>
      <c r="O56" s="64">
        <v>0</v>
      </c>
      <c r="P56" s="64">
        <v>0.74</v>
      </c>
      <c r="Q56" s="64">
        <v>0.35</v>
      </c>
      <c r="R56" s="198"/>
      <c r="S56" s="198"/>
      <c r="T56" s="198"/>
      <c r="U56" s="198"/>
    </row>
    <row r="57" spans="1:21" s="12" customFormat="1" x14ac:dyDescent="0.25">
      <c r="A57" s="215" t="s">
        <v>2893</v>
      </c>
      <c r="B57" s="64">
        <v>4.2</v>
      </c>
      <c r="C57" s="64">
        <v>35.020000000000003</v>
      </c>
      <c r="D57" s="64">
        <v>23.34</v>
      </c>
      <c r="E57" s="64">
        <v>2.97</v>
      </c>
      <c r="F57" s="64">
        <v>6.31</v>
      </c>
      <c r="G57" s="64">
        <v>36.46</v>
      </c>
      <c r="H57" s="64">
        <v>21.41</v>
      </c>
      <c r="I57" s="216" t="s">
        <v>43</v>
      </c>
      <c r="J57" s="64">
        <v>0.6</v>
      </c>
      <c r="K57" s="64">
        <v>338.17</v>
      </c>
      <c r="L57" s="64">
        <v>29.26</v>
      </c>
      <c r="M57" s="64">
        <v>74.819999999999993</v>
      </c>
      <c r="N57" s="64">
        <v>515.79999999999995</v>
      </c>
      <c r="O57" s="64">
        <v>0</v>
      </c>
      <c r="P57" s="64">
        <v>0.74</v>
      </c>
      <c r="Q57" s="217" t="s">
        <v>42</v>
      </c>
      <c r="R57" s="198"/>
      <c r="S57" s="198"/>
      <c r="T57" s="198"/>
      <c r="U57" s="198"/>
    </row>
    <row r="58" spans="1:21" s="12" customFormat="1" x14ac:dyDescent="0.25">
      <c r="A58" s="215" t="s">
        <v>2894</v>
      </c>
      <c r="B58" s="64">
        <v>5.2</v>
      </c>
      <c r="C58" s="64">
        <v>34.19</v>
      </c>
      <c r="D58" s="64">
        <v>23.68</v>
      </c>
      <c r="E58" s="64">
        <v>2.92</v>
      </c>
      <c r="F58" s="64">
        <v>7.07</v>
      </c>
      <c r="G58" s="64">
        <v>36.770000000000003</v>
      </c>
      <c r="H58" s="64">
        <v>18.43</v>
      </c>
      <c r="I58" s="216" t="s">
        <v>43</v>
      </c>
      <c r="J58" s="64">
        <v>0.39</v>
      </c>
      <c r="K58" s="64">
        <v>11.18</v>
      </c>
      <c r="L58" s="64">
        <v>29.36</v>
      </c>
      <c r="M58" s="64">
        <v>72.23</v>
      </c>
      <c r="N58" s="64">
        <v>535.79999999999995</v>
      </c>
      <c r="O58" s="64">
        <v>0</v>
      </c>
      <c r="P58" s="64">
        <v>0.7</v>
      </c>
      <c r="Q58" s="217" t="s">
        <v>42</v>
      </c>
      <c r="R58" s="198"/>
      <c r="S58" s="198"/>
      <c r="T58" s="198"/>
      <c r="U58" s="198"/>
    </row>
    <row r="59" spans="1:21" s="12" customFormat="1" x14ac:dyDescent="0.25">
      <c r="A59" s="215" t="s">
        <v>2895</v>
      </c>
      <c r="B59" s="64">
        <v>3.69</v>
      </c>
      <c r="C59" s="64">
        <v>32.090000000000003</v>
      </c>
      <c r="D59" s="64">
        <v>21.32</v>
      </c>
      <c r="E59" s="64">
        <v>2.82</v>
      </c>
      <c r="F59" s="64">
        <v>6.25</v>
      </c>
      <c r="G59" s="64">
        <v>36.869999999999997</v>
      </c>
      <c r="H59" s="64">
        <v>17.690000000000001</v>
      </c>
      <c r="I59" s="216" t="s">
        <v>43</v>
      </c>
      <c r="J59" s="64">
        <v>0.45</v>
      </c>
      <c r="K59" s="64">
        <v>15.69</v>
      </c>
      <c r="L59" s="64">
        <v>27.92</v>
      </c>
      <c r="M59" s="64">
        <v>75.650000000000006</v>
      </c>
      <c r="N59" s="64">
        <v>531.70000000000005</v>
      </c>
      <c r="O59" s="64">
        <v>0</v>
      </c>
      <c r="P59" s="64">
        <v>0.71</v>
      </c>
      <c r="Q59" s="217" t="s">
        <v>42</v>
      </c>
      <c r="R59" s="198"/>
      <c r="S59" s="198"/>
      <c r="T59" s="198"/>
      <c r="U59" s="198"/>
    </row>
    <row r="60" spans="1:21" s="12" customFormat="1" x14ac:dyDescent="0.25">
      <c r="A60" s="215" t="s">
        <v>2896</v>
      </c>
      <c r="B60" s="64">
        <v>3.33</v>
      </c>
      <c r="C60" s="64">
        <v>32.76</v>
      </c>
      <c r="D60" s="64">
        <v>21.4</v>
      </c>
      <c r="E60" s="64">
        <v>2.46</v>
      </c>
      <c r="F60" s="64">
        <v>6.26</v>
      </c>
      <c r="G60" s="64">
        <v>36.869999999999997</v>
      </c>
      <c r="H60" s="64">
        <v>17.690000000000001</v>
      </c>
      <c r="I60" s="216" t="s">
        <v>43</v>
      </c>
      <c r="J60" s="64">
        <v>0.43</v>
      </c>
      <c r="K60" s="64">
        <v>28.62</v>
      </c>
      <c r="L60" s="64">
        <v>28.03</v>
      </c>
      <c r="M60" s="64">
        <v>74.56</v>
      </c>
      <c r="N60" s="64">
        <v>585</v>
      </c>
      <c r="O60" s="64">
        <v>0</v>
      </c>
      <c r="P60" s="64">
        <v>0.73</v>
      </c>
      <c r="Q60" s="217" t="s">
        <v>42</v>
      </c>
      <c r="R60" s="198"/>
      <c r="S60" s="198"/>
      <c r="T60" s="198"/>
      <c r="U60" s="198"/>
    </row>
    <row r="61" spans="1:21" s="12" customFormat="1" x14ac:dyDescent="0.25">
      <c r="A61" s="215" t="s">
        <v>2897</v>
      </c>
      <c r="B61" s="64">
        <v>3.31</v>
      </c>
      <c r="C61" s="64">
        <v>31.65</v>
      </c>
      <c r="D61" s="64">
        <v>20.77</v>
      </c>
      <c r="E61" s="64">
        <v>2.62</v>
      </c>
      <c r="F61" s="64">
        <v>6.91</v>
      </c>
      <c r="G61" s="64">
        <v>36.869999999999997</v>
      </c>
      <c r="H61" s="64">
        <v>17.690000000000001</v>
      </c>
      <c r="I61" s="216" t="s">
        <v>43</v>
      </c>
      <c r="J61" s="64">
        <v>0.23</v>
      </c>
      <c r="K61" s="64">
        <v>35.76</v>
      </c>
      <c r="L61" s="64">
        <v>27.42</v>
      </c>
      <c r="M61" s="64">
        <v>77.900000000000006</v>
      </c>
      <c r="N61" s="64">
        <v>851.5</v>
      </c>
      <c r="O61" s="64">
        <v>0</v>
      </c>
      <c r="P61" s="64">
        <v>0.61</v>
      </c>
      <c r="Q61" s="217" t="s">
        <v>42</v>
      </c>
      <c r="R61" s="198"/>
      <c r="S61" s="198"/>
      <c r="T61" s="198"/>
      <c r="U61" s="198"/>
    </row>
    <row r="62" spans="1:21" s="12" customFormat="1" x14ac:dyDescent="0.25">
      <c r="A62" s="215" t="s">
        <v>2898</v>
      </c>
      <c r="B62" s="64">
        <v>3.47</v>
      </c>
      <c r="C62" s="64">
        <v>32.21</v>
      </c>
      <c r="D62" s="64">
        <v>21.2</v>
      </c>
      <c r="E62" s="64">
        <v>2.66</v>
      </c>
      <c r="F62" s="64">
        <v>5.92</v>
      </c>
      <c r="G62" s="64">
        <v>42.09</v>
      </c>
      <c r="H62" s="64">
        <v>16.12</v>
      </c>
      <c r="I62" s="216" t="s">
        <v>43</v>
      </c>
      <c r="J62" s="64">
        <v>0.27</v>
      </c>
      <c r="K62" s="64">
        <v>38.71</v>
      </c>
      <c r="L62" s="64">
        <v>27.7</v>
      </c>
      <c r="M62" s="64">
        <v>77.37</v>
      </c>
      <c r="N62" s="64">
        <v>464.5</v>
      </c>
      <c r="O62" s="64">
        <v>0</v>
      </c>
      <c r="P62" s="64">
        <v>0.64</v>
      </c>
      <c r="Q62" s="217" t="s">
        <v>42</v>
      </c>
      <c r="R62" s="198"/>
      <c r="S62" s="198"/>
      <c r="T62" s="198"/>
      <c r="U62" s="198"/>
    </row>
    <row r="63" spans="1:21" s="12" customFormat="1" x14ac:dyDescent="0.25">
      <c r="A63" s="215" t="s">
        <v>2899</v>
      </c>
      <c r="B63" s="64">
        <v>5.34</v>
      </c>
      <c r="C63" s="64">
        <v>31.53</v>
      </c>
      <c r="D63" s="64">
        <v>22.33</v>
      </c>
      <c r="E63" s="64">
        <v>2.9</v>
      </c>
      <c r="F63" s="64">
        <v>9.5399999999999991</v>
      </c>
      <c r="G63" s="64">
        <v>43.77</v>
      </c>
      <c r="H63" s="64">
        <v>16.05</v>
      </c>
      <c r="I63" s="216" t="s">
        <v>43</v>
      </c>
      <c r="J63" s="64">
        <v>0.28000000000000003</v>
      </c>
      <c r="K63" s="64">
        <v>28.13</v>
      </c>
      <c r="L63" s="64">
        <v>27.8</v>
      </c>
      <c r="M63" s="64">
        <v>77.88</v>
      </c>
      <c r="N63" s="64">
        <v>407.8</v>
      </c>
      <c r="O63" s="64">
        <v>0</v>
      </c>
      <c r="P63" s="64">
        <v>0.63</v>
      </c>
      <c r="Q63" s="217" t="s">
        <v>42</v>
      </c>
      <c r="R63" s="198"/>
      <c r="S63" s="198"/>
      <c r="T63" s="198"/>
      <c r="U63" s="198"/>
    </row>
    <row r="64" spans="1:21" s="12" customFormat="1" x14ac:dyDescent="0.25">
      <c r="A64" s="215" t="s">
        <v>2900</v>
      </c>
      <c r="B64" s="64">
        <v>5.05</v>
      </c>
      <c r="C64" s="64">
        <v>29.82</v>
      </c>
      <c r="D64" s="64">
        <v>21.16</v>
      </c>
      <c r="E64" s="64">
        <v>2.44</v>
      </c>
      <c r="F64" s="64">
        <v>5.47</v>
      </c>
      <c r="G64" s="64">
        <v>43.77</v>
      </c>
      <c r="H64" s="64">
        <v>16.05</v>
      </c>
      <c r="I64" s="216" t="s">
        <v>43</v>
      </c>
      <c r="J64" s="64">
        <v>0.32</v>
      </c>
      <c r="K64" s="64">
        <v>31.43</v>
      </c>
      <c r="L64" s="64">
        <v>27.8</v>
      </c>
      <c r="M64" s="64">
        <v>78.81</v>
      </c>
      <c r="N64" s="64">
        <v>714</v>
      </c>
      <c r="O64" s="64">
        <v>0</v>
      </c>
      <c r="P64" s="64">
        <v>0.65</v>
      </c>
      <c r="Q64" s="217" t="s">
        <v>42</v>
      </c>
      <c r="R64" s="198"/>
      <c r="S64" s="198"/>
      <c r="T64" s="198"/>
      <c r="U64" s="198"/>
    </row>
    <row r="65" spans="1:21" s="12" customFormat="1" x14ac:dyDescent="0.25">
      <c r="A65" s="215" t="s">
        <v>2901</v>
      </c>
      <c r="B65" s="64">
        <v>4.46</v>
      </c>
      <c r="C65" s="64">
        <v>30.21</v>
      </c>
      <c r="D65" s="64">
        <v>20.89</v>
      </c>
      <c r="E65" s="64">
        <v>3.4</v>
      </c>
      <c r="F65" s="64">
        <v>4.99</v>
      </c>
      <c r="G65" s="64">
        <v>43.77</v>
      </c>
      <c r="H65" s="64">
        <v>16.05</v>
      </c>
      <c r="I65" s="216" t="s">
        <v>43</v>
      </c>
      <c r="J65" s="64">
        <v>0.43</v>
      </c>
      <c r="K65" s="64">
        <v>356.12</v>
      </c>
      <c r="L65" s="64">
        <v>28.98</v>
      </c>
      <c r="M65" s="64">
        <v>75.28</v>
      </c>
      <c r="N65" s="64">
        <v>533.29999999999995</v>
      </c>
      <c r="O65" s="64">
        <v>0</v>
      </c>
      <c r="P65" s="64">
        <v>0.61</v>
      </c>
      <c r="Q65" s="217" t="s">
        <v>42</v>
      </c>
      <c r="R65" s="198"/>
      <c r="S65" s="198"/>
      <c r="T65" s="198"/>
      <c r="U65" s="198"/>
    </row>
    <row r="66" spans="1:21" s="12" customFormat="1" x14ac:dyDescent="0.25">
      <c r="A66" s="215" t="s">
        <v>2902</v>
      </c>
      <c r="B66" s="64">
        <v>3.74</v>
      </c>
      <c r="C66" s="64">
        <v>29.72</v>
      </c>
      <c r="D66" s="64">
        <v>20.04</v>
      </c>
      <c r="E66" s="64">
        <v>3.23</v>
      </c>
      <c r="F66" s="64">
        <v>6.32</v>
      </c>
      <c r="G66" s="64">
        <v>41</v>
      </c>
      <c r="H66" s="64">
        <v>17.010000000000002</v>
      </c>
      <c r="I66" s="216" t="s">
        <v>43</v>
      </c>
      <c r="J66" s="64">
        <v>0.71</v>
      </c>
      <c r="K66" s="64">
        <v>340.82</v>
      </c>
      <c r="L66" s="64">
        <v>30.16</v>
      </c>
      <c r="M66" s="64">
        <v>71.69</v>
      </c>
      <c r="N66" s="64">
        <v>784.7</v>
      </c>
      <c r="O66" s="64">
        <v>0</v>
      </c>
      <c r="P66" s="64">
        <v>0.56999999999999995</v>
      </c>
      <c r="Q66" s="217" t="s">
        <v>42</v>
      </c>
      <c r="R66" s="198"/>
      <c r="S66" s="198"/>
      <c r="T66" s="198"/>
      <c r="U66" s="198"/>
    </row>
    <row r="67" spans="1:21" s="12" customFormat="1" x14ac:dyDescent="0.25">
      <c r="A67" s="215" t="s">
        <v>2903</v>
      </c>
      <c r="B67" s="64">
        <v>3.24</v>
      </c>
      <c r="C67" s="64">
        <v>29.69</v>
      </c>
      <c r="D67" s="64">
        <v>19.63</v>
      </c>
      <c r="E67" s="64">
        <v>3.33</v>
      </c>
      <c r="F67" s="64">
        <v>6.02</v>
      </c>
      <c r="G67" s="64">
        <v>40.1</v>
      </c>
      <c r="H67" s="64">
        <v>17.13</v>
      </c>
      <c r="I67" s="216" t="s">
        <v>43</v>
      </c>
      <c r="J67" s="64">
        <v>0.63</v>
      </c>
      <c r="K67" s="64">
        <v>346.52</v>
      </c>
      <c r="L67" s="64">
        <v>30.54</v>
      </c>
      <c r="M67" s="64">
        <v>70.38</v>
      </c>
      <c r="N67" s="64">
        <v>556.4</v>
      </c>
      <c r="O67" s="64">
        <v>0</v>
      </c>
      <c r="P67" s="64">
        <v>0.54</v>
      </c>
      <c r="Q67" s="217" t="s">
        <v>42</v>
      </c>
      <c r="R67" s="198"/>
      <c r="S67" s="198"/>
      <c r="T67" s="198"/>
      <c r="U67" s="198"/>
    </row>
    <row r="68" spans="1:21" s="12" customFormat="1" x14ac:dyDescent="0.25">
      <c r="A68" s="215" t="s">
        <v>2904</v>
      </c>
      <c r="B68" s="64">
        <v>3.12</v>
      </c>
      <c r="C68" s="64">
        <v>29.51</v>
      </c>
      <c r="D68" s="64">
        <v>19.440000000000001</v>
      </c>
      <c r="E68" s="64">
        <v>3.34</v>
      </c>
      <c r="F68" s="64">
        <v>6.39</v>
      </c>
      <c r="G68" s="64">
        <v>40.1</v>
      </c>
      <c r="H68" s="64">
        <v>17.13</v>
      </c>
      <c r="I68" s="216" t="s">
        <v>43</v>
      </c>
      <c r="J68" s="64">
        <v>0.84</v>
      </c>
      <c r="K68" s="64">
        <v>339.78</v>
      </c>
      <c r="L68" s="64">
        <v>30.18</v>
      </c>
      <c r="M68" s="64">
        <v>72.09</v>
      </c>
      <c r="N68" s="64">
        <v>409.4</v>
      </c>
      <c r="O68" s="64">
        <v>0</v>
      </c>
      <c r="P68" s="64">
        <v>0.51</v>
      </c>
      <c r="Q68" s="217" t="s">
        <v>42</v>
      </c>
      <c r="R68" s="198"/>
      <c r="S68" s="198"/>
      <c r="T68" s="198"/>
      <c r="U68" s="198"/>
    </row>
    <row r="69" spans="1:21" s="12" customFormat="1" x14ac:dyDescent="0.25">
      <c r="A69" s="215" t="s">
        <v>2905</v>
      </c>
      <c r="B69" s="64">
        <v>3.19</v>
      </c>
      <c r="C69" s="64">
        <v>29.94</v>
      </c>
      <c r="D69" s="64">
        <v>19.72</v>
      </c>
      <c r="E69" s="64">
        <v>3.04</v>
      </c>
      <c r="F69" s="64">
        <v>6.06</v>
      </c>
      <c r="G69" s="64">
        <v>40.1</v>
      </c>
      <c r="H69" s="64">
        <v>17.13</v>
      </c>
      <c r="I69" s="216" t="s">
        <v>43</v>
      </c>
      <c r="J69" s="64">
        <v>0.9</v>
      </c>
      <c r="K69" s="64">
        <v>337.81</v>
      </c>
      <c r="L69" s="64">
        <v>30.13</v>
      </c>
      <c r="M69" s="64">
        <v>72.239999999999995</v>
      </c>
      <c r="N69" s="64">
        <v>362.8</v>
      </c>
      <c r="O69" s="64">
        <v>0</v>
      </c>
      <c r="P69" s="64">
        <v>0.48</v>
      </c>
      <c r="Q69" s="217" t="s">
        <v>42</v>
      </c>
      <c r="R69" s="198"/>
      <c r="S69" s="198"/>
      <c r="T69" s="198"/>
      <c r="U69" s="198"/>
    </row>
    <row r="70" spans="1:21" s="12" customFormat="1" x14ac:dyDescent="0.25">
      <c r="A70" s="215" t="s">
        <v>2906</v>
      </c>
      <c r="B70" s="64">
        <v>3.96</v>
      </c>
      <c r="C70" s="64">
        <v>29.37</v>
      </c>
      <c r="D70" s="64">
        <v>20.03</v>
      </c>
      <c r="E70" s="64">
        <v>3.2</v>
      </c>
      <c r="F70" s="64">
        <v>7.16</v>
      </c>
      <c r="G70" s="64">
        <v>38.520000000000003</v>
      </c>
      <c r="H70" s="64">
        <v>15.93</v>
      </c>
      <c r="I70" s="216" t="s">
        <v>43</v>
      </c>
      <c r="J70" s="64">
        <v>0.74</v>
      </c>
      <c r="K70" s="64">
        <v>344.14</v>
      </c>
      <c r="L70" s="64">
        <v>30.18</v>
      </c>
      <c r="M70" s="64">
        <v>72.61</v>
      </c>
      <c r="N70" s="64">
        <v>298.3</v>
      </c>
      <c r="O70" s="64">
        <v>0</v>
      </c>
      <c r="P70" s="64">
        <v>0.45</v>
      </c>
      <c r="Q70" s="217" t="s">
        <v>42</v>
      </c>
      <c r="R70" s="198"/>
      <c r="S70" s="198"/>
      <c r="T70" s="198"/>
      <c r="U70" s="198"/>
    </row>
    <row r="71" spans="1:21" s="12" customFormat="1" x14ac:dyDescent="0.25">
      <c r="A71" s="215" t="s">
        <v>2907</v>
      </c>
      <c r="B71" s="64">
        <v>4.75</v>
      </c>
      <c r="C71" s="64">
        <v>29.76</v>
      </c>
      <c r="D71" s="64">
        <v>20.88</v>
      </c>
      <c r="E71" s="64">
        <v>2.77</v>
      </c>
      <c r="F71" s="64">
        <v>7.03</v>
      </c>
      <c r="G71" s="64">
        <v>38.03</v>
      </c>
      <c r="H71" s="64">
        <v>15.54</v>
      </c>
      <c r="I71" s="216" t="s">
        <v>43</v>
      </c>
      <c r="J71" s="64">
        <v>0.5</v>
      </c>
      <c r="K71" s="64">
        <v>343.27</v>
      </c>
      <c r="L71" s="64">
        <v>30.07</v>
      </c>
      <c r="M71" s="64">
        <v>72.47</v>
      </c>
      <c r="N71" s="64">
        <v>372</v>
      </c>
      <c r="O71" s="64">
        <v>0</v>
      </c>
      <c r="P71" s="64">
        <v>0.46</v>
      </c>
      <c r="Q71" s="217" t="s">
        <v>42</v>
      </c>
      <c r="R71" s="198"/>
      <c r="S71" s="198"/>
      <c r="T71" s="198"/>
      <c r="U71" s="198"/>
    </row>
    <row r="72" spans="1:21" s="12" customFormat="1" x14ac:dyDescent="0.25">
      <c r="A72" s="215" t="s">
        <v>2908</v>
      </c>
      <c r="B72" s="64">
        <v>6.22</v>
      </c>
      <c r="C72" s="64">
        <v>29.48</v>
      </c>
      <c r="D72" s="64">
        <v>21.9</v>
      </c>
      <c r="E72" s="64">
        <v>2.5499999999999998</v>
      </c>
      <c r="F72" s="64">
        <v>8.76</v>
      </c>
      <c r="G72" s="64">
        <v>38.03</v>
      </c>
      <c r="H72" s="64">
        <v>15.54</v>
      </c>
      <c r="I72" s="216" t="s">
        <v>43</v>
      </c>
      <c r="J72" s="64">
        <v>0.59</v>
      </c>
      <c r="K72" s="64">
        <v>344.02</v>
      </c>
      <c r="L72" s="64">
        <v>29.86</v>
      </c>
      <c r="M72" s="64">
        <v>73.17</v>
      </c>
      <c r="N72" s="64">
        <v>244.9</v>
      </c>
      <c r="O72" s="64">
        <v>0</v>
      </c>
      <c r="P72" s="64">
        <v>0.43</v>
      </c>
      <c r="Q72" s="217" t="s">
        <v>42</v>
      </c>
      <c r="R72" s="198"/>
      <c r="S72" s="198"/>
      <c r="T72" s="198"/>
      <c r="U72" s="198"/>
    </row>
    <row r="73" spans="1:21" s="12" customFormat="1" x14ac:dyDescent="0.25">
      <c r="A73" s="215" t="s">
        <v>2909</v>
      </c>
      <c r="B73" s="64">
        <v>8.11</v>
      </c>
      <c r="C73" s="64">
        <v>28.16</v>
      </c>
      <c r="D73" s="64">
        <v>22.69</v>
      </c>
      <c r="E73" s="64">
        <v>3.16</v>
      </c>
      <c r="F73" s="64">
        <v>10.51</v>
      </c>
      <c r="G73" s="64">
        <v>38.03</v>
      </c>
      <c r="H73" s="64">
        <v>15.54</v>
      </c>
      <c r="I73" s="216" t="s">
        <v>43</v>
      </c>
      <c r="J73" s="64">
        <v>0.89</v>
      </c>
      <c r="K73" s="64">
        <v>338.15</v>
      </c>
      <c r="L73" s="64">
        <v>29.29</v>
      </c>
      <c r="M73" s="64">
        <v>76.34</v>
      </c>
      <c r="N73" s="64">
        <v>129.19999999999999</v>
      </c>
      <c r="O73" s="64">
        <v>0</v>
      </c>
      <c r="P73" s="64">
        <v>0.46</v>
      </c>
      <c r="Q73" s="217" t="s">
        <v>42</v>
      </c>
      <c r="R73" s="198"/>
      <c r="S73" s="198"/>
      <c r="T73" s="198"/>
      <c r="U73" s="198"/>
    </row>
    <row r="74" spans="1:21" s="12" customFormat="1" x14ac:dyDescent="0.25">
      <c r="A74" s="215" t="s">
        <v>2910</v>
      </c>
      <c r="B74" s="64">
        <v>11.47</v>
      </c>
      <c r="C74" s="64">
        <v>25.56</v>
      </c>
      <c r="D74" s="64">
        <v>23.95</v>
      </c>
      <c r="E74" s="64">
        <v>3.05</v>
      </c>
      <c r="F74" s="64">
        <v>16.71</v>
      </c>
      <c r="G74" s="64">
        <v>38.799999999999997</v>
      </c>
      <c r="H74" s="64">
        <v>15.14</v>
      </c>
      <c r="I74" s="216" t="s">
        <v>43</v>
      </c>
      <c r="J74" s="64">
        <v>0.62</v>
      </c>
      <c r="K74" s="64">
        <v>343.59</v>
      </c>
      <c r="L74" s="64">
        <v>29.13</v>
      </c>
      <c r="M74" s="64">
        <v>77.3</v>
      </c>
      <c r="N74" s="64">
        <v>147</v>
      </c>
      <c r="O74" s="64">
        <v>0</v>
      </c>
      <c r="P74" s="64">
        <v>0.47</v>
      </c>
      <c r="Q74" s="217" t="s">
        <v>42</v>
      </c>
      <c r="R74" s="198"/>
      <c r="S74" s="198"/>
      <c r="T74" s="198"/>
      <c r="U74" s="198"/>
    </row>
    <row r="75" spans="1:21" s="12" customFormat="1" x14ac:dyDescent="0.25">
      <c r="A75" s="215" t="s">
        <v>2911</v>
      </c>
      <c r="B75" s="64">
        <v>9.09</v>
      </c>
      <c r="C75" s="64">
        <v>26.12</v>
      </c>
      <c r="D75" s="64">
        <v>22.35</v>
      </c>
      <c r="E75" s="64">
        <v>3.64</v>
      </c>
      <c r="F75" s="64">
        <v>8.74</v>
      </c>
      <c r="G75" s="64">
        <v>39.049999999999997</v>
      </c>
      <c r="H75" s="64">
        <v>15.06</v>
      </c>
      <c r="I75" s="216" t="s">
        <v>43</v>
      </c>
      <c r="J75" s="64">
        <v>1.24</v>
      </c>
      <c r="K75" s="64">
        <v>344.96</v>
      </c>
      <c r="L75" s="64">
        <v>28.68</v>
      </c>
      <c r="M75" s="64">
        <v>80.5</v>
      </c>
      <c r="N75" s="64">
        <v>146</v>
      </c>
      <c r="O75" s="64">
        <v>0</v>
      </c>
      <c r="P75" s="64">
        <v>0.48</v>
      </c>
      <c r="Q75" s="217" t="s">
        <v>42</v>
      </c>
      <c r="R75" s="198"/>
      <c r="S75" s="198"/>
      <c r="T75" s="198"/>
      <c r="U75" s="198"/>
    </row>
    <row r="76" spans="1:21" s="12" customFormat="1" x14ac:dyDescent="0.25">
      <c r="A76" s="215" t="s">
        <v>2912</v>
      </c>
      <c r="B76" s="64">
        <v>12.12</v>
      </c>
      <c r="C76" s="64">
        <v>25.41</v>
      </c>
      <c r="D76" s="64">
        <v>24.39</v>
      </c>
      <c r="E76" s="64">
        <v>3.61</v>
      </c>
      <c r="F76" s="64">
        <v>6.84</v>
      </c>
      <c r="G76" s="64">
        <v>39.049999999999997</v>
      </c>
      <c r="H76" s="64">
        <v>15.06</v>
      </c>
      <c r="I76" s="216" t="s">
        <v>43</v>
      </c>
      <c r="J76" s="64">
        <v>0.93</v>
      </c>
      <c r="K76" s="64">
        <v>350.78</v>
      </c>
      <c r="L76" s="64">
        <v>28.69</v>
      </c>
      <c r="M76" s="64">
        <v>81.09</v>
      </c>
      <c r="N76" s="64">
        <v>141.1</v>
      </c>
      <c r="O76" s="64">
        <v>0</v>
      </c>
      <c r="P76" s="64">
        <v>0.5</v>
      </c>
      <c r="Q76" s="217" t="s">
        <v>42</v>
      </c>
      <c r="R76" s="198"/>
      <c r="S76" s="198"/>
      <c r="T76" s="198"/>
      <c r="U76" s="198"/>
    </row>
    <row r="77" spans="1:21" s="12" customFormat="1" x14ac:dyDescent="0.25">
      <c r="A77" s="215" t="s">
        <v>2913</v>
      </c>
      <c r="B77" s="64">
        <v>15.57</v>
      </c>
      <c r="C77" s="64">
        <v>22.63</v>
      </c>
      <c r="D77" s="64">
        <v>25.62</v>
      </c>
      <c r="E77" s="64">
        <v>3.5</v>
      </c>
      <c r="F77" s="64">
        <v>10.25</v>
      </c>
      <c r="G77" s="64">
        <v>39.049999999999997</v>
      </c>
      <c r="H77" s="64">
        <v>15.06</v>
      </c>
      <c r="I77" s="216" t="s">
        <v>43</v>
      </c>
      <c r="J77" s="64">
        <v>0.35</v>
      </c>
      <c r="K77" s="64">
        <v>347.15</v>
      </c>
      <c r="L77" s="64">
        <v>28.62</v>
      </c>
      <c r="M77" s="64">
        <v>81.28</v>
      </c>
      <c r="N77" s="64">
        <v>118.9</v>
      </c>
      <c r="O77" s="64">
        <v>0</v>
      </c>
      <c r="P77" s="64">
        <v>0.53</v>
      </c>
      <c r="Q77" s="217" t="s">
        <v>42</v>
      </c>
      <c r="R77" s="198"/>
      <c r="S77" s="198"/>
      <c r="T77" s="198"/>
      <c r="U77" s="198"/>
    </row>
    <row r="78" spans="1:21" s="12" customFormat="1" x14ac:dyDescent="0.25">
      <c r="A78" s="215" t="s">
        <v>2914</v>
      </c>
      <c r="B78" s="64">
        <v>13.6</v>
      </c>
      <c r="C78" s="64">
        <v>23.68</v>
      </c>
      <c r="D78" s="64">
        <v>24.62</v>
      </c>
      <c r="E78" s="64">
        <v>3.43</v>
      </c>
      <c r="F78" s="64">
        <v>11.22</v>
      </c>
      <c r="G78" s="64">
        <v>36.76</v>
      </c>
      <c r="H78" s="64">
        <v>14.76</v>
      </c>
      <c r="I78" s="216" t="s">
        <v>43</v>
      </c>
      <c r="J78" s="64">
        <v>0.27</v>
      </c>
      <c r="K78" s="64">
        <v>0.74</v>
      </c>
      <c r="L78" s="64">
        <v>28.4</v>
      </c>
      <c r="M78" s="64">
        <v>82.3</v>
      </c>
      <c r="N78" s="64">
        <v>98.6</v>
      </c>
      <c r="O78" s="64">
        <v>0</v>
      </c>
      <c r="P78" s="64">
        <v>0.54</v>
      </c>
      <c r="Q78" s="217" t="s">
        <v>42</v>
      </c>
      <c r="R78" s="198"/>
      <c r="S78" s="198"/>
      <c r="T78" s="198"/>
      <c r="U78" s="198"/>
    </row>
    <row r="79" spans="1:21" s="12" customFormat="1" x14ac:dyDescent="0.25">
      <c r="A79" s="215" t="s">
        <v>2915</v>
      </c>
      <c r="B79" s="64">
        <v>13.59</v>
      </c>
      <c r="C79" s="64">
        <v>25.6</v>
      </c>
      <c r="D79" s="64">
        <v>25.67</v>
      </c>
      <c r="E79" s="64">
        <v>3.53</v>
      </c>
      <c r="F79" s="64">
        <v>7.24</v>
      </c>
      <c r="G79" s="64">
        <v>36.020000000000003</v>
      </c>
      <c r="H79" s="64">
        <v>14.7</v>
      </c>
      <c r="I79" s="216" t="s">
        <v>43</v>
      </c>
      <c r="J79" s="64">
        <v>0.59</v>
      </c>
      <c r="K79" s="64">
        <v>346.13</v>
      </c>
      <c r="L79" s="64">
        <v>28.2</v>
      </c>
      <c r="M79" s="64">
        <v>82.73</v>
      </c>
      <c r="N79" s="64">
        <v>78.599999999999994</v>
      </c>
      <c r="O79" s="64">
        <v>0</v>
      </c>
      <c r="P79" s="64">
        <v>0.56999999999999995</v>
      </c>
      <c r="Q79" s="217" t="s">
        <v>42</v>
      </c>
      <c r="R79" s="198"/>
      <c r="S79" s="198"/>
      <c r="T79" s="198"/>
      <c r="U79" s="198"/>
    </row>
    <row r="80" spans="1:21" s="12" customFormat="1" x14ac:dyDescent="0.25">
      <c r="A80" s="215" t="s">
        <v>2916</v>
      </c>
      <c r="B80" s="64">
        <v>13.94</v>
      </c>
      <c r="C80" s="64">
        <v>25.82</v>
      </c>
      <c r="D80" s="64">
        <v>26.07</v>
      </c>
      <c r="E80" s="64">
        <v>3.41</v>
      </c>
      <c r="F80" s="64">
        <v>6.88</v>
      </c>
      <c r="G80" s="64">
        <v>36.020000000000003</v>
      </c>
      <c r="H80" s="64">
        <v>14.7</v>
      </c>
      <c r="I80" s="216" t="s">
        <v>43</v>
      </c>
      <c r="J80" s="64">
        <v>0.65</v>
      </c>
      <c r="K80" s="64">
        <v>345.82</v>
      </c>
      <c r="L80" s="64">
        <v>27.95</v>
      </c>
      <c r="M80" s="64">
        <v>81.67</v>
      </c>
      <c r="N80" s="64">
        <v>60</v>
      </c>
      <c r="O80" s="64">
        <v>0</v>
      </c>
      <c r="P80" s="64">
        <v>0.54</v>
      </c>
      <c r="Q80" s="217" t="s">
        <v>42</v>
      </c>
      <c r="R80" s="198"/>
      <c r="S80" s="198"/>
      <c r="T80" s="198"/>
      <c r="U80" s="198"/>
    </row>
    <row r="81" spans="1:26" s="12" customFormat="1" x14ac:dyDescent="0.25">
      <c r="A81" s="215" t="s">
        <v>2917</v>
      </c>
      <c r="B81" s="64">
        <v>14.6</v>
      </c>
      <c r="C81" s="64">
        <v>26.42</v>
      </c>
      <c r="D81" s="64">
        <v>26.93</v>
      </c>
      <c r="E81" s="64">
        <v>3.07</v>
      </c>
      <c r="F81" s="64">
        <v>5.23</v>
      </c>
      <c r="G81" s="64">
        <v>36.020000000000003</v>
      </c>
      <c r="H81" s="64">
        <v>14.7</v>
      </c>
      <c r="I81" s="216" t="s">
        <v>43</v>
      </c>
      <c r="J81" s="64">
        <v>0.5</v>
      </c>
      <c r="K81" s="64">
        <v>5.16</v>
      </c>
      <c r="L81" s="64">
        <v>27.52</v>
      </c>
      <c r="M81" s="64">
        <v>83.97</v>
      </c>
      <c r="N81" s="64">
        <v>47.5</v>
      </c>
      <c r="O81" s="64">
        <v>0</v>
      </c>
      <c r="P81" s="64">
        <v>0.55000000000000004</v>
      </c>
      <c r="Q81" s="217" t="s">
        <v>42</v>
      </c>
      <c r="R81" s="198"/>
      <c r="S81" s="198"/>
      <c r="T81" s="198"/>
      <c r="U81" s="198"/>
    </row>
    <row r="82" spans="1:26" s="12" customFormat="1" x14ac:dyDescent="0.25">
      <c r="A82" s="215" t="s">
        <v>2918</v>
      </c>
      <c r="B82" s="64">
        <v>15.75</v>
      </c>
      <c r="C82" s="64">
        <v>26.51</v>
      </c>
      <c r="D82" s="64">
        <v>27.91</v>
      </c>
      <c r="E82" s="64">
        <v>3.4</v>
      </c>
      <c r="F82" s="64">
        <v>5.32</v>
      </c>
      <c r="G82" s="64">
        <v>36.28</v>
      </c>
      <c r="H82" s="64">
        <v>16.73</v>
      </c>
      <c r="I82" s="216" t="s">
        <v>43</v>
      </c>
      <c r="J82" s="64">
        <v>0.44</v>
      </c>
      <c r="K82" s="64">
        <v>10.6</v>
      </c>
      <c r="L82" s="64">
        <v>27.2</v>
      </c>
      <c r="M82" s="64">
        <v>85.13</v>
      </c>
      <c r="N82" s="64">
        <v>37.4</v>
      </c>
      <c r="O82" s="64">
        <v>0</v>
      </c>
      <c r="P82" s="64">
        <v>0.54</v>
      </c>
      <c r="Q82" s="217" t="s">
        <v>42</v>
      </c>
      <c r="R82" s="198"/>
      <c r="S82" s="198"/>
      <c r="T82" s="198"/>
      <c r="U82" s="198"/>
    </row>
    <row r="83" spans="1:26" s="12" customFormat="1" x14ac:dyDescent="0.25">
      <c r="A83" s="215" t="s">
        <v>2919</v>
      </c>
      <c r="B83" s="64">
        <v>14.63</v>
      </c>
      <c r="C83" s="64">
        <v>29.66</v>
      </c>
      <c r="D83" s="64">
        <v>28.75</v>
      </c>
      <c r="E83" s="64">
        <v>3.14</v>
      </c>
      <c r="F83" s="64">
        <v>6.19</v>
      </c>
      <c r="G83" s="64">
        <v>36.36</v>
      </c>
      <c r="H83" s="64">
        <v>16.88</v>
      </c>
      <c r="I83" s="216" t="s">
        <v>43</v>
      </c>
      <c r="J83" s="64">
        <v>0.66</v>
      </c>
      <c r="K83" s="64">
        <v>352.88</v>
      </c>
      <c r="L83" s="64">
        <v>26.93</v>
      </c>
      <c r="M83" s="64">
        <v>84.74</v>
      </c>
      <c r="N83" s="64">
        <v>31.3</v>
      </c>
      <c r="O83" s="64">
        <v>0</v>
      </c>
      <c r="P83" s="64">
        <v>0.55000000000000004</v>
      </c>
      <c r="Q83" s="64">
        <v>0.08</v>
      </c>
      <c r="R83" s="198"/>
      <c r="S83" s="198"/>
      <c r="T83" s="198"/>
      <c r="U83" s="198"/>
    </row>
    <row r="84" spans="1:26" s="12" customFormat="1" x14ac:dyDescent="0.25">
      <c r="A84" s="215" t="s">
        <v>2920</v>
      </c>
      <c r="B84" s="64">
        <v>15.95</v>
      </c>
      <c r="C84" s="64">
        <v>32.270000000000003</v>
      </c>
      <c r="D84" s="64">
        <v>31.24</v>
      </c>
      <c r="E84" s="64">
        <v>3.14</v>
      </c>
      <c r="F84" s="64">
        <v>6.47</v>
      </c>
      <c r="G84" s="64">
        <v>36.36</v>
      </c>
      <c r="H84" s="64">
        <v>16.88</v>
      </c>
      <c r="I84" s="216" t="s">
        <v>43</v>
      </c>
      <c r="J84" s="64">
        <v>0.7</v>
      </c>
      <c r="K84" s="64">
        <v>344.63</v>
      </c>
      <c r="L84" s="64">
        <v>26.8</v>
      </c>
      <c r="M84" s="64">
        <v>85.02</v>
      </c>
      <c r="N84" s="64">
        <v>30.6</v>
      </c>
      <c r="O84" s="64">
        <v>0</v>
      </c>
      <c r="P84" s="64">
        <v>0.56999999999999995</v>
      </c>
      <c r="Q84" s="64">
        <v>1.1399999999999999</v>
      </c>
      <c r="R84" s="198"/>
      <c r="S84" s="198"/>
      <c r="T84" s="198"/>
      <c r="U84" s="198"/>
    </row>
    <row r="85" spans="1:26" s="12" customFormat="1" x14ac:dyDescent="0.25">
      <c r="A85" s="215" t="s">
        <v>2921</v>
      </c>
      <c r="B85" s="64">
        <v>14.49</v>
      </c>
      <c r="C85" s="64">
        <v>32.520000000000003</v>
      </c>
      <c r="D85" s="64">
        <v>30.21</v>
      </c>
      <c r="E85" s="64">
        <v>3.04</v>
      </c>
      <c r="F85" s="64">
        <v>8.7899999999999991</v>
      </c>
      <c r="G85" s="64">
        <v>36.36</v>
      </c>
      <c r="H85" s="64">
        <v>16.88</v>
      </c>
      <c r="I85" s="216" t="s">
        <v>43</v>
      </c>
      <c r="J85" s="64">
        <v>0.53</v>
      </c>
      <c r="K85" s="64">
        <v>355.1</v>
      </c>
      <c r="L85" s="64">
        <v>26.65</v>
      </c>
      <c r="M85" s="64">
        <v>86.57</v>
      </c>
      <c r="N85" s="64">
        <v>30.5</v>
      </c>
      <c r="O85" s="64">
        <v>0</v>
      </c>
      <c r="P85" s="64">
        <v>0.65</v>
      </c>
      <c r="Q85" s="217" t="s">
        <v>42</v>
      </c>
      <c r="R85" s="198"/>
      <c r="S85" s="198"/>
      <c r="T85" s="198"/>
      <c r="U85" s="198"/>
    </row>
    <row r="86" spans="1:26" s="12" customFormat="1" x14ac:dyDescent="0.25">
      <c r="A86" s="215" t="s">
        <v>2922</v>
      </c>
      <c r="B86" s="64">
        <v>14.96</v>
      </c>
      <c r="C86" s="64">
        <v>27.84</v>
      </c>
      <c r="D86" s="64">
        <v>28</v>
      </c>
      <c r="E86" s="64">
        <v>3.51</v>
      </c>
      <c r="F86" s="64">
        <v>9.58</v>
      </c>
      <c r="G86" s="64">
        <v>39.380000000000003</v>
      </c>
      <c r="H86" s="64">
        <v>16.3</v>
      </c>
      <c r="I86" s="216" t="s">
        <v>43</v>
      </c>
      <c r="J86" s="64">
        <v>0.5</v>
      </c>
      <c r="K86" s="64">
        <v>350.82</v>
      </c>
      <c r="L86" s="64">
        <v>26.58</v>
      </c>
      <c r="M86" s="64">
        <v>87.5</v>
      </c>
      <c r="N86" s="64">
        <v>30.5</v>
      </c>
      <c r="O86" s="64">
        <v>0</v>
      </c>
      <c r="P86" s="64">
        <v>0.69</v>
      </c>
      <c r="Q86" s="64">
        <v>0.93</v>
      </c>
      <c r="R86" s="198"/>
      <c r="S86" s="198"/>
      <c r="T86" s="198"/>
      <c r="U86" s="198"/>
    </row>
    <row r="87" spans="1:26" s="12" customFormat="1" x14ac:dyDescent="0.25">
      <c r="A87" s="215" t="s">
        <v>2923</v>
      </c>
      <c r="B87" s="64">
        <v>15.32</v>
      </c>
      <c r="C87" s="64">
        <v>27.33</v>
      </c>
      <c r="D87" s="64">
        <v>28.02</v>
      </c>
      <c r="E87" s="64">
        <v>3.66</v>
      </c>
      <c r="F87" s="64">
        <v>8.2899999999999991</v>
      </c>
      <c r="G87" s="64">
        <v>40.33</v>
      </c>
      <c r="H87" s="64">
        <v>16.3</v>
      </c>
      <c r="I87" s="216" t="s">
        <v>43</v>
      </c>
      <c r="J87" s="64">
        <v>0.61</v>
      </c>
      <c r="K87" s="64">
        <v>350.85</v>
      </c>
      <c r="L87" s="64">
        <v>26.6</v>
      </c>
      <c r="M87" s="64">
        <v>87.22</v>
      </c>
      <c r="N87" s="64">
        <v>30.5</v>
      </c>
      <c r="O87" s="64">
        <v>0</v>
      </c>
      <c r="P87" s="64">
        <v>0.74</v>
      </c>
      <c r="Q87" s="64">
        <v>1.35</v>
      </c>
      <c r="R87" s="198"/>
      <c r="S87" s="198"/>
      <c r="T87" s="198"/>
      <c r="U87" s="198"/>
    </row>
    <row r="88" spans="1:26" s="12" customFormat="1" x14ac:dyDescent="0.25">
      <c r="A88" s="215" t="s">
        <v>2924</v>
      </c>
      <c r="B88" s="64">
        <v>16</v>
      </c>
      <c r="C88" s="64">
        <v>24.83</v>
      </c>
      <c r="D88" s="64">
        <v>27.19</v>
      </c>
      <c r="E88" s="64">
        <v>1.82</v>
      </c>
      <c r="F88" s="64">
        <v>4.9400000000000004</v>
      </c>
      <c r="G88" s="64">
        <v>40.33</v>
      </c>
      <c r="H88" s="64">
        <v>16.3</v>
      </c>
      <c r="I88" s="216" t="s">
        <v>43</v>
      </c>
      <c r="J88" s="64">
        <v>0.47</v>
      </c>
      <c r="K88" s="64">
        <v>355.15</v>
      </c>
      <c r="L88" s="64">
        <v>26.54</v>
      </c>
      <c r="M88" s="64">
        <v>86.75</v>
      </c>
      <c r="N88" s="64">
        <v>31.5</v>
      </c>
      <c r="O88" s="64">
        <v>0</v>
      </c>
      <c r="P88" s="64">
        <v>0.69</v>
      </c>
      <c r="Q88" s="64">
        <v>0.04</v>
      </c>
      <c r="R88" s="198"/>
      <c r="S88" s="198"/>
      <c r="T88" s="198"/>
      <c r="U88" s="198"/>
    </row>
    <row r="89" spans="1:26" s="12" customFormat="1" x14ac:dyDescent="0.25">
      <c r="A89" s="215" t="s">
        <v>2925</v>
      </c>
      <c r="B89" s="64">
        <v>21.46</v>
      </c>
      <c r="C89" s="64">
        <v>26.69</v>
      </c>
      <c r="D89" s="64">
        <v>32.590000000000003</v>
      </c>
      <c r="E89" s="64">
        <v>2.4500000000000002</v>
      </c>
      <c r="F89" s="64">
        <v>5.39</v>
      </c>
      <c r="G89" s="64">
        <v>40.33</v>
      </c>
      <c r="H89" s="64">
        <v>16.3</v>
      </c>
      <c r="I89" s="216" t="s">
        <v>43</v>
      </c>
      <c r="J89" s="64">
        <v>0.32</v>
      </c>
      <c r="K89" s="64">
        <v>11.69</v>
      </c>
      <c r="L89" s="64">
        <v>26.51</v>
      </c>
      <c r="M89" s="64">
        <v>86.28</v>
      </c>
      <c r="N89" s="64">
        <v>32.799999999999997</v>
      </c>
      <c r="O89" s="64">
        <v>0</v>
      </c>
      <c r="P89" s="64">
        <v>0.7</v>
      </c>
      <c r="Q89" s="217" t="s">
        <v>42</v>
      </c>
      <c r="R89" s="198"/>
      <c r="S89" s="198"/>
      <c r="T89" s="198"/>
      <c r="U89" s="198"/>
    </row>
    <row r="90" spans="1:26" s="12" customFormat="1" x14ac:dyDescent="0.25">
      <c r="A90" s="215" t="s">
        <v>2926</v>
      </c>
      <c r="B90" s="64">
        <v>20.69</v>
      </c>
      <c r="C90" s="64">
        <v>27.66</v>
      </c>
      <c r="D90" s="64">
        <v>32.51</v>
      </c>
      <c r="E90" s="64">
        <v>2.56</v>
      </c>
      <c r="F90" s="64">
        <v>6.83</v>
      </c>
      <c r="G90" s="64">
        <v>39.880000000000003</v>
      </c>
      <c r="H90" s="64">
        <v>16.920000000000002</v>
      </c>
      <c r="I90" s="216" t="s">
        <v>43</v>
      </c>
      <c r="J90" s="64">
        <v>0.2</v>
      </c>
      <c r="K90" s="64">
        <v>35.299999999999997</v>
      </c>
      <c r="L90" s="64">
        <v>26.43</v>
      </c>
      <c r="M90" s="64">
        <v>86.71</v>
      </c>
      <c r="N90" s="64">
        <v>32.700000000000003</v>
      </c>
      <c r="O90" s="64">
        <v>0</v>
      </c>
      <c r="P90" s="64">
        <v>0.75</v>
      </c>
      <c r="Q90" s="217" t="s">
        <v>42</v>
      </c>
      <c r="R90" s="198"/>
      <c r="S90" s="198"/>
      <c r="T90" s="198"/>
      <c r="U90" s="198"/>
    </row>
    <row r="91" spans="1:26" s="12" customFormat="1" x14ac:dyDescent="0.25">
      <c r="A91" s="215" t="s">
        <v>2927</v>
      </c>
      <c r="B91" s="64">
        <v>19.62</v>
      </c>
      <c r="C91" s="64">
        <v>27.31</v>
      </c>
      <c r="D91" s="64">
        <v>31.45</v>
      </c>
      <c r="E91" s="64">
        <v>2.33</v>
      </c>
      <c r="F91" s="64">
        <v>4.8</v>
      </c>
      <c r="G91" s="64">
        <v>39.74</v>
      </c>
      <c r="H91" s="64">
        <v>16.920000000000002</v>
      </c>
      <c r="I91" s="216" t="s">
        <v>43</v>
      </c>
      <c r="J91" s="64">
        <v>0.32</v>
      </c>
      <c r="K91" s="64">
        <v>28.88</v>
      </c>
      <c r="L91" s="64">
        <v>26.31</v>
      </c>
      <c r="M91" s="64">
        <v>88.39</v>
      </c>
      <c r="N91" s="64">
        <v>32.700000000000003</v>
      </c>
      <c r="O91" s="64">
        <v>0</v>
      </c>
      <c r="P91" s="64">
        <v>0.76</v>
      </c>
      <c r="Q91" s="64">
        <v>0.53</v>
      </c>
      <c r="R91" s="198"/>
      <c r="S91" s="198"/>
      <c r="T91" s="198"/>
      <c r="U91" s="198"/>
    </row>
    <row r="92" spans="1:26" s="12" customFormat="1" x14ac:dyDescent="0.25">
      <c r="A92" s="215" t="s">
        <v>2928</v>
      </c>
      <c r="B92" s="64">
        <v>18.72</v>
      </c>
      <c r="C92" s="64">
        <v>26.55</v>
      </c>
      <c r="D92" s="64">
        <v>30.31</v>
      </c>
      <c r="E92" s="64">
        <v>2.39</v>
      </c>
      <c r="F92" s="64">
        <v>4.87</v>
      </c>
      <c r="G92" s="64">
        <v>39.74</v>
      </c>
      <c r="H92" s="64">
        <v>16.920000000000002</v>
      </c>
      <c r="I92" s="216" t="s">
        <v>43</v>
      </c>
      <c r="J92" s="64">
        <v>0.38</v>
      </c>
      <c r="K92" s="64">
        <v>36.83</v>
      </c>
      <c r="L92" s="64">
        <v>26.24</v>
      </c>
      <c r="M92" s="64">
        <v>90.74</v>
      </c>
      <c r="N92" s="64">
        <v>32.6</v>
      </c>
      <c r="O92" s="64">
        <v>0</v>
      </c>
      <c r="P92" s="64">
        <v>0.71</v>
      </c>
      <c r="Q92" s="64">
        <v>0.27</v>
      </c>
      <c r="R92" s="198"/>
      <c r="S92" s="198"/>
      <c r="T92" s="198"/>
      <c r="U92" s="198"/>
    </row>
    <row r="93" spans="1:26" s="12" customFormat="1" x14ac:dyDescent="0.25">
      <c r="A93" s="215" t="s">
        <v>2929</v>
      </c>
      <c r="B93" s="64">
        <v>18.399999999999999</v>
      </c>
      <c r="C93" s="64">
        <v>28.3</v>
      </c>
      <c r="D93" s="64">
        <v>31.02</v>
      </c>
      <c r="E93" s="64">
        <v>2.36</v>
      </c>
      <c r="F93" s="64">
        <v>4.72</v>
      </c>
      <c r="G93" s="64">
        <v>39.74</v>
      </c>
      <c r="H93" s="64">
        <v>16.920000000000002</v>
      </c>
      <c r="I93" s="216" t="s">
        <v>43</v>
      </c>
      <c r="J93" s="64">
        <v>0.31</v>
      </c>
      <c r="K93" s="64">
        <v>36.68</v>
      </c>
      <c r="L93" s="64">
        <v>26.19</v>
      </c>
      <c r="M93" s="64">
        <v>91.25</v>
      </c>
      <c r="N93" s="64">
        <v>32.700000000000003</v>
      </c>
      <c r="O93" s="64">
        <v>0</v>
      </c>
      <c r="P93" s="64">
        <v>0.73</v>
      </c>
      <c r="Q93" s="64">
        <v>0.06</v>
      </c>
      <c r="R93" s="198"/>
      <c r="S93" s="198"/>
      <c r="T93" s="198"/>
      <c r="U93" s="198"/>
    </row>
    <row r="94" spans="1:26" s="12" customFormat="1" x14ac:dyDescent="0.25">
      <c r="A94" s="215" t="s">
        <v>2930</v>
      </c>
      <c r="B94" s="64">
        <v>16.96</v>
      </c>
      <c r="C94" s="64">
        <v>28.72</v>
      </c>
      <c r="D94" s="64">
        <v>30.1</v>
      </c>
      <c r="E94" s="64">
        <v>2.46</v>
      </c>
      <c r="F94" s="64">
        <v>4.7300000000000004</v>
      </c>
      <c r="G94" s="64">
        <v>42</v>
      </c>
      <c r="H94" s="64">
        <v>18.3</v>
      </c>
      <c r="I94" s="216" t="s">
        <v>43</v>
      </c>
      <c r="J94" s="64">
        <v>0.32</v>
      </c>
      <c r="K94" s="64">
        <v>38.229999999999997</v>
      </c>
      <c r="L94" s="64">
        <v>26.14</v>
      </c>
      <c r="M94" s="64">
        <v>91.08</v>
      </c>
      <c r="N94" s="64">
        <v>32.799999999999997</v>
      </c>
      <c r="O94" s="64">
        <v>0</v>
      </c>
      <c r="P94" s="64">
        <v>0.72</v>
      </c>
      <c r="Q94" s="64">
        <v>0.06</v>
      </c>
      <c r="R94" s="198"/>
      <c r="S94" s="198"/>
      <c r="T94" s="198"/>
      <c r="U94" s="198"/>
    </row>
    <row r="95" spans="1:26" s="12" customFormat="1" x14ac:dyDescent="0.25">
      <c r="A95" s="215" t="s">
        <v>2931</v>
      </c>
      <c r="B95" s="64">
        <v>14.2</v>
      </c>
      <c r="C95" s="64">
        <v>29.35</v>
      </c>
      <c r="D95" s="64">
        <v>28.23</v>
      </c>
      <c r="E95" s="64">
        <v>2.2999999999999998</v>
      </c>
      <c r="F95" s="64">
        <v>5.84</v>
      </c>
      <c r="G95" s="64">
        <v>42.69</v>
      </c>
      <c r="H95" s="64">
        <v>18.46</v>
      </c>
      <c r="I95" s="216" t="s">
        <v>43</v>
      </c>
      <c r="J95" s="64">
        <v>0.35</v>
      </c>
      <c r="K95" s="64">
        <v>41.45</v>
      </c>
      <c r="L95" s="64">
        <v>26.06</v>
      </c>
      <c r="M95" s="64">
        <v>91.28</v>
      </c>
      <c r="N95" s="64">
        <v>32.799999999999997</v>
      </c>
      <c r="O95" s="64">
        <v>0</v>
      </c>
      <c r="P95" s="64">
        <v>0.72</v>
      </c>
      <c r="Q95" s="64">
        <v>0.48</v>
      </c>
      <c r="R95" s="198"/>
      <c r="S95" s="198"/>
      <c r="T95" s="198"/>
      <c r="U95" s="198"/>
    </row>
    <row r="96" spans="1:26" s="12" customFormat="1" x14ac:dyDescent="0.25">
      <c r="A96" s="215" t="s">
        <v>2932</v>
      </c>
      <c r="B96" s="64">
        <v>14.25</v>
      </c>
      <c r="C96" s="64">
        <v>29.8</v>
      </c>
      <c r="D96" s="64">
        <v>28.52</v>
      </c>
      <c r="E96" s="64">
        <v>2.64</v>
      </c>
      <c r="F96" s="64">
        <v>5.96</v>
      </c>
      <c r="G96" s="64">
        <v>42.69</v>
      </c>
      <c r="H96" s="64">
        <v>18.46</v>
      </c>
      <c r="I96" s="216" t="s">
        <v>43</v>
      </c>
      <c r="J96" s="64">
        <v>0.4</v>
      </c>
      <c r="K96" s="64">
        <v>40.14</v>
      </c>
      <c r="L96" s="64">
        <v>26.01</v>
      </c>
      <c r="M96" s="64">
        <v>91.61</v>
      </c>
      <c r="N96" s="64">
        <v>32.799999999999997</v>
      </c>
      <c r="O96" s="64">
        <v>0</v>
      </c>
      <c r="P96" s="64">
        <v>0.68</v>
      </c>
      <c r="Q96" s="64">
        <v>1.1499999999999999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2933</v>
      </c>
      <c r="B97" s="64">
        <v>12.95</v>
      </c>
      <c r="C97" s="64">
        <v>29.55</v>
      </c>
      <c r="D97" s="64">
        <v>27.34</v>
      </c>
      <c r="E97" s="64">
        <v>2.27</v>
      </c>
      <c r="F97" s="64">
        <v>4.67</v>
      </c>
      <c r="G97" s="64">
        <v>42.69</v>
      </c>
      <c r="H97" s="64">
        <v>18.46</v>
      </c>
      <c r="I97" s="216" t="s">
        <v>43</v>
      </c>
      <c r="J97" s="64">
        <v>0.45</v>
      </c>
      <c r="K97" s="64">
        <v>34.81</v>
      </c>
      <c r="L97" s="64">
        <v>25.9</v>
      </c>
      <c r="M97" s="64">
        <v>88.37</v>
      </c>
      <c r="N97" s="64">
        <v>32.799999999999997</v>
      </c>
      <c r="O97" s="64">
        <v>0</v>
      </c>
      <c r="P97" s="64">
        <v>0.66</v>
      </c>
      <c r="Q97" s="64">
        <v>1.06</v>
      </c>
      <c r="R97" s="198"/>
      <c r="S97" s="198"/>
      <c r="T97" s="198"/>
      <c r="U97" s="198"/>
    </row>
    <row r="98" spans="1:33" s="12" customFormat="1" x14ac:dyDescent="0.25">
      <c r="A98" s="215" t="s">
        <v>2934</v>
      </c>
      <c r="B98" s="64">
        <v>11.03</v>
      </c>
      <c r="C98" s="64">
        <v>28.35</v>
      </c>
      <c r="D98" s="64">
        <v>25.13</v>
      </c>
      <c r="E98" s="64">
        <v>2.34</v>
      </c>
      <c r="F98" s="64">
        <v>5.49</v>
      </c>
      <c r="G98" s="64">
        <v>39.49</v>
      </c>
      <c r="H98" s="64">
        <v>16.88</v>
      </c>
      <c r="I98" s="216" t="s">
        <v>43</v>
      </c>
      <c r="J98" s="64">
        <v>0.42</v>
      </c>
      <c r="K98" s="64">
        <v>35.11</v>
      </c>
      <c r="L98" s="64">
        <v>25.71</v>
      </c>
      <c r="M98" s="64">
        <v>88.09</v>
      </c>
      <c r="N98" s="64">
        <v>33</v>
      </c>
      <c r="O98" s="64">
        <v>0</v>
      </c>
      <c r="P98" s="64">
        <v>0.66</v>
      </c>
      <c r="Q98" s="64">
        <v>0.09</v>
      </c>
      <c r="R98" s="198"/>
      <c r="S98" s="198"/>
      <c r="T98" s="198"/>
      <c r="U98" s="198"/>
    </row>
    <row r="99" spans="1:33" s="12" customFormat="1" x14ac:dyDescent="0.25">
      <c r="A99" s="215" t="s">
        <v>2935</v>
      </c>
      <c r="B99" s="64">
        <v>10.64</v>
      </c>
      <c r="C99" s="64">
        <v>28.72</v>
      </c>
      <c r="D99" s="64">
        <v>25.03</v>
      </c>
      <c r="E99" s="64">
        <v>2.58</v>
      </c>
      <c r="F99" s="64">
        <v>4.0999999999999996</v>
      </c>
      <c r="G99" s="64">
        <v>38.51</v>
      </c>
      <c r="H99" s="64">
        <v>16.88</v>
      </c>
      <c r="I99" s="216" t="s">
        <v>43</v>
      </c>
      <c r="J99" s="64">
        <v>0.45</v>
      </c>
      <c r="K99" s="64">
        <v>24.53</v>
      </c>
      <c r="L99" s="64">
        <v>25.57</v>
      </c>
      <c r="M99" s="64">
        <v>90.52</v>
      </c>
      <c r="N99" s="64">
        <v>32.9</v>
      </c>
      <c r="O99" s="64">
        <v>0</v>
      </c>
      <c r="P99" s="64">
        <v>0.65</v>
      </c>
      <c r="Q99" s="64">
        <v>0.05</v>
      </c>
      <c r="R99" s="198"/>
      <c r="S99" s="198"/>
      <c r="T99" s="198"/>
      <c r="U99" s="198"/>
    </row>
    <row r="100" spans="1:33" s="12" customFormat="1" x14ac:dyDescent="0.25">
      <c r="A100" s="215" t="s">
        <v>2936</v>
      </c>
      <c r="B100" s="64">
        <v>10.06</v>
      </c>
      <c r="C100" s="64">
        <v>27.97</v>
      </c>
      <c r="D100" s="64">
        <v>24.15</v>
      </c>
      <c r="E100" s="64">
        <v>2.0499999999999998</v>
      </c>
      <c r="F100" s="64">
        <v>3.87</v>
      </c>
      <c r="G100" s="64">
        <v>38.51</v>
      </c>
      <c r="H100" s="64">
        <v>16.88</v>
      </c>
      <c r="I100" s="216" t="s">
        <v>43</v>
      </c>
      <c r="J100" s="64">
        <v>0.72</v>
      </c>
      <c r="K100" s="64">
        <v>5.97</v>
      </c>
      <c r="L100" s="64">
        <v>25.34</v>
      </c>
      <c r="M100" s="64">
        <v>92.67</v>
      </c>
      <c r="N100" s="64">
        <v>31.9</v>
      </c>
      <c r="O100" s="64">
        <v>0</v>
      </c>
      <c r="P100" s="64">
        <v>0.68</v>
      </c>
      <c r="Q100" s="217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2937</v>
      </c>
      <c r="B101" s="64">
        <v>9.2899999999999991</v>
      </c>
      <c r="C101" s="64">
        <v>27</v>
      </c>
      <c r="D101" s="64">
        <v>23</v>
      </c>
      <c r="E101" s="64">
        <v>2.3199999999999998</v>
      </c>
      <c r="F101" s="64">
        <v>5.36</v>
      </c>
      <c r="G101" s="64">
        <v>38.51</v>
      </c>
      <c r="H101" s="64">
        <v>16.88</v>
      </c>
      <c r="I101" s="216" t="s">
        <v>43</v>
      </c>
      <c r="J101" s="64">
        <v>2.06</v>
      </c>
      <c r="K101" s="64">
        <v>9.81</v>
      </c>
      <c r="L101" s="64">
        <v>23.22</v>
      </c>
      <c r="M101" s="64">
        <v>93.43</v>
      </c>
      <c r="N101" s="64">
        <v>39.6</v>
      </c>
      <c r="O101" s="64">
        <v>5</v>
      </c>
      <c r="P101" s="64">
        <v>0.64</v>
      </c>
      <c r="Q101" s="217" t="s">
        <v>42</v>
      </c>
      <c r="R101" s="198"/>
      <c r="S101" s="198"/>
      <c r="T101" s="198"/>
      <c r="U101" s="198"/>
    </row>
    <row r="102" spans="1:33" s="12" customFormat="1" x14ac:dyDescent="0.25">
      <c r="A102" s="215" t="s">
        <v>2938</v>
      </c>
      <c r="B102" s="64">
        <v>7.85</v>
      </c>
      <c r="C102" s="64">
        <v>26.81</v>
      </c>
      <c r="D102" s="64">
        <v>21.73</v>
      </c>
      <c r="E102" s="64">
        <v>2.02</v>
      </c>
      <c r="F102" s="64">
        <v>4.97</v>
      </c>
      <c r="G102" s="64">
        <v>35.24</v>
      </c>
      <c r="H102" s="64">
        <v>14.22</v>
      </c>
      <c r="I102" s="216" t="s">
        <v>43</v>
      </c>
      <c r="J102" s="64">
        <v>0.56999999999999995</v>
      </c>
      <c r="K102" s="64">
        <v>31.31</v>
      </c>
      <c r="L102" s="64">
        <v>21.11</v>
      </c>
      <c r="M102" s="64">
        <v>97.27</v>
      </c>
      <c r="N102" s="64">
        <v>32.1</v>
      </c>
      <c r="O102" s="64">
        <v>19.8</v>
      </c>
      <c r="P102" s="64">
        <v>0.6</v>
      </c>
      <c r="Q102" s="217" t="s">
        <v>42</v>
      </c>
      <c r="R102" s="198"/>
      <c r="S102" s="198"/>
      <c r="T102" s="198"/>
      <c r="U102" s="198"/>
    </row>
    <row r="103" spans="1:33" s="12" customFormat="1" x14ac:dyDescent="0.25">
      <c r="A103" s="215" t="s">
        <v>2939</v>
      </c>
      <c r="B103" s="64">
        <v>7.14</v>
      </c>
      <c r="C103" s="64">
        <v>26.51</v>
      </c>
      <c r="D103" s="64">
        <v>21.01</v>
      </c>
      <c r="E103" s="64">
        <v>2.08</v>
      </c>
      <c r="F103" s="64">
        <v>4.6500000000000004</v>
      </c>
      <c r="G103" s="64">
        <v>34.24</v>
      </c>
      <c r="H103" s="64">
        <v>14.22</v>
      </c>
      <c r="I103" s="216" t="s">
        <v>43</v>
      </c>
      <c r="J103" s="64">
        <v>0.47</v>
      </c>
      <c r="K103" s="64">
        <v>9.2899999999999991</v>
      </c>
      <c r="L103" s="64">
        <v>22.04</v>
      </c>
      <c r="M103" s="64">
        <v>97.3</v>
      </c>
      <c r="N103" s="64">
        <v>31.7</v>
      </c>
      <c r="O103" s="64">
        <v>3.4</v>
      </c>
      <c r="P103" s="64">
        <v>0.56999999999999995</v>
      </c>
      <c r="Q103" s="217" t="s">
        <v>42</v>
      </c>
      <c r="R103" s="198"/>
      <c r="S103" s="198"/>
      <c r="T103" s="198"/>
      <c r="U103" s="198"/>
    </row>
    <row r="104" spans="1:33" s="12" customFormat="1" x14ac:dyDescent="0.25">
      <c r="A104" s="215" t="s">
        <v>2940</v>
      </c>
      <c r="B104" s="64">
        <v>6.66</v>
      </c>
      <c r="C104" s="64">
        <v>26.2</v>
      </c>
      <c r="D104" s="64">
        <v>20.45</v>
      </c>
      <c r="E104" s="64">
        <v>1.7</v>
      </c>
      <c r="F104" s="64">
        <v>6.02</v>
      </c>
      <c r="G104" s="64">
        <v>34.24</v>
      </c>
      <c r="H104" s="64">
        <v>14.22</v>
      </c>
      <c r="I104" s="216" t="s">
        <v>43</v>
      </c>
      <c r="J104" s="64">
        <v>0.34</v>
      </c>
      <c r="K104" s="64">
        <v>1.31</v>
      </c>
      <c r="L104" s="64">
        <v>22.52</v>
      </c>
      <c r="M104" s="64">
        <v>97.29</v>
      </c>
      <c r="N104" s="64">
        <v>32.299999999999997</v>
      </c>
      <c r="O104" s="64">
        <v>1.2</v>
      </c>
      <c r="P104" s="64">
        <v>0.52</v>
      </c>
      <c r="Q104" s="217" t="s">
        <v>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2.79</v>
      </c>
      <c r="C106" s="67">
        <f>MIN(C9:C104)</f>
        <v>18.95</v>
      </c>
      <c r="D106" s="67">
        <f t="shared" ref="D106:Q106" si="0">MIN(D9:D104)</f>
        <v>14.14</v>
      </c>
      <c r="E106" s="67">
        <f t="shared" si="0"/>
        <v>1.62</v>
      </c>
      <c r="F106" s="67">
        <f t="shared" si="0"/>
        <v>3.45</v>
      </c>
      <c r="G106" s="67">
        <f t="shared" si="0"/>
        <v>7.02</v>
      </c>
      <c r="H106" s="67">
        <f t="shared" si="0"/>
        <v>7.22</v>
      </c>
      <c r="I106" s="67">
        <f t="shared" si="0"/>
        <v>0</v>
      </c>
      <c r="J106" s="67">
        <f t="shared" si="0"/>
        <v>0.01</v>
      </c>
      <c r="K106" s="67">
        <f t="shared" si="0"/>
        <v>0.3</v>
      </c>
      <c r="L106" s="67">
        <f t="shared" si="0"/>
        <v>21.11</v>
      </c>
      <c r="M106" s="67">
        <f t="shared" si="0"/>
        <v>70.38</v>
      </c>
      <c r="N106" s="67">
        <f t="shared" si="0"/>
        <v>30.3</v>
      </c>
      <c r="O106" s="67">
        <f t="shared" si="0"/>
        <v>0</v>
      </c>
      <c r="P106" s="67">
        <f t="shared" si="0"/>
        <v>0.3</v>
      </c>
      <c r="Q106" s="67">
        <f t="shared" si="0"/>
        <v>0.04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21.46</v>
      </c>
      <c r="C107" s="66">
        <f t="shared" ref="C107:Q107" si="1">MAX(C9:C104)</f>
        <v>37.32</v>
      </c>
      <c r="D107" s="66">
        <f t="shared" si="1"/>
        <v>32.590000000000003</v>
      </c>
      <c r="E107" s="66">
        <f t="shared" si="1"/>
        <v>3.66</v>
      </c>
      <c r="F107" s="66">
        <f t="shared" si="1"/>
        <v>16.71</v>
      </c>
      <c r="G107" s="66">
        <f t="shared" si="1"/>
        <v>58.06</v>
      </c>
      <c r="H107" s="66">
        <f t="shared" si="1"/>
        <v>25.5</v>
      </c>
      <c r="I107" s="66">
        <f t="shared" si="1"/>
        <v>0</v>
      </c>
      <c r="J107" s="66">
        <f t="shared" si="1"/>
        <v>2.06</v>
      </c>
      <c r="K107" s="66">
        <f t="shared" si="1"/>
        <v>359.41</v>
      </c>
      <c r="L107" s="66">
        <f t="shared" si="1"/>
        <v>30.54</v>
      </c>
      <c r="M107" s="66">
        <f t="shared" si="1"/>
        <v>97.3</v>
      </c>
      <c r="N107" s="66">
        <f t="shared" si="1"/>
        <v>851.5</v>
      </c>
      <c r="O107" s="66">
        <f t="shared" si="1"/>
        <v>19.8</v>
      </c>
      <c r="P107" s="66">
        <f t="shared" si="1"/>
        <v>0.99</v>
      </c>
      <c r="Q107" s="66">
        <f t="shared" si="1"/>
        <v>10.74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9.7245833333333369</v>
      </c>
      <c r="C108" s="67">
        <f t="shared" ref="C108:Q108" si="2">AVERAGE(C9:C104)</f>
        <v>27.210416666666671</v>
      </c>
      <c r="D108" s="67">
        <f t="shared" si="2"/>
        <v>23.461666666666677</v>
      </c>
      <c r="E108" s="67">
        <f t="shared" si="2"/>
        <v>2.5953124999999999</v>
      </c>
      <c r="F108" s="67">
        <f t="shared" si="2"/>
        <v>7.2019791666666713</v>
      </c>
      <c r="G108" s="67">
        <f t="shared" si="2"/>
        <v>30.764895833333323</v>
      </c>
      <c r="H108" s="67">
        <f t="shared" si="2"/>
        <v>14.53020833333334</v>
      </c>
      <c r="I108" s="67" t="e">
        <f t="shared" si="2"/>
        <v>#DIV/0!</v>
      </c>
      <c r="J108" s="67">
        <f t="shared" si="2"/>
        <v>0.47625000000000012</v>
      </c>
      <c r="K108" s="67">
        <f t="shared" si="2"/>
        <v>165.35437499999998</v>
      </c>
      <c r="L108" s="67">
        <f t="shared" si="2"/>
        <v>25.795416666666672</v>
      </c>
      <c r="M108" s="67">
        <f t="shared" si="2"/>
        <v>88.083124999999995</v>
      </c>
      <c r="N108" s="67">
        <f t="shared" si="2"/>
        <v>182.17604166666658</v>
      </c>
      <c r="O108" s="67">
        <f t="shared" si="2"/>
        <v>0.68124999999999991</v>
      </c>
      <c r="P108" s="67">
        <f t="shared" si="2"/>
        <v>0.561770833333333</v>
      </c>
      <c r="Q108" s="67">
        <f t="shared" si="2"/>
        <v>5.0558064516129013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4.7371112486890237</v>
      </c>
      <c r="C109" s="67">
        <f t="shared" ref="C109:Q109" si="3">STDEV(C9:C104)</f>
        <v>3.5990518975701802</v>
      </c>
      <c r="D109" s="67">
        <f t="shared" si="3"/>
        <v>4.2708006562720033</v>
      </c>
      <c r="E109" s="67">
        <f t="shared" si="3"/>
        <v>0.49652466547096452</v>
      </c>
      <c r="F109" s="67">
        <f t="shared" si="3"/>
        <v>2.9116223077039431</v>
      </c>
      <c r="G109" s="67">
        <f t="shared" si="3"/>
        <v>12.5920517114895</v>
      </c>
      <c r="H109" s="67">
        <f t="shared" si="3"/>
        <v>4.5883252257433433</v>
      </c>
      <c r="I109" s="67" t="e">
        <f t="shared" si="3"/>
        <v>#DIV/0!</v>
      </c>
      <c r="J109" s="67">
        <f t="shared" si="3"/>
        <v>0.31028764244267204</v>
      </c>
      <c r="K109" s="67">
        <f t="shared" si="3"/>
        <v>158.11649152519436</v>
      </c>
      <c r="L109" s="67">
        <f t="shared" si="3"/>
        <v>2.6511351755988648</v>
      </c>
      <c r="M109" s="67">
        <f t="shared" si="3"/>
        <v>8.6747606443545227</v>
      </c>
      <c r="N109" s="67">
        <f t="shared" si="3"/>
        <v>200.2845185413106</v>
      </c>
      <c r="O109" s="67">
        <f t="shared" si="3"/>
        <v>2.5254207570224807</v>
      </c>
      <c r="P109" s="67">
        <f t="shared" si="3"/>
        <v>0.14384929827439286</v>
      </c>
      <c r="Q109" s="67">
        <f t="shared" si="3"/>
        <v>3.1319645269368115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COUNT(Q9:Q104)+34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97" zoomScale="85" zoomScaleNormal="85" workbookViewId="0">
      <selection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2941</v>
      </c>
      <c r="B9" s="64">
        <v>6.79</v>
      </c>
      <c r="C9" s="64">
        <v>26.24</v>
      </c>
      <c r="D9" s="64">
        <v>20.57</v>
      </c>
      <c r="E9" s="64">
        <v>2.46</v>
      </c>
      <c r="F9" s="64">
        <v>3.8</v>
      </c>
      <c r="G9" s="64">
        <v>34.24</v>
      </c>
      <c r="H9" s="64">
        <v>14.22</v>
      </c>
      <c r="I9" s="216" t="s">
        <v>43</v>
      </c>
      <c r="J9" s="64">
        <v>2.6</v>
      </c>
      <c r="K9" s="64">
        <v>358.93</v>
      </c>
      <c r="L9" s="64">
        <v>22.63</v>
      </c>
      <c r="M9" s="64">
        <v>97.3</v>
      </c>
      <c r="N9" s="64">
        <v>34.6</v>
      </c>
      <c r="O9" s="64">
        <v>1.4</v>
      </c>
      <c r="P9" s="64">
        <v>0.52</v>
      </c>
      <c r="Q9" s="217" t="s">
        <v>42</v>
      </c>
      <c r="R9" s="198"/>
      <c r="S9" s="198"/>
      <c r="T9" s="198"/>
      <c r="U9" s="198"/>
    </row>
    <row r="10" spans="1:21" s="12" customFormat="1" x14ac:dyDescent="0.25">
      <c r="A10" s="215" t="s">
        <v>2942</v>
      </c>
      <c r="B10" s="64">
        <v>5.74</v>
      </c>
      <c r="C10" s="64">
        <v>26.18</v>
      </c>
      <c r="D10" s="64">
        <v>19.7</v>
      </c>
      <c r="E10" s="64">
        <v>2.35</v>
      </c>
      <c r="F10" s="64">
        <v>4.78</v>
      </c>
      <c r="G10" s="64">
        <v>29.75</v>
      </c>
      <c r="H10" s="64">
        <v>11.77</v>
      </c>
      <c r="I10" s="216" t="s">
        <v>43</v>
      </c>
      <c r="J10" s="64">
        <v>2.23</v>
      </c>
      <c r="K10" s="64">
        <v>352.29</v>
      </c>
      <c r="L10" s="64">
        <v>21.85</v>
      </c>
      <c r="M10" s="64">
        <v>97.29</v>
      </c>
      <c r="N10" s="64">
        <v>33.700000000000003</v>
      </c>
      <c r="O10" s="64">
        <v>3.8</v>
      </c>
      <c r="P10" s="64">
        <v>0.48</v>
      </c>
      <c r="Q10" s="217" t="s">
        <v>42</v>
      </c>
      <c r="R10" s="198"/>
      <c r="S10" s="198"/>
      <c r="T10" s="198"/>
      <c r="U10" s="198"/>
    </row>
    <row r="11" spans="1:21" s="12" customFormat="1" x14ac:dyDescent="0.25">
      <c r="A11" s="215" t="s">
        <v>2943</v>
      </c>
      <c r="B11" s="64">
        <v>4.5199999999999996</v>
      </c>
      <c r="C11" s="64">
        <v>26.5</v>
      </c>
      <c r="D11" s="64">
        <v>18.899999999999999</v>
      </c>
      <c r="E11" s="64">
        <v>2.14</v>
      </c>
      <c r="F11" s="64">
        <v>3.63</v>
      </c>
      <c r="G11" s="64">
        <v>28.29</v>
      </c>
      <c r="H11" s="64">
        <v>11.77</v>
      </c>
      <c r="I11" s="216" t="s">
        <v>43</v>
      </c>
      <c r="J11" s="64">
        <v>1.93</v>
      </c>
      <c r="K11" s="64">
        <v>344.23</v>
      </c>
      <c r="L11" s="64">
        <v>21.65</v>
      </c>
      <c r="M11" s="64">
        <v>97.28</v>
      </c>
      <c r="N11" s="64">
        <v>33.1</v>
      </c>
      <c r="O11" s="64">
        <v>1.8</v>
      </c>
      <c r="P11" s="64">
        <v>0.45</v>
      </c>
      <c r="Q11" s="217" t="s">
        <v>42</v>
      </c>
      <c r="R11" s="198"/>
      <c r="S11" s="198"/>
      <c r="T11" s="198"/>
      <c r="U11" s="198"/>
    </row>
    <row r="12" spans="1:21" s="12" customFormat="1" x14ac:dyDescent="0.25">
      <c r="A12" s="215" t="s">
        <v>2944</v>
      </c>
      <c r="B12" s="64">
        <v>3.73</v>
      </c>
      <c r="C12" s="64">
        <v>24.23</v>
      </c>
      <c r="D12" s="64">
        <v>17.010000000000002</v>
      </c>
      <c r="E12" s="64">
        <v>2.4700000000000002</v>
      </c>
      <c r="F12" s="64">
        <v>4.3499999999999996</v>
      </c>
      <c r="G12" s="64">
        <v>28.29</v>
      </c>
      <c r="H12" s="64">
        <v>11.77</v>
      </c>
      <c r="I12" s="216" t="s">
        <v>43</v>
      </c>
      <c r="J12" s="64">
        <v>1.74</v>
      </c>
      <c r="K12" s="64">
        <v>337.66</v>
      </c>
      <c r="L12" s="64">
        <v>21.76</v>
      </c>
      <c r="M12" s="64">
        <v>97.28</v>
      </c>
      <c r="N12" s="64">
        <v>33.1</v>
      </c>
      <c r="O12" s="64">
        <v>2.4</v>
      </c>
      <c r="P12" s="64">
        <v>0.42</v>
      </c>
      <c r="Q12" s="217" t="s">
        <v>42</v>
      </c>
      <c r="R12" s="198"/>
      <c r="S12" s="198"/>
      <c r="T12" s="198"/>
      <c r="U12" s="198"/>
    </row>
    <row r="13" spans="1:21" s="12" customFormat="1" x14ac:dyDescent="0.25">
      <c r="A13" s="215" t="s">
        <v>2945</v>
      </c>
      <c r="B13" s="64">
        <v>3.17</v>
      </c>
      <c r="C13" s="64">
        <v>23.44</v>
      </c>
      <c r="D13" s="64">
        <v>16.12</v>
      </c>
      <c r="E13" s="64">
        <v>2.58</v>
      </c>
      <c r="F13" s="64">
        <v>4.09</v>
      </c>
      <c r="G13" s="64">
        <v>28.29</v>
      </c>
      <c r="H13" s="64">
        <v>11.77</v>
      </c>
      <c r="I13" s="216" t="s">
        <v>43</v>
      </c>
      <c r="J13" s="64">
        <v>1.7</v>
      </c>
      <c r="K13" s="64">
        <v>341.89</v>
      </c>
      <c r="L13" s="64">
        <v>21.67</v>
      </c>
      <c r="M13" s="64">
        <v>97.28</v>
      </c>
      <c r="N13" s="64">
        <v>33.299999999999997</v>
      </c>
      <c r="O13" s="64">
        <v>4.4000000000000004</v>
      </c>
      <c r="P13" s="64">
        <v>0.36</v>
      </c>
      <c r="Q13" s="217" t="s">
        <v>42</v>
      </c>
      <c r="R13" s="198"/>
      <c r="S13" s="198"/>
      <c r="T13" s="198"/>
      <c r="U13" s="198"/>
    </row>
    <row r="14" spans="1:21" s="12" customFormat="1" x14ac:dyDescent="0.25">
      <c r="A14" s="215" t="s">
        <v>2946</v>
      </c>
      <c r="B14" s="64">
        <v>2.64</v>
      </c>
      <c r="C14" s="64">
        <v>21.26</v>
      </c>
      <c r="D14" s="64">
        <v>14.5</v>
      </c>
      <c r="E14" s="64">
        <v>2.71</v>
      </c>
      <c r="F14" s="64">
        <v>6.3</v>
      </c>
      <c r="G14" s="64">
        <v>20.81</v>
      </c>
      <c r="H14" s="64">
        <v>15.22</v>
      </c>
      <c r="I14" s="216" t="s">
        <v>43</v>
      </c>
      <c r="J14" s="64">
        <v>1.46</v>
      </c>
      <c r="K14" s="64">
        <v>356.17</v>
      </c>
      <c r="L14" s="64">
        <v>21.65</v>
      </c>
      <c r="M14" s="64">
        <v>97.28</v>
      </c>
      <c r="N14" s="64">
        <v>33.1</v>
      </c>
      <c r="O14" s="64">
        <v>1.2</v>
      </c>
      <c r="P14" s="64">
        <v>0.35</v>
      </c>
      <c r="Q14" s="217" t="s">
        <v>42</v>
      </c>
      <c r="R14" s="198"/>
      <c r="S14" s="198"/>
      <c r="T14" s="198"/>
      <c r="U14" s="198"/>
    </row>
    <row r="15" spans="1:21" s="12" customFormat="1" x14ac:dyDescent="0.25">
      <c r="A15" s="215" t="s">
        <v>2947</v>
      </c>
      <c r="B15" s="64">
        <v>2.56</v>
      </c>
      <c r="C15" s="64">
        <v>20.49</v>
      </c>
      <c r="D15" s="64">
        <v>14</v>
      </c>
      <c r="E15" s="64">
        <v>2.31</v>
      </c>
      <c r="F15" s="64">
        <v>4.75</v>
      </c>
      <c r="G15" s="64">
        <v>18.39</v>
      </c>
      <c r="H15" s="64">
        <v>15.22</v>
      </c>
      <c r="I15" s="216" t="s">
        <v>43</v>
      </c>
      <c r="J15" s="64">
        <v>1.1000000000000001</v>
      </c>
      <c r="K15" s="64">
        <v>336.88</v>
      </c>
      <c r="L15" s="64">
        <v>21.6</v>
      </c>
      <c r="M15" s="64">
        <v>97.28</v>
      </c>
      <c r="N15" s="64">
        <v>33.1</v>
      </c>
      <c r="O15" s="64">
        <v>0.4</v>
      </c>
      <c r="P15" s="64">
        <v>0.34</v>
      </c>
      <c r="Q15" s="217" t="s">
        <v>42</v>
      </c>
      <c r="R15" s="198"/>
      <c r="S15" s="198"/>
      <c r="T15" s="198"/>
      <c r="U15" s="198"/>
    </row>
    <row r="16" spans="1:21" s="12" customFormat="1" x14ac:dyDescent="0.25">
      <c r="A16" s="215" t="s">
        <v>2948</v>
      </c>
      <c r="B16" s="64">
        <v>2.2999999999999998</v>
      </c>
      <c r="C16" s="64">
        <v>20.260000000000002</v>
      </c>
      <c r="D16" s="64">
        <v>13.68</v>
      </c>
      <c r="E16" s="64">
        <v>2.59</v>
      </c>
      <c r="F16" s="64">
        <v>4.53</v>
      </c>
      <c r="G16" s="64">
        <v>18.39</v>
      </c>
      <c r="H16" s="64">
        <v>15.22</v>
      </c>
      <c r="I16" s="216" t="s">
        <v>43</v>
      </c>
      <c r="J16" s="64">
        <v>1.1399999999999999</v>
      </c>
      <c r="K16" s="64">
        <v>338.96</v>
      </c>
      <c r="L16" s="64">
        <v>21.64</v>
      </c>
      <c r="M16" s="64">
        <v>97.28</v>
      </c>
      <c r="N16" s="64">
        <v>32.799999999999997</v>
      </c>
      <c r="O16" s="64">
        <v>0.4</v>
      </c>
      <c r="P16" s="64">
        <v>0.31</v>
      </c>
      <c r="Q16" s="217" t="s">
        <v>42</v>
      </c>
      <c r="R16" s="198"/>
      <c r="S16" s="198"/>
      <c r="T16" s="198"/>
      <c r="U16" s="198"/>
    </row>
    <row r="17" spans="1:21" s="12" customFormat="1" x14ac:dyDescent="0.25">
      <c r="A17" s="215" t="s">
        <v>2949</v>
      </c>
      <c r="B17" s="64">
        <v>2.56</v>
      </c>
      <c r="C17" s="64">
        <v>19.72</v>
      </c>
      <c r="D17" s="64">
        <v>13.59</v>
      </c>
      <c r="E17" s="64">
        <v>2.31</v>
      </c>
      <c r="F17" s="64">
        <v>4.17</v>
      </c>
      <c r="G17" s="64">
        <v>18.39</v>
      </c>
      <c r="H17" s="64">
        <v>15.22</v>
      </c>
      <c r="I17" s="216" t="s">
        <v>43</v>
      </c>
      <c r="J17" s="64">
        <v>1.1599999999999999</v>
      </c>
      <c r="K17" s="64">
        <v>338.4</v>
      </c>
      <c r="L17" s="64">
        <v>21.86</v>
      </c>
      <c r="M17" s="64">
        <v>97.27</v>
      </c>
      <c r="N17" s="64">
        <v>32.5</v>
      </c>
      <c r="O17" s="64">
        <v>0</v>
      </c>
      <c r="P17" s="64">
        <v>0.3</v>
      </c>
      <c r="Q17" s="217" t="s">
        <v>42</v>
      </c>
      <c r="R17" s="198"/>
      <c r="S17" s="198"/>
      <c r="T17" s="198"/>
      <c r="U17" s="198"/>
    </row>
    <row r="18" spans="1:21" s="12" customFormat="1" x14ac:dyDescent="0.25">
      <c r="A18" s="215" t="s">
        <v>2950</v>
      </c>
      <c r="B18" s="64">
        <v>2.76</v>
      </c>
      <c r="C18" s="64">
        <v>19.72</v>
      </c>
      <c r="D18" s="64">
        <v>13.74</v>
      </c>
      <c r="E18" s="64">
        <v>2.44</v>
      </c>
      <c r="F18" s="64">
        <v>4.18</v>
      </c>
      <c r="G18" s="217" t="s">
        <v>42</v>
      </c>
      <c r="H18" s="217" t="s">
        <v>42</v>
      </c>
      <c r="I18" s="216" t="s">
        <v>43</v>
      </c>
      <c r="J18" s="64">
        <v>1.44</v>
      </c>
      <c r="K18" s="64">
        <v>348.02</v>
      </c>
      <c r="L18" s="64">
        <v>22.04</v>
      </c>
      <c r="M18" s="64">
        <v>97.27</v>
      </c>
      <c r="N18" s="64">
        <v>32.700000000000003</v>
      </c>
      <c r="O18" s="64">
        <v>0.4</v>
      </c>
      <c r="P18" s="64">
        <v>0.28000000000000003</v>
      </c>
      <c r="Q18" s="217" t="s">
        <v>42</v>
      </c>
      <c r="R18" s="198"/>
      <c r="S18" s="198"/>
      <c r="T18" s="198"/>
      <c r="U18" s="198"/>
    </row>
    <row r="19" spans="1:21" s="12" customFormat="1" x14ac:dyDescent="0.25">
      <c r="A19" s="215" t="s">
        <v>2951</v>
      </c>
      <c r="B19" s="64">
        <v>2.65</v>
      </c>
      <c r="C19" s="64">
        <v>20.47</v>
      </c>
      <c r="D19" s="64">
        <v>14.07</v>
      </c>
      <c r="E19" s="64">
        <v>2.38</v>
      </c>
      <c r="F19" s="64">
        <v>4.0199999999999996</v>
      </c>
      <c r="G19" s="217" t="s">
        <v>42</v>
      </c>
      <c r="H19" s="217" t="s">
        <v>42</v>
      </c>
      <c r="I19" s="216" t="s">
        <v>43</v>
      </c>
      <c r="J19" s="64">
        <v>1.5</v>
      </c>
      <c r="K19" s="64">
        <v>341.24</v>
      </c>
      <c r="L19" s="64">
        <v>22.21</v>
      </c>
      <c r="M19" s="64">
        <v>97.27</v>
      </c>
      <c r="N19" s="64">
        <v>32.799999999999997</v>
      </c>
      <c r="O19" s="64">
        <v>0.4</v>
      </c>
      <c r="P19" s="64">
        <v>0.27</v>
      </c>
      <c r="Q19" s="217" t="s">
        <v>42</v>
      </c>
      <c r="R19" s="198"/>
      <c r="S19" s="198"/>
      <c r="T19" s="198"/>
      <c r="U19" s="198"/>
    </row>
    <row r="20" spans="1:21" s="12" customFormat="1" x14ac:dyDescent="0.25">
      <c r="A20" s="215" t="s">
        <v>2952</v>
      </c>
      <c r="B20" s="64">
        <v>2.42</v>
      </c>
      <c r="C20" s="64">
        <v>20.83</v>
      </c>
      <c r="D20" s="64">
        <v>14.08</v>
      </c>
      <c r="E20" s="64">
        <v>2.31</v>
      </c>
      <c r="F20" s="64">
        <v>4.58</v>
      </c>
      <c r="G20" s="217" t="s">
        <v>42</v>
      </c>
      <c r="H20" s="217" t="s">
        <v>42</v>
      </c>
      <c r="I20" s="216" t="s">
        <v>43</v>
      </c>
      <c r="J20" s="64">
        <v>0.39</v>
      </c>
      <c r="K20" s="64">
        <v>343.92</v>
      </c>
      <c r="L20" s="64">
        <v>22.24</v>
      </c>
      <c r="M20" s="64">
        <v>97.27</v>
      </c>
      <c r="N20" s="64">
        <v>32.9</v>
      </c>
      <c r="O20" s="64">
        <v>0.4</v>
      </c>
      <c r="P20" s="64">
        <v>0.26</v>
      </c>
      <c r="Q20" s="217" t="s">
        <v>42</v>
      </c>
      <c r="R20" s="198"/>
      <c r="S20" s="198"/>
      <c r="T20" s="198"/>
      <c r="U20" s="198"/>
    </row>
    <row r="21" spans="1:21" s="12" customFormat="1" x14ac:dyDescent="0.25">
      <c r="A21" s="215" t="s">
        <v>2953</v>
      </c>
      <c r="B21" s="64">
        <v>2.42</v>
      </c>
      <c r="C21" s="64">
        <v>21.84</v>
      </c>
      <c r="D21" s="64">
        <v>14.64</v>
      </c>
      <c r="E21" s="64">
        <v>2.4900000000000002</v>
      </c>
      <c r="F21" s="64">
        <v>4.5999999999999996</v>
      </c>
      <c r="G21" s="217" t="s">
        <v>42</v>
      </c>
      <c r="H21" s="217" t="s">
        <v>42</v>
      </c>
      <c r="I21" s="216" t="s">
        <v>43</v>
      </c>
      <c r="J21" s="64">
        <v>0</v>
      </c>
      <c r="K21" s="64">
        <v>86.28</v>
      </c>
      <c r="L21" s="64">
        <v>22.18</v>
      </c>
      <c r="M21" s="64">
        <v>97.27</v>
      </c>
      <c r="N21" s="64">
        <v>32.9</v>
      </c>
      <c r="O21" s="64">
        <v>0</v>
      </c>
      <c r="P21" s="64">
        <v>0.24</v>
      </c>
      <c r="Q21" s="217" t="s">
        <v>42</v>
      </c>
      <c r="R21" s="198"/>
      <c r="S21" s="198"/>
      <c r="T21" s="198"/>
      <c r="U21" s="198"/>
    </row>
    <row r="22" spans="1:21" s="12" customFormat="1" x14ac:dyDescent="0.25">
      <c r="A22" s="215" t="s">
        <v>2954</v>
      </c>
      <c r="B22" s="64">
        <v>2.56</v>
      </c>
      <c r="C22" s="64">
        <v>22.62</v>
      </c>
      <c r="D22" s="64">
        <v>15.18</v>
      </c>
      <c r="E22" s="64">
        <v>2.67</v>
      </c>
      <c r="F22" s="64">
        <v>6.73</v>
      </c>
      <c r="G22" s="64">
        <v>12.82</v>
      </c>
      <c r="H22" s="64">
        <v>11.88</v>
      </c>
      <c r="I22" s="216" t="s">
        <v>43</v>
      </c>
      <c r="J22" s="64">
        <v>0.22</v>
      </c>
      <c r="K22" s="64">
        <v>358.17</v>
      </c>
      <c r="L22" s="64">
        <v>22.32</v>
      </c>
      <c r="M22" s="64">
        <v>97.26</v>
      </c>
      <c r="N22" s="64">
        <v>32.700000000000003</v>
      </c>
      <c r="O22" s="64">
        <v>0</v>
      </c>
      <c r="P22" s="64">
        <v>0.24</v>
      </c>
      <c r="Q22" s="217" t="s">
        <v>42</v>
      </c>
      <c r="R22" s="198"/>
      <c r="S22" s="198"/>
      <c r="T22" s="198"/>
      <c r="U22" s="198"/>
    </row>
    <row r="23" spans="1:21" s="12" customFormat="1" x14ac:dyDescent="0.25">
      <c r="A23" s="215" t="s">
        <v>2955</v>
      </c>
      <c r="B23" s="64">
        <v>2.09</v>
      </c>
      <c r="C23" s="64">
        <v>20.09</v>
      </c>
      <c r="D23" s="64">
        <v>13.41</v>
      </c>
      <c r="E23" s="64">
        <v>2.69</v>
      </c>
      <c r="F23" s="64">
        <v>15.84</v>
      </c>
      <c r="G23" s="64">
        <v>12.74</v>
      </c>
      <c r="H23" s="64">
        <v>11.88</v>
      </c>
      <c r="I23" s="216" t="s">
        <v>43</v>
      </c>
      <c r="J23" s="64">
        <v>7.0000000000000007E-2</v>
      </c>
      <c r="K23" s="64">
        <v>210.77</v>
      </c>
      <c r="L23" s="64">
        <v>22.32</v>
      </c>
      <c r="M23" s="64">
        <v>97.26</v>
      </c>
      <c r="N23" s="64">
        <v>32.799999999999997</v>
      </c>
      <c r="O23" s="64">
        <v>0.2</v>
      </c>
      <c r="P23" s="64">
        <v>0.21</v>
      </c>
      <c r="Q23" s="217" t="s">
        <v>42</v>
      </c>
      <c r="R23" s="198"/>
      <c r="S23" s="198"/>
      <c r="T23" s="198"/>
      <c r="U23" s="198"/>
    </row>
    <row r="24" spans="1:21" s="12" customFormat="1" x14ac:dyDescent="0.25">
      <c r="A24" s="215" t="s">
        <v>2956</v>
      </c>
      <c r="B24" s="64">
        <v>2.5</v>
      </c>
      <c r="C24" s="64">
        <v>19.73</v>
      </c>
      <c r="D24" s="64">
        <v>13.54</v>
      </c>
      <c r="E24" s="64">
        <v>2.17</v>
      </c>
      <c r="F24" s="64">
        <v>14.02</v>
      </c>
      <c r="G24" s="64">
        <v>12.74</v>
      </c>
      <c r="H24" s="64">
        <v>11.88</v>
      </c>
      <c r="I24" s="216" t="s">
        <v>43</v>
      </c>
      <c r="J24" s="64">
        <v>0.1</v>
      </c>
      <c r="K24" s="64">
        <v>42.04</v>
      </c>
      <c r="L24" s="64">
        <v>22.31</v>
      </c>
      <c r="M24" s="64">
        <v>97.27</v>
      </c>
      <c r="N24" s="64">
        <v>32.9</v>
      </c>
      <c r="O24" s="64">
        <v>0</v>
      </c>
      <c r="P24" s="64">
        <v>0.22</v>
      </c>
      <c r="Q24" s="217" t="s">
        <v>42</v>
      </c>
      <c r="R24" s="198"/>
      <c r="S24" s="198"/>
      <c r="T24" s="198"/>
      <c r="U24" s="198"/>
    </row>
    <row r="25" spans="1:21" s="12" customFormat="1" x14ac:dyDescent="0.25">
      <c r="A25" s="215" t="s">
        <v>2957</v>
      </c>
      <c r="B25" s="64">
        <v>2.4</v>
      </c>
      <c r="C25" s="64">
        <v>16.920000000000002</v>
      </c>
      <c r="D25" s="64">
        <v>11.91</v>
      </c>
      <c r="E25" s="64">
        <v>3.04</v>
      </c>
      <c r="F25" s="64">
        <v>14.83</v>
      </c>
      <c r="G25" s="64">
        <v>12.74</v>
      </c>
      <c r="H25" s="64">
        <v>11.88</v>
      </c>
      <c r="I25" s="216" t="s">
        <v>43</v>
      </c>
      <c r="J25" s="64">
        <v>0</v>
      </c>
      <c r="K25" s="64">
        <v>331.99</v>
      </c>
      <c r="L25" s="64">
        <v>22.32</v>
      </c>
      <c r="M25" s="64">
        <v>97.27</v>
      </c>
      <c r="N25" s="64">
        <v>32.9</v>
      </c>
      <c r="O25" s="64">
        <v>0</v>
      </c>
      <c r="P25" s="64">
        <v>0.22</v>
      </c>
      <c r="Q25" s="217" t="s">
        <v>42</v>
      </c>
      <c r="R25" s="198"/>
      <c r="S25" s="198"/>
      <c r="T25" s="198"/>
      <c r="U25" s="198"/>
    </row>
    <row r="26" spans="1:21" s="12" customFormat="1" x14ac:dyDescent="0.25">
      <c r="A26" s="215" t="s">
        <v>2958</v>
      </c>
      <c r="B26" s="64">
        <v>2.81</v>
      </c>
      <c r="C26" s="64">
        <v>16.600000000000001</v>
      </c>
      <c r="D26" s="64">
        <v>12.06</v>
      </c>
      <c r="E26" s="64">
        <v>3.39</v>
      </c>
      <c r="F26" s="64">
        <v>12.75</v>
      </c>
      <c r="G26" s="64">
        <v>11.82</v>
      </c>
      <c r="H26" s="64">
        <v>8.99</v>
      </c>
      <c r="I26" s="216" t="s">
        <v>43</v>
      </c>
      <c r="J26" s="64">
        <v>0.15</v>
      </c>
      <c r="K26" s="64">
        <v>1.85</v>
      </c>
      <c r="L26" s="64">
        <v>22.47</v>
      </c>
      <c r="M26" s="64">
        <v>97.25</v>
      </c>
      <c r="N26" s="64">
        <v>32.799999999999997</v>
      </c>
      <c r="O26" s="64">
        <v>0</v>
      </c>
      <c r="P26" s="64">
        <v>0.22</v>
      </c>
      <c r="Q26" s="217" t="s">
        <v>42</v>
      </c>
      <c r="R26" s="198"/>
      <c r="S26" s="198"/>
      <c r="T26" s="198"/>
      <c r="U26" s="198"/>
    </row>
    <row r="27" spans="1:21" s="12" customFormat="1" x14ac:dyDescent="0.25">
      <c r="A27" s="215" t="s">
        <v>2959</v>
      </c>
      <c r="B27" s="64">
        <v>5.17</v>
      </c>
      <c r="C27" s="64">
        <v>20.56</v>
      </c>
      <c r="D27" s="64">
        <v>16.14</v>
      </c>
      <c r="E27" s="64">
        <v>3.05</v>
      </c>
      <c r="F27" s="64">
        <v>3.74</v>
      </c>
      <c r="G27" s="64">
        <v>11.52</v>
      </c>
      <c r="H27" s="64">
        <v>8.99</v>
      </c>
      <c r="I27" s="216" t="s">
        <v>43</v>
      </c>
      <c r="J27" s="64">
        <v>0.2</v>
      </c>
      <c r="K27" s="64">
        <v>323.27999999999997</v>
      </c>
      <c r="L27" s="64">
        <v>22.59</v>
      </c>
      <c r="M27" s="64">
        <v>97.26</v>
      </c>
      <c r="N27" s="64">
        <v>32.9</v>
      </c>
      <c r="O27" s="64">
        <v>0</v>
      </c>
      <c r="P27" s="64">
        <v>0.26</v>
      </c>
      <c r="Q27" s="217" t="s">
        <v>42</v>
      </c>
      <c r="R27" s="198"/>
      <c r="S27" s="198"/>
      <c r="T27" s="198"/>
      <c r="U27" s="198"/>
    </row>
    <row r="28" spans="1:21" s="12" customFormat="1" x14ac:dyDescent="0.25">
      <c r="A28" s="215" t="s">
        <v>2960</v>
      </c>
      <c r="B28" s="64">
        <v>5.25</v>
      </c>
      <c r="C28" s="64">
        <v>20.99</v>
      </c>
      <c r="D28" s="64">
        <v>16.440000000000001</v>
      </c>
      <c r="E28" s="64">
        <v>3.4</v>
      </c>
      <c r="F28" s="64">
        <v>3.88</v>
      </c>
      <c r="G28" s="64">
        <v>11.52</v>
      </c>
      <c r="H28" s="64">
        <v>8.99</v>
      </c>
      <c r="I28" s="216" t="s">
        <v>43</v>
      </c>
      <c r="J28" s="64">
        <v>0.28000000000000003</v>
      </c>
      <c r="K28" s="64">
        <v>347.77</v>
      </c>
      <c r="L28" s="64">
        <v>22.59</v>
      </c>
      <c r="M28" s="64">
        <v>97.26</v>
      </c>
      <c r="N28" s="64">
        <v>33.200000000000003</v>
      </c>
      <c r="O28" s="64">
        <v>0</v>
      </c>
      <c r="P28" s="64">
        <v>0.28999999999999998</v>
      </c>
      <c r="Q28" s="217" t="s">
        <v>42</v>
      </c>
      <c r="R28" s="198"/>
      <c r="S28" s="198"/>
      <c r="T28" s="198"/>
      <c r="U28" s="198"/>
    </row>
    <row r="29" spans="1:21" s="12" customFormat="1" x14ac:dyDescent="0.25">
      <c r="A29" s="215" t="s">
        <v>2961</v>
      </c>
      <c r="B29" s="64">
        <v>5.4</v>
      </c>
      <c r="C29" s="64">
        <v>21.2</v>
      </c>
      <c r="D29" s="64">
        <v>16.68</v>
      </c>
      <c r="E29" s="64">
        <v>3.01</v>
      </c>
      <c r="F29" s="64">
        <v>4.04</v>
      </c>
      <c r="G29" s="64">
        <v>11.52</v>
      </c>
      <c r="H29" s="64">
        <v>8.99</v>
      </c>
      <c r="I29" s="216" t="s">
        <v>43</v>
      </c>
      <c r="J29" s="64">
        <v>0.55000000000000004</v>
      </c>
      <c r="K29" s="64">
        <v>337.27</v>
      </c>
      <c r="L29" s="64">
        <v>22.5</v>
      </c>
      <c r="M29" s="64">
        <v>97.25</v>
      </c>
      <c r="N29" s="64">
        <v>33.299999999999997</v>
      </c>
      <c r="O29" s="64">
        <v>0</v>
      </c>
      <c r="P29" s="64">
        <v>0.3</v>
      </c>
      <c r="Q29" s="217" t="s">
        <v>42</v>
      </c>
      <c r="R29" s="198"/>
      <c r="S29" s="198"/>
      <c r="T29" s="198"/>
      <c r="U29" s="198"/>
    </row>
    <row r="30" spans="1:21" s="12" customFormat="1" x14ac:dyDescent="0.25">
      <c r="A30" s="215" t="s">
        <v>2962</v>
      </c>
      <c r="B30" s="64">
        <v>5.61</v>
      </c>
      <c r="C30" s="64">
        <v>22.18</v>
      </c>
      <c r="D30" s="64">
        <v>17.39</v>
      </c>
      <c r="E30" s="64">
        <v>3.71</v>
      </c>
      <c r="F30" s="64">
        <v>3.69</v>
      </c>
      <c r="G30" s="64">
        <v>12.38</v>
      </c>
      <c r="H30" s="64">
        <v>7.39</v>
      </c>
      <c r="I30" s="216" t="s">
        <v>43</v>
      </c>
      <c r="J30" s="64">
        <v>0.21</v>
      </c>
      <c r="K30" s="64">
        <v>22.53</v>
      </c>
      <c r="L30" s="64">
        <v>22.4</v>
      </c>
      <c r="M30" s="64">
        <v>97.25</v>
      </c>
      <c r="N30" s="64">
        <v>33.9</v>
      </c>
      <c r="O30" s="64">
        <v>0</v>
      </c>
      <c r="P30" s="64">
        <v>0.28000000000000003</v>
      </c>
      <c r="Q30" s="217" t="s">
        <v>42</v>
      </c>
      <c r="R30" s="198"/>
      <c r="S30" s="198"/>
      <c r="T30" s="198"/>
      <c r="U30" s="198"/>
    </row>
    <row r="31" spans="1:21" s="12" customFormat="1" x14ac:dyDescent="0.25">
      <c r="A31" s="215" t="s">
        <v>2963</v>
      </c>
      <c r="B31" s="64">
        <v>5.82</v>
      </c>
      <c r="C31" s="64">
        <v>23.25</v>
      </c>
      <c r="D31" s="64">
        <v>18.149999999999999</v>
      </c>
      <c r="E31" s="64">
        <v>3.36</v>
      </c>
      <c r="F31" s="64">
        <v>3.58</v>
      </c>
      <c r="G31" s="64">
        <v>12.66</v>
      </c>
      <c r="H31" s="64">
        <v>6.97</v>
      </c>
      <c r="I31" s="216" t="s">
        <v>43</v>
      </c>
      <c r="J31" s="64">
        <v>0.14000000000000001</v>
      </c>
      <c r="K31" s="64">
        <v>39.65</v>
      </c>
      <c r="L31" s="64">
        <v>22.41</v>
      </c>
      <c r="M31" s="64">
        <v>97.25</v>
      </c>
      <c r="N31" s="64">
        <v>36</v>
      </c>
      <c r="O31" s="64">
        <v>0</v>
      </c>
      <c r="P31" s="64">
        <v>0.31</v>
      </c>
      <c r="Q31" s="217" t="s">
        <v>42</v>
      </c>
      <c r="R31" s="198"/>
      <c r="S31" s="198"/>
      <c r="T31" s="198"/>
      <c r="U31" s="198"/>
    </row>
    <row r="32" spans="1:21" s="12" customFormat="1" x14ac:dyDescent="0.25">
      <c r="A32" s="215" t="s">
        <v>2964</v>
      </c>
      <c r="B32" s="64">
        <v>6.59</v>
      </c>
      <c r="C32" s="64">
        <v>24.28</v>
      </c>
      <c r="D32" s="64">
        <v>19.329999999999998</v>
      </c>
      <c r="E32" s="64">
        <v>3.31</v>
      </c>
      <c r="F32" s="64">
        <v>3.57</v>
      </c>
      <c r="G32" s="64">
        <v>12.66</v>
      </c>
      <c r="H32" s="64">
        <v>6.97</v>
      </c>
      <c r="I32" s="216" t="s">
        <v>43</v>
      </c>
      <c r="J32" s="64">
        <v>0.05</v>
      </c>
      <c r="K32" s="64">
        <v>166.15</v>
      </c>
      <c r="L32" s="64">
        <v>22.48</v>
      </c>
      <c r="M32" s="64">
        <v>97.26</v>
      </c>
      <c r="N32" s="64">
        <v>40.799999999999997</v>
      </c>
      <c r="O32" s="64">
        <v>0.2</v>
      </c>
      <c r="P32" s="64">
        <v>0.37</v>
      </c>
      <c r="Q32" s="217" t="s">
        <v>42</v>
      </c>
      <c r="R32" s="198"/>
      <c r="S32" s="198"/>
      <c r="T32" s="198"/>
      <c r="U32" s="198"/>
    </row>
    <row r="33" spans="1:21" s="12" customFormat="1" x14ac:dyDescent="0.25">
      <c r="A33" s="215" t="s">
        <v>2965</v>
      </c>
      <c r="B33" s="64">
        <v>8.6999999999999993</v>
      </c>
      <c r="C33" s="64">
        <v>25.49</v>
      </c>
      <c r="D33" s="64">
        <v>21.69</v>
      </c>
      <c r="E33" s="64">
        <v>2.93</v>
      </c>
      <c r="F33" s="64">
        <v>3.08</v>
      </c>
      <c r="G33" s="64">
        <v>12.66</v>
      </c>
      <c r="H33" s="64">
        <v>6.97</v>
      </c>
      <c r="I33" s="216" t="s">
        <v>43</v>
      </c>
      <c r="J33" s="64">
        <v>0.09</v>
      </c>
      <c r="K33" s="64">
        <v>21.66</v>
      </c>
      <c r="L33" s="64">
        <v>22.51</v>
      </c>
      <c r="M33" s="64">
        <v>97.26</v>
      </c>
      <c r="N33" s="64">
        <v>39.700000000000003</v>
      </c>
      <c r="O33" s="64">
        <v>0</v>
      </c>
      <c r="P33" s="64">
        <v>0.56999999999999995</v>
      </c>
      <c r="Q33" s="217" t="s">
        <v>42</v>
      </c>
      <c r="R33" s="198"/>
      <c r="S33" s="198"/>
      <c r="T33" s="198"/>
      <c r="U33" s="198"/>
    </row>
    <row r="34" spans="1:21" s="12" customFormat="1" x14ac:dyDescent="0.25">
      <c r="A34" s="215" t="s">
        <v>2966</v>
      </c>
      <c r="B34" s="64">
        <v>10.87</v>
      </c>
      <c r="C34" s="64">
        <v>26.31</v>
      </c>
      <c r="D34" s="64">
        <v>23.88</v>
      </c>
      <c r="E34" s="64">
        <v>2.86</v>
      </c>
      <c r="F34" s="64">
        <v>4.3</v>
      </c>
      <c r="G34" s="217" t="s">
        <v>42</v>
      </c>
      <c r="H34" s="217" t="s">
        <v>42</v>
      </c>
      <c r="I34" s="216" t="s">
        <v>43</v>
      </c>
      <c r="J34" s="64">
        <v>0.12</v>
      </c>
      <c r="K34" s="64">
        <v>29.09</v>
      </c>
      <c r="L34" s="64">
        <v>22.55</v>
      </c>
      <c r="M34" s="64">
        <v>97.29</v>
      </c>
      <c r="N34" s="64">
        <v>45.6</v>
      </c>
      <c r="O34" s="64">
        <v>0</v>
      </c>
      <c r="P34" s="64">
        <v>0.83</v>
      </c>
      <c r="Q34" s="217" t="s">
        <v>42</v>
      </c>
      <c r="R34" s="198"/>
      <c r="S34" s="198"/>
      <c r="T34" s="198"/>
      <c r="U34" s="198"/>
    </row>
    <row r="35" spans="1:21" s="12" customFormat="1" x14ac:dyDescent="0.25">
      <c r="A35" s="215" t="s">
        <v>2967</v>
      </c>
      <c r="B35" s="64">
        <v>10.72</v>
      </c>
      <c r="C35" s="64">
        <v>26.13</v>
      </c>
      <c r="D35" s="64">
        <v>23.67</v>
      </c>
      <c r="E35" s="64">
        <v>2.72</v>
      </c>
      <c r="F35" s="64">
        <v>4.53</v>
      </c>
      <c r="G35" s="217" t="s">
        <v>42</v>
      </c>
      <c r="H35" s="217" t="s">
        <v>42</v>
      </c>
      <c r="I35" s="216" t="s">
        <v>43</v>
      </c>
      <c r="J35" s="64">
        <v>0.19</v>
      </c>
      <c r="K35" s="64">
        <v>36.590000000000003</v>
      </c>
      <c r="L35" s="64">
        <v>22.67</v>
      </c>
      <c r="M35" s="64">
        <v>97.29</v>
      </c>
      <c r="N35" s="64">
        <v>61.8</v>
      </c>
      <c r="O35" s="64">
        <v>0</v>
      </c>
      <c r="P35" s="64">
        <v>0.62</v>
      </c>
      <c r="Q35" s="217" t="s">
        <v>42</v>
      </c>
      <c r="R35" s="198"/>
      <c r="S35" s="198"/>
      <c r="T35" s="198"/>
      <c r="U35" s="198"/>
    </row>
    <row r="36" spans="1:21" s="12" customFormat="1" x14ac:dyDescent="0.25">
      <c r="A36" s="215" t="s">
        <v>2968</v>
      </c>
      <c r="B36" s="64">
        <v>12.21</v>
      </c>
      <c r="C36" s="64">
        <v>25.22</v>
      </c>
      <c r="D36" s="64">
        <v>24.35</v>
      </c>
      <c r="E36" s="64">
        <v>2.81</v>
      </c>
      <c r="F36" s="64">
        <v>4.8099999999999996</v>
      </c>
      <c r="G36" s="217" t="s">
        <v>42</v>
      </c>
      <c r="H36" s="217" t="s">
        <v>42</v>
      </c>
      <c r="I36" s="216" t="s">
        <v>43</v>
      </c>
      <c r="J36" s="64">
        <v>0.1</v>
      </c>
      <c r="K36" s="64">
        <v>36.64</v>
      </c>
      <c r="L36" s="64">
        <v>22.82</v>
      </c>
      <c r="M36" s="64">
        <v>97.28</v>
      </c>
      <c r="N36" s="64">
        <v>64.900000000000006</v>
      </c>
      <c r="O36" s="64">
        <v>0.2</v>
      </c>
      <c r="P36" s="64">
        <v>0.7</v>
      </c>
      <c r="Q36" s="64">
        <v>0.19</v>
      </c>
      <c r="R36" s="198"/>
      <c r="S36" s="198"/>
      <c r="T36" s="198"/>
      <c r="U36" s="198"/>
    </row>
    <row r="37" spans="1:21" s="12" customFormat="1" x14ac:dyDescent="0.25">
      <c r="A37" s="215" t="s">
        <v>2969</v>
      </c>
      <c r="B37" s="64">
        <v>18.489999999999998</v>
      </c>
      <c r="C37" s="64">
        <v>25.1</v>
      </c>
      <c r="D37" s="64">
        <v>29.32</v>
      </c>
      <c r="E37" s="64">
        <v>2.97</v>
      </c>
      <c r="F37" s="64">
        <v>3.53</v>
      </c>
      <c r="G37" s="217" t="s">
        <v>42</v>
      </c>
      <c r="H37" s="217" t="s">
        <v>42</v>
      </c>
      <c r="I37" s="216" t="s">
        <v>43</v>
      </c>
      <c r="J37" s="64">
        <v>0.14000000000000001</v>
      </c>
      <c r="K37" s="64">
        <v>34.83</v>
      </c>
      <c r="L37" s="64">
        <v>22.95</v>
      </c>
      <c r="M37" s="64">
        <v>97.28</v>
      </c>
      <c r="N37" s="64">
        <v>78.900000000000006</v>
      </c>
      <c r="O37" s="64">
        <v>0</v>
      </c>
      <c r="P37" s="64">
        <v>0.77</v>
      </c>
      <c r="Q37" s="64">
        <v>1.23</v>
      </c>
      <c r="R37" s="198"/>
      <c r="S37" s="198"/>
      <c r="T37" s="198"/>
      <c r="U37" s="198"/>
    </row>
    <row r="38" spans="1:21" s="12" customFormat="1" x14ac:dyDescent="0.25">
      <c r="A38" s="215" t="s">
        <v>2970</v>
      </c>
      <c r="B38" s="64">
        <v>14.3</v>
      </c>
      <c r="C38" s="64">
        <v>24.24</v>
      </c>
      <c r="D38" s="64">
        <v>25.49</v>
      </c>
      <c r="E38" s="64">
        <v>3.29</v>
      </c>
      <c r="F38" s="64">
        <v>3.43</v>
      </c>
      <c r="G38" s="64">
        <v>17.170000000000002</v>
      </c>
      <c r="H38" s="64">
        <v>11.66</v>
      </c>
      <c r="I38" s="216" t="s">
        <v>43</v>
      </c>
      <c r="J38" s="64">
        <v>0.28000000000000003</v>
      </c>
      <c r="K38" s="64">
        <v>6.53</v>
      </c>
      <c r="L38" s="64">
        <v>23.09</v>
      </c>
      <c r="M38" s="64">
        <v>97.28</v>
      </c>
      <c r="N38" s="64">
        <v>69.099999999999994</v>
      </c>
      <c r="O38" s="64">
        <v>0</v>
      </c>
      <c r="P38" s="64">
        <v>0.82</v>
      </c>
      <c r="Q38" s="64">
        <v>2.16</v>
      </c>
      <c r="R38" s="198"/>
      <c r="S38" s="198"/>
      <c r="T38" s="198"/>
      <c r="U38" s="198"/>
    </row>
    <row r="39" spans="1:21" s="12" customFormat="1" x14ac:dyDescent="0.25">
      <c r="A39" s="215" t="s">
        <v>2971</v>
      </c>
      <c r="B39" s="64">
        <v>14.52</v>
      </c>
      <c r="C39" s="64">
        <v>23.91</v>
      </c>
      <c r="D39" s="64">
        <v>25.48</v>
      </c>
      <c r="E39" s="64">
        <v>3.46</v>
      </c>
      <c r="F39" s="64">
        <v>3.32</v>
      </c>
      <c r="G39" s="64">
        <v>17.75</v>
      </c>
      <c r="H39" s="64">
        <v>10.97</v>
      </c>
      <c r="I39" s="216" t="s">
        <v>43</v>
      </c>
      <c r="J39" s="64">
        <v>0.3</v>
      </c>
      <c r="K39" s="64">
        <v>13.99</v>
      </c>
      <c r="L39" s="64">
        <v>23.18</v>
      </c>
      <c r="M39" s="64">
        <v>97.26</v>
      </c>
      <c r="N39" s="64">
        <v>90.6</v>
      </c>
      <c r="O39" s="64">
        <v>0</v>
      </c>
      <c r="P39" s="64">
        <v>0.77</v>
      </c>
      <c r="Q39" s="64">
        <v>2.1</v>
      </c>
      <c r="R39" s="198"/>
      <c r="S39" s="198"/>
      <c r="T39" s="198"/>
      <c r="U39" s="198"/>
    </row>
    <row r="40" spans="1:21" s="12" customFormat="1" x14ac:dyDescent="0.25">
      <c r="A40" s="215" t="s">
        <v>2972</v>
      </c>
      <c r="B40" s="64">
        <v>18.239999999999998</v>
      </c>
      <c r="C40" s="64">
        <v>23.05</v>
      </c>
      <c r="D40" s="64">
        <v>27.99</v>
      </c>
      <c r="E40" s="64">
        <v>1.8</v>
      </c>
      <c r="F40" s="64">
        <v>4.5</v>
      </c>
      <c r="G40" s="64">
        <v>17.75</v>
      </c>
      <c r="H40" s="64">
        <v>10.97</v>
      </c>
      <c r="I40" s="216" t="s">
        <v>43</v>
      </c>
      <c r="J40" s="64">
        <v>0.17</v>
      </c>
      <c r="K40" s="64">
        <v>21.8</v>
      </c>
      <c r="L40" s="64">
        <v>23.33</v>
      </c>
      <c r="M40" s="64">
        <v>97.25</v>
      </c>
      <c r="N40" s="64">
        <v>92.5</v>
      </c>
      <c r="O40" s="64">
        <v>0</v>
      </c>
      <c r="P40" s="64">
        <v>0.84</v>
      </c>
      <c r="Q40" s="64">
        <v>0.5</v>
      </c>
      <c r="R40" s="198"/>
      <c r="S40" s="198"/>
      <c r="T40" s="198"/>
      <c r="U40" s="198"/>
    </row>
    <row r="41" spans="1:21" s="12" customFormat="1" x14ac:dyDescent="0.25">
      <c r="A41" s="215" t="s">
        <v>2973</v>
      </c>
      <c r="B41" s="64">
        <v>16.57</v>
      </c>
      <c r="C41" s="64">
        <v>23.39</v>
      </c>
      <c r="D41" s="64">
        <v>26.84</v>
      </c>
      <c r="E41" s="64">
        <v>1.5</v>
      </c>
      <c r="F41" s="64">
        <v>4.08</v>
      </c>
      <c r="G41" s="64">
        <v>17.75</v>
      </c>
      <c r="H41" s="64">
        <v>10.97</v>
      </c>
      <c r="I41" s="216" t="s">
        <v>43</v>
      </c>
      <c r="J41" s="64">
        <v>0.18</v>
      </c>
      <c r="K41" s="64">
        <v>5.89</v>
      </c>
      <c r="L41" s="64">
        <v>23.53</v>
      </c>
      <c r="M41" s="64">
        <v>97.25</v>
      </c>
      <c r="N41" s="64">
        <v>134.30000000000001</v>
      </c>
      <c r="O41" s="64">
        <v>0</v>
      </c>
      <c r="P41" s="64">
        <v>0.84</v>
      </c>
      <c r="Q41" s="64">
        <v>0.99</v>
      </c>
      <c r="R41" s="198"/>
      <c r="S41" s="198"/>
      <c r="T41" s="198"/>
      <c r="U41" s="198"/>
    </row>
    <row r="42" spans="1:21" s="12" customFormat="1" x14ac:dyDescent="0.25">
      <c r="A42" s="215" t="s">
        <v>2974</v>
      </c>
      <c r="B42" s="64">
        <v>16.86</v>
      </c>
      <c r="C42" s="64">
        <v>23.51</v>
      </c>
      <c r="D42" s="64">
        <v>27.14</v>
      </c>
      <c r="E42" s="64">
        <v>1.52</v>
      </c>
      <c r="F42" s="64">
        <v>3.8</v>
      </c>
      <c r="G42" s="64">
        <v>20.67</v>
      </c>
      <c r="H42" s="64">
        <v>9.27</v>
      </c>
      <c r="I42" s="216" t="s">
        <v>43</v>
      </c>
      <c r="J42" s="64">
        <v>0.3</v>
      </c>
      <c r="K42" s="64">
        <v>0.26</v>
      </c>
      <c r="L42" s="64">
        <v>23.81</v>
      </c>
      <c r="M42" s="64">
        <v>97.24</v>
      </c>
      <c r="N42" s="64">
        <v>156.1</v>
      </c>
      <c r="O42" s="64">
        <v>0</v>
      </c>
      <c r="P42" s="64">
        <v>0.84</v>
      </c>
      <c r="Q42" s="64">
        <v>0.9</v>
      </c>
      <c r="R42" s="198"/>
      <c r="S42" s="198"/>
      <c r="T42" s="198"/>
      <c r="U42" s="198"/>
    </row>
    <row r="43" spans="1:21" s="12" customFormat="1" x14ac:dyDescent="0.25">
      <c r="A43" s="215" t="s">
        <v>2975</v>
      </c>
      <c r="B43" s="64">
        <v>17.02</v>
      </c>
      <c r="C43" s="64">
        <v>24.19</v>
      </c>
      <c r="D43" s="64">
        <v>27.64</v>
      </c>
      <c r="E43" s="64">
        <v>1.67</v>
      </c>
      <c r="F43" s="64">
        <v>3.13</v>
      </c>
      <c r="G43" s="64">
        <v>21.62</v>
      </c>
      <c r="H43" s="64">
        <v>8.7200000000000006</v>
      </c>
      <c r="I43" s="216" t="s">
        <v>43</v>
      </c>
      <c r="J43" s="64">
        <v>0.3</v>
      </c>
      <c r="K43" s="64">
        <v>12.29</v>
      </c>
      <c r="L43" s="64">
        <v>23.94</v>
      </c>
      <c r="M43" s="64">
        <v>97.23</v>
      </c>
      <c r="N43" s="64">
        <v>129.9</v>
      </c>
      <c r="O43" s="64">
        <v>0</v>
      </c>
      <c r="P43" s="64">
        <v>0.82</v>
      </c>
      <c r="Q43" s="64">
        <v>1.06</v>
      </c>
      <c r="R43" s="198"/>
      <c r="S43" s="198"/>
      <c r="T43" s="198"/>
      <c r="U43" s="198"/>
    </row>
    <row r="44" spans="1:21" s="12" customFormat="1" x14ac:dyDescent="0.25">
      <c r="A44" s="215" t="s">
        <v>2976</v>
      </c>
      <c r="B44" s="64">
        <v>18.670000000000002</v>
      </c>
      <c r="C44" s="64">
        <v>23.55</v>
      </c>
      <c r="D44" s="64">
        <v>28.61</v>
      </c>
      <c r="E44" s="64">
        <v>2.34</v>
      </c>
      <c r="F44" s="64">
        <v>3.82</v>
      </c>
      <c r="G44" s="64">
        <v>21.62</v>
      </c>
      <c r="H44" s="64">
        <v>8.7200000000000006</v>
      </c>
      <c r="I44" s="216" t="s">
        <v>43</v>
      </c>
      <c r="J44" s="64">
        <v>0.23</v>
      </c>
      <c r="K44" s="64">
        <v>352.83</v>
      </c>
      <c r="L44" s="64">
        <v>24.11</v>
      </c>
      <c r="M44" s="64">
        <v>97.23</v>
      </c>
      <c r="N44" s="64">
        <v>184.5</v>
      </c>
      <c r="O44" s="64">
        <v>0</v>
      </c>
      <c r="P44" s="64">
        <v>0.81</v>
      </c>
      <c r="Q44" s="64">
        <v>0.43</v>
      </c>
      <c r="R44" s="198"/>
      <c r="S44" s="198"/>
      <c r="T44" s="198"/>
      <c r="U44" s="198"/>
    </row>
    <row r="45" spans="1:21" s="12" customFormat="1" x14ac:dyDescent="0.25">
      <c r="A45" s="215" t="s">
        <v>2977</v>
      </c>
      <c r="B45" s="64">
        <v>22.34</v>
      </c>
      <c r="C45" s="64">
        <v>21.3</v>
      </c>
      <c r="D45" s="64">
        <v>30.31</v>
      </c>
      <c r="E45" s="64">
        <v>1.82</v>
      </c>
      <c r="F45" s="64">
        <v>4.12</v>
      </c>
      <c r="G45" s="64">
        <v>21.62</v>
      </c>
      <c r="H45" s="64">
        <v>8.7200000000000006</v>
      </c>
      <c r="I45" s="216" t="s">
        <v>43</v>
      </c>
      <c r="J45" s="64">
        <v>0.24</v>
      </c>
      <c r="K45" s="64">
        <v>18.37</v>
      </c>
      <c r="L45" s="64">
        <v>24.78</v>
      </c>
      <c r="M45" s="64">
        <v>97.13</v>
      </c>
      <c r="N45" s="64">
        <v>273.8</v>
      </c>
      <c r="O45" s="64">
        <v>0</v>
      </c>
      <c r="P45" s="64">
        <v>0.78</v>
      </c>
      <c r="Q45" s="64">
        <v>0.52</v>
      </c>
      <c r="R45" s="198"/>
      <c r="S45" s="198"/>
      <c r="T45" s="198"/>
      <c r="U45" s="198"/>
    </row>
    <row r="46" spans="1:21" s="12" customFormat="1" x14ac:dyDescent="0.25">
      <c r="A46" s="215" t="s">
        <v>2978</v>
      </c>
      <c r="B46" s="64">
        <v>20.71</v>
      </c>
      <c r="C46" s="64">
        <v>24.11</v>
      </c>
      <c r="D46" s="64">
        <v>30.56</v>
      </c>
      <c r="E46" s="64">
        <v>1.36</v>
      </c>
      <c r="F46" s="64">
        <v>5.26</v>
      </c>
      <c r="G46" s="64">
        <v>21.34</v>
      </c>
      <c r="H46" s="64">
        <v>9.32</v>
      </c>
      <c r="I46" s="216" t="s">
        <v>43</v>
      </c>
      <c r="J46" s="64">
        <v>0.28999999999999998</v>
      </c>
      <c r="K46" s="64">
        <v>10.75</v>
      </c>
      <c r="L46" s="64">
        <v>25.17</v>
      </c>
      <c r="M46" s="64">
        <v>95.87</v>
      </c>
      <c r="N46" s="64">
        <v>255.3</v>
      </c>
      <c r="O46" s="64">
        <v>0</v>
      </c>
      <c r="P46" s="64">
        <v>0.79</v>
      </c>
      <c r="Q46" s="64">
        <v>1.18</v>
      </c>
      <c r="R46" s="198"/>
      <c r="S46" s="198"/>
      <c r="T46" s="198"/>
      <c r="U46" s="198"/>
    </row>
    <row r="47" spans="1:21" s="12" customFormat="1" x14ac:dyDescent="0.25">
      <c r="A47" s="215" t="s">
        <v>2979</v>
      </c>
      <c r="B47" s="64">
        <v>18.88</v>
      </c>
      <c r="C47" s="64">
        <v>23.68</v>
      </c>
      <c r="D47" s="64">
        <v>28.86</v>
      </c>
      <c r="E47" s="64">
        <v>1.54</v>
      </c>
      <c r="F47" s="64">
        <v>5.57</v>
      </c>
      <c r="G47" s="64">
        <v>21.25</v>
      </c>
      <c r="H47" s="64">
        <v>9.49</v>
      </c>
      <c r="I47" s="216" t="s">
        <v>43</v>
      </c>
      <c r="J47" s="64">
        <v>0.43</v>
      </c>
      <c r="K47" s="64">
        <v>354.45</v>
      </c>
      <c r="L47" s="64">
        <v>25.92</v>
      </c>
      <c r="M47" s="64">
        <v>92.96</v>
      </c>
      <c r="N47" s="64">
        <v>394.6</v>
      </c>
      <c r="O47" s="64">
        <v>0</v>
      </c>
      <c r="P47" s="64">
        <v>0.78</v>
      </c>
      <c r="Q47" s="64">
        <v>2.38</v>
      </c>
      <c r="R47" s="198"/>
      <c r="S47" s="198"/>
      <c r="T47" s="198"/>
      <c r="U47" s="198"/>
    </row>
    <row r="48" spans="1:21" s="12" customFormat="1" x14ac:dyDescent="0.25">
      <c r="A48" s="215" t="s">
        <v>2980</v>
      </c>
      <c r="B48" s="64">
        <v>18.559999999999999</v>
      </c>
      <c r="C48" s="64">
        <v>24.26</v>
      </c>
      <c r="D48" s="64">
        <v>28.92</v>
      </c>
      <c r="E48" s="64">
        <v>1.56</v>
      </c>
      <c r="F48" s="64">
        <v>4.5199999999999996</v>
      </c>
      <c r="G48" s="64">
        <v>21.25</v>
      </c>
      <c r="H48" s="64">
        <v>9.49</v>
      </c>
      <c r="I48" s="216" t="s">
        <v>43</v>
      </c>
      <c r="J48" s="64">
        <v>0.76</v>
      </c>
      <c r="K48" s="64">
        <v>340.87</v>
      </c>
      <c r="L48" s="64">
        <v>26.51</v>
      </c>
      <c r="M48" s="64">
        <v>87.44</v>
      </c>
      <c r="N48" s="64">
        <v>376</v>
      </c>
      <c r="O48" s="64">
        <v>0</v>
      </c>
      <c r="P48" s="64">
        <v>0.76</v>
      </c>
      <c r="Q48" s="64">
        <v>2.4500000000000002</v>
      </c>
      <c r="R48" s="198"/>
      <c r="S48" s="198"/>
      <c r="T48" s="198"/>
      <c r="U48" s="198"/>
    </row>
    <row r="49" spans="1:21" s="12" customFormat="1" x14ac:dyDescent="0.25">
      <c r="A49" s="215" t="s">
        <v>2981</v>
      </c>
      <c r="B49" s="64">
        <v>17.34</v>
      </c>
      <c r="C49" s="64">
        <v>24.7</v>
      </c>
      <c r="D49" s="64">
        <v>28.18</v>
      </c>
      <c r="E49" s="64">
        <v>1.8</v>
      </c>
      <c r="F49" s="64">
        <v>4.08</v>
      </c>
      <c r="G49" s="64">
        <v>21.25</v>
      </c>
      <c r="H49" s="64">
        <v>9.49</v>
      </c>
      <c r="I49" s="216" t="s">
        <v>43</v>
      </c>
      <c r="J49" s="64">
        <v>1.03</v>
      </c>
      <c r="K49" s="64">
        <v>338.87</v>
      </c>
      <c r="L49" s="64">
        <v>26.85</v>
      </c>
      <c r="M49" s="64">
        <v>84.5</v>
      </c>
      <c r="N49" s="64">
        <v>481.6</v>
      </c>
      <c r="O49" s="64">
        <v>0</v>
      </c>
      <c r="P49" s="64">
        <v>0.73</v>
      </c>
      <c r="Q49" s="64">
        <v>1.67</v>
      </c>
      <c r="R49" s="198"/>
      <c r="S49" s="198"/>
      <c r="T49" s="198"/>
      <c r="U49" s="198"/>
    </row>
    <row r="50" spans="1:21" s="12" customFormat="1" x14ac:dyDescent="0.25">
      <c r="A50" s="215" t="s">
        <v>2982</v>
      </c>
      <c r="B50" s="64">
        <v>12.72</v>
      </c>
      <c r="C50" s="64">
        <v>23.3</v>
      </c>
      <c r="D50" s="64">
        <v>23.7</v>
      </c>
      <c r="E50" s="64">
        <v>1.89</v>
      </c>
      <c r="F50" s="64">
        <v>10.8</v>
      </c>
      <c r="G50" s="64">
        <v>23.17</v>
      </c>
      <c r="H50" s="64">
        <v>7.99</v>
      </c>
      <c r="I50" s="216" t="s">
        <v>43</v>
      </c>
      <c r="J50" s="64">
        <v>2.4700000000000002</v>
      </c>
      <c r="K50" s="64">
        <v>329.25</v>
      </c>
      <c r="L50" s="64">
        <v>27</v>
      </c>
      <c r="M50" s="64">
        <v>82.16</v>
      </c>
      <c r="N50" s="64">
        <v>571.1</v>
      </c>
      <c r="O50" s="64">
        <v>0</v>
      </c>
      <c r="P50" s="64">
        <v>0.56999999999999995</v>
      </c>
      <c r="Q50" s="64">
        <v>0.3</v>
      </c>
      <c r="R50" s="198"/>
      <c r="S50" s="198"/>
      <c r="T50" s="198"/>
      <c r="U50" s="198"/>
    </row>
    <row r="51" spans="1:21" s="12" customFormat="1" x14ac:dyDescent="0.25">
      <c r="A51" s="215" t="s">
        <v>2983</v>
      </c>
      <c r="B51" s="64">
        <v>3.33</v>
      </c>
      <c r="C51" s="64">
        <v>21.04</v>
      </c>
      <c r="D51" s="64">
        <v>14.93</v>
      </c>
      <c r="E51" s="64">
        <v>2.13</v>
      </c>
      <c r="F51" s="64">
        <v>13.13</v>
      </c>
      <c r="G51" s="64">
        <v>23.78</v>
      </c>
      <c r="H51" s="64">
        <v>7.51</v>
      </c>
      <c r="I51" s="216" t="s">
        <v>43</v>
      </c>
      <c r="J51" s="64">
        <v>2.0099999999999998</v>
      </c>
      <c r="K51" s="64">
        <v>331.41</v>
      </c>
      <c r="L51" s="64">
        <v>26.31</v>
      </c>
      <c r="M51" s="64">
        <v>85.38</v>
      </c>
      <c r="N51" s="64">
        <v>280.7</v>
      </c>
      <c r="O51" s="64">
        <v>0</v>
      </c>
      <c r="P51" s="64">
        <v>0.32</v>
      </c>
      <c r="Q51" s="217" t="s">
        <v>42</v>
      </c>
      <c r="R51" s="198"/>
      <c r="S51" s="198"/>
      <c r="T51" s="198"/>
      <c r="U51" s="198"/>
    </row>
    <row r="52" spans="1:21" s="12" customFormat="1" x14ac:dyDescent="0.25">
      <c r="A52" s="215" t="s">
        <v>2984</v>
      </c>
      <c r="B52" s="64">
        <v>1.87</v>
      </c>
      <c r="C52" s="64">
        <v>20.89</v>
      </c>
      <c r="D52" s="64">
        <v>13.68</v>
      </c>
      <c r="E52" s="64">
        <v>1.62</v>
      </c>
      <c r="F52" s="64">
        <v>9.1199999999999992</v>
      </c>
      <c r="G52" s="64">
        <v>23.78</v>
      </c>
      <c r="H52" s="64">
        <v>7.51</v>
      </c>
      <c r="I52" s="216" t="s">
        <v>43</v>
      </c>
      <c r="J52" s="64">
        <v>2.74</v>
      </c>
      <c r="K52" s="64">
        <v>337.19</v>
      </c>
      <c r="L52" s="64">
        <v>25.28</v>
      </c>
      <c r="M52" s="64">
        <v>89.17</v>
      </c>
      <c r="N52" s="64">
        <v>234.7</v>
      </c>
      <c r="O52" s="64">
        <v>0</v>
      </c>
      <c r="P52" s="64">
        <v>0.31</v>
      </c>
      <c r="Q52" s="64">
        <v>12.03</v>
      </c>
      <c r="R52" s="198"/>
      <c r="S52" s="198"/>
      <c r="T52" s="198"/>
      <c r="U52" s="198"/>
    </row>
    <row r="53" spans="1:21" s="12" customFormat="1" x14ac:dyDescent="0.25">
      <c r="A53" s="215" t="s">
        <v>2985</v>
      </c>
      <c r="B53" s="64">
        <v>1.98</v>
      </c>
      <c r="C53" s="64">
        <v>21.49</v>
      </c>
      <c r="D53" s="64">
        <v>14.09</v>
      </c>
      <c r="E53" s="64">
        <v>1.4</v>
      </c>
      <c r="F53" s="64">
        <v>6.07</v>
      </c>
      <c r="G53" s="64">
        <v>23.78</v>
      </c>
      <c r="H53" s="64">
        <v>7.51</v>
      </c>
      <c r="I53" s="216" t="s">
        <v>43</v>
      </c>
      <c r="J53" s="64">
        <v>2.0099999999999998</v>
      </c>
      <c r="K53" s="64">
        <v>334.37</v>
      </c>
      <c r="L53" s="64">
        <v>24.51</v>
      </c>
      <c r="M53" s="64">
        <v>94.45</v>
      </c>
      <c r="N53" s="64">
        <v>174.9</v>
      </c>
      <c r="O53" s="64">
        <v>2.2000000000000002</v>
      </c>
      <c r="P53" s="64">
        <v>0.31</v>
      </c>
      <c r="Q53" s="64">
        <v>12.97</v>
      </c>
      <c r="R53" s="198"/>
      <c r="S53" s="198"/>
      <c r="T53" s="198"/>
      <c r="U53" s="198"/>
    </row>
    <row r="54" spans="1:21" s="12" customFormat="1" x14ac:dyDescent="0.25">
      <c r="A54" s="215" t="s">
        <v>2986</v>
      </c>
      <c r="B54" s="64">
        <v>2.4300000000000002</v>
      </c>
      <c r="C54" s="64">
        <v>21.31</v>
      </c>
      <c r="D54" s="64">
        <v>14.36</v>
      </c>
      <c r="E54" s="64">
        <v>1.65</v>
      </c>
      <c r="F54" s="64">
        <v>5.05</v>
      </c>
      <c r="G54" s="64">
        <v>18.440000000000001</v>
      </c>
      <c r="H54" s="64">
        <v>7.12</v>
      </c>
      <c r="I54" s="216" t="s">
        <v>43</v>
      </c>
      <c r="J54" s="64">
        <v>1.26</v>
      </c>
      <c r="K54" s="64">
        <v>337.96</v>
      </c>
      <c r="L54" s="64">
        <v>23.22</v>
      </c>
      <c r="M54" s="64">
        <v>97.26</v>
      </c>
      <c r="N54" s="64">
        <v>150.6</v>
      </c>
      <c r="O54" s="64">
        <v>0.2</v>
      </c>
      <c r="P54" s="64">
        <v>0.28999999999999998</v>
      </c>
      <c r="Q54" s="64">
        <v>12.24</v>
      </c>
      <c r="R54" s="198"/>
      <c r="S54" s="198"/>
      <c r="T54" s="198"/>
      <c r="U54" s="198"/>
    </row>
    <row r="55" spans="1:21" s="12" customFormat="1" x14ac:dyDescent="0.25">
      <c r="A55" s="215" t="s">
        <v>2987</v>
      </c>
      <c r="B55" s="64">
        <v>2.89</v>
      </c>
      <c r="C55" s="64">
        <v>21.92</v>
      </c>
      <c r="D55" s="64">
        <v>15.06</v>
      </c>
      <c r="E55" s="64">
        <v>1.71</v>
      </c>
      <c r="F55" s="64">
        <v>4.32</v>
      </c>
      <c r="G55" s="64">
        <v>16.72</v>
      </c>
      <c r="H55" s="64">
        <v>7.12</v>
      </c>
      <c r="I55" s="216" t="s">
        <v>43</v>
      </c>
      <c r="J55" s="64">
        <v>0.73</v>
      </c>
      <c r="K55" s="64">
        <v>337.51</v>
      </c>
      <c r="L55" s="64">
        <v>23.3</v>
      </c>
      <c r="M55" s="64">
        <v>97.27</v>
      </c>
      <c r="N55" s="64">
        <v>173.2</v>
      </c>
      <c r="O55" s="64">
        <v>0.2</v>
      </c>
      <c r="P55" s="64">
        <v>0.31</v>
      </c>
      <c r="Q55" s="64">
        <v>13.28</v>
      </c>
      <c r="R55" s="198"/>
      <c r="S55" s="198"/>
      <c r="T55" s="198"/>
      <c r="U55" s="198"/>
    </row>
    <row r="56" spans="1:21" s="12" customFormat="1" x14ac:dyDescent="0.25">
      <c r="A56" s="215" t="s">
        <v>2988</v>
      </c>
      <c r="B56" s="64">
        <v>3.79</v>
      </c>
      <c r="C56" s="64">
        <v>22.97</v>
      </c>
      <c r="D56" s="64">
        <v>16.36</v>
      </c>
      <c r="E56" s="64">
        <v>2.5099999999999998</v>
      </c>
      <c r="F56" s="64">
        <v>4.41</v>
      </c>
      <c r="G56" s="64">
        <v>16.72</v>
      </c>
      <c r="H56" s="64">
        <v>7.12</v>
      </c>
      <c r="I56" s="216" t="s">
        <v>43</v>
      </c>
      <c r="J56" s="64">
        <v>0.62</v>
      </c>
      <c r="K56" s="64">
        <v>343.53</v>
      </c>
      <c r="L56" s="64">
        <v>23.34</v>
      </c>
      <c r="M56" s="64">
        <v>97.25</v>
      </c>
      <c r="N56" s="64">
        <v>209.3</v>
      </c>
      <c r="O56" s="64">
        <v>0</v>
      </c>
      <c r="P56" s="64">
        <v>0.31</v>
      </c>
      <c r="Q56" s="64">
        <v>13.28</v>
      </c>
      <c r="R56" s="198"/>
      <c r="S56" s="198"/>
      <c r="T56" s="198"/>
      <c r="U56" s="198"/>
    </row>
    <row r="57" spans="1:21" s="12" customFormat="1" x14ac:dyDescent="0.25">
      <c r="A57" s="215" t="s">
        <v>2989</v>
      </c>
      <c r="B57" s="64">
        <v>4.8</v>
      </c>
      <c r="C57" s="64">
        <v>23.47</v>
      </c>
      <c r="D57" s="64">
        <v>17.45</v>
      </c>
      <c r="E57" s="64">
        <v>3.15</v>
      </c>
      <c r="F57" s="64">
        <v>3.73</v>
      </c>
      <c r="G57" s="64">
        <v>16.72</v>
      </c>
      <c r="H57" s="64">
        <v>7.12</v>
      </c>
      <c r="I57" s="216" t="s">
        <v>43</v>
      </c>
      <c r="J57" s="64">
        <v>1.1599999999999999</v>
      </c>
      <c r="K57" s="64">
        <v>335.1</v>
      </c>
      <c r="L57" s="64">
        <v>23.7</v>
      </c>
      <c r="M57" s="64">
        <v>97.25</v>
      </c>
      <c r="N57" s="64">
        <v>242.1</v>
      </c>
      <c r="O57" s="64">
        <v>0</v>
      </c>
      <c r="P57" s="64">
        <v>0.32</v>
      </c>
      <c r="Q57" s="64">
        <v>14.22</v>
      </c>
      <c r="R57" s="198"/>
      <c r="S57" s="198"/>
      <c r="T57" s="198"/>
      <c r="U57" s="198"/>
    </row>
    <row r="58" spans="1:21" s="12" customFormat="1" x14ac:dyDescent="0.25">
      <c r="A58" s="215" t="s">
        <v>2990</v>
      </c>
      <c r="B58" s="64">
        <v>5.61</v>
      </c>
      <c r="C58" s="64">
        <v>24.14</v>
      </c>
      <c r="D58" s="64">
        <v>18.46</v>
      </c>
      <c r="E58" s="64">
        <v>3.21</v>
      </c>
      <c r="F58" s="64">
        <v>4.62</v>
      </c>
      <c r="G58" s="64">
        <v>18.760000000000002</v>
      </c>
      <c r="H58" s="64">
        <v>5.9</v>
      </c>
      <c r="I58" s="216" t="s">
        <v>43</v>
      </c>
      <c r="J58" s="64">
        <v>1.44</v>
      </c>
      <c r="K58" s="64">
        <v>336.84</v>
      </c>
      <c r="L58" s="64">
        <v>24.07</v>
      </c>
      <c r="M58" s="64">
        <v>97.22</v>
      </c>
      <c r="N58" s="64">
        <v>283.89999999999998</v>
      </c>
      <c r="O58" s="64">
        <v>0</v>
      </c>
      <c r="P58" s="64">
        <v>0.33</v>
      </c>
      <c r="Q58" s="64">
        <v>14.62</v>
      </c>
      <c r="R58" s="198"/>
      <c r="S58" s="198"/>
      <c r="T58" s="198"/>
      <c r="U58" s="198"/>
    </row>
    <row r="59" spans="1:21" s="12" customFormat="1" x14ac:dyDescent="0.25">
      <c r="A59" s="215" t="s">
        <v>2991</v>
      </c>
      <c r="B59" s="64">
        <v>5.55</v>
      </c>
      <c r="C59" s="64">
        <v>24.85</v>
      </c>
      <c r="D59" s="64">
        <v>18.809999999999999</v>
      </c>
      <c r="E59" s="64">
        <v>3.05</v>
      </c>
      <c r="F59" s="64">
        <v>5.58</v>
      </c>
      <c r="G59" s="64">
        <v>19.420000000000002</v>
      </c>
      <c r="H59" s="64">
        <v>5.66</v>
      </c>
      <c r="I59" s="216" t="s">
        <v>43</v>
      </c>
      <c r="J59" s="64">
        <v>0.81</v>
      </c>
      <c r="K59" s="64">
        <v>338.76</v>
      </c>
      <c r="L59" s="64">
        <v>24.57</v>
      </c>
      <c r="M59" s="64">
        <v>97.05</v>
      </c>
      <c r="N59" s="64">
        <v>294.7</v>
      </c>
      <c r="O59" s="64">
        <v>0</v>
      </c>
      <c r="P59" s="64">
        <v>0.34</v>
      </c>
      <c r="Q59" s="64">
        <v>15.16</v>
      </c>
      <c r="R59" s="198"/>
      <c r="S59" s="198"/>
      <c r="T59" s="198"/>
      <c r="U59" s="198"/>
    </row>
    <row r="60" spans="1:21" s="12" customFormat="1" x14ac:dyDescent="0.25">
      <c r="A60" s="215" t="s">
        <v>2992</v>
      </c>
      <c r="B60" s="64">
        <v>5.83</v>
      </c>
      <c r="C60" s="64">
        <v>23.52</v>
      </c>
      <c r="D60" s="64">
        <v>18.3</v>
      </c>
      <c r="E60" s="64">
        <v>3.14</v>
      </c>
      <c r="F60" s="64">
        <v>6.14</v>
      </c>
      <c r="G60" s="64">
        <v>19.420000000000002</v>
      </c>
      <c r="H60" s="64">
        <v>5.66</v>
      </c>
      <c r="I60" s="216" t="s">
        <v>43</v>
      </c>
      <c r="J60" s="64">
        <v>0.43</v>
      </c>
      <c r="K60" s="64">
        <v>353.08</v>
      </c>
      <c r="L60" s="64">
        <v>25.13</v>
      </c>
      <c r="M60" s="64">
        <v>95.43</v>
      </c>
      <c r="N60" s="64">
        <v>345.5</v>
      </c>
      <c r="O60" s="64">
        <v>0</v>
      </c>
      <c r="P60" s="64">
        <v>0.34</v>
      </c>
      <c r="Q60" s="64">
        <v>15.32</v>
      </c>
      <c r="R60" s="198"/>
      <c r="S60" s="198"/>
      <c r="T60" s="198"/>
      <c r="U60" s="198"/>
    </row>
    <row r="61" spans="1:21" s="12" customFormat="1" x14ac:dyDescent="0.25">
      <c r="A61" s="215" t="s">
        <v>2993</v>
      </c>
      <c r="B61" s="64">
        <v>7.65</v>
      </c>
      <c r="C61" s="64">
        <v>23.62</v>
      </c>
      <c r="D61" s="64">
        <v>19.82</v>
      </c>
      <c r="E61" s="64">
        <v>2.98</v>
      </c>
      <c r="F61" s="64">
        <v>5.83</v>
      </c>
      <c r="G61" s="64">
        <v>19.420000000000002</v>
      </c>
      <c r="H61" s="64">
        <v>5.66</v>
      </c>
      <c r="I61" s="216" t="s">
        <v>43</v>
      </c>
      <c r="J61" s="64">
        <v>0.3</v>
      </c>
      <c r="K61" s="64">
        <v>1.54</v>
      </c>
      <c r="L61" s="64">
        <v>25.63</v>
      </c>
      <c r="M61" s="64">
        <v>93.91</v>
      </c>
      <c r="N61" s="64">
        <v>392</v>
      </c>
      <c r="O61" s="64">
        <v>0</v>
      </c>
      <c r="P61" s="64">
        <v>0.37</v>
      </c>
      <c r="Q61" s="64">
        <v>15.67</v>
      </c>
      <c r="R61" s="198"/>
      <c r="S61" s="198"/>
      <c r="T61" s="198"/>
      <c r="U61" s="198"/>
    </row>
    <row r="62" spans="1:21" s="12" customFormat="1" x14ac:dyDescent="0.25">
      <c r="A62" s="215" t="s">
        <v>2994</v>
      </c>
      <c r="B62" s="64">
        <v>8.77</v>
      </c>
      <c r="C62" s="64">
        <v>22.03</v>
      </c>
      <c r="D62" s="64">
        <v>19.84</v>
      </c>
      <c r="E62" s="64">
        <v>3.1</v>
      </c>
      <c r="F62" s="64">
        <v>4.3899999999999997</v>
      </c>
      <c r="G62" s="64">
        <v>15.44</v>
      </c>
      <c r="H62" s="64">
        <v>4.6399999999999997</v>
      </c>
      <c r="I62" s="216" t="s">
        <v>43</v>
      </c>
      <c r="J62" s="64">
        <v>0.33</v>
      </c>
      <c r="K62" s="64">
        <v>5.14</v>
      </c>
      <c r="L62" s="64">
        <v>26.32</v>
      </c>
      <c r="M62" s="64">
        <v>90.83</v>
      </c>
      <c r="N62" s="64">
        <v>533.70000000000005</v>
      </c>
      <c r="O62" s="64">
        <v>0</v>
      </c>
      <c r="P62" s="64">
        <v>0.37</v>
      </c>
      <c r="Q62" s="64">
        <v>15.22</v>
      </c>
      <c r="R62" s="198"/>
      <c r="S62" s="198"/>
      <c r="T62" s="198"/>
      <c r="U62" s="198"/>
    </row>
    <row r="63" spans="1:21" s="12" customFormat="1" x14ac:dyDescent="0.25">
      <c r="A63" s="215" t="s">
        <v>2995</v>
      </c>
      <c r="B63" s="64">
        <v>6.83</v>
      </c>
      <c r="C63" s="64">
        <v>22.25</v>
      </c>
      <c r="D63" s="64">
        <v>18.399999999999999</v>
      </c>
      <c r="E63" s="64">
        <v>2.99</v>
      </c>
      <c r="F63" s="64">
        <v>3.82</v>
      </c>
      <c r="G63" s="64">
        <v>14.15</v>
      </c>
      <c r="H63" s="64">
        <v>4.6399999999999997</v>
      </c>
      <c r="I63" s="216" t="s">
        <v>43</v>
      </c>
      <c r="J63" s="64">
        <v>0.38</v>
      </c>
      <c r="K63" s="64">
        <v>6.72</v>
      </c>
      <c r="L63" s="64">
        <v>26.81</v>
      </c>
      <c r="M63" s="64">
        <v>87.73</v>
      </c>
      <c r="N63" s="64">
        <v>503.4</v>
      </c>
      <c r="O63" s="64">
        <v>0</v>
      </c>
      <c r="P63" s="64">
        <v>0.35</v>
      </c>
      <c r="Q63" s="64">
        <v>14.57</v>
      </c>
      <c r="R63" s="198"/>
      <c r="S63" s="198"/>
      <c r="T63" s="198"/>
      <c r="U63" s="198"/>
    </row>
    <row r="64" spans="1:21" s="12" customFormat="1" x14ac:dyDescent="0.25">
      <c r="A64" s="215" t="s">
        <v>2996</v>
      </c>
      <c r="B64" s="64">
        <v>6.48</v>
      </c>
      <c r="C64" s="64">
        <v>22.21</v>
      </c>
      <c r="D64" s="64">
        <v>18.100000000000001</v>
      </c>
      <c r="E64" s="64">
        <v>3.43</v>
      </c>
      <c r="F64" s="64">
        <v>4.54</v>
      </c>
      <c r="G64" s="64">
        <v>14.15</v>
      </c>
      <c r="H64" s="64">
        <v>4.6399999999999997</v>
      </c>
      <c r="I64" s="216" t="s">
        <v>43</v>
      </c>
      <c r="J64" s="64">
        <v>0.59</v>
      </c>
      <c r="K64" s="64">
        <v>341.14</v>
      </c>
      <c r="L64" s="64">
        <v>26.79</v>
      </c>
      <c r="M64" s="64">
        <v>87.41</v>
      </c>
      <c r="N64" s="64">
        <v>309.2</v>
      </c>
      <c r="O64" s="64">
        <v>0</v>
      </c>
      <c r="P64" s="64">
        <v>0.36</v>
      </c>
      <c r="Q64" s="64">
        <v>13.78</v>
      </c>
      <c r="R64" s="198"/>
      <c r="S64" s="198"/>
      <c r="T64" s="198"/>
      <c r="U64" s="198"/>
    </row>
    <row r="65" spans="1:21" s="12" customFormat="1" x14ac:dyDescent="0.25">
      <c r="A65" s="215" t="s">
        <v>2997</v>
      </c>
      <c r="B65" s="64">
        <v>7.04</v>
      </c>
      <c r="C65" s="64">
        <v>23.43</v>
      </c>
      <c r="D65" s="64">
        <v>19.22</v>
      </c>
      <c r="E65" s="64">
        <v>3.37</v>
      </c>
      <c r="F65" s="64">
        <v>3.92</v>
      </c>
      <c r="G65" s="64">
        <v>14.15</v>
      </c>
      <c r="H65" s="64">
        <v>4.6399999999999997</v>
      </c>
      <c r="I65" s="216" t="s">
        <v>43</v>
      </c>
      <c r="J65" s="64">
        <v>0.45</v>
      </c>
      <c r="K65" s="64">
        <v>349.65</v>
      </c>
      <c r="L65" s="64">
        <v>26.48</v>
      </c>
      <c r="M65" s="64">
        <v>87.71</v>
      </c>
      <c r="N65" s="64">
        <v>257.8</v>
      </c>
      <c r="O65" s="64">
        <v>0</v>
      </c>
      <c r="P65" s="64">
        <v>0.36</v>
      </c>
      <c r="Q65" s="64">
        <v>13.55</v>
      </c>
      <c r="R65" s="198"/>
      <c r="S65" s="198"/>
      <c r="T65" s="198"/>
      <c r="U65" s="198"/>
    </row>
    <row r="66" spans="1:21" s="12" customFormat="1" x14ac:dyDescent="0.25">
      <c r="A66" s="215" t="s">
        <v>2998</v>
      </c>
      <c r="B66" s="64">
        <v>9.24</v>
      </c>
      <c r="C66" s="64">
        <v>21.84</v>
      </c>
      <c r="D66" s="64">
        <v>20.11</v>
      </c>
      <c r="E66" s="64">
        <v>3</v>
      </c>
      <c r="F66" s="64">
        <v>5.0599999999999996</v>
      </c>
      <c r="G66" s="64">
        <v>29.39</v>
      </c>
      <c r="H66" s="64">
        <v>5.91</v>
      </c>
      <c r="I66" s="216" t="s">
        <v>43</v>
      </c>
      <c r="J66" s="64">
        <v>0.37</v>
      </c>
      <c r="K66" s="64">
        <v>359.76</v>
      </c>
      <c r="L66" s="64">
        <v>26.5</v>
      </c>
      <c r="M66" s="64">
        <v>88.32</v>
      </c>
      <c r="N66" s="64">
        <v>271.10000000000002</v>
      </c>
      <c r="O66" s="64">
        <v>0</v>
      </c>
      <c r="P66" s="64">
        <v>0.37</v>
      </c>
      <c r="Q66" s="64">
        <v>13.41</v>
      </c>
      <c r="R66" s="198"/>
      <c r="S66" s="198"/>
      <c r="T66" s="198"/>
      <c r="U66" s="198"/>
    </row>
    <row r="67" spans="1:21" s="12" customFormat="1" x14ac:dyDescent="0.25">
      <c r="A67" s="215" t="s">
        <v>2999</v>
      </c>
      <c r="B67" s="64">
        <v>8.76</v>
      </c>
      <c r="C67" s="64">
        <v>23.72</v>
      </c>
      <c r="D67" s="64">
        <v>20.76</v>
      </c>
      <c r="E67" s="64">
        <v>3.03</v>
      </c>
      <c r="F67" s="64">
        <v>4.18</v>
      </c>
      <c r="G67" s="64">
        <v>34.03</v>
      </c>
      <c r="H67" s="64">
        <v>6.07</v>
      </c>
      <c r="I67" s="216" t="s">
        <v>43</v>
      </c>
      <c r="J67" s="64">
        <v>0.36</v>
      </c>
      <c r="K67" s="64">
        <v>12.73</v>
      </c>
      <c r="L67" s="64">
        <v>26.36</v>
      </c>
      <c r="M67" s="64">
        <v>88.49</v>
      </c>
      <c r="N67" s="64">
        <v>271.7</v>
      </c>
      <c r="O67" s="64">
        <v>0</v>
      </c>
      <c r="P67" s="64">
        <v>0.37</v>
      </c>
      <c r="Q67" s="64">
        <v>14.12</v>
      </c>
      <c r="R67" s="198"/>
      <c r="S67" s="198"/>
      <c r="T67" s="198"/>
      <c r="U67" s="198"/>
    </row>
    <row r="68" spans="1:21" s="12" customFormat="1" x14ac:dyDescent="0.25">
      <c r="A68" s="215" t="s">
        <v>3000</v>
      </c>
      <c r="B68" s="64">
        <v>8.82</v>
      </c>
      <c r="C68" s="64">
        <v>24.1</v>
      </c>
      <c r="D68" s="64">
        <v>21.02</v>
      </c>
      <c r="E68" s="64">
        <v>3.51</v>
      </c>
      <c r="F68" s="64">
        <v>4.38</v>
      </c>
      <c r="G68" s="64">
        <v>34.03</v>
      </c>
      <c r="H68" s="64">
        <v>6.07</v>
      </c>
      <c r="I68" s="216" t="s">
        <v>43</v>
      </c>
      <c r="J68" s="64">
        <v>0.33</v>
      </c>
      <c r="K68" s="64">
        <v>23.31</v>
      </c>
      <c r="L68" s="64">
        <v>26.38</v>
      </c>
      <c r="M68" s="64">
        <v>88.21</v>
      </c>
      <c r="N68" s="64">
        <v>265</v>
      </c>
      <c r="O68" s="64">
        <v>0</v>
      </c>
      <c r="P68" s="64">
        <v>0.38</v>
      </c>
      <c r="Q68" s="64">
        <v>14.31</v>
      </c>
      <c r="R68" s="198"/>
      <c r="S68" s="198"/>
      <c r="T68" s="198"/>
      <c r="U68" s="198"/>
    </row>
    <row r="69" spans="1:21" s="12" customFormat="1" x14ac:dyDescent="0.25">
      <c r="A69" s="215" t="s">
        <v>3001</v>
      </c>
      <c r="B69" s="64">
        <v>9.36</v>
      </c>
      <c r="C69" s="64">
        <v>26.87</v>
      </c>
      <c r="D69" s="64">
        <v>22.98</v>
      </c>
      <c r="E69" s="64">
        <v>3.1</v>
      </c>
      <c r="F69" s="64">
        <v>4.88</v>
      </c>
      <c r="G69" s="64">
        <v>34.03</v>
      </c>
      <c r="H69" s="64">
        <v>6.07</v>
      </c>
      <c r="I69" s="216" t="s">
        <v>43</v>
      </c>
      <c r="J69" s="64">
        <v>0.32</v>
      </c>
      <c r="K69" s="64">
        <v>30.83</v>
      </c>
      <c r="L69" s="64">
        <v>26.26</v>
      </c>
      <c r="M69" s="64">
        <v>87.75</v>
      </c>
      <c r="N69" s="64">
        <v>265.5</v>
      </c>
      <c r="O69" s="64">
        <v>0</v>
      </c>
      <c r="P69" s="64">
        <v>0.4</v>
      </c>
      <c r="Q69" s="64">
        <v>15.25</v>
      </c>
      <c r="R69" s="198"/>
      <c r="S69" s="198"/>
      <c r="T69" s="198"/>
      <c r="U69" s="198"/>
    </row>
    <row r="70" spans="1:21" s="12" customFormat="1" x14ac:dyDescent="0.25">
      <c r="A70" s="215" t="s">
        <v>3002</v>
      </c>
      <c r="B70" s="64">
        <v>10.18</v>
      </c>
      <c r="C70" s="64">
        <v>27.42</v>
      </c>
      <c r="D70" s="64">
        <v>23.95</v>
      </c>
      <c r="E70" s="64">
        <v>3.23</v>
      </c>
      <c r="F70" s="64">
        <v>5.27</v>
      </c>
      <c r="G70" s="64">
        <v>34.869999999999997</v>
      </c>
      <c r="H70" s="64">
        <v>5.0599999999999996</v>
      </c>
      <c r="I70" s="216" t="s">
        <v>43</v>
      </c>
      <c r="J70" s="64">
        <v>0.39</v>
      </c>
      <c r="K70" s="64">
        <v>7.79</v>
      </c>
      <c r="L70" s="64">
        <v>26.59</v>
      </c>
      <c r="M70" s="64">
        <v>86.09</v>
      </c>
      <c r="N70" s="64">
        <v>277.8</v>
      </c>
      <c r="O70" s="64">
        <v>0</v>
      </c>
      <c r="P70" s="64">
        <v>0.41</v>
      </c>
      <c r="Q70" s="64">
        <v>15.77</v>
      </c>
      <c r="R70" s="198"/>
      <c r="S70" s="198"/>
      <c r="T70" s="198"/>
      <c r="U70" s="198"/>
    </row>
    <row r="71" spans="1:21" s="12" customFormat="1" x14ac:dyDescent="0.25">
      <c r="A71" s="215" t="s">
        <v>3003</v>
      </c>
      <c r="B71" s="64">
        <v>14.14</v>
      </c>
      <c r="C71" s="64">
        <v>25.08</v>
      </c>
      <c r="D71" s="64">
        <v>25.82</v>
      </c>
      <c r="E71" s="64">
        <v>2.94</v>
      </c>
      <c r="F71" s="64">
        <v>5.25</v>
      </c>
      <c r="G71" s="64">
        <v>35.14</v>
      </c>
      <c r="H71" s="64">
        <v>4.96</v>
      </c>
      <c r="I71" s="216" t="s">
        <v>43</v>
      </c>
      <c r="J71" s="64">
        <v>0.4</v>
      </c>
      <c r="K71" s="64">
        <v>17.760000000000002</v>
      </c>
      <c r="L71" s="64">
        <v>26.83</v>
      </c>
      <c r="M71" s="64">
        <v>83.78</v>
      </c>
      <c r="N71" s="64">
        <v>281</v>
      </c>
      <c r="O71" s="64">
        <v>0</v>
      </c>
      <c r="P71" s="64">
        <v>0.4</v>
      </c>
      <c r="Q71" s="64">
        <v>15.71</v>
      </c>
      <c r="R71" s="198"/>
      <c r="S71" s="198"/>
      <c r="T71" s="198"/>
      <c r="U71" s="198"/>
    </row>
    <row r="72" spans="1:21" s="12" customFormat="1" x14ac:dyDescent="0.25">
      <c r="A72" s="215" t="s">
        <v>3004</v>
      </c>
      <c r="B72" s="64">
        <v>11.32</v>
      </c>
      <c r="C72" s="64">
        <v>26.2</v>
      </c>
      <c r="D72" s="64">
        <v>24.18</v>
      </c>
      <c r="E72" s="64">
        <v>2.16</v>
      </c>
      <c r="F72" s="64">
        <v>5.0599999999999996</v>
      </c>
      <c r="G72" s="64">
        <v>35.14</v>
      </c>
      <c r="H72" s="64">
        <v>4.96</v>
      </c>
      <c r="I72" s="216" t="s">
        <v>43</v>
      </c>
      <c r="J72" s="64">
        <v>0.35</v>
      </c>
      <c r="K72" s="64">
        <v>23.19</v>
      </c>
      <c r="L72" s="64">
        <v>26.8</v>
      </c>
      <c r="M72" s="64">
        <v>84.21</v>
      </c>
      <c r="N72" s="64">
        <v>248.7</v>
      </c>
      <c r="O72" s="64">
        <v>0</v>
      </c>
      <c r="P72" s="64">
        <v>0.4</v>
      </c>
      <c r="Q72" s="64">
        <v>16.21</v>
      </c>
      <c r="R72" s="198"/>
      <c r="S72" s="198"/>
      <c r="T72" s="198"/>
      <c r="U72" s="198"/>
    </row>
    <row r="73" spans="1:21" s="12" customFormat="1" x14ac:dyDescent="0.25">
      <c r="A73" s="215" t="s">
        <v>3005</v>
      </c>
      <c r="B73" s="64">
        <v>11.78</v>
      </c>
      <c r="C73" s="64">
        <v>27.01</v>
      </c>
      <c r="D73" s="64">
        <v>24.99</v>
      </c>
      <c r="E73" s="64">
        <v>2.36</v>
      </c>
      <c r="F73" s="64">
        <v>4.76</v>
      </c>
      <c r="G73" s="64">
        <v>35.14</v>
      </c>
      <c r="H73" s="64">
        <v>4.96</v>
      </c>
      <c r="I73" s="216" t="s">
        <v>43</v>
      </c>
      <c r="J73" s="64">
        <v>0.35</v>
      </c>
      <c r="K73" s="64">
        <v>20.28</v>
      </c>
      <c r="L73" s="64">
        <v>26.9</v>
      </c>
      <c r="M73" s="64">
        <v>83.65</v>
      </c>
      <c r="N73" s="64">
        <v>232.8</v>
      </c>
      <c r="O73" s="64">
        <v>0</v>
      </c>
      <c r="P73" s="64">
        <v>0.4</v>
      </c>
      <c r="Q73" s="64">
        <v>16.239999999999998</v>
      </c>
      <c r="R73" s="198"/>
      <c r="S73" s="198"/>
      <c r="T73" s="198"/>
      <c r="U73" s="198"/>
    </row>
    <row r="74" spans="1:21" s="12" customFormat="1" x14ac:dyDescent="0.25">
      <c r="A74" s="215" t="s">
        <v>3006</v>
      </c>
      <c r="B74" s="64">
        <v>10.86</v>
      </c>
      <c r="C74" s="64">
        <v>26.94</v>
      </c>
      <c r="D74" s="64">
        <v>24.22</v>
      </c>
      <c r="E74" s="64">
        <v>3</v>
      </c>
      <c r="F74" s="64">
        <v>3.33</v>
      </c>
      <c r="G74" s="64">
        <v>33.75</v>
      </c>
      <c r="H74" s="64">
        <v>7.34</v>
      </c>
      <c r="I74" s="216" t="s">
        <v>43</v>
      </c>
      <c r="J74" s="64">
        <v>0.37</v>
      </c>
      <c r="K74" s="64">
        <v>33.97</v>
      </c>
      <c r="L74" s="64">
        <v>26.78</v>
      </c>
      <c r="M74" s="64">
        <v>84.13</v>
      </c>
      <c r="N74" s="64">
        <v>218.7</v>
      </c>
      <c r="O74" s="64">
        <v>0</v>
      </c>
      <c r="P74" s="64">
        <v>0.39</v>
      </c>
      <c r="Q74" s="64">
        <v>15.62</v>
      </c>
      <c r="R74" s="198"/>
      <c r="S74" s="198"/>
      <c r="T74" s="198"/>
      <c r="U74" s="198"/>
    </row>
    <row r="75" spans="1:21" s="12" customFormat="1" x14ac:dyDescent="0.25">
      <c r="A75" s="215" t="s">
        <v>3007</v>
      </c>
      <c r="B75" s="64">
        <v>9.91</v>
      </c>
      <c r="C75" s="64">
        <v>25.64</v>
      </c>
      <c r="D75" s="64">
        <v>22.74</v>
      </c>
      <c r="E75" s="64">
        <v>2.46</v>
      </c>
      <c r="F75" s="64">
        <v>4.1500000000000004</v>
      </c>
      <c r="G75" s="64">
        <v>33.299999999999997</v>
      </c>
      <c r="H75" s="64">
        <v>7.86</v>
      </c>
      <c r="I75" s="216" t="s">
        <v>43</v>
      </c>
      <c r="J75" s="64">
        <v>0.41</v>
      </c>
      <c r="K75" s="64">
        <v>32.92</v>
      </c>
      <c r="L75" s="64">
        <v>26.58</v>
      </c>
      <c r="M75" s="64">
        <v>84.88</v>
      </c>
      <c r="N75" s="64">
        <v>188.6</v>
      </c>
      <c r="O75" s="64">
        <v>0</v>
      </c>
      <c r="P75" s="64">
        <v>0.39</v>
      </c>
      <c r="Q75" s="64">
        <v>14.69</v>
      </c>
      <c r="R75" s="198"/>
      <c r="S75" s="198"/>
      <c r="T75" s="198"/>
      <c r="U75" s="198"/>
    </row>
    <row r="76" spans="1:21" s="12" customFormat="1" x14ac:dyDescent="0.25">
      <c r="A76" s="215" t="s">
        <v>3008</v>
      </c>
      <c r="B76" s="64">
        <v>8.2899999999999991</v>
      </c>
      <c r="C76" s="64">
        <v>25.18</v>
      </c>
      <c r="D76" s="64">
        <v>21.19</v>
      </c>
      <c r="E76" s="64">
        <v>2.62</v>
      </c>
      <c r="F76" s="64">
        <v>5.61</v>
      </c>
      <c r="G76" s="64">
        <v>33.299999999999997</v>
      </c>
      <c r="H76" s="64">
        <v>7.86</v>
      </c>
      <c r="I76" s="216" t="s">
        <v>43</v>
      </c>
      <c r="J76" s="64">
        <v>0.43</v>
      </c>
      <c r="K76" s="64">
        <v>13.92</v>
      </c>
      <c r="L76" s="64">
        <v>26.72</v>
      </c>
      <c r="M76" s="64">
        <v>84.23</v>
      </c>
      <c r="N76" s="64">
        <v>168.6</v>
      </c>
      <c r="O76" s="64">
        <v>0</v>
      </c>
      <c r="P76" s="64">
        <v>0.39</v>
      </c>
      <c r="Q76" s="64">
        <v>14.03</v>
      </c>
      <c r="R76" s="198"/>
      <c r="S76" s="198"/>
      <c r="T76" s="198"/>
      <c r="U76" s="198"/>
    </row>
    <row r="77" spans="1:21" s="12" customFormat="1" x14ac:dyDescent="0.25">
      <c r="A77" s="215" t="s">
        <v>3009</v>
      </c>
      <c r="B77" s="64">
        <v>7.39</v>
      </c>
      <c r="C77" s="64">
        <v>25.8</v>
      </c>
      <c r="D77" s="64">
        <v>20.81</v>
      </c>
      <c r="E77" s="64">
        <v>2.54</v>
      </c>
      <c r="F77" s="64">
        <v>5.9</v>
      </c>
      <c r="G77" s="64">
        <v>33.299999999999997</v>
      </c>
      <c r="H77" s="64">
        <v>7.86</v>
      </c>
      <c r="I77" s="216" t="s">
        <v>43</v>
      </c>
      <c r="J77" s="64">
        <v>0.38</v>
      </c>
      <c r="K77" s="64">
        <v>25.44</v>
      </c>
      <c r="L77" s="64">
        <v>26.77</v>
      </c>
      <c r="M77" s="64">
        <v>84.02</v>
      </c>
      <c r="N77" s="64">
        <v>136.5</v>
      </c>
      <c r="O77" s="64">
        <v>0</v>
      </c>
      <c r="P77" s="64">
        <v>0.4</v>
      </c>
      <c r="Q77" s="64">
        <v>14.44</v>
      </c>
      <c r="R77" s="198"/>
      <c r="S77" s="198"/>
      <c r="T77" s="198"/>
      <c r="U77" s="198"/>
    </row>
    <row r="78" spans="1:21" s="12" customFormat="1" x14ac:dyDescent="0.25">
      <c r="A78" s="215" t="s">
        <v>3010</v>
      </c>
      <c r="B78" s="64">
        <v>7.46</v>
      </c>
      <c r="C78" s="64">
        <v>25.41</v>
      </c>
      <c r="D78" s="64">
        <v>20.65</v>
      </c>
      <c r="E78" s="64">
        <v>2.38</v>
      </c>
      <c r="F78" s="64">
        <v>5.25</v>
      </c>
      <c r="G78" s="64">
        <v>34.92</v>
      </c>
      <c r="H78" s="64">
        <v>11.04</v>
      </c>
      <c r="I78" s="216" t="s">
        <v>43</v>
      </c>
      <c r="J78" s="64">
        <v>0.36</v>
      </c>
      <c r="K78" s="64">
        <v>34.79</v>
      </c>
      <c r="L78" s="64">
        <v>26.62</v>
      </c>
      <c r="M78" s="64">
        <v>84.56</v>
      </c>
      <c r="N78" s="64">
        <v>119.6</v>
      </c>
      <c r="O78" s="64">
        <v>0</v>
      </c>
      <c r="P78" s="64">
        <v>0.4</v>
      </c>
      <c r="Q78" s="64">
        <v>14.04</v>
      </c>
      <c r="R78" s="198"/>
      <c r="S78" s="198"/>
      <c r="T78" s="198"/>
      <c r="U78" s="198"/>
    </row>
    <row r="79" spans="1:21" s="12" customFormat="1" x14ac:dyDescent="0.25">
      <c r="A79" s="215" t="s">
        <v>3011</v>
      </c>
      <c r="B79" s="64">
        <v>6.99</v>
      </c>
      <c r="C79" s="64">
        <v>25.82</v>
      </c>
      <c r="D79" s="64">
        <v>20.5</v>
      </c>
      <c r="E79" s="64">
        <v>2.4300000000000002</v>
      </c>
      <c r="F79" s="64">
        <v>4.84</v>
      </c>
      <c r="G79" s="64">
        <v>35.409999999999997</v>
      </c>
      <c r="H79" s="64">
        <v>11.74</v>
      </c>
      <c r="I79" s="216" t="s">
        <v>43</v>
      </c>
      <c r="J79" s="64">
        <v>0.43</v>
      </c>
      <c r="K79" s="64">
        <v>8.9</v>
      </c>
      <c r="L79" s="64">
        <v>26.53</v>
      </c>
      <c r="M79" s="64">
        <v>85.92</v>
      </c>
      <c r="N79" s="64">
        <v>98.4</v>
      </c>
      <c r="O79" s="64">
        <v>0</v>
      </c>
      <c r="P79" s="64">
        <v>0.41</v>
      </c>
      <c r="Q79" s="64">
        <v>14.02</v>
      </c>
      <c r="R79" s="198"/>
      <c r="S79" s="198"/>
      <c r="T79" s="198"/>
      <c r="U79" s="198"/>
    </row>
    <row r="80" spans="1:21" s="12" customFormat="1" x14ac:dyDescent="0.25">
      <c r="A80" s="215" t="s">
        <v>3012</v>
      </c>
      <c r="B80" s="64">
        <v>6.46</v>
      </c>
      <c r="C80" s="64">
        <v>26.51</v>
      </c>
      <c r="D80" s="64">
        <v>20.46</v>
      </c>
      <c r="E80" s="64">
        <v>2.33</v>
      </c>
      <c r="F80" s="64">
        <v>5.09</v>
      </c>
      <c r="G80" s="64">
        <v>35.409999999999997</v>
      </c>
      <c r="H80" s="64">
        <v>11.74</v>
      </c>
      <c r="I80" s="216" t="s">
        <v>43</v>
      </c>
      <c r="J80" s="64">
        <v>0.32</v>
      </c>
      <c r="K80" s="64">
        <v>28.22</v>
      </c>
      <c r="L80" s="64">
        <v>26.41</v>
      </c>
      <c r="M80" s="64">
        <v>86.82</v>
      </c>
      <c r="N80" s="64">
        <v>71</v>
      </c>
      <c r="O80" s="64">
        <v>0</v>
      </c>
      <c r="P80" s="64">
        <v>0.43</v>
      </c>
      <c r="Q80" s="64">
        <v>14.25</v>
      </c>
      <c r="R80" s="198"/>
      <c r="S80" s="198"/>
      <c r="T80" s="198"/>
      <c r="U80" s="198"/>
    </row>
    <row r="81" spans="1:26" s="12" customFormat="1" x14ac:dyDescent="0.25">
      <c r="A81" s="215" t="s">
        <v>3013</v>
      </c>
      <c r="B81" s="64">
        <v>9.6999999999999993</v>
      </c>
      <c r="C81" s="64">
        <v>28.09</v>
      </c>
      <c r="D81" s="64">
        <v>23.93</v>
      </c>
      <c r="E81" s="64">
        <v>2.5499999999999998</v>
      </c>
      <c r="F81" s="64">
        <v>5.24</v>
      </c>
      <c r="G81" s="64">
        <v>35.409999999999997</v>
      </c>
      <c r="H81" s="64">
        <v>11.74</v>
      </c>
      <c r="I81" s="216" t="s">
        <v>43</v>
      </c>
      <c r="J81" s="64">
        <v>0.31</v>
      </c>
      <c r="K81" s="64">
        <v>46.23</v>
      </c>
      <c r="L81" s="64">
        <v>26.11</v>
      </c>
      <c r="M81" s="64">
        <v>87.99</v>
      </c>
      <c r="N81" s="64">
        <v>50.8</v>
      </c>
      <c r="O81" s="64">
        <v>0</v>
      </c>
      <c r="P81" s="64">
        <v>0.47</v>
      </c>
      <c r="Q81" s="64">
        <v>15.22</v>
      </c>
      <c r="R81" s="198"/>
      <c r="S81" s="198"/>
      <c r="T81" s="198"/>
      <c r="U81" s="198"/>
    </row>
    <row r="82" spans="1:26" s="12" customFormat="1" x14ac:dyDescent="0.25">
      <c r="A82" s="215" t="s">
        <v>3014</v>
      </c>
      <c r="B82" s="64">
        <v>7.27</v>
      </c>
      <c r="C82" s="64">
        <v>27.53</v>
      </c>
      <c r="D82" s="64">
        <v>21.67</v>
      </c>
      <c r="E82" s="64">
        <v>2.52</v>
      </c>
      <c r="F82" s="64">
        <v>5.21</v>
      </c>
      <c r="G82" s="64">
        <v>37.29</v>
      </c>
      <c r="H82" s="64">
        <v>9.65</v>
      </c>
      <c r="I82" s="216" t="s">
        <v>43</v>
      </c>
      <c r="J82" s="64">
        <v>0.4</v>
      </c>
      <c r="K82" s="64">
        <v>25.06</v>
      </c>
      <c r="L82" s="64">
        <v>25.99</v>
      </c>
      <c r="M82" s="64">
        <v>87.83</v>
      </c>
      <c r="N82" s="64">
        <v>42.9</v>
      </c>
      <c r="O82" s="64">
        <v>0</v>
      </c>
      <c r="P82" s="64">
        <v>0.49</v>
      </c>
      <c r="Q82" s="64">
        <v>16.47</v>
      </c>
      <c r="R82" s="198"/>
      <c r="S82" s="198"/>
      <c r="T82" s="198"/>
      <c r="U82" s="198"/>
    </row>
    <row r="83" spans="1:26" s="12" customFormat="1" x14ac:dyDescent="0.25">
      <c r="A83" s="215" t="s">
        <v>3015</v>
      </c>
      <c r="B83" s="64">
        <v>7.92</v>
      </c>
      <c r="C83" s="64">
        <v>26.63</v>
      </c>
      <c r="D83" s="64">
        <v>21.69</v>
      </c>
      <c r="E83" s="64">
        <v>2.5499999999999998</v>
      </c>
      <c r="F83" s="64">
        <v>4.3499999999999996</v>
      </c>
      <c r="G83" s="64">
        <v>37.86</v>
      </c>
      <c r="H83" s="64">
        <v>9.35</v>
      </c>
      <c r="I83" s="216" t="s">
        <v>43</v>
      </c>
      <c r="J83" s="64">
        <v>0.47</v>
      </c>
      <c r="K83" s="64">
        <v>13.48</v>
      </c>
      <c r="L83" s="64">
        <v>25.85</v>
      </c>
      <c r="M83" s="64">
        <v>84.61</v>
      </c>
      <c r="N83" s="64">
        <v>39.4</v>
      </c>
      <c r="O83" s="64">
        <v>0</v>
      </c>
      <c r="P83" s="64">
        <v>0.5</v>
      </c>
      <c r="Q83" s="64">
        <v>16.96</v>
      </c>
      <c r="R83" s="198"/>
      <c r="S83" s="198"/>
      <c r="T83" s="198"/>
      <c r="U83" s="198"/>
    </row>
    <row r="84" spans="1:26" s="12" customFormat="1" x14ac:dyDescent="0.25">
      <c r="A84" s="215" t="s">
        <v>3016</v>
      </c>
      <c r="B84" s="64">
        <v>7.84</v>
      </c>
      <c r="C84" s="64">
        <v>26.62</v>
      </c>
      <c r="D84" s="64">
        <v>21.62</v>
      </c>
      <c r="E84" s="64">
        <v>2.86</v>
      </c>
      <c r="F84" s="64">
        <v>4.38</v>
      </c>
      <c r="G84" s="64">
        <v>37.86</v>
      </c>
      <c r="H84" s="64">
        <v>9.35</v>
      </c>
      <c r="I84" s="216" t="s">
        <v>43</v>
      </c>
      <c r="J84" s="64">
        <v>0.41</v>
      </c>
      <c r="K84" s="64">
        <v>29.15</v>
      </c>
      <c r="L84" s="64">
        <v>25.49</v>
      </c>
      <c r="M84" s="64">
        <v>84.85</v>
      </c>
      <c r="N84" s="64">
        <v>38.799999999999997</v>
      </c>
      <c r="O84" s="64">
        <v>0</v>
      </c>
      <c r="P84" s="64">
        <v>0.51</v>
      </c>
      <c r="Q84" s="64">
        <v>16.78</v>
      </c>
      <c r="R84" s="198"/>
      <c r="S84" s="198"/>
      <c r="T84" s="198"/>
      <c r="U84" s="198"/>
    </row>
    <row r="85" spans="1:26" s="12" customFormat="1" x14ac:dyDescent="0.25">
      <c r="A85" s="215" t="s">
        <v>3017</v>
      </c>
      <c r="B85" s="64">
        <v>8.42</v>
      </c>
      <c r="C85" s="64">
        <v>26.15</v>
      </c>
      <c r="D85" s="64">
        <v>21.83</v>
      </c>
      <c r="E85" s="64">
        <v>2.78</v>
      </c>
      <c r="F85" s="64">
        <v>4.2699999999999996</v>
      </c>
      <c r="G85" s="64">
        <v>37.86</v>
      </c>
      <c r="H85" s="64">
        <v>9.35</v>
      </c>
      <c r="I85" s="216" t="s">
        <v>43</v>
      </c>
      <c r="J85" s="64">
        <v>0.47</v>
      </c>
      <c r="K85" s="64">
        <v>19.809999999999999</v>
      </c>
      <c r="L85" s="64">
        <v>25.15</v>
      </c>
      <c r="M85" s="64">
        <v>86.74</v>
      </c>
      <c r="N85" s="64">
        <v>38.700000000000003</v>
      </c>
      <c r="O85" s="64">
        <v>0</v>
      </c>
      <c r="P85" s="64">
        <v>0.48</v>
      </c>
      <c r="Q85" s="64">
        <v>16.760000000000002</v>
      </c>
      <c r="R85" s="198"/>
      <c r="S85" s="198"/>
      <c r="T85" s="198"/>
      <c r="U85" s="198"/>
    </row>
    <row r="86" spans="1:26" s="12" customFormat="1" x14ac:dyDescent="0.25">
      <c r="A86" s="215" t="s">
        <v>3018</v>
      </c>
      <c r="B86" s="64">
        <v>8.34</v>
      </c>
      <c r="C86" s="64">
        <v>25.78</v>
      </c>
      <c r="D86" s="64">
        <v>21.56</v>
      </c>
      <c r="E86" s="64">
        <v>2.89</v>
      </c>
      <c r="F86" s="64">
        <v>3.96</v>
      </c>
      <c r="G86" s="64">
        <v>34.979999999999997</v>
      </c>
      <c r="H86" s="64">
        <v>10.81</v>
      </c>
      <c r="I86" s="216" t="s">
        <v>43</v>
      </c>
      <c r="J86" s="64">
        <v>0.47</v>
      </c>
      <c r="K86" s="64">
        <v>14.26</v>
      </c>
      <c r="L86" s="64">
        <v>24.89</v>
      </c>
      <c r="M86" s="64">
        <v>88.52</v>
      </c>
      <c r="N86" s="64">
        <v>38.6</v>
      </c>
      <c r="O86" s="64">
        <v>0</v>
      </c>
      <c r="P86" s="64">
        <v>0.51</v>
      </c>
      <c r="Q86" s="64">
        <v>15.72</v>
      </c>
      <c r="R86" s="198"/>
      <c r="S86" s="198"/>
      <c r="T86" s="198"/>
      <c r="U86" s="198"/>
    </row>
    <row r="87" spans="1:26" s="12" customFormat="1" x14ac:dyDescent="0.25">
      <c r="A87" s="215" t="s">
        <v>3019</v>
      </c>
      <c r="B87" s="64">
        <v>8.1300000000000008</v>
      </c>
      <c r="C87" s="64">
        <v>25.48</v>
      </c>
      <c r="D87" s="64">
        <v>21.22</v>
      </c>
      <c r="E87" s="64">
        <v>2.72</v>
      </c>
      <c r="F87" s="64">
        <v>4.2699999999999996</v>
      </c>
      <c r="G87" s="64">
        <v>34.049999999999997</v>
      </c>
      <c r="H87" s="64">
        <v>10.89</v>
      </c>
      <c r="I87" s="216" t="s">
        <v>43</v>
      </c>
      <c r="J87" s="64">
        <v>0.4</v>
      </c>
      <c r="K87" s="64">
        <v>16.649999999999999</v>
      </c>
      <c r="L87" s="64">
        <v>24.82</v>
      </c>
      <c r="M87" s="64">
        <v>89.12</v>
      </c>
      <c r="N87" s="64">
        <v>38.5</v>
      </c>
      <c r="O87" s="64">
        <v>0</v>
      </c>
      <c r="P87" s="64">
        <v>0.51</v>
      </c>
      <c r="Q87" s="64">
        <v>14.75</v>
      </c>
      <c r="R87" s="198"/>
      <c r="S87" s="198"/>
      <c r="T87" s="198"/>
      <c r="U87" s="198"/>
    </row>
    <row r="88" spans="1:26" s="12" customFormat="1" x14ac:dyDescent="0.25">
      <c r="A88" s="215" t="s">
        <v>3020</v>
      </c>
      <c r="B88" s="64">
        <v>8</v>
      </c>
      <c r="C88" s="64">
        <v>26.08</v>
      </c>
      <c r="D88" s="64">
        <v>21.46</v>
      </c>
      <c r="E88" s="64">
        <v>2.89</v>
      </c>
      <c r="F88" s="64">
        <v>3.7</v>
      </c>
      <c r="G88" s="64">
        <v>34.049999999999997</v>
      </c>
      <c r="H88" s="64">
        <v>10.89</v>
      </c>
      <c r="I88" s="216" t="s">
        <v>43</v>
      </c>
      <c r="J88" s="64">
        <v>0.41</v>
      </c>
      <c r="K88" s="64">
        <v>28.73</v>
      </c>
      <c r="L88" s="64">
        <v>24.85</v>
      </c>
      <c r="M88" s="64">
        <v>88.5</v>
      </c>
      <c r="N88" s="64">
        <v>38.4</v>
      </c>
      <c r="O88" s="64">
        <v>0</v>
      </c>
      <c r="P88" s="64">
        <v>0.54</v>
      </c>
      <c r="Q88" s="64">
        <v>14.88</v>
      </c>
      <c r="R88" s="198"/>
      <c r="S88" s="198"/>
      <c r="T88" s="198"/>
      <c r="U88" s="198"/>
    </row>
    <row r="89" spans="1:26" s="12" customFormat="1" x14ac:dyDescent="0.25">
      <c r="A89" s="215" t="s">
        <v>3021</v>
      </c>
      <c r="B89" s="64">
        <v>8</v>
      </c>
      <c r="C89" s="64">
        <v>25.77</v>
      </c>
      <c r="D89" s="64">
        <v>21.28</v>
      </c>
      <c r="E89" s="64">
        <v>3.21</v>
      </c>
      <c r="F89" s="64">
        <v>4.04</v>
      </c>
      <c r="G89" s="64">
        <v>34.049999999999997</v>
      </c>
      <c r="H89" s="64">
        <v>10.89</v>
      </c>
      <c r="I89" s="216" t="s">
        <v>43</v>
      </c>
      <c r="J89" s="64">
        <v>0.44</v>
      </c>
      <c r="K89" s="64">
        <v>14.92</v>
      </c>
      <c r="L89" s="64">
        <v>24.81</v>
      </c>
      <c r="M89" s="64">
        <v>88.15</v>
      </c>
      <c r="N89" s="64">
        <v>38.4</v>
      </c>
      <c r="O89" s="64">
        <v>0</v>
      </c>
      <c r="P89" s="64">
        <v>0.57999999999999996</v>
      </c>
      <c r="Q89" s="64">
        <v>14.69</v>
      </c>
      <c r="R89" s="198"/>
      <c r="S89" s="198"/>
      <c r="T89" s="198"/>
      <c r="U89" s="198"/>
    </row>
    <row r="90" spans="1:26" s="12" customFormat="1" x14ac:dyDescent="0.25">
      <c r="A90" s="215" t="s">
        <v>3022</v>
      </c>
      <c r="B90" s="64">
        <v>8.56</v>
      </c>
      <c r="C90" s="64">
        <v>27.22</v>
      </c>
      <c r="D90" s="64">
        <v>22.53</v>
      </c>
      <c r="E90" s="64">
        <v>2.97</v>
      </c>
      <c r="F90" s="64">
        <v>3.84</v>
      </c>
      <c r="G90" s="64">
        <v>35.92</v>
      </c>
      <c r="H90" s="64">
        <v>13.37</v>
      </c>
      <c r="I90" s="216" t="s">
        <v>43</v>
      </c>
      <c r="J90" s="64">
        <v>0.51</v>
      </c>
      <c r="K90" s="64">
        <v>23.76</v>
      </c>
      <c r="L90" s="64">
        <v>24.75</v>
      </c>
      <c r="M90" s="64">
        <v>88.23</v>
      </c>
      <c r="N90" s="64">
        <v>38.299999999999997</v>
      </c>
      <c r="O90" s="64">
        <v>0</v>
      </c>
      <c r="P90" s="64">
        <v>0.57999999999999996</v>
      </c>
      <c r="Q90" s="64">
        <v>15.06</v>
      </c>
      <c r="R90" s="198"/>
      <c r="S90" s="198"/>
      <c r="T90" s="198"/>
      <c r="U90" s="198"/>
    </row>
    <row r="91" spans="1:26" s="12" customFormat="1" x14ac:dyDescent="0.25">
      <c r="A91" s="215" t="s">
        <v>3023</v>
      </c>
      <c r="B91" s="64">
        <v>8.7200000000000006</v>
      </c>
      <c r="C91" s="64">
        <v>26.47</v>
      </c>
      <c r="D91" s="64">
        <v>22.24</v>
      </c>
      <c r="E91" s="64">
        <v>2.86</v>
      </c>
      <c r="F91" s="64">
        <v>3.86</v>
      </c>
      <c r="G91" s="64">
        <v>36.520000000000003</v>
      </c>
      <c r="H91" s="64">
        <v>13.74</v>
      </c>
      <c r="I91" s="216" t="s">
        <v>43</v>
      </c>
      <c r="J91" s="64">
        <v>0.5</v>
      </c>
      <c r="K91" s="64">
        <v>22.24</v>
      </c>
      <c r="L91" s="64">
        <v>24.65</v>
      </c>
      <c r="M91" s="64">
        <v>89.72</v>
      </c>
      <c r="N91" s="64">
        <v>38.4</v>
      </c>
      <c r="O91" s="64">
        <v>0</v>
      </c>
      <c r="P91" s="64">
        <v>0.59</v>
      </c>
      <c r="Q91" s="64">
        <v>15.24</v>
      </c>
      <c r="R91" s="198"/>
      <c r="S91" s="198"/>
      <c r="T91" s="198"/>
      <c r="U91" s="198"/>
    </row>
    <row r="92" spans="1:26" s="12" customFormat="1" x14ac:dyDescent="0.25">
      <c r="A92" s="215" t="s">
        <v>3024</v>
      </c>
      <c r="B92" s="64">
        <v>8.52</v>
      </c>
      <c r="C92" s="64">
        <v>25.86</v>
      </c>
      <c r="D92" s="64">
        <v>21.75</v>
      </c>
      <c r="E92" s="64">
        <v>2.57</v>
      </c>
      <c r="F92" s="64">
        <v>4.33</v>
      </c>
      <c r="G92" s="64">
        <v>36.520000000000003</v>
      </c>
      <c r="H92" s="64">
        <v>13.74</v>
      </c>
      <c r="I92" s="216" t="s">
        <v>43</v>
      </c>
      <c r="J92" s="64">
        <v>0.32</v>
      </c>
      <c r="K92" s="64">
        <v>19.420000000000002</v>
      </c>
      <c r="L92" s="64">
        <v>24.58</v>
      </c>
      <c r="M92" s="64">
        <v>91.17</v>
      </c>
      <c r="N92" s="64">
        <v>38.4</v>
      </c>
      <c r="O92" s="64">
        <v>0</v>
      </c>
      <c r="P92" s="64">
        <v>0.6</v>
      </c>
      <c r="Q92" s="64">
        <v>15.01</v>
      </c>
      <c r="R92" s="198"/>
      <c r="S92" s="198"/>
      <c r="T92" s="198"/>
      <c r="U92" s="198"/>
    </row>
    <row r="93" spans="1:26" s="12" customFormat="1" x14ac:dyDescent="0.25">
      <c r="A93" s="215" t="s">
        <v>3025</v>
      </c>
      <c r="B93" s="64">
        <v>13.51</v>
      </c>
      <c r="C93" s="64">
        <v>26.43</v>
      </c>
      <c r="D93" s="64">
        <v>26.07</v>
      </c>
      <c r="E93" s="64">
        <v>3.58</v>
      </c>
      <c r="F93" s="64">
        <v>3.33</v>
      </c>
      <c r="G93" s="64">
        <v>36.520000000000003</v>
      </c>
      <c r="H93" s="64">
        <v>13.74</v>
      </c>
      <c r="I93" s="216" t="s">
        <v>43</v>
      </c>
      <c r="J93" s="64">
        <v>0.3</v>
      </c>
      <c r="K93" s="64">
        <v>33.44</v>
      </c>
      <c r="L93" s="64">
        <v>24.56</v>
      </c>
      <c r="M93" s="64">
        <v>92.03</v>
      </c>
      <c r="N93" s="64">
        <v>38.299999999999997</v>
      </c>
      <c r="O93" s="64">
        <v>0</v>
      </c>
      <c r="P93" s="64">
        <v>0.76</v>
      </c>
      <c r="Q93" s="64">
        <v>16.510000000000002</v>
      </c>
      <c r="R93" s="198"/>
      <c r="S93" s="198"/>
      <c r="T93" s="198"/>
      <c r="U93" s="198"/>
    </row>
    <row r="94" spans="1:26" s="12" customFormat="1" x14ac:dyDescent="0.25">
      <c r="A94" s="215" t="s">
        <v>3026</v>
      </c>
      <c r="B94" s="64">
        <v>12.41</v>
      </c>
      <c r="C94" s="64">
        <v>25.61</v>
      </c>
      <c r="D94" s="64">
        <v>24.73</v>
      </c>
      <c r="E94" s="64">
        <v>3.31</v>
      </c>
      <c r="F94" s="64">
        <v>3.55</v>
      </c>
      <c r="G94" s="64">
        <v>38.01</v>
      </c>
      <c r="H94" s="64">
        <v>14.71</v>
      </c>
      <c r="I94" s="216" t="s">
        <v>43</v>
      </c>
      <c r="J94" s="64">
        <v>0.42</v>
      </c>
      <c r="K94" s="64">
        <v>13.98</v>
      </c>
      <c r="L94" s="64">
        <v>24.47</v>
      </c>
      <c r="M94" s="64">
        <v>92.69</v>
      </c>
      <c r="N94" s="64">
        <v>38.4</v>
      </c>
      <c r="O94" s="64">
        <v>0</v>
      </c>
      <c r="P94" s="64">
        <v>0.79</v>
      </c>
      <c r="Q94" s="64">
        <v>17.059999999999999</v>
      </c>
      <c r="R94" s="198"/>
      <c r="S94" s="198"/>
      <c r="T94" s="198"/>
      <c r="U94" s="198"/>
    </row>
    <row r="95" spans="1:26" s="12" customFormat="1" x14ac:dyDescent="0.25">
      <c r="A95" s="215" t="s">
        <v>3027</v>
      </c>
      <c r="B95" s="64">
        <v>14.43</v>
      </c>
      <c r="C95" s="64">
        <v>24.76</v>
      </c>
      <c r="D95" s="64">
        <v>25.88</v>
      </c>
      <c r="E95" s="64">
        <v>3.47</v>
      </c>
      <c r="F95" s="64">
        <v>3.86</v>
      </c>
      <c r="G95" s="64">
        <v>38.49</v>
      </c>
      <c r="H95" s="64">
        <v>14.85</v>
      </c>
      <c r="I95" s="216" t="s">
        <v>43</v>
      </c>
      <c r="J95" s="64">
        <v>0.35</v>
      </c>
      <c r="K95" s="64">
        <v>23.93</v>
      </c>
      <c r="L95" s="64">
        <v>24.54</v>
      </c>
      <c r="M95" s="64">
        <v>92.17</v>
      </c>
      <c r="N95" s="64">
        <v>38.299999999999997</v>
      </c>
      <c r="O95" s="64">
        <v>0</v>
      </c>
      <c r="P95" s="64">
        <v>0.81</v>
      </c>
      <c r="Q95" s="64">
        <v>17.010000000000002</v>
      </c>
      <c r="R95" s="198"/>
      <c r="S95" s="198"/>
      <c r="T95" s="198"/>
      <c r="U95" s="198"/>
    </row>
    <row r="96" spans="1:26" s="12" customFormat="1" x14ac:dyDescent="0.25">
      <c r="A96" s="215" t="s">
        <v>3028</v>
      </c>
      <c r="B96" s="64">
        <v>13.21</v>
      </c>
      <c r="C96" s="64">
        <v>23.13</v>
      </c>
      <c r="D96" s="64">
        <v>24</v>
      </c>
      <c r="E96" s="64">
        <v>3.35</v>
      </c>
      <c r="F96" s="64">
        <v>4.0199999999999996</v>
      </c>
      <c r="G96" s="64">
        <v>38.49</v>
      </c>
      <c r="H96" s="64">
        <v>14.85</v>
      </c>
      <c r="I96" s="216" t="s">
        <v>43</v>
      </c>
      <c r="J96" s="64">
        <v>0.3</v>
      </c>
      <c r="K96" s="64">
        <v>17.05</v>
      </c>
      <c r="L96" s="64">
        <v>24.38</v>
      </c>
      <c r="M96" s="64">
        <v>93.02</v>
      </c>
      <c r="N96" s="64">
        <v>38.299999999999997</v>
      </c>
      <c r="O96" s="64">
        <v>0</v>
      </c>
      <c r="P96" s="64">
        <v>0.81</v>
      </c>
      <c r="Q96" s="64">
        <v>16.91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3029</v>
      </c>
      <c r="B97" s="64">
        <v>11.49</v>
      </c>
      <c r="C97" s="64">
        <v>24.5</v>
      </c>
      <c r="D97" s="64">
        <v>23.38</v>
      </c>
      <c r="E97" s="64">
        <v>3.4</v>
      </c>
      <c r="F97" s="64">
        <v>4.41</v>
      </c>
      <c r="G97" s="64">
        <v>38.49</v>
      </c>
      <c r="H97" s="64">
        <v>14.85</v>
      </c>
      <c r="I97" s="216" t="s">
        <v>43</v>
      </c>
      <c r="J97" s="64">
        <v>0.26</v>
      </c>
      <c r="K97" s="64">
        <v>18.38</v>
      </c>
      <c r="L97" s="64">
        <v>24.37</v>
      </c>
      <c r="M97" s="64">
        <v>92.76</v>
      </c>
      <c r="N97" s="64">
        <v>38.4</v>
      </c>
      <c r="O97" s="64">
        <v>0</v>
      </c>
      <c r="P97" s="64">
        <v>0.79</v>
      </c>
      <c r="Q97" s="64">
        <v>16.91</v>
      </c>
      <c r="R97" s="198"/>
      <c r="S97" s="198"/>
      <c r="T97" s="198"/>
      <c r="U97" s="198"/>
    </row>
    <row r="98" spans="1:33" s="12" customFormat="1" x14ac:dyDescent="0.25">
      <c r="A98" s="215" t="s">
        <v>3030</v>
      </c>
      <c r="B98" s="64">
        <v>12.69</v>
      </c>
      <c r="C98" s="64">
        <v>26.32</v>
      </c>
      <c r="D98" s="64">
        <v>25.35</v>
      </c>
      <c r="E98" s="64">
        <v>3.38</v>
      </c>
      <c r="F98" s="64">
        <v>3.99</v>
      </c>
      <c r="G98" s="64">
        <v>41.88</v>
      </c>
      <c r="H98" s="64">
        <v>14.83</v>
      </c>
      <c r="I98" s="216" t="s">
        <v>43</v>
      </c>
      <c r="J98" s="64">
        <v>0.34</v>
      </c>
      <c r="K98" s="64">
        <v>3.44</v>
      </c>
      <c r="L98" s="64">
        <v>24.24</v>
      </c>
      <c r="M98" s="64">
        <v>93.77</v>
      </c>
      <c r="N98" s="64">
        <v>38.4</v>
      </c>
      <c r="O98" s="64">
        <v>0</v>
      </c>
      <c r="P98" s="64">
        <v>0.78</v>
      </c>
      <c r="Q98" s="64">
        <v>16.010000000000002</v>
      </c>
      <c r="R98" s="198"/>
      <c r="S98" s="198"/>
      <c r="T98" s="198"/>
      <c r="U98" s="198"/>
    </row>
    <row r="99" spans="1:33" s="12" customFormat="1" x14ac:dyDescent="0.25">
      <c r="A99" s="215" t="s">
        <v>3031</v>
      </c>
      <c r="B99" s="64">
        <v>12.74</v>
      </c>
      <c r="C99" s="64">
        <v>25.32</v>
      </c>
      <c r="D99" s="64">
        <v>24.84</v>
      </c>
      <c r="E99" s="64">
        <v>3.15</v>
      </c>
      <c r="F99" s="64">
        <v>3.65</v>
      </c>
      <c r="G99" s="64">
        <v>42.91</v>
      </c>
      <c r="H99" s="64">
        <v>14.83</v>
      </c>
      <c r="I99" s="216" t="s">
        <v>43</v>
      </c>
      <c r="J99" s="64">
        <v>0.25</v>
      </c>
      <c r="K99" s="64">
        <v>34</v>
      </c>
      <c r="L99" s="64">
        <v>24.18</v>
      </c>
      <c r="M99" s="64">
        <v>94.72</v>
      </c>
      <c r="N99" s="64">
        <v>38.299999999999997</v>
      </c>
      <c r="O99" s="64">
        <v>0</v>
      </c>
      <c r="P99" s="64">
        <v>0.81</v>
      </c>
      <c r="Q99" s="64">
        <v>15.74</v>
      </c>
      <c r="R99" s="198"/>
      <c r="S99" s="198"/>
      <c r="T99" s="198"/>
      <c r="U99" s="198"/>
    </row>
    <row r="100" spans="1:33" s="12" customFormat="1" x14ac:dyDescent="0.25">
      <c r="A100" s="215" t="s">
        <v>3032</v>
      </c>
      <c r="B100" s="64">
        <v>12.58</v>
      </c>
      <c r="C100" s="64">
        <v>25.22</v>
      </c>
      <c r="D100" s="64">
        <v>24.65</v>
      </c>
      <c r="E100" s="64">
        <v>3.34</v>
      </c>
      <c r="F100" s="64">
        <v>3.72</v>
      </c>
      <c r="G100" s="64">
        <v>42.91</v>
      </c>
      <c r="H100" s="64">
        <v>14.83</v>
      </c>
      <c r="I100" s="216" t="s">
        <v>43</v>
      </c>
      <c r="J100" s="64">
        <v>0.27</v>
      </c>
      <c r="K100" s="64">
        <v>20.36</v>
      </c>
      <c r="L100" s="64">
        <v>24.17</v>
      </c>
      <c r="M100" s="64">
        <v>95.46</v>
      </c>
      <c r="N100" s="64">
        <v>38.4</v>
      </c>
      <c r="O100" s="64">
        <v>0</v>
      </c>
      <c r="P100" s="64">
        <v>0.85</v>
      </c>
      <c r="Q100" s="64">
        <v>15.49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3033</v>
      </c>
      <c r="B101" s="64">
        <v>12.6</v>
      </c>
      <c r="C101" s="64">
        <v>26.43</v>
      </c>
      <c r="D101" s="64">
        <v>25.34</v>
      </c>
      <c r="E101" s="64">
        <v>3.59</v>
      </c>
      <c r="F101" s="64">
        <v>3.17</v>
      </c>
      <c r="G101" s="64">
        <v>42.91</v>
      </c>
      <c r="H101" s="64">
        <v>14.83</v>
      </c>
      <c r="I101" s="216" t="s">
        <v>43</v>
      </c>
      <c r="J101" s="64">
        <v>0.28999999999999998</v>
      </c>
      <c r="K101" s="64">
        <v>32.54</v>
      </c>
      <c r="L101" s="64">
        <v>24.11</v>
      </c>
      <c r="M101" s="64">
        <v>95.79</v>
      </c>
      <c r="N101" s="64">
        <v>38.299999999999997</v>
      </c>
      <c r="O101" s="64">
        <v>0</v>
      </c>
      <c r="P101" s="64">
        <v>0.92</v>
      </c>
      <c r="Q101" s="64">
        <v>15.94</v>
      </c>
      <c r="R101" s="198"/>
      <c r="S101" s="198"/>
      <c r="T101" s="198"/>
      <c r="U101" s="198"/>
    </row>
    <row r="102" spans="1:33" s="12" customFormat="1" x14ac:dyDescent="0.25">
      <c r="A102" s="215" t="s">
        <v>3034</v>
      </c>
      <c r="B102" s="64">
        <v>12.89</v>
      </c>
      <c r="C102" s="64">
        <v>26.07</v>
      </c>
      <c r="D102" s="64">
        <v>25.37</v>
      </c>
      <c r="E102" s="64">
        <v>3.36</v>
      </c>
      <c r="F102" s="64">
        <v>3.39</v>
      </c>
      <c r="G102" s="64">
        <v>44.09</v>
      </c>
      <c r="H102" s="64">
        <v>14.42</v>
      </c>
      <c r="I102" s="216" t="s">
        <v>43</v>
      </c>
      <c r="J102" s="64">
        <v>0.3</v>
      </c>
      <c r="K102" s="64">
        <v>27.79</v>
      </c>
      <c r="L102" s="64">
        <v>24.1</v>
      </c>
      <c r="M102" s="64">
        <v>95.4</v>
      </c>
      <c r="N102" s="64">
        <v>38.4</v>
      </c>
      <c r="O102" s="64">
        <v>0</v>
      </c>
      <c r="P102" s="64">
        <v>0.98</v>
      </c>
      <c r="Q102" s="64">
        <v>15.84</v>
      </c>
      <c r="R102" s="198"/>
      <c r="S102" s="198"/>
      <c r="T102" s="198"/>
      <c r="U102" s="198"/>
    </row>
    <row r="103" spans="1:33" s="12" customFormat="1" x14ac:dyDescent="0.25">
      <c r="A103" s="215" t="s">
        <v>3035</v>
      </c>
      <c r="B103" s="64">
        <v>12.72</v>
      </c>
      <c r="C103" s="64">
        <v>26.71</v>
      </c>
      <c r="D103" s="64">
        <v>25.59</v>
      </c>
      <c r="E103" s="64">
        <v>3.5</v>
      </c>
      <c r="F103" s="64">
        <v>3.71</v>
      </c>
      <c r="G103" s="64">
        <v>44.48</v>
      </c>
      <c r="H103" s="64">
        <v>14.42</v>
      </c>
      <c r="I103" s="216" t="s">
        <v>43</v>
      </c>
      <c r="J103" s="64">
        <v>0.35</v>
      </c>
      <c r="K103" s="64">
        <v>3.87</v>
      </c>
      <c r="L103" s="64">
        <v>24.07</v>
      </c>
      <c r="M103" s="64">
        <v>95.03</v>
      </c>
      <c r="N103" s="64">
        <v>38.4</v>
      </c>
      <c r="O103" s="64">
        <v>0</v>
      </c>
      <c r="P103" s="64">
        <v>0.94</v>
      </c>
      <c r="Q103" s="64">
        <v>15.92</v>
      </c>
      <c r="R103" s="198"/>
      <c r="S103" s="198"/>
      <c r="T103" s="198"/>
      <c r="U103" s="198"/>
    </row>
    <row r="104" spans="1:33" s="12" customFormat="1" x14ac:dyDescent="0.25">
      <c r="A104" s="215" t="s">
        <v>3036</v>
      </c>
      <c r="B104" s="64">
        <v>12.12</v>
      </c>
      <c r="C104" s="64">
        <v>26.19</v>
      </c>
      <c r="D104" s="64">
        <v>24.81</v>
      </c>
      <c r="E104" s="64">
        <v>1.65</v>
      </c>
      <c r="F104" s="64">
        <v>4.1900000000000004</v>
      </c>
      <c r="G104" s="64">
        <v>44.48</v>
      </c>
      <c r="H104" s="64">
        <v>14.42</v>
      </c>
      <c r="I104" s="216" t="s">
        <v>43</v>
      </c>
      <c r="J104" s="64">
        <v>0.32</v>
      </c>
      <c r="K104" s="64">
        <v>13.82</v>
      </c>
      <c r="L104" s="64">
        <v>24.01</v>
      </c>
      <c r="M104" s="64">
        <v>94.76</v>
      </c>
      <c r="N104" s="64">
        <v>38.4</v>
      </c>
      <c r="O104" s="64">
        <v>0</v>
      </c>
      <c r="P104" s="64">
        <v>0.87</v>
      </c>
      <c r="Q104" s="64">
        <v>16.170000000000002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1.87</v>
      </c>
      <c r="C106" s="67">
        <f>MIN(C9:C104)</f>
        <v>16.600000000000001</v>
      </c>
      <c r="D106" s="67">
        <f t="shared" ref="D106:Q106" si="0">MIN(D9:D104)</f>
        <v>11.91</v>
      </c>
      <c r="E106" s="67">
        <f t="shared" si="0"/>
        <v>1.36</v>
      </c>
      <c r="F106" s="67">
        <f t="shared" si="0"/>
        <v>3.08</v>
      </c>
      <c r="G106" s="67">
        <f t="shared" si="0"/>
        <v>11.52</v>
      </c>
      <c r="H106" s="67">
        <f t="shared" si="0"/>
        <v>4.6399999999999997</v>
      </c>
      <c r="I106" s="67">
        <f t="shared" si="0"/>
        <v>0</v>
      </c>
      <c r="J106" s="67">
        <f t="shared" si="0"/>
        <v>0</v>
      </c>
      <c r="K106" s="67">
        <f t="shared" si="0"/>
        <v>0.26</v>
      </c>
      <c r="L106" s="67">
        <f t="shared" si="0"/>
        <v>21.6</v>
      </c>
      <c r="M106" s="67">
        <f t="shared" si="0"/>
        <v>82.16</v>
      </c>
      <c r="N106" s="67">
        <f t="shared" si="0"/>
        <v>32.5</v>
      </c>
      <c r="O106" s="67">
        <f t="shared" si="0"/>
        <v>0</v>
      </c>
      <c r="P106" s="67">
        <f t="shared" si="0"/>
        <v>0.21</v>
      </c>
      <c r="Q106" s="67">
        <f t="shared" si="0"/>
        <v>0.19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22.34</v>
      </c>
      <c r="C107" s="66">
        <f t="shared" ref="C107:Q107" si="1">MAX(C9:C104)</f>
        <v>28.09</v>
      </c>
      <c r="D107" s="66">
        <f t="shared" si="1"/>
        <v>30.56</v>
      </c>
      <c r="E107" s="66">
        <f t="shared" si="1"/>
        <v>3.71</v>
      </c>
      <c r="F107" s="66">
        <f t="shared" si="1"/>
        <v>15.84</v>
      </c>
      <c r="G107" s="66">
        <f t="shared" si="1"/>
        <v>44.48</v>
      </c>
      <c r="H107" s="66">
        <f t="shared" si="1"/>
        <v>15.22</v>
      </c>
      <c r="I107" s="66">
        <f t="shared" si="1"/>
        <v>0</v>
      </c>
      <c r="J107" s="66">
        <f t="shared" si="1"/>
        <v>2.74</v>
      </c>
      <c r="K107" s="66">
        <f t="shared" si="1"/>
        <v>359.76</v>
      </c>
      <c r="L107" s="66">
        <f t="shared" si="1"/>
        <v>27</v>
      </c>
      <c r="M107" s="66">
        <f t="shared" si="1"/>
        <v>97.3</v>
      </c>
      <c r="N107" s="66">
        <f t="shared" si="1"/>
        <v>571.1</v>
      </c>
      <c r="O107" s="66">
        <f t="shared" si="1"/>
        <v>4.4000000000000004</v>
      </c>
      <c r="P107" s="66">
        <f t="shared" si="1"/>
        <v>0.98</v>
      </c>
      <c r="Q107" s="66">
        <f t="shared" si="1"/>
        <v>17.059999999999999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8.8208333333333346</v>
      </c>
      <c r="C108" s="67">
        <f t="shared" ref="C108:Q108" si="2">AVERAGE(C9:C104)</f>
        <v>23.980104166666667</v>
      </c>
      <c r="D108" s="67">
        <f t="shared" si="2"/>
        <v>20.953229166666663</v>
      </c>
      <c r="E108" s="67">
        <f t="shared" si="2"/>
        <v>2.6891666666666674</v>
      </c>
      <c r="F108" s="67">
        <f t="shared" si="2"/>
        <v>4.9921874999999991</v>
      </c>
      <c r="G108" s="67">
        <f t="shared" si="2"/>
        <v>26.691704545454538</v>
      </c>
      <c r="H108" s="67">
        <f t="shared" si="2"/>
        <v>9.8981818181818202</v>
      </c>
      <c r="I108" s="67" t="e">
        <f t="shared" si="2"/>
        <v>#DIV/0!</v>
      </c>
      <c r="J108" s="67">
        <f t="shared" si="2"/>
        <v>0.60072916666666643</v>
      </c>
      <c r="K108" s="67">
        <f t="shared" si="2"/>
        <v>142.20166666666668</v>
      </c>
      <c r="L108" s="67">
        <f t="shared" si="2"/>
        <v>24.312916666666656</v>
      </c>
      <c r="M108" s="67">
        <f t="shared" si="2"/>
        <v>92.76114583333333</v>
      </c>
      <c r="N108" s="67">
        <f t="shared" si="2"/>
        <v>132.76770833333322</v>
      </c>
      <c r="O108" s="67">
        <f t="shared" si="2"/>
        <v>0.21041666666666659</v>
      </c>
      <c r="P108" s="67">
        <f t="shared" si="2"/>
        <v>0.50562499999999988</v>
      </c>
      <c r="Q108" s="67">
        <f t="shared" si="2"/>
        <v>12.046029411764705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5.0082033056653277</v>
      </c>
      <c r="C109" s="67">
        <f t="shared" ref="C109:Q109" si="3">STDEV(C9:C104)</f>
        <v>2.4060216102593697</v>
      </c>
      <c r="D109" s="67">
        <f t="shared" si="3"/>
        <v>4.7400047734356869</v>
      </c>
      <c r="E109" s="67">
        <f t="shared" si="3"/>
        <v>0.59943599222262633</v>
      </c>
      <c r="F109" s="67">
        <f t="shared" si="3"/>
        <v>2.4275659037614803</v>
      </c>
      <c r="G109" s="67">
        <f t="shared" si="3"/>
        <v>10.229905025524136</v>
      </c>
      <c r="H109" s="67">
        <f t="shared" si="3"/>
        <v>3.2946925433290262</v>
      </c>
      <c r="I109" s="67" t="e">
        <f t="shared" si="3"/>
        <v>#DIV/0!</v>
      </c>
      <c r="J109" s="67">
        <f t="shared" si="3"/>
        <v>0.60813821973153936</v>
      </c>
      <c r="K109" s="67">
        <f t="shared" si="3"/>
        <v>154.92125430388091</v>
      </c>
      <c r="L109" s="67">
        <f t="shared" si="3"/>
        <v>1.7117488235975857</v>
      </c>
      <c r="M109" s="67">
        <f t="shared" si="3"/>
        <v>5.029914694221004</v>
      </c>
      <c r="N109" s="67">
        <f t="shared" si="3"/>
        <v>132.98031868212038</v>
      </c>
      <c r="O109" s="67">
        <f t="shared" si="3"/>
        <v>0.70925894115903465</v>
      </c>
      <c r="P109" s="67">
        <f t="shared" si="3"/>
        <v>0.21584503456732243</v>
      </c>
      <c r="Q109" s="67">
        <f t="shared" si="3"/>
        <v>5.9227729336015154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COUNT(H9:H104)+8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COUNT(Q9:Q104)+28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109" activePane="bottomLeft" state="frozen"/>
      <selection activeCell="N106" sqref="N106:P109"/>
      <selection pane="bottomLef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3037</v>
      </c>
      <c r="B9" s="64">
        <v>10.82</v>
      </c>
      <c r="C9" s="64">
        <v>26.01</v>
      </c>
      <c r="D9" s="64">
        <v>23.68</v>
      </c>
      <c r="E9" s="64">
        <v>2.27</v>
      </c>
      <c r="F9" s="64">
        <v>4.2</v>
      </c>
      <c r="G9" s="64">
        <v>44.48</v>
      </c>
      <c r="H9" s="64">
        <v>14.42</v>
      </c>
      <c r="I9" s="216" t="s">
        <v>43</v>
      </c>
      <c r="J9" s="64">
        <v>0.28999999999999998</v>
      </c>
      <c r="K9" s="64">
        <v>13.06</v>
      </c>
      <c r="L9" s="64">
        <v>23.97</v>
      </c>
      <c r="M9" s="64">
        <v>95.45</v>
      </c>
      <c r="N9" s="64">
        <v>38.299999999999997</v>
      </c>
      <c r="O9" s="64">
        <v>0</v>
      </c>
      <c r="P9" s="64">
        <v>0.74</v>
      </c>
      <c r="Q9" s="64">
        <v>17.52</v>
      </c>
      <c r="R9" s="198"/>
      <c r="S9" s="198"/>
      <c r="T9" s="198"/>
      <c r="U9" s="198"/>
    </row>
    <row r="10" spans="1:21" s="12" customFormat="1" x14ac:dyDescent="0.25">
      <c r="A10" s="215" t="s">
        <v>3038</v>
      </c>
      <c r="B10" s="64">
        <v>10.46</v>
      </c>
      <c r="C10" s="64">
        <v>24.36</v>
      </c>
      <c r="D10" s="64">
        <v>22.48</v>
      </c>
      <c r="E10" s="64">
        <v>2.1</v>
      </c>
      <c r="F10" s="64">
        <v>4.8</v>
      </c>
      <c r="G10" s="64">
        <v>40.14</v>
      </c>
      <c r="H10" s="64">
        <v>17.760000000000002</v>
      </c>
      <c r="I10" s="216" t="s">
        <v>43</v>
      </c>
      <c r="J10" s="64">
        <v>0.27</v>
      </c>
      <c r="K10" s="64">
        <v>25.6</v>
      </c>
      <c r="L10" s="64">
        <v>23.88</v>
      </c>
      <c r="M10" s="64">
        <v>95.56</v>
      </c>
      <c r="N10" s="64">
        <v>37.9</v>
      </c>
      <c r="O10" s="64">
        <v>0</v>
      </c>
      <c r="P10" s="64">
        <v>0.8</v>
      </c>
      <c r="Q10" s="64">
        <v>17.72</v>
      </c>
      <c r="R10" s="198"/>
      <c r="S10" s="198"/>
      <c r="T10" s="198"/>
      <c r="U10" s="198"/>
    </row>
    <row r="11" spans="1:21" s="12" customFormat="1" x14ac:dyDescent="0.25">
      <c r="A11" s="215" t="s">
        <v>3039</v>
      </c>
      <c r="B11" s="64">
        <v>9.11</v>
      </c>
      <c r="C11" s="64">
        <v>24</v>
      </c>
      <c r="D11" s="64">
        <v>21.19</v>
      </c>
      <c r="E11" s="64">
        <v>2.1800000000000002</v>
      </c>
      <c r="F11" s="64">
        <v>5.9</v>
      </c>
      <c r="G11" s="64">
        <v>38.82</v>
      </c>
      <c r="H11" s="64">
        <v>17.760000000000002</v>
      </c>
      <c r="I11" s="216" t="s">
        <v>43</v>
      </c>
      <c r="J11" s="64">
        <v>0.16</v>
      </c>
      <c r="K11" s="64">
        <v>26.02</v>
      </c>
      <c r="L11" s="64">
        <v>23.92</v>
      </c>
      <c r="M11" s="64">
        <v>95.16</v>
      </c>
      <c r="N11" s="64">
        <v>38.1</v>
      </c>
      <c r="O11" s="64">
        <v>0</v>
      </c>
      <c r="P11" s="64">
        <v>0.59</v>
      </c>
      <c r="Q11" s="64">
        <v>18.350000000000001</v>
      </c>
      <c r="R11" s="198"/>
      <c r="S11" s="198"/>
      <c r="T11" s="198"/>
      <c r="U11" s="198"/>
    </row>
    <row r="12" spans="1:21" s="12" customFormat="1" x14ac:dyDescent="0.25">
      <c r="A12" s="215" t="s">
        <v>3040</v>
      </c>
      <c r="B12" s="64">
        <v>9.3800000000000008</v>
      </c>
      <c r="C12" s="64">
        <v>22.31</v>
      </c>
      <c r="D12" s="64">
        <v>20.49</v>
      </c>
      <c r="E12" s="64">
        <v>2.11</v>
      </c>
      <c r="F12" s="64">
        <v>5.77</v>
      </c>
      <c r="G12" s="64">
        <v>38.82</v>
      </c>
      <c r="H12" s="64">
        <v>17.760000000000002</v>
      </c>
      <c r="I12" s="216" t="s">
        <v>43</v>
      </c>
      <c r="J12" s="64">
        <v>0.18</v>
      </c>
      <c r="K12" s="64">
        <v>18.59</v>
      </c>
      <c r="L12" s="64">
        <v>23.93</v>
      </c>
      <c r="M12" s="64">
        <v>94.61</v>
      </c>
      <c r="N12" s="64">
        <v>38.1</v>
      </c>
      <c r="O12" s="64">
        <v>0</v>
      </c>
      <c r="P12" s="64">
        <v>0.68</v>
      </c>
      <c r="Q12" s="64">
        <v>17.96</v>
      </c>
      <c r="R12" s="198"/>
      <c r="S12" s="198"/>
      <c r="T12" s="198"/>
      <c r="U12" s="198"/>
    </row>
    <row r="13" spans="1:21" s="12" customFormat="1" x14ac:dyDescent="0.25">
      <c r="A13" s="215" t="s">
        <v>3041</v>
      </c>
      <c r="B13" s="64">
        <v>10.16</v>
      </c>
      <c r="C13" s="64">
        <v>23.7</v>
      </c>
      <c r="D13" s="64">
        <v>21.88</v>
      </c>
      <c r="E13" s="64">
        <v>2.09</v>
      </c>
      <c r="F13" s="64">
        <v>4.07</v>
      </c>
      <c r="G13" s="64">
        <v>38.82</v>
      </c>
      <c r="H13" s="64">
        <v>17.760000000000002</v>
      </c>
      <c r="I13" s="216" t="s">
        <v>43</v>
      </c>
      <c r="J13" s="64">
        <v>0.14000000000000001</v>
      </c>
      <c r="K13" s="64">
        <v>39.76</v>
      </c>
      <c r="L13" s="64">
        <v>23.92</v>
      </c>
      <c r="M13" s="64">
        <v>94.93</v>
      </c>
      <c r="N13" s="64">
        <v>38.200000000000003</v>
      </c>
      <c r="O13" s="64">
        <v>0</v>
      </c>
      <c r="P13" s="64">
        <v>0.69</v>
      </c>
      <c r="Q13" s="64">
        <v>17.96</v>
      </c>
      <c r="R13" s="198"/>
      <c r="S13" s="198"/>
      <c r="T13" s="198"/>
      <c r="U13" s="198"/>
    </row>
    <row r="14" spans="1:21" s="12" customFormat="1" x14ac:dyDescent="0.25">
      <c r="A14" s="215" t="s">
        <v>3042</v>
      </c>
      <c r="B14" s="64">
        <v>9.1</v>
      </c>
      <c r="C14" s="64">
        <v>24.08</v>
      </c>
      <c r="D14" s="64">
        <v>21.23</v>
      </c>
      <c r="E14" s="64">
        <v>2.0499999999999998</v>
      </c>
      <c r="F14" s="64">
        <v>5.44</v>
      </c>
      <c r="G14" s="64">
        <v>35.04</v>
      </c>
      <c r="H14" s="64">
        <v>13.25</v>
      </c>
      <c r="I14" s="216" t="s">
        <v>43</v>
      </c>
      <c r="J14" s="64">
        <v>0.05</v>
      </c>
      <c r="K14" s="64">
        <v>229.91</v>
      </c>
      <c r="L14" s="64">
        <v>23.7</v>
      </c>
      <c r="M14" s="64">
        <v>96.8</v>
      </c>
      <c r="N14" s="64">
        <v>38.4</v>
      </c>
      <c r="O14" s="64">
        <v>0</v>
      </c>
      <c r="P14" s="64">
        <v>0.69</v>
      </c>
      <c r="Q14" s="64">
        <v>16.82</v>
      </c>
      <c r="R14" s="198"/>
      <c r="S14" s="198"/>
      <c r="T14" s="198"/>
      <c r="U14" s="198"/>
    </row>
    <row r="15" spans="1:21" s="12" customFormat="1" x14ac:dyDescent="0.25">
      <c r="A15" s="215" t="s">
        <v>3043</v>
      </c>
      <c r="B15" s="64">
        <v>9.74</v>
      </c>
      <c r="C15" s="64">
        <v>25.28</v>
      </c>
      <c r="D15" s="64">
        <v>22.41</v>
      </c>
      <c r="E15" s="64">
        <v>2.2599999999999998</v>
      </c>
      <c r="F15" s="64">
        <v>3.79</v>
      </c>
      <c r="G15" s="64">
        <v>33.82</v>
      </c>
      <c r="H15" s="64">
        <v>13.25</v>
      </c>
      <c r="I15" s="216" t="s">
        <v>43</v>
      </c>
      <c r="J15" s="64">
        <v>0.09</v>
      </c>
      <c r="K15" s="64">
        <v>39.479999999999997</v>
      </c>
      <c r="L15" s="64">
        <v>23.6</v>
      </c>
      <c r="M15" s="64">
        <v>97.25</v>
      </c>
      <c r="N15" s="64">
        <v>38.4</v>
      </c>
      <c r="O15" s="64">
        <v>0</v>
      </c>
      <c r="P15" s="64">
        <v>0.93</v>
      </c>
      <c r="Q15" s="64">
        <v>16.760000000000002</v>
      </c>
      <c r="R15" s="198"/>
      <c r="S15" s="198"/>
      <c r="T15" s="198"/>
      <c r="U15" s="198"/>
    </row>
    <row r="16" spans="1:21" s="12" customFormat="1" x14ac:dyDescent="0.25">
      <c r="A16" s="215" t="s">
        <v>3044</v>
      </c>
      <c r="B16" s="64">
        <v>11.17</v>
      </c>
      <c r="C16" s="64">
        <v>24.93</v>
      </c>
      <c r="D16" s="64">
        <v>23.36</v>
      </c>
      <c r="E16" s="64">
        <v>2.12</v>
      </c>
      <c r="F16" s="64">
        <v>3.7</v>
      </c>
      <c r="G16" s="64">
        <v>33.82</v>
      </c>
      <c r="H16" s="64">
        <v>13.25</v>
      </c>
      <c r="I16" s="216" t="s">
        <v>43</v>
      </c>
      <c r="J16" s="64">
        <v>0.03</v>
      </c>
      <c r="K16" s="64">
        <v>41.34</v>
      </c>
      <c r="L16" s="64">
        <v>23.53</v>
      </c>
      <c r="M16" s="64">
        <v>97.25</v>
      </c>
      <c r="N16" s="64">
        <v>38.299999999999997</v>
      </c>
      <c r="O16" s="64">
        <v>0</v>
      </c>
      <c r="P16" s="64">
        <v>0.81</v>
      </c>
      <c r="Q16" s="64">
        <v>16.600000000000001</v>
      </c>
      <c r="R16" s="198"/>
      <c r="S16" s="198"/>
      <c r="T16" s="198"/>
      <c r="U16" s="198"/>
    </row>
    <row r="17" spans="1:21" s="12" customFormat="1" x14ac:dyDescent="0.25">
      <c r="A17" s="215" t="s">
        <v>3045</v>
      </c>
      <c r="B17" s="64">
        <v>10.55</v>
      </c>
      <c r="C17" s="64">
        <v>24.49</v>
      </c>
      <c r="D17" s="64">
        <v>22.62</v>
      </c>
      <c r="E17" s="64">
        <v>2.25</v>
      </c>
      <c r="F17" s="64">
        <v>3.94</v>
      </c>
      <c r="G17" s="64">
        <v>33.82</v>
      </c>
      <c r="H17" s="64">
        <v>13.25</v>
      </c>
      <c r="I17" s="216" t="s">
        <v>43</v>
      </c>
      <c r="J17" s="64">
        <v>0.06</v>
      </c>
      <c r="K17" s="64">
        <v>25.11</v>
      </c>
      <c r="L17" s="64">
        <v>23.51</v>
      </c>
      <c r="M17" s="64">
        <v>97.25</v>
      </c>
      <c r="N17" s="64">
        <v>38.299999999999997</v>
      </c>
      <c r="O17" s="64">
        <v>0</v>
      </c>
      <c r="P17" s="64">
        <v>0.8</v>
      </c>
      <c r="Q17" s="64">
        <v>16.84</v>
      </c>
      <c r="R17" s="198"/>
      <c r="S17" s="198"/>
      <c r="T17" s="198"/>
      <c r="U17" s="198"/>
    </row>
    <row r="18" spans="1:21" s="12" customFormat="1" x14ac:dyDescent="0.25">
      <c r="A18" s="215" t="s">
        <v>3046</v>
      </c>
      <c r="B18" s="64">
        <v>11.36</v>
      </c>
      <c r="C18" s="64">
        <v>24.33</v>
      </c>
      <c r="D18" s="64">
        <v>23.18</v>
      </c>
      <c r="E18" s="64">
        <v>2.02</v>
      </c>
      <c r="F18" s="64">
        <v>4.07</v>
      </c>
      <c r="G18" s="64">
        <v>34.86</v>
      </c>
      <c r="H18" s="64">
        <v>15.83</v>
      </c>
      <c r="I18" s="216" t="s">
        <v>43</v>
      </c>
      <c r="J18" s="64">
        <v>0.04</v>
      </c>
      <c r="K18" s="64">
        <v>5.19</v>
      </c>
      <c r="L18" s="64">
        <v>23.52</v>
      </c>
      <c r="M18" s="64">
        <v>97.25</v>
      </c>
      <c r="N18" s="64">
        <v>38.200000000000003</v>
      </c>
      <c r="O18" s="64">
        <v>0</v>
      </c>
      <c r="P18" s="64">
        <v>0.74</v>
      </c>
      <c r="Q18" s="64">
        <v>16.93</v>
      </c>
      <c r="R18" s="198"/>
      <c r="S18" s="198"/>
      <c r="T18" s="198"/>
      <c r="U18" s="198"/>
    </row>
    <row r="19" spans="1:21" s="12" customFormat="1" x14ac:dyDescent="0.25">
      <c r="A19" s="215" t="s">
        <v>3047</v>
      </c>
      <c r="B19" s="64">
        <v>11.52</v>
      </c>
      <c r="C19" s="64">
        <v>23.92</v>
      </c>
      <c r="D19" s="64">
        <v>23.09</v>
      </c>
      <c r="E19" s="64">
        <v>2.2999999999999998</v>
      </c>
      <c r="F19" s="64">
        <v>4.05</v>
      </c>
      <c r="G19" s="64">
        <v>35.19</v>
      </c>
      <c r="H19" s="64">
        <v>15.83</v>
      </c>
      <c r="I19" s="216" t="s">
        <v>43</v>
      </c>
      <c r="J19" s="64">
        <v>0.06</v>
      </c>
      <c r="K19" s="64">
        <v>34.71</v>
      </c>
      <c r="L19" s="64">
        <v>23.53</v>
      </c>
      <c r="M19" s="64">
        <v>97.25</v>
      </c>
      <c r="N19" s="64">
        <v>38.299999999999997</v>
      </c>
      <c r="O19" s="64">
        <v>0</v>
      </c>
      <c r="P19" s="64">
        <v>0.7</v>
      </c>
      <c r="Q19" s="64">
        <v>17.09</v>
      </c>
      <c r="R19" s="198"/>
      <c r="S19" s="198"/>
      <c r="T19" s="198"/>
      <c r="U19" s="198"/>
    </row>
    <row r="20" spans="1:21" s="12" customFormat="1" x14ac:dyDescent="0.25">
      <c r="A20" s="215" t="s">
        <v>3048</v>
      </c>
      <c r="B20" s="64">
        <v>10.32</v>
      </c>
      <c r="C20" s="64">
        <v>23.24</v>
      </c>
      <c r="D20" s="64">
        <v>21.75</v>
      </c>
      <c r="E20" s="64">
        <v>2.2400000000000002</v>
      </c>
      <c r="F20" s="64">
        <v>5.2</v>
      </c>
      <c r="G20" s="64">
        <v>35.19</v>
      </c>
      <c r="H20" s="64">
        <v>15.83</v>
      </c>
      <c r="I20" s="216" t="s">
        <v>43</v>
      </c>
      <c r="J20" s="64">
        <v>0.18</v>
      </c>
      <c r="K20" s="64">
        <v>8.93</v>
      </c>
      <c r="L20" s="64">
        <v>23.61</v>
      </c>
      <c r="M20" s="64">
        <v>97.24</v>
      </c>
      <c r="N20" s="64">
        <v>37.9</v>
      </c>
      <c r="O20" s="64">
        <v>0</v>
      </c>
      <c r="P20" s="64">
        <v>0.7</v>
      </c>
      <c r="Q20" s="64">
        <v>17.66</v>
      </c>
      <c r="R20" s="198"/>
      <c r="S20" s="198"/>
      <c r="T20" s="198"/>
      <c r="U20" s="198"/>
    </row>
    <row r="21" spans="1:21" s="12" customFormat="1" x14ac:dyDescent="0.25">
      <c r="A21" s="215" t="s">
        <v>3049</v>
      </c>
      <c r="B21" s="64">
        <v>10.119999999999999</v>
      </c>
      <c r="C21" s="64">
        <v>24.48</v>
      </c>
      <c r="D21" s="64">
        <v>22.27</v>
      </c>
      <c r="E21" s="64">
        <v>2.17</v>
      </c>
      <c r="F21" s="64">
        <v>4.3099999999999996</v>
      </c>
      <c r="G21" s="64">
        <v>35.19</v>
      </c>
      <c r="H21" s="64">
        <v>15.83</v>
      </c>
      <c r="I21" s="216" t="s">
        <v>43</v>
      </c>
      <c r="J21" s="64">
        <v>0.23</v>
      </c>
      <c r="K21" s="64">
        <v>22.78</v>
      </c>
      <c r="L21" s="64">
        <v>23.68</v>
      </c>
      <c r="M21" s="64">
        <v>96.15</v>
      </c>
      <c r="N21" s="64">
        <v>37.299999999999997</v>
      </c>
      <c r="O21" s="64">
        <v>0</v>
      </c>
      <c r="P21" s="64">
        <v>0.67</v>
      </c>
      <c r="Q21" s="64">
        <v>18.82</v>
      </c>
      <c r="R21" s="198"/>
      <c r="S21" s="198"/>
      <c r="T21" s="198"/>
      <c r="U21" s="198"/>
    </row>
    <row r="22" spans="1:21" s="12" customFormat="1" x14ac:dyDescent="0.25">
      <c r="A22" s="215" t="s">
        <v>3050</v>
      </c>
      <c r="B22" s="64">
        <v>10.32</v>
      </c>
      <c r="C22" s="64">
        <v>23.16</v>
      </c>
      <c r="D22" s="64">
        <v>21.7</v>
      </c>
      <c r="E22" s="64">
        <v>2.21</v>
      </c>
      <c r="F22" s="64">
        <v>4.7699999999999996</v>
      </c>
      <c r="G22" s="64">
        <v>33.6</v>
      </c>
      <c r="H22" s="64">
        <v>15.26</v>
      </c>
      <c r="I22" s="216" t="s">
        <v>43</v>
      </c>
      <c r="J22" s="64">
        <v>0.15</v>
      </c>
      <c r="K22" s="64">
        <v>33.22</v>
      </c>
      <c r="L22" s="64">
        <v>23.65</v>
      </c>
      <c r="M22" s="64">
        <v>96.15</v>
      </c>
      <c r="N22" s="64">
        <v>37.299999999999997</v>
      </c>
      <c r="O22" s="64">
        <v>0</v>
      </c>
      <c r="P22" s="64">
        <v>0.65</v>
      </c>
      <c r="Q22" s="64">
        <v>18.73</v>
      </c>
      <c r="R22" s="198"/>
      <c r="S22" s="198"/>
      <c r="T22" s="198"/>
      <c r="U22" s="198"/>
    </row>
    <row r="23" spans="1:21" s="12" customFormat="1" x14ac:dyDescent="0.25">
      <c r="A23" s="215" t="s">
        <v>3051</v>
      </c>
      <c r="B23" s="64">
        <v>9.92</v>
      </c>
      <c r="C23" s="64">
        <v>22.69</v>
      </c>
      <c r="D23" s="64">
        <v>21.13</v>
      </c>
      <c r="E23" s="64">
        <v>2.48</v>
      </c>
      <c r="F23" s="64">
        <v>4.95</v>
      </c>
      <c r="G23" s="64">
        <v>33.090000000000003</v>
      </c>
      <c r="H23" s="64">
        <v>15.26</v>
      </c>
      <c r="I23" s="216" t="s">
        <v>43</v>
      </c>
      <c r="J23" s="64">
        <v>0.17</v>
      </c>
      <c r="K23" s="64">
        <v>27.75</v>
      </c>
      <c r="L23" s="64">
        <v>23.62</v>
      </c>
      <c r="M23" s="64">
        <v>96.01</v>
      </c>
      <c r="N23" s="64">
        <v>37.299999999999997</v>
      </c>
      <c r="O23" s="64">
        <v>0</v>
      </c>
      <c r="P23" s="64">
        <v>0.6</v>
      </c>
      <c r="Q23" s="64">
        <v>19.14</v>
      </c>
      <c r="R23" s="198"/>
      <c r="S23" s="198"/>
      <c r="T23" s="198"/>
      <c r="U23" s="198"/>
    </row>
    <row r="24" spans="1:21" s="12" customFormat="1" x14ac:dyDescent="0.25">
      <c r="A24" s="215" t="s">
        <v>3052</v>
      </c>
      <c r="B24" s="64">
        <v>10.64</v>
      </c>
      <c r="C24" s="64">
        <v>23.54</v>
      </c>
      <c r="D24" s="64">
        <v>22.16</v>
      </c>
      <c r="E24" s="64">
        <v>2.4900000000000002</v>
      </c>
      <c r="F24" s="64">
        <v>3.85</v>
      </c>
      <c r="G24" s="64">
        <v>33.090000000000003</v>
      </c>
      <c r="H24" s="64">
        <v>15.26</v>
      </c>
      <c r="I24" s="216" t="s">
        <v>43</v>
      </c>
      <c r="J24" s="64">
        <v>0.13</v>
      </c>
      <c r="K24" s="64">
        <v>34.26</v>
      </c>
      <c r="L24" s="64">
        <v>23.45</v>
      </c>
      <c r="M24" s="64">
        <v>97.16</v>
      </c>
      <c r="N24" s="64">
        <v>37.5</v>
      </c>
      <c r="O24" s="64">
        <v>0</v>
      </c>
      <c r="P24" s="64">
        <v>0.73</v>
      </c>
      <c r="Q24" s="64">
        <v>19.350000000000001</v>
      </c>
      <c r="R24" s="198"/>
      <c r="S24" s="198"/>
      <c r="T24" s="198"/>
      <c r="U24" s="198"/>
    </row>
    <row r="25" spans="1:21" s="12" customFormat="1" x14ac:dyDescent="0.25">
      <c r="A25" s="215" t="s">
        <v>3053</v>
      </c>
      <c r="B25" s="64">
        <v>11.93</v>
      </c>
      <c r="C25" s="64">
        <v>23.98</v>
      </c>
      <c r="D25" s="64">
        <v>23.45</v>
      </c>
      <c r="E25" s="64">
        <v>2.73</v>
      </c>
      <c r="F25" s="64">
        <v>3.46</v>
      </c>
      <c r="G25" s="64">
        <v>33.090000000000003</v>
      </c>
      <c r="H25" s="64">
        <v>15.26</v>
      </c>
      <c r="I25" s="216" t="s">
        <v>43</v>
      </c>
      <c r="J25" s="64">
        <v>0.12</v>
      </c>
      <c r="K25" s="64">
        <v>48.78</v>
      </c>
      <c r="L25" s="64">
        <v>23.36</v>
      </c>
      <c r="M25" s="64">
        <v>97.25</v>
      </c>
      <c r="N25" s="64">
        <v>37.9</v>
      </c>
      <c r="O25" s="64">
        <v>0</v>
      </c>
      <c r="P25" s="64">
        <v>0.72</v>
      </c>
      <c r="Q25" s="64">
        <v>18.68</v>
      </c>
      <c r="R25" s="198"/>
      <c r="S25" s="198"/>
      <c r="T25" s="198"/>
      <c r="U25" s="198"/>
    </row>
    <row r="26" spans="1:21" s="12" customFormat="1" x14ac:dyDescent="0.25">
      <c r="A26" s="215" t="s">
        <v>3054</v>
      </c>
      <c r="B26" s="64">
        <v>13.87</v>
      </c>
      <c r="C26" s="64">
        <v>23.36</v>
      </c>
      <c r="D26" s="64">
        <v>24.66</v>
      </c>
      <c r="E26" s="64">
        <v>2.75</v>
      </c>
      <c r="F26" s="64">
        <v>3.69</v>
      </c>
      <c r="G26" s="64">
        <v>33.6</v>
      </c>
      <c r="H26" s="64">
        <v>15.87</v>
      </c>
      <c r="I26" s="216" t="s">
        <v>43</v>
      </c>
      <c r="J26" s="64">
        <v>0.13</v>
      </c>
      <c r="K26" s="64">
        <v>36.85</v>
      </c>
      <c r="L26" s="64">
        <v>23.34</v>
      </c>
      <c r="M26" s="64">
        <v>97.2</v>
      </c>
      <c r="N26" s="64">
        <v>37.9</v>
      </c>
      <c r="O26" s="64">
        <v>0</v>
      </c>
      <c r="P26" s="64">
        <v>0.73</v>
      </c>
      <c r="Q26" s="64">
        <v>17.899999999999999</v>
      </c>
      <c r="R26" s="198"/>
      <c r="S26" s="198"/>
      <c r="T26" s="198"/>
      <c r="U26" s="198"/>
    </row>
    <row r="27" spans="1:21" s="12" customFormat="1" x14ac:dyDescent="0.25">
      <c r="A27" s="215" t="s">
        <v>3055</v>
      </c>
      <c r="B27" s="64">
        <v>15.39</v>
      </c>
      <c r="C27" s="64">
        <v>23.64</v>
      </c>
      <c r="D27" s="64">
        <v>26.03</v>
      </c>
      <c r="E27" s="64">
        <v>2.59</v>
      </c>
      <c r="F27" s="64">
        <v>3.69</v>
      </c>
      <c r="G27" s="64">
        <v>33.76</v>
      </c>
      <c r="H27" s="64">
        <v>15.87</v>
      </c>
      <c r="I27" s="216" t="s">
        <v>43</v>
      </c>
      <c r="J27" s="64">
        <v>0.19</v>
      </c>
      <c r="K27" s="64">
        <v>17.23</v>
      </c>
      <c r="L27" s="64">
        <v>23.4</v>
      </c>
      <c r="M27" s="64">
        <v>96.48</v>
      </c>
      <c r="N27" s="64">
        <v>38.1</v>
      </c>
      <c r="O27" s="64">
        <v>0</v>
      </c>
      <c r="P27" s="64">
        <v>0.72</v>
      </c>
      <c r="Q27" s="64">
        <v>17.739999999999998</v>
      </c>
      <c r="R27" s="198"/>
      <c r="S27" s="198"/>
      <c r="T27" s="198"/>
      <c r="U27" s="198"/>
    </row>
    <row r="28" spans="1:21" s="12" customFormat="1" x14ac:dyDescent="0.25">
      <c r="A28" s="215" t="s">
        <v>3056</v>
      </c>
      <c r="B28" s="64">
        <v>17.09</v>
      </c>
      <c r="C28" s="64">
        <v>23.83</v>
      </c>
      <c r="D28" s="64">
        <v>27.5</v>
      </c>
      <c r="E28" s="64">
        <v>2.84</v>
      </c>
      <c r="F28" s="64">
        <v>3.5</v>
      </c>
      <c r="G28" s="64">
        <v>33.76</v>
      </c>
      <c r="H28" s="64">
        <v>15.87</v>
      </c>
      <c r="I28" s="216" t="s">
        <v>43</v>
      </c>
      <c r="J28" s="64">
        <v>0.21</v>
      </c>
      <c r="K28" s="64">
        <v>9.27</v>
      </c>
      <c r="L28" s="64">
        <v>23.42</v>
      </c>
      <c r="M28" s="64">
        <v>95.24</v>
      </c>
      <c r="N28" s="64">
        <v>38.4</v>
      </c>
      <c r="O28" s="64">
        <v>0</v>
      </c>
      <c r="P28" s="64">
        <v>0.73</v>
      </c>
      <c r="Q28" s="64">
        <v>17.75</v>
      </c>
      <c r="R28" s="198"/>
      <c r="S28" s="198"/>
      <c r="T28" s="198"/>
      <c r="U28" s="198"/>
    </row>
    <row r="29" spans="1:21" s="12" customFormat="1" x14ac:dyDescent="0.25">
      <c r="A29" s="215" t="s">
        <v>3057</v>
      </c>
      <c r="B29" s="64">
        <v>17.77</v>
      </c>
      <c r="C29" s="64">
        <v>23.86</v>
      </c>
      <c r="D29" s="64">
        <v>28.07</v>
      </c>
      <c r="E29" s="64">
        <v>2.67</v>
      </c>
      <c r="F29" s="64">
        <v>3.71</v>
      </c>
      <c r="G29" s="64">
        <v>33.76</v>
      </c>
      <c r="H29" s="64">
        <v>15.87</v>
      </c>
      <c r="I29" s="216" t="s">
        <v>43</v>
      </c>
      <c r="J29" s="64">
        <v>0.26</v>
      </c>
      <c r="K29" s="64">
        <v>31.11</v>
      </c>
      <c r="L29" s="64">
        <v>23.43</v>
      </c>
      <c r="M29" s="64">
        <v>94.05</v>
      </c>
      <c r="N29" s="64">
        <v>38.299999999999997</v>
      </c>
      <c r="O29" s="64">
        <v>0</v>
      </c>
      <c r="P29" s="64">
        <v>0.74</v>
      </c>
      <c r="Q29" s="64">
        <v>17.57</v>
      </c>
      <c r="R29" s="198"/>
      <c r="S29" s="198"/>
      <c r="T29" s="198"/>
      <c r="U29" s="198"/>
    </row>
    <row r="30" spans="1:21" s="12" customFormat="1" x14ac:dyDescent="0.25">
      <c r="A30" s="215" t="s">
        <v>3058</v>
      </c>
      <c r="B30" s="64">
        <v>17.239999999999998</v>
      </c>
      <c r="C30" s="64">
        <v>24.71</v>
      </c>
      <c r="D30" s="64">
        <v>28.11</v>
      </c>
      <c r="E30" s="64">
        <v>2.67</v>
      </c>
      <c r="F30" s="64">
        <v>3.67</v>
      </c>
      <c r="G30" s="64">
        <v>37.18</v>
      </c>
      <c r="H30" s="64">
        <v>15.25</v>
      </c>
      <c r="I30" s="216" t="s">
        <v>43</v>
      </c>
      <c r="J30" s="64">
        <v>0.22</v>
      </c>
      <c r="K30" s="64">
        <v>18.87</v>
      </c>
      <c r="L30" s="64">
        <v>23.44</v>
      </c>
      <c r="M30" s="64">
        <v>92.99</v>
      </c>
      <c r="N30" s="64">
        <v>38.700000000000003</v>
      </c>
      <c r="O30" s="64">
        <v>0</v>
      </c>
      <c r="P30" s="64">
        <v>0.75</v>
      </c>
      <c r="Q30" s="64">
        <v>17.72</v>
      </c>
      <c r="R30" s="198"/>
      <c r="S30" s="198"/>
      <c r="T30" s="198"/>
      <c r="U30" s="198"/>
    </row>
    <row r="31" spans="1:21" s="12" customFormat="1" x14ac:dyDescent="0.25">
      <c r="A31" s="215" t="s">
        <v>3059</v>
      </c>
      <c r="B31" s="64">
        <v>17.079999999999998</v>
      </c>
      <c r="C31" s="64">
        <v>24.87</v>
      </c>
      <c r="D31" s="64">
        <v>28.07</v>
      </c>
      <c r="E31" s="64">
        <v>2.65</v>
      </c>
      <c r="F31" s="64">
        <v>3.41</v>
      </c>
      <c r="G31" s="64">
        <v>38.29</v>
      </c>
      <c r="H31" s="64">
        <v>15.25</v>
      </c>
      <c r="I31" s="216" t="s">
        <v>43</v>
      </c>
      <c r="J31" s="64">
        <v>0.19</v>
      </c>
      <c r="K31" s="64">
        <v>18.97</v>
      </c>
      <c r="L31" s="64">
        <v>23.45</v>
      </c>
      <c r="M31" s="64">
        <v>92.86</v>
      </c>
      <c r="N31" s="64">
        <v>40.4</v>
      </c>
      <c r="O31" s="64">
        <v>0</v>
      </c>
      <c r="P31" s="64">
        <v>0.8</v>
      </c>
      <c r="Q31" s="64">
        <v>17.600000000000001</v>
      </c>
      <c r="R31" s="198"/>
      <c r="S31" s="198"/>
      <c r="T31" s="198"/>
      <c r="U31" s="198"/>
    </row>
    <row r="32" spans="1:21" s="12" customFormat="1" x14ac:dyDescent="0.25">
      <c r="A32" s="215" t="s">
        <v>3060</v>
      </c>
      <c r="B32" s="64">
        <v>16.72</v>
      </c>
      <c r="C32" s="64">
        <v>24.91</v>
      </c>
      <c r="D32" s="64">
        <v>27.8</v>
      </c>
      <c r="E32" s="64">
        <v>2.96</v>
      </c>
      <c r="F32" s="64">
        <v>3.7</v>
      </c>
      <c r="G32" s="64">
        <v>38.29</v>
      </c>
      <c r="H32" s="64">
        <v>15.25</v>
      </c>
      <c r="I32" s="216" t="s">
        <v>43</v>
      </c>
      <c r="J32" s="64">
        <v>0.18</v>
      </c>
      <c r="K32" s="64">
        <v>35.479999999999997</v>
      </c>
      <c r="L32" s="64">
        <v>23.42</v>
      </c>
      <c r="M32" s="64">
        <v>93.4</v>
      </c>
      <c r="N32" s="64">
        <v>46</v>
      </c>
      <c r="O32" s="64">
        <v>0</v>
      </c>
      <c r="P32" s="64">
        <v>0.91</v>
      </c>
      <c r="Q32" s="64">
        <v>18.329999999999998</v>
      </c>
      <c r="R32" s="198"/>
      <c r="S32" s="198"/>
      <c r="T32" s="198"/>
      <c r="U32" s="198"/>
    </row>
    <row r="33" spans="1:21" s="12" customFormat="1" x14ac:dyDescent="0.25">
      <c r="A33" s="215" t="s">
        <v>3061</v>
      </c>
      <c r="B33" s="64">
        <v>17.190000000000001</v>
      </c>
      <c r="C33" s="64">
        <v>25.21</v>
      </c>
      <c r="D33" s="64">
        <v>28.34</v>
      </c>
      <c r="E33" s="64">
        <v>2.95</v>
      </c>
      <c r="F33" s="64">
        <v>3.58</v>
      </c>
      <c r="G33" s="64">
        <v>38.29</v>
      </c>
      <c r="H33" s="64">
        <v>15.25</v>
      </c>
      <c r="I33" s="216" t="s">
        <v>43</v>
      </c>
      <c r="J33" s="64">
        <v>0.15</v>
      </c>
      <c r="K33" s="64">
        <v>38.83</v>
      </c>
      <c r="L33" s="64">
        <v>23.43</v>
      </c>
      <c r="M33" s="64">
        <v>93.45</v>
      </c>
      <c r="N33" s="64">
        <v>57.3</v>
      </c>
      <c r="O33" s="64">
        <v>0</v>
      </c>
      <c r="P33" s="64">
        <v>0.95</v>
      </c>
      <c r="Q33" s="64">
        <v>19.27</v>
      </c>
      <c r="R33" s="198"/>
      <c r="S33" s="198"/>
      <c r="T33" s="198"/>
      <c r="U33" s="198"/>
    </row>
    <row r="34" spans="1:21" s="12" customFormat="1" x14ac:dyDescent="0.25">
      <c r="A34" s="215" t="s">
        <v>3062</v>
      </c>
      <c r="B34" s="64">
        <v>17.75</v>
      </c>
      <c r="C34" s="64">
        <v>24.89</v>
      </c>
      <c r="D34" s="64">
        <v>28.61</v>
      </c>
      <c r="E34" s="64">
        <v>3.09</v>
      </c>
      <c r="F34" s="64">
        <v>2.98</v>
      </c>
      <c r="G34" s="64">
        <v>44.48</v>
      </c>
      <c r="H34" s="64">
        <v>16.739999999999998</v>
      </c>
      <c r="I34" s="216" t="s">
        <v>43</v>
      </c>
      <c r="J34" s="64">
        <v>0.24</v>
      </c>
      <c r="K34" s="64">
        <v>39.57</v>
      </c>
      <c r="L34" s="64">
        <v>23.52</v>
      </c>
      <c r="M34" s="64">
        <v>92.86</v>
      </c>
      <c r="N34" s="64">
        <v>69</v>
      </c>
      <c r="O34" s="64">
        <v>0</v>
      </c>
      <c r="P34" s="64">
        <v>0.99</v>
      </c>
      <c r="Q34" s="64">
        <v>19.68</v>
      </c>
      <c r="R34" s="198"/>
      <c r="S34" s="198"/>
      <c r="T34" s="198"/>
      <c r="U34" s="198"/>
    </row>
    <row r="35" spans="1:21" s="12" customFormat="1" x14ac:dyDescent="0.25">
      <c r="A35" s="215" t="s">
        <v>3063</v>
      </c>
      <c r="B35" s="64">
        <v>21</v>
      </c>
      <c r="C35" s="64">
        <v>26.93</v>
      </c>
      <c r="D35" s="64">
        <v>32.35</v>
      </c>
      <c r="E35" s="64">
        <v>3.14</v>
      </c>
      <c r="F35" s="64">
        <v>3.25</v>
      </c>
      <c r="G35" s="64">
        <v>46.48</v>
      </c>
      <c r="H35" s="64">
        <v>16.739999999999998</v>
      </c>
      <c r="I35" s="216" t="s">
        <v>43</v>
      </c>
      <c r="J35" s="64">
        <v>0.21</v>
      </c>
      <c r="K35" s="64">
        <v>31.43</v>
      </c>
      <c r="L35" s="64">
        <v>23.58</v>
      </c>
      <c r="M35" s="64">
        <v>92.76</v>
      </c>
      <c r="N35" s="64">
        <v>76.400000000000006</v>
      </c>
      <c r="O35" s="64">
        <v>0</v>
      </c>
      <c r="P35" s="64">
        <v>1.2</v>
      </c>
      <c r="Q35" s="64">
        <v>19.78</v>
      </c>
      <c r="R35" s="198"/>
      <c r="S35" s="198"/>
      <c r="T35" s="198"/>
      <c r="U35" s="198"/>
    </row>
    <row r="36" spans="1:21" s="12" customFormat="1" x14ac:dyDescent="0.25">
      <c r="A36" s="215" t="s">
        <v>3064</v>
      </c>
      <c r="B36" s="64">
        <v>20.309999999999999</v>
      </c>
      <c r="C36" s="64">
        <v>23.62</v>
      </c>
      <c r="D36" s="64">
        <v>29.97</v>
      </c>
      <c r="E36" s="64">
        <v>2.82</v>
      </c>
      <c r="F36" s="64">
        <v>3.74</v>
      </c>
      <c r="G36" s="64">
        <v>46.48</v>
      </c>
      <c r="H36" s="64">
        <v>16.739999999999998</v>
      </c>
      <c r="I36" s="216" t="s">
        <v>43</v>
      </c>
      <c r="J36" s="64">
        <v>0.27</v>
      </c>
      <c r="K36" s="64">
        <v>23.37</v>
      </c>
      <c r="L36" s="64">
        <v>23.65</v>
      </c>
      <c r="M36" s="64">
        <v>92.62</v>
      </c>
      <c r="N36" s="64">
        <v>93.2</v>
      </c>
      <c r="O36" s="64">
        <v>0</v>
      </c>
      <c r="P36" s="64">
        <v>1.1100000000000001</v>
      </c>
      <c r="Q36" s="64">
        <v>19.3</v>
      </c>
      <c r="R36" s="198"/>
      <c r="S36" s="198"/>
      <c r="T36" s="198"/>
      <c r="U36" s="198"/>
    </row>
    <row r="37" spans="1:21" s="12" customFormat="1" x14ac:dyDescent="0.25">
      <c r="A37" s="215" t="s">
        <v>3065</v>
      </c>
      <c r="B37" s="64">
        <v>20.47</v>
      </c>
      <c r="C37" s="64">
        <v>24.08</v>
      </c>
      <c r="D37" s="64">
        <v>30.35</v>
      </c>
      <c r="E37" s="64">
        <v>3.27</v>
      </c>
      <c r="F37" s="64">
        <v>3.1</v>
      </c>
      <c r="G37" s="64">
        <v>46.48</v>
      </c>
      <c r="H37" s="64">
        <v>16.739999999999998</v>
      </c>
      <c r="I37" s="216" t="s">
        <v>43</v>
      </c>
      <c r="J37" s="64">
        <v>0.21</v>
      </c>
      <c r="K37" s="64">
        <v>9.18</v>
      </c>
      <c r="L37" s="64">
        <v>23.82</v>
      </c>
      <c r="M37" s="64">
        <v>92.12</v>
      </c>
      <c r="N37" s="64">
        <v>93.8</v>
      </c>
      <c r="O37" s="64">
        <v>0</v>
      </c>
      <c r="P37" s="64">
        <v>1.05</v>
      </c>
      <c r="Q37" s="64">
        <v>18.739999999999998</v>
      </c>
      <c r="R37" s="198"/>
      <c r="S37" s="198"/>
      <c r="T37" s="198"/>
      <c r="U37" s="198"/>
    </row>
    <row r="38" spans="1:21" s="12" customFormat="1" x14ac:dyDescent="0.25">
      <c r="A38" s="215" t="s">
        <v>3066</v>
      </c>
      <c r="B38" s="64">
        <v>20.67</v>
      </c>
      <c r="C38" s="64">
        <v>22.38</v>
      </c>
      <c r="D38" s="64">
        <v>29.58</v>
      </c>
      <c r="E38" s="64">
        <v>2.78</v>
      </c>
      <c r="F38" s="64">
        <v>3.68</v>
      </c>
      <c r="G38" s="64">
        <v>49.63</v>
      </c>
      <c r="H38" s="64">
        <v>20.68</v>
      </c>
      <c r="I38" s="216" t="s">
        <v>43</v>
      </c>
      <c r="J38" s="64">
        <v>0.28000000000000003</v>
      </c>
      <c r="K38" s="64">
        <v>31.14</v>
      </c>
      <c r="L38" s="64">
        <v>23.88</v>
      </c>
      <c r="M38" s="64">
        <v>91.27</v>
      </c>
      <c r="N38" s="64">
        <v>112.5</v>
      </c>
      <c r="O38" s="64">
        <v>0</v>
      </c>
      <c r="P38" s="64">
        <v>1.1499999999999999</v>
      </c>
      <c r="Q38" s="64">
        <v>17.649999999999999</v>
      </c>
      <c r="R38" s="198"/>
      <c r="S38" s="198"/>
      <c r="T38" s="198"/>
      <c r="U38" s="198"/>
    </row>
    <row r="39" spans="1:21" s="12" customFormat="1" x14ac:dyDescent="0.25">
      <c r="A39" s="215" t="s">
        <v>3067</v>
      </c>
      <c r="B39" s="64">
        <v>20.82</v>
      </c>
      <c r="C39" s="64">
        <v>23.26</v>
      </c>
      <c r="D39" s="64">
        <v>30.18</v>
      </c>
      <c r="E39" s="64">
        <v>2.72</v>
      </c>
      <c r="F39" s="64">
        <v>3.14</v>
      </c>
      <c r="G39" s="64">
        <v>50.65</v>
      </c>
      <c r="H39" s="64">
        <v>20.68</v>
      </c>
      <c r="I39" s="216" t="s">
        <v>43</v>
      </c>
      <c r="J39" s="64">
        <v>0.27</v>
      </c>
      <c r="K39" s="64">
        <v>13.18</v>
      </c>
      <c r="L39" s="64">
        <v>24.03</v>
      </c>
      <c r="M39" s="64">
        <v>90.47</v>
      </c>
      <c r="N39" s="64">
        <v>110.5</v>
      </c>
      <c r="O39" s="64">
        <v>0</v>
      </c>
      <c r="P39" s="64">
        <v>1.23</v>
      </c>
      <c r="Q39" s="64">
        <v>17.77</v>
      </c>
      <c r="R39" s="198"/>
      <c r="S39" s="198"/>
      <c r="T39" s="198"/>
      <c r="U39" s="198"/>
    </row>
    <row r="40" spans="1:21" s="12" customFormat="1" x14ac:dyDescent="0.25">
      <c r="A40" s="215" t="s">
        <v>3068</v>
      </c>
      <c r="B40" s="64">
        <v>21.11</v>
      </c>
      <c r="C40" s="64">
        <v>22.98</v>
      </c>
      <c r="D40" s="64">
        <v>30.25</v>
      </c>
      <c r="E40" s="64">
        <v>2.2400000000000002</v>
      </c>
      <c r="F40" s="64">
        <v>3.46</v>
      </c>
      <c r="G40" s="64">
        <v>50.65</v>
      </c>
      <c r="H40" s="64">
        <v>20.68</v>
      </c>
      <c r="I40" s="216" t="s">
        <v>43</v>
      </c>
      <c r="J40" s="64">
        <v>0.27</v>
      </c>
      <c r="K40" s="64">
        <v>15.39</v>
      </c>
      <c r="L40" s="64">
        <v>23.92</v>
      </c>
      <c r="M40" s="64">
        <v>92.03</v>
      </c>
      <c r="N40" s="64">
        <v>99.1</v>
      </c>
      <c r="O40" s="64">
        <v>0</v>
      </c>
      <c r="P40" s="64">
        <v>1.23</v>
      </c>
      <c r="Q40" s="64">
        <v>17.47</v>
      </c>
      <c r="R40" s="198"/>
      <c r="S40" s="198"/>
      <c r="T40" s="198"/>
      <c r="U40" s="198"/>
    </row>
    <row r="41" spans="1:21" s="12" customFormat="1" x14ac:dyDescent="0.25">
      <c r="A41" s="215" t="s">
        <v>3069</v>
      </c>
      <c r="B41" s="64">
        <v>20.97</v>
      </c>
      <c r="C41" s="64">
        <v>23.23</v>
      </c>
      <c r="D41" s="64">
        <v>30.28</v>
      </c>
      <c r="E41" s="64">
        <v>2.77</v>
      </c>
      <c r="F41" s="64">
        <v>3.51</v>
      </c>
      <c r="G41" s="64">
        <v>50.65</v>
      </c>
      <c r="H41" s="64">
        <v>20.68</v>
      </c>
      <c r="I41" s="216" t="s">
        <v>43</v>
      </c>
      <c r="J41" s="64">
        <v>0.24</v>
      </c>
      <c r="K41" s="64">
        <v>14.55</v>
      </c>
      <c r="L41" s="64">
        <v>23.74</v>
      </c>
      <c r="M41" s="64">
        <v>93.29</v>
      </c>
      <c r="N41" s="64">
        <v>114.2</v>
      </c>
      <c r="O41" s="64">
        <v>0</v>
      </c>
      <c r="P41" s="64">
        <v>1.18</v>
      </c>
      <c r="Q41" s="64">
        <v>17.39</v>
      </c>
      <c r="R41" s="198"/>
      <c r="S41" s="198"/>
      <c r="T41" s="198"/>
      <c r="U41" s="198"/>
    </row>
    <row r="42" spans="1:21" s="12" customFormat="1" x14ac:dyDescent="0.25">
      <c r="A42" s="215" t="s">
        <v>3070</v>
      </c>
      <c r="B42" s="64">
        <v>20.69</v>
      </c>
      <c r="C42" s="64">
        <v>23.7</v>
      </c>
      <c r="D42" s="64">
        <v>30.32</v>
      </c>
      <c r="E42" s="64">
        <v>2.44</v>
      </c>
      <c r="F42" s="64">
        <v>3.43</v>
      </c>
      <c r="G42" s="64">
        <v>51.07</v>
      </c>
      <c r="H42" s="64">
        <v>20.12</v>
      </c>
      <c r="I42" s="216" t="s">
        <v>43</v>
      </c>
      <c r="J42" s="64">
        <v>0.28999999999999998</v>
      </c>
      <c r="K42" s="64">
        <v>13.42</v>
      </c>
      <c r="L42" s="64">
        <v>23.69</v>
      </c>
      <c r="M42" s="64">
        <v>94.37</v>
      </c>
      <c r="N42" s="64">
        <v>139.5</v>
      </c>
      <c r="O42" s="64">
        <v>0.2</v>
      </c>
      <c r="P42" s="64">
        <v>1.1200000000000001</v>
      </c>
      <c r="Q42" s="64">
        <v>17.559999999999999</v>
      </c>
      <c r="R42" s="198"/>
      <c r="S42" s="198"/>
      <c r="T42" s="198"/>
      <c r="U42" s="198"/>
    </row>
    <row r="43" spans="1:21" s="12" customFormat="1" x14ac:dyDescent="0.25">
      <c r="A43" s="215" t="s">
        <v>3071</v>
      </c>
      <c r="B43" s="64">
        <v>20.49</v>
      </c>
      <c r="C43" s="64">
        <v>24.6</v>
      </c>
      <c r="D43" s="64">
        <v>30.65</v>
      </c>
      <c r="E43" s="64">
        <v>2.29</v>
      </c>
      <c r="F43" s="64">
        <v>3.29</v>
      </c>
      <c r="G43" s="64">
        <v>51.2</v>
      </c>
      <c r="H43" s="64">
        <v>20.12</v>
      </c>
      <c r="I43" s="216" t="s">
        <v>43</v>
      </c>
      <c r="J43" s="64">
        <v>0.3</v>
      </c>
      <c r="K43" s="64">
        <v>1.03</v>
      </c>
      <c r="L43" s="64">
        <v>23.86</v>
      </c>
      <c r="M43" s="64">
        <v>93.46</v>
      </c>
      <c r="N43" s="64">
        <v>156.80000000000001</v>
      </c>
      <c r="O43" s="64">
        <v>0</v>
      </c>
      <c r="P43" s="64">
        <v>1.06</v>
      </c>
      <c r="Q43" s="64">
        <v>17.59</v>
      </c>
      <c r="R43" s="198"/>
      <c r="S43" s="198"/>
      <c r="T43" s="198"/>
      <c r="U43" s="198"/>
    </row>
    <row r="44" spans="1:21" s="12" customFormat="1" x14ac:dyDescent="0.25">
      <c r="A44" s="215" t="s">
        <v>3072</v>
      </c>
      <c r="B44" s="64">
        <v>20.440000000000001</v>
      </c>
      <c r="C44" s="64">
        <v>25.42</v>
      </c>
      <c r="D44" s="64">
        <v>31.07</v>
      </c>
      <c r="E44" s="64">
        <v>2.2400000000000002</v>
      </c>
      <c r="F44" s="64">
        <v>3.59</v>
      </c>
      <c r="G44" s="64">
        <v>51.2</v>
      </c>
      <c r="H44" s="64">
        <v>20.12</v>
      </c>
      <c r="I44" s="216" t="s">
        <v>43</v>
      </c>
      <c r="J44" s="64">
        <v>0.34</v>
      </c>
      <c r="K44" s="64">
        <v>13.43</v>
      </c>
      <c r="L44" s="64">
        <v>24.28</v>
      </c>
      <c r="M44" s="64">
        <v>90.46</v>
      </c>
      <c r="N44" s="64">
        <v>193.8</v>
      </c>
      <c r="O44" s="64">
        <v>0</v>
      </c>
      <c r="P44" s="64">
        <v>1.03</v>
      </c>
      <c r="Q44" s="64">
        <v>17.96</v>
      </c>
      <c r="R44" s="198"/>
      <c r="S44" s="198"/>
      <c r="T44" s="198"/>
      <c r="U44" s="198"/>
    </row>
    <row r="45" spans="1:21" s="12" customFormat="1" x14ac:dyDescent="0.25">
      <c r="A45" s="215" t="s">
        <v>3073</v>
      </c>
      <c r="B45" s="64">
        <v>19.760000000000002</v>
      </c>
      <c r="C45" s="64">
        <v>25.03</v>
      </c>
      <c r="D45" s="64">
        <v>30.3</v>
      </c>
      <c r="E45" s="64">
        <v>2.2000000000000002</v>
      </c>
      <c r="F45" s="64">
        <v>4.26</v>
      </c>
      <c r="G45" s="64">
        <v>51.2</v>
      </c>
      <c r="H45" s="64">
        <v>20.12</v>
      </c>
      <c r="I45" s="216" t="s">
        <v>43</v>
      </c>
      <c r="J45" s="64">
        <v>0.31</v>
      </c>
      <c r="K45" s="64">
        <v>0.17</v>
      </c>
      <c r="L45" s="64">
        <v>24.88</v>
      </c>
      <c r="M45" s="64">
        <v>87.77</v>
      </c>
      <c r="N45" s="64">
        <v>278.5</v>
      </c>
      <c r="O45" s="64">
        <v>0</v>
      </c>
      <c r="P45" s="64">
        <v>0.97</v>
      </c>
      <c r="Q45" s="64">
        <v>18.37</v>
      </c>
      <c r="R45" s="198"/>
      <c r="S45" s="198"/>
      <c r="T45" s="198"/>
      <c r="U45" s="198"/>
    </row>
    <row r="46" spans="1:21" s="12" customFormat="1" x14ac:dyDescent="0.25">
      <c r="A46" s="215" t="s">
        <v>3074</v>
      </c>
      <c r="B46" s="64">
        <v>19.41</v>
      </c>
      <c r="C46" s="64">
        <v>24.8</v>
      </c>
      <c r="D46" s="64">
        <v>29.9</v>
      </c>
      <c r="E46" s="64">
        <v>2.33</v>
      </c>
      <c r="F46" s="64">
        <v>4.16</v>
      </c>
      <c r="G46" s="64">
        <v>46.91</v>
      </c>
      <c r="H46" s="64">
        <v>19.2</v>
      </c>
      <c r="I46" s="216" t="s">
        <v>43</v>
      </c>
      <c r="J46" s="64">
        <v>0.34</v>
      </c>
      <c r="K46" s="64">
        <v>2.27</v>
      </c>
      <c r="L46" s="64">
        <v>25.44</v>
      </c>
      <c r="M46" s="64">
        <v>85.47</v>
      </c>
      <c r="N46" s="64">
        <v>342.5</v>
      </c>
      <c r="O46" s="64">
        <v>0</v>
      </c>
      <c r="P46" s="64">
        <v>0.95</v>
      </c>
      <c r="Q46" s="64">
        <v>18.489999999999998</v>
      </c>
      <c r="R46" s="198"/>
      <c r="S46" s="198"/>
      <c r="T46" s="198"/>
      <c r="U46" s="198"/>
    </row>
    <row r="47" spans="1:21" s="12" customFormat="1" x14ac:dyDescent="0.25">
      <c r="A47" s="215" t="s">
        <v>3075</v>
      </c>
      <c r="B47" s="64">
        <v>19.38</v>
      </c>
      <c r="C47" s="64">
        <v>24.38</v>
      </c>
      <c r="D47" s="64">
        <v>29.65</v>
      </c>
      <c r="E47" s="64">
        <v>2.65</v>
      </c>
      <c r="F47" s="64">
        <v>4.47</v>
      </c>
      <c r="G47" s="64">
        <v>45.52</v>
      </c>
      <c r="H47" s="64">
        <v>19.2</v>
      </c>
      <c r="I47" s="216" t="s">
        <v>43</v>
      </c>
      <c r="J47" s="64">
        <v>0.39</v>
      </c>
      <c r="K47" s="64">
        <v>3.47</v>
      </c>
      <c r="L47" s="64">
        <v>25.99</v>
      </c>
      <c r="M47" s="64">
        <v>82.4</v>
      </c>
      <c r="N47" s="64">
        <v>399.2</v>
      </c>
      <c r="O47" s="64">
        <v>0</v>
      </c>
      <c r="P47" s="64">
        <v>0.93</v>
      </c>
      <c r="Q47" s="64">
        <v>18.309999999999999</v>
      </c>
      <c r="R47" s="198"/>
      <c r="S47" s="198"/>
      <c r="T47" s="198"/>
      <c r="U47" s="198"/>
    </row>
    <row r="48" spans="1:21" s="12" customFormat="1" x14ac:dyDescent="0.25">
      <c r="A48" s="215" t="s">
        <v>3076</v>
      </c>
      <c r="B48" s="64">
        <v>18.89</v>
      </c>
      <c r="C48" s="64">
        <v>25.29</v>
      </c>
      <c r="D48" s="64">
        <v>29.75</v>
      </c>
      <c r="E48" s="64">
        <v>2.5099999999999998</v>
      </c>
      <c r="F48" s="64">
        <v>3.66</v>
      </c>
      <c r="G48" s="64">
        <v>45.52</v>
      </c>
      <c r="H48" s="64">
        <v>19.2</v>
      </c>
      <c r="I48" s="216" t="s">
        <v>43</v>
      </c>
      <c r="J48" s="64">
        <v>0.39</v>
      </c>
      <c r="K48" s="64">
        <v>7.15</v>
      </c>
      <c r="L48" s="64">
        <v>26.29</v>
      </c>
      <c r="M48" s="64">
        <v>81.17</v>
      </c>
      <c r="N48" s="64">
        <v>361.2</v>
      </c>
      <c r="O48" s="64">
        <v>0</v>
      </c>
      <c r="P48" s="64">
        <v>0.89</v>
      </c>
      <c r="Q48" s="64">
        <v>18.04</v>
      </c>
      <c r="R48" s="198"/>
      <c r="S48" s="198"/>
      <c r="T48" s="198"/>
      <c r="U48" s="198"/>
    </row>
    <row r="49" spans="1:21" s="12" customFormat="1" x14ac:dyDescent="0.25">
      <c r="A49" s="215" t="s">
        <v>3077</v>
      </c>
      <c r="B49" s="64">
        <v>18.43</v>
      </c>
      <c r="C49" s="64">
        <v>25.11</v>
      </c>
      <c r="D49" s="64">
        <v>29.28</v>
      </c>
      <c r="E49" s="64">
        <v>2.5499999999999998</v>
      </c>
      <c r="F49" s="64">
        <v>3.58</v>
      </c>
      <c r="G49" s="64">
        <v>45.52</v>
      </c>
      <c r="H49" s="64">
        <v>19.2</v>
      </c>
      <c r="I49" s="216" t="s">
        <v>43</v>
      </c>
      <c r="J49" s="64">
        <v>0.41</v>
      </c>
      <c r="K49" s="64">
        <v>349.06</v>
      </c>
      <c r="L49" s="64">
        <v>26.54</v>
      </c>
      <c r="M49" s="64">
        <v>80.8</v>
      </c>
      <c r="N49" s="64">
        <v>316.89999999999998</v>
      </c>
      <c r="O49" s="64">
        <v>0</v>
      </c>
      <c r="P49" s="64">
        <v>0.84</v>
      </c>
      <c r="Q49" s="64">
        <v>16.989999999999998</v>
      </c>
      <c r="R49" s="198"/>
      <c r="S49" s="198"/>
      <c r="T49" s="198"/>
      <c r="U49" s="198"/>
    </row>
    <row r="50" spans="1:21" s="12" customFormat="1" x14ac:dyDescent="0.25">
      <c r="A50" s="215" t="s">
        <v>3078</v>
      </c>
      <c r="B50" s="64">
        <v>17.82</v>
      </c>
      <c r="C50" s="64">
        <v>24.76</v>
      </c>
      <c r="D50" s="64">
        <v>28.6</v>
      </c>
      <c r="E50" s="64">
        <v>2.17</v>
      </c>
      <c r="F50" s="64">
        <v>4.1100000000000003</v>
      </c>
      <c r="G50" s="64">
        <v>48.14</v>
      </c>
      <c r="H50" s="64">
        <v>20.21</v>
      </c>
      <c r="I50" s="216" t="s">
        <v>43</v>
      </c>
      <c r="J50" s="64">
        <v>0.59</v>
      </c>
      <c r="K50" s="64">
        <v>336.75</v>
      </c>
      <c r="L50" s="64">
        <v>26.74</v>
      </c>
      <c r="M50" s="64">
        <v>79.290000000000006</v>
      </c>
      <c r="N50" s="64">
        <v>332</v>
      </c>
      <c r="O50" s="64">
        <v>0</v>
      </c>
      <c r="P50" s="64">
        <v>0.81</v>
      </c>
      <c r="Q50" s="64">
        <v>16.28</v>
      </c>
      <c r="R50" s="198"/>
      <c r="S50" s="198"/>
      <c r="T50" s="198"/>
      <c r="U50" s="198"/>
    </row>
    <row r="51" spans="1:21" s="12" customFormat="1" x14ac:dyDescent="0.25">
      <c r="A51" s="215" t="s">
        <v>3079</v>
      </c>
      <c r="B51" s="64">
        <v>16.97</v>
      </c>
      <c r="C51" s="64">
        <v>25.64</v>
      </c>
      <c r="D51" s="64">
        <v>28.41</v>
      </c>
      <c r="E51" s="64">
        <v>2.2400000000000002</v>
      </c>
      <c r="F51" s="64">
        <v>3.82</v>
      </c>
      <c r="G51" s="64">
        <v>48.99</v>
      </c>
      <c r="H51" s="64">
        <v>20.21</v>
      </c>
      <c r="I51" s="216" t="s">
        <v>43</v>
      </c>
      <c r="J51" s="64">
        <v>0.56000000000000005</v>
      </c>
      <c r="K51" s="64">
        <v>343</v>
      </c>
      <c r="L51" s="64">
        <v>26.88</v>
      </c>
      <c r="M51" s="64">
        <v>78.849999999999994</v>
      </c>
      <c r="N51" s="64">
        <v>387.3</v>
      </c>
      <c r="O51" s="64">
        <v>0</v>
      </c>
      <c r="P51" s="64">
        <v>0.76</v>
      </c>
      <c r="Q51" s="64">
        <v>16.18</v>
      </c>
      <c r="R51" s="198"/>
      <c r="S51" s="198"/>
      <c r="T51" s="198"/>
      <c r="U51" s="198"/>
    </row>
    <row r="52" spans="1:21" s="12" customFormat="1" x14ac:dyDescent="0.25">
      <c r="A52" s="215" t="s">
        <v>3080</v>
      </c>
      <c r="B52" s="64">
        <v>15.83</v>
      </c>
      <c r="C52" s="64">
        <v>26.26</v>
      </c>
      <c r="D52" s="64">
        <v>27.83</v>
      </c>
      <c r="E52" s="64">
        <v>2.42</v>
      </c>
      <c r="F52" s="64">
        <v>4</v>
      </c>
      <c r="G52" s="64">
        <v>48.99</v>
      </c>
      <c r="H52" s="64">
        <v>20.21</v>
      </c>
      <c r="I52" s="216" t="s">
        <v>43</v>
      </c>
      <c r="J52" s="64">
        <v>0.55000000000000004</v>
      </c>
      <c r="K52" s="64">
        <v>340.62</v>
      </c>
      <c r="L52" s="64">
        <v>27.24</v>
      </c>
      <c r="M52" s="64">
        <v>77.56</v>
      </c>
      <c r="N52" s="64">
        <v>436.2</v>
      </c>
      <c r="O52" s="64">
        <v>0</v>
      </c>
      <c r="P52" s="64">
        <v>0.72</v>
      </c>
      <c r="Q52" s="64">
        <v>16.190000000000001</v>
      </c>
      <c r="R52" s="198"/>
      <c r="S52" s="198"/>
      <c r="T52" s="198"/>
      <c r="U52" s="198"/>
    </row>
    <row r="53" spans="1:21" s="12" customFormat="1" x14ac:dyDescent="0.25">
      <c r="A53" s="215" t="s">
        <v>3081</v>
      </c>
      <c r="B53" s="64">
        <v>14.55</v>
      </c>
      <c r="C53" s="64">
        <v>26.64</v>
      </c>
      <c r="D53" s="64">
        <v>27.02</v>
      </c>
      <c r="E53" s="64">
        <v>2.5099999999999998</v>
      </c>
      <c r="F53" s="64">
        <v>4.24</v>
      </c>
      <c r="G53" s="64">
        <v>48.99</v>
      </c>
      <c r="H53" s="64">
        <v>20.21</v>
      </c>
      <c r="I53" s="216" t="s">
        <v>43</v>
      </c>
      <c r="J53" s="64">
        <v>0.37</v>
      </c>
      <c r="K53" s="64">
        <v>5.08</v>
      </c>
      <c r="L53" s="64">
        <v>27.72</v>
      </c>
      <c r="M53" s="64">
        <v>75.77</v>
      </c>
      <c r="N53" s="64">
        <v>593.20000000000005</v>
      </c>
      <c r="O53" s="64">
        <v>0</v>
      </c>
      <c r="P53" s="64">
        <v>0.69</v>
      </c>
      <c r="Q53" s="64">
        <v>16.03</v>
      </c>
      <c r="R53" s="198"/>
      <c r="S53" s="198"/>
      <c r="T53" s="198"/>
      <c r="U53" s="198"/>
    </row>
    <row r="54" spans="1:21" s="12" customFormat="1" x14ac:dyDescent="0.25">
      <c r="A54" s="215" t="s">
        <v>3082</v>
      </c>
      <c r="B54" s="64">
        <v>13.05</v>
      </c>
      <c r="C54" s="64">
        <v>27.23</v>
      </c>
      <c r="D54" s="64">
        <v>26.14</v>
      </c>
      <c r="E54" s="64">
        <v>2.37</v>
      </c>
      <c r="F54" s="64">
        <v>3.72</v>
      </c>
      <c r="G54" s="64">
        <v>50.77</v>
      </c>
      <c r="H54" s="64">
        <v>17.93</v>
      </c>
      <c r="I54" s="216" t="s">
        <v>43</v>
      </c>
      <c r="J54" s="64">
        <v>0.47</v>
      </c>
      <c r="K54" s="64">
        <v>359.05</v>
      </c>
      <c r="L54" s="64">
        <v>28.65</v>
      </c>
      <c r="M54" s="64">
        <v>72.31</v>
      </c>
      <c r="N54" s="64">
        <v>627.9</v>
      </c>
      <c r="O54" s="64">
        <v>0</v>
      </c>
      <c r="P54" s="64">
        <v>0.65</v>
      </c>
      <c r="Q54" s="64">
        <v>16.12</v>
      </c>
      <c r="R54" s="198"/>
      <c r="S54" s="198"/>
      <c r="T54" s="198"/>
      <c r="U54" s="198"/>
    </row>
    <row r="55" spans="1:21" s="12" customFormat="1" x14ac:dyDescent="0.25">
      <c r="A55" s="215" t="s">
        <v>3083</v>
      </c>
      <c r="B55" s="64">
        <v>11.64</v>
      </c>
      <c r="C55" s="64">
        <v>29.28</v>
      </c>
      <c r="D55" s="64">
        <v>26.14</v>
      </c>
      <c r="E55" s="64">
        <v>2.5</v>
      </c>
      <c r="F55" s="64">
        <v>3.78</v>
      </c>
      <c r="G55" s="64">
        <v>51.34</v>
      </c>
      <c r="H55" s="64">
        <v>17.93</v>
      </c>
      <c r="I55" s="216" t="s">
        <v>43</v>
      </c>
      <c r="J55" s="64">
        <v>0.77</v>
      </c>
      <c r="K55" s="64">
        <v>340.17</v>
      </c>
      <c r="L55" s="64">
        <v>29.18</v>
      </c>
      <c r="M55" s="64">
        <v>70.489999999999995</v>
      </c>
      <c r="N55" s="64">
        <v>589</v>
      </c>
      <c r="O55" s="64">
        <v>0</v>
      </c>
      <c r="P55" s="64">
        <v>0.62</v>
      </c>
      <c r="Q55" s="64">
        <v>16.34</v>
      </c>
      <c r="R55" s="198"/>
      <c r="S55" s="198"/>
      <c r="T55" s="198"/>
      <c r="U55" s="198"/>
    </row>
    <row r="56" spans="1:21" s="12" customFormat="1" x14ac:dyDescent="0.25">
      <c r="A56" s="215" t="s">
        <v>3084</v>
      </c>
      <c r="B56" s="64">
        <v>12.59</v>
      </c>
      <c r="C56" s="64">
        <v>27.95</v>
      </c>
      <c r="D56" s="64">
        <v>26.17</v>
      </c>
      <c r="E56" s="64">
        <v>1.74</v>
      </c>
      <c r="F56" s="64">
        <v>4.22</v>
      </c>
      <c r="G56" s="64">
        <v>51.34</v>
      </c>
      <c r="H56" s="64">
        <v>17.93</v>
      </c>
      <c r="I56" s="216" t="s">
        <v>43</v>
      </c>
      <c r="J56" s="64">
        <v>0.74</v>
      </c>
      <c r="K56" s="64">
        <v>335.04</v>
      </c>
      <c r="L56" s="64">
        <v>28.82</v>
      </c>
      <c r="M56" s="64">
        <v>70.58</v>
      </c>
      <c r="N56" s="64">
        <v>402</v>
      </c>
      <c r="O56" s="64">
        <v>0</v>
      </c>
      <c r="P56" s="64">
        <v>0.59</v>
      </c>
      <c r="Q56" s="64">
        <v>16.940000000000001</v>
      </c>
      <c r="R56" s="198"/>
      <c r="S56" s="198"/>
      <c r="T56" s="198"/>
      <c r="U56" s="198"/>
    </row>
    <row r="57" spans="1:21" s="12" customFormat="1" x14ac:dyDescent="0.25">
      <c r="A57" s="215" t="s">
        <v>3085</v>
      </c>
      <c r="B57" s="64">
        <v>11.62</v>
      </c>
      <c r="C57" s="64">
        <v>26.63</v>
      </c>
      <c r="D57" s="64">
        <v>24.66</v>
      </c>
      <c r="E57" s="64">
        <v>2.2599999999999998</v>
      </c>
      <c r="F57" s="64">
        <v>4.6500000000000004</v>
      </c>
      <c r="G57" s="64">
        <v>51.34</v>
      </c>
      <c r="H57" s="64">
        <v>17.93</v>
      </c>
      <c r="I57" s="216" t="s">
        <v>43</v>
      </c>
      <c r="J57" s="64">
        <v>0.48</v>
      </c>
      <c r="K57" s="64">
        <v>343.68</v>
      </c>
      <c r="L57" s="64">
        <v>29.04</v>
      </c>
      <c r="M57" s="64">
        <v>70.680000000000007</v>
      </c>
      <c r="N57" s="64">
        <v>597.1</v>
      </c>
      <c r="O57" s="64">
        <v>0</v>
      </c>
      <c r="P57" s="64">
        <v>0.56999999999999995</v>
      </c>
      <c r="Q57" s="64">
        <v>17.079999999999998</v>
      </c>
      <c r="R57" s="198"/>
      <c r="S57" s="198"/>
      <c r="T57" s="198"/>
      <c r="U57" s="198"/>
    </row>
    <row r="58" spans="1:21" s="12" customFormat="1" x14ac:dyDescent="0.25">
      <c r="A58" s="215" t="s">
        <v>3086</v>
      </c>
      <c r="B58" s="64">
        <v>10.7</v>
      </c>
      <c r="C58" s="64">
        <v>26.78</v>
      </c>
      <c r="D58" s="64">
        <v>24.01</v>
      </c>
      <c r="E58" s="64">
        <v>2.35</v>
      </c>
      <c r="F58" s="64">
        <v>4.4400000000000004</v>
      </c>
      <c r="G58" s="64">
        <v>45.79</v>
      </c>
      <c r="H58" s="64">
        <v>15.86</v>
      </c>
      <c r="I58" s="216" t="s">
        <v>43</v>
      </c>
      <c r="J58" s="64">
        <v>0.4</v>
      </c>
      <c r="K58" s="64">
        <v>14.13</v>
      </c>
      <c r="L58" s="64">
        <v>28.65</v>
      </c>
      <c r="M58" s="64">
        <v>71.22</v>
      </c>
      <c r="N58" s="64">
        <v>686.3</v>
      </c>
      <c r="O58" s="64">
        <v>0</v>
      </c>
      <c r="P58" s="64">
        <v>0.55000000000000004</v>
      </c>
      <c r="Q58" s="64">
        <v>17.14</v>
      </c>
      <c r="R58" s="198"/>
      <c r="S58" s="198"/>
      <c r="T58" s="198"/>
      <c r="U58" s="198"/>
    </row>
    <row r="59" spans="1:21" s="12" customFormat="1" x14ac:dyDescent="0.25">
      <c r="A59" s="215" t="s">
        <v>3087</v>
      </c>
      <c r="B59" s="64">
        <v>9.73</v>
      </c>
      <c r="C59" s="64">
        <v>25.81</v>
      </c>
      <c r="D59" s="64">
        <v>22.69</v>
      </c>
      <c r="E59" s="64">
        <v>2.0099999999999998</v>
      </c>
      <c r="F59" s="64">
        <v>5.25</v>
      </c>
      <c r="G59" s="64">
        <v>44.1</v>
      </c>
      <c r="H59" s="64">
        <v>15.86</v>
      </c>
      <c r="I59" s="216" t="s">
        <v>43</v>
      </c>
      <c r="J59" s="64">
        <v>0.56000000000000005</v>
      </c>
      <c r="K59" s="64">
        <v>343.31</v>
      </c>
      <c r="L59" s="64">
        <v>28.53</v>
      </c>
      <c r="M59" s="64">
        <v>72.83</v>
      </c>
      <c r="N59" s="64">
        <v>448.4</v>
      </c>
      <c r="O59" s="64">
        <v>0</v>
      </c>
      <c r="P59" s="64">
        <v>0.52</v>
      </c>
      <c r="Q59" s="64">
        <v>16.809999999999999</v>
      </c>
      <c r="R59" s="198"/>
      <c r="S59" s="198"/>
      <c r="T59" s="198"/>
      <c r="U59" s="198"/>
    </row>
    <row r="60" spans="1:21" s="12" customFormat="1" x14ac:dyDescent="0.25">
      <c r="A60" s="215" t="s">
        <v>3088</v>
      </c>
      <c r="B60" s="64">
        <v>9.07</v>
      </c>
      <c r="C60" s="64">
        <v>26.05</v>
      </c>
      <c r="D60" s="64">
        <v>22.29</v>
      </c>
      <c r="E60" s="64">
        <v>2.2000000000000002</v>
      </c>
      <c r="F60" s="64">
        <v>4.0199999999999996</v>
      </c>
      <c r="G60" s="64">
        <v>44.1</v>
      </c>
      <c r="H60" s="64">
        <v>15.86</v>
      </c>
      <c r="I60" s="216" t="s">
        <v>43</v>
      </c>
      <c r="J60" s="64">
        <v>0.59</v>
      </c>
      <c r="K60" s="64">
        <v>343.4</v>
      </c>
      <c r="L60" s="64">
        <v>28.67</v>
      </c>
      <c r="M60" s="64">
        <v>71.73</v>
      </c>
      <c r="N60" s="64">
        <v>456.7</v>
      </c>
      <c r="O60" s="64">
        <v>0</v>
      </c>
      <c r="P60" s="64">
        <v>0.5</v>
      </c>
      <c r="Q60" s="64">
        <v>16.18</v>
      </c>
      <c r="R60" s="198"/>
      <c r="S60" s="198"/>
      <c r="T60" s="198"/>
      <c r="U60" s="198"/>
    </row>
    <row r="61" spans="1:21" s="12" customFormat="1" x14ac:dyDescent="0.25">
      <c r="A61" s="215" t="s">
        <v>3089</v>
      </c>
      <c r="B61" s="64">
        <v>9.2799999999999994</v>
      </c>
      <c r="C61" s="64">
        <v>27.4</v>
      </c>
      <c r="D61" s="64">
        <v>23.21</v>
      </c>
      <c r="E61" s="64">
        <v>2.16</v>
      </c>
      <c r="F61" s="64">
        <v>3.87</v>
      </c>
      <c r="G61" s="64">
        <v>44.1</v>
      </c>
      <c r="H61" s="64">
        <v>15.86</v>
      </c>
      <c r="I61" s="216" t="s">
        <v>43</v>
      </c>
      <c r="J61" s="64">
        <v>0.75</v>
      </c>
      <c r="K61" s="64">
        <v>331.77</v>
      </c>
      <c r="L61" s="64">
        <v>28.78</v>
      </c>
      <c r="M61" s="64">
        <v>70.64</v>
      </c>
      <c r="N61" s="64">
        <v>390.8</v>
      </c>
      <c r="O61" s="64">
        <v>0</v>
      </c>
      <c r="P61" s="64">
        <v>0.45</v>
      </c>
      <c r="Q61" s="64">
        <v>15.16</v>
      </c>
      <c r="R61" s="198"/>
      <c r="S61" s="198"/>
      <c r="T61" s="198"/>
      <c r="U61" s="198"/>
    </row>
    <row r="62" spans="1:21" s="12" customFormat="1" x14ac:dyDescent="0.25">
      <c r="A62" s="215" t="s">
        <v>3090</v>
      </c>
      <c r="B62" s="64">
        <v>8.56</v>
      </c>
      <c r="C62" s="64">
        <v>26.6</v>
      </c>
      <c r="D62" s="64">
        <v>22.19</v>
      </c>
      <c r="E62" s="64">
        <v>2.06</v>
      </c>
      <c r="F62" s="64">
        <v>4.4400000000000004</v>
      </c>
      <c r="G62" s="64">
        <v>43.58</v>
      </c>
      <c r="H62" s="64">
        <v>15.26</v>
      </c>
      <c r="I62" s="216" t="s">
        <v>43</v>
      </c>
      <c r="J62" s="64">
        <v>0.43</v>
      </c>
      <c r="K62" s="64">
        <v>348.95</v>
      </c>
      <c r="L62" s="64">
        <v>28.41</v>
      </c>
      <c r="M62" s="64">
        <v>72.19</v>
      </c>
      <c r="N62" s="64">
        <v>501.9</v>
      </c>
      <c r="O62" s="64">
        <v>0</v>
      </c>
      <c r="P62" s="64">
        <v>0.46</v>
      </c>
      <c r="Q62" s="64">
        <v>14.58</v>
      </c>
      <c r="R62" s="198"/>
      <c r="S62" s="198"/>
      <c r="T62" s="198"/>
      <c r="U62" s="198"/>
    </row>
    <row r="63" spans="1:21" s="12" customFormat="1" x14ac:dyDescent="0.25">
      <c r="A63" s="215" t="s">
        <v>3091</v>
      </c>
      <c r="B63" s="64">
        <v>9.85</v>
      </c>
      <c r="C63" s="64">
        <v>27.67</v>
      </c>
      <c r="D63" s="64">
        <v>23.82</v>
      </c>
      <c r="E63" s="64">
        <v>1.36</v>
      </c>
      <c r="F63" s="64">
        <v>4.18</v>
      </c>
      <c r="G63" s="64">
        <v>43.41</v>
      </c>
      <c r="H63" s="64">
        <v>15.26</v>
      </c>
      <c r="I63" s="216" t="s">
        <v>43</v>
      </c>
      <c r="J63" s="64">
        <v>0.43</v>
      </c>
      <c r="K63" s="64">
        <v>356.33</v>
      </c>
      <c r="L63" s="64">
        <v>29.27</v>
      </c>
      <c r="M63" s="64">
        <v>69.09</v>
      </c>
      <c r="N63" s="64">
        <v>690.6</v>
      </c>
      <c r="O63" s="64">
        <v>0</v>
      </c>
      <c r="P63" s="64">
        <v>0.44</v>
      </c>
      <c r="Q63" s="64">
        <v>14.76</v>
      </c>
      <c r="R63" s="198"/>
      <c r="S63" s="198"/>
      <c r="T63" s="198"/>
      <c r="U63" s="198"/>
    </row>
    <row r="64" spans="1:21" s="12" customFormat="1" x14ac:dyDescent="0.25">
      <c r="A64" s="215" t="s">
        <v>3092</v>
      </c>
      <c r="B64" s="64">
        <v>8.7100000000000009</v>
      </c>
      <c r="C64" s="64">
        <v>27.12</v>
      </c>
      <c r="D64" s="64">
        <v>22.6</v>
      </c>
      <c r="E64" s="64">
        <v>2.29</v>
      </c>
      <c r="F64" s="64">
        <v>4.17</v>
      </c>
      <c r="G64" s="64">
        <v>43.41</v>
      </c>
      <c r="H64" s="64">
        <v>15.26</v>
      </c>
      <c r="I64" s="216" t="s">
        <v>43</v>
      </c>
      <c r="J64" s="64">
        <v>0.4</v>
      </c>
      <c r="K64" s="64">
        <v>6.4</v>
      </c>
      <c r="L64" s="64">
        <v>29.04</v>
      </c>
      <c r="M64" s="64">
        <v>68.069999999999993</v>
      </c>
      <c r="N64" s="64">
        <v>470.5</v>
      </c>
      <c r="O64" s="64">
        <v>0</v>
      </c>
      <c r="P64" s="64">
        <v>0.43</v>
      </c>
      <c r="Q64" s="64">
        <v>14.51</v>
      </c>
      <c r="R64" s="198"/>
      <c r="S64" s="198"/>
      <c r="T64" s="198"/>
      <c r="U64" s="198"/>
    </row>
    <row r="65" spans="1:21" s="12" customFormat="1" x14ac:dyDescent="0.25">
      <c r="A65" s="215" t="s">
        <v>3093</v>
      </c>
      <c r="B65" s="64">
        <v>9.92</v>
      </c>
      <c r="C65" s="64">
        <v>28.02</v>
      </c>
      <c r="D65" s="64">
        <v>24.07</v>
      </c>
      <c r="E65" s="64">
        <v>2.48</v>
      </c>
      <c r="F65" s="64">
        <v>3.91</v>
      </c>
      <c r="G65" s="64">
        <v>43.41</v>
      </c>
      <c r="H65" s="64">
        <v>15.26</v>
      </c>
      <c r="I65" s="216" t="s">
        <v>43</v>
      </c>
      <c r="J65" s="64">
        <v>0.33</v>
      </c>
      <c r="K65" s="64">
        <v>359.28</v>
      </c>
      <c r="L65" s="64">
        <v>29.04</v>
      </c>
      <c r="M65" s="64">
        <v>68.489999999999995</v>
      </c>
      <c r="N65" s="64">
        <v>430</v>
      </c>
      <c r="O65" s="64">
        <v>0</v>
      </c>
      <c r="P65" s="64">
        <v>0.4</v>
      </c>
      <c r="Q65" s="64">
        <v>15.08</v>
      </c>
      <c r="R65" s="198"/>
      <c r="S65" s="198"/>
      <c r="T65" s="198"/>
      <c r="U65" s="198"/>
    </row>
    <row r="66" spans="1:21" s="12" customFormat="1" x14ac:dyDescent="0.25">
      <c r="A66" s="215" t="s">
        <v>3094</v>
      </c>
      <c r="B66" s="64">
        <v>8.27</v>
      </c>
      <c r="C66" s="64">
        <v>27.29</v>
      </c>
      <c r="D66" s="64">
        <v>22.34</v>
      </c>
      <c r="E66" s="64">
        <v>2.13</v>
      </c>
      <c r="F66" s="64">
        <v>4.5</v>
      </c>
      <c r="G66" s="64">
        <v>41.38</v>
      </c>
      <c r="H66" s="64">
        <v>12.16</v>
      </c>
      <c r="I66" s="216" t="s">
        <v>43</v>
      </c>
      <c r="J66" s="64">
        <v>0.47</v>
      </c>
      <c r="K66" s="64">
        <v>344.17</v>
      </c>
      <c r="L66" s="64">
        <v>29.05</v>
      </c>
      <c r="M66" s="64">
        <v>68.22</v>
      </c>
      <c r="N66" s="64">
        <v>473.8</v>
      </c>
      <c r="O66" s="64">
        <v>0</v>
      </c>
      <c r="P66" s="64">
        <v>0.4</v>
      </c>
      <c r="Q66" s="64">
        <v>14.6</v>
      </c>
      <c r="R66" s="198"/>
      <c r="S66" s="198"/>
      <c r="T66" s="198"/>
      <c r="U66" s="198"/>
    </row>
    <row r="67" spans="1:21" s="12" customFormat="1" x14ac:dyDescent="0.25">
      <c r="A67" s="215" t="s">
        <v>3095</v>
      </c>
      <c r="B67" s="64">
        <v>7.76</v>
      </c>
      <c r="C67" s="64">
        <v>27.72</v>
      </c>
      <c r="D67" s="64">
        <v>22.17</v>
      </c>
      <c r="E67" s="64">
        <v>2</v>
      </c>
      <c r="F67" s="64">
        <v>6.43</v>
      </c>
      <c r="G67" s="64">
        <v>40.729999999999997</v>
      </c>
      <c r="H67" s="64">
        <v>12.16</v>
      </c>
      <c r="I67" s="216" t="s">
        <v>43</v>
      </c>
      <c r="J67" s="64">
        <v>0.39</v>
      </c>
      <c r="K67" s="64">
        <v>0.68</v>
      </c>
      <c r="L67" s="64">
        <v>29.3</v>
      </c>
      <c r="M67" s="64">
        <v>68.37</v>
      </c>
      <c r="N67" s="64">
        <v>437.5</v>
      </c>
      <c r="O67" s="64">
        <v>0</v>
      </c>
      <c r="P67" s="64">
        <v>0.39</v>
      </c>
      <c r="Q67" s="64">
        <v>15.9</v>
      </c>
      <c r="R67" s="198"/>
      <c r="S67" s="198"/>
      <c r="T67" s="198"/>
      <c r="U67" s="198"/>
    </row>
    <row r="68" spans="1:21" s="12" customFormat="1" x14ac:dyDescent="0.25">
      <c r="A68" s="215" t="s">
        <v>3096</v>
      </c>
      <c r="B68" s="64">
        <v>8.18</v>
      </c>
      <c r="C68" s="64">
        <v>26.88</v>
      </c>
      <c r="D68" s="64">
        <v>22.04</v>
      </c>
      <c r="E68" s="64">
        <v>2.06</v>
      </c>
      <c r="F68" s="64">
        <v>7.09</v>
      </c>
      <c r="G68" s="64">
        <v>40.729999999999997</v>
      </c>
      <c r="H68" s="64">
        <v>12.16</v>
      </c>
      <c r="I68" s="216" t="s">
        <v>43</v>
      </c>
      <c r="J68" s="64">
        <v>0.28999999999999998</v>
      </c>
      <c r="K68" s="64">
        <v>4.43</v>
      </c>
      <c r="L68" s="64">
        <v>28.96</v>
      </c>
      <c r="M68" s="64">
        <v>68.81</v>
      </c>
      <c r="N68" s="64">
        <v>515.4</v>
      </c>
      <c r="O68" s="64">
        <v>0</v>
      </c>
      <c r="P68" s="64">
        <v>0.39</v>
      </c>
      <c r="Q68" s="64">
        <v>16.2</v>
      </c>
      <c r="R68" s="198"/>
      <c r="S68" s="198"/>
      <c r="T68" s="198"/>
      <c r="U68" s="198"/>
    </row>
    <row r="69" spans="1:21" s="12" customFormat="1" x14ac:dyDescent="0.25">
      <c r="A69" s="215" t="s">
        <v>3097</v>
      </c>
      <c r="B69" s="64">
        <v>8.31</v>
      </c>
      <c r="C69" s="64">
        <v>27.87</v>
      </c>
      <c r="D69" s="64">
        <v>22.69</v>
      </c>
      <c r="E69" s="64">
        <v>1.96</v>
      </c>
      <c r="F69" s="64">
        <v>6.05</v>
      </c>
      <c r="G69" s="64">
        <v>40.729999999999997</v>
      </c>
      <c r="H69" s="64">
        <v>12.16</v>
      </c>
      <c r="I69" s="216" t="s">
        <v>43</v>
      </c>
      <c r="J69" s="64">
        <v>0.42</v>
      </c>
      <c r="K69" s="64">
        <v>353.07</v>
      </c>
      <c r="L69" s="64">
        <v>29.72</v>
      </c>
      <c r="M69" s="64">
        <v>66.349999999999994</v>
      </c>
      <c r="N69" s="64">
        <v>468.4</v>
      </c>
      <c r="O69" s="64">
        <v>0</v>
      </c>
      <c r="P69" s="64">
        <v>0.39</v>
      </c>
      <c r="Q69" s="64">
        <v>16.55</v>
      </c>
      <c r="R69" s="198"/>
      <c r="S69" s="198"/>
      <c r="T69" s="198"/>
      <c r="U69" s="198"/>
    </row>
    <row r="70" spans="1:21" s="12" customFormat="1" x14ac:dyDescent="0.25">
      <c r="A70" s="215" t="s">
        <v>3098</v>
      </c>
      <c r="B70" s="64">
        <v>8.0399999999999991</v>
      </c>
      <c r="C70" s="64">
        <v>27.75</v>
      </c>
      <c r="D70" s="64">
        <v>22.4</v>
      </c>
      <c r="E70" s="64">
        <v>2.12</v>
      </c>
      <c r="F70" s="64">
        <v>5.45</v>
      </c>
      <c r="G70" s="64">
        <v>39.729999999999997</v>
      </c>
      <c r="H70" s="64">
        <v>16.5</v>
      </c>
      <c r="I70" s="216" t="s">
        <v>43</v>
      </c>
      <c r="J70" s="64">
        <v>0.44</v>
      </c>
      <c r="K70" s="64">
        <v>355.12</v>
      </c>
      <c r="L70" s="64">
        <v>29.21</v>
      </c>
      <c r="M70" s="64">
        <v>67.48</v>
      </c>
      <c r="N70" s="64">
        <v>368.2</v>
      </c>
      <c r="O70" s="64">
        <v>0</v>
      </c>
      <c r="P70" s="64">
        <v>0.38</v>
      </c>
      <c r="Q70" s="64">
        <v>16.8</v>
      </c>
      <c r="R70" s="198"/>
      <c r="S70" s="198"/>
      <c r="T70" s="198"/>
      <c r="U70" s="198"/>
    </row>
    <row r="71" spans="1:21" s="12" customFormat="1" x14ac:dyDescent="0.25">
      <c r="A71" s="215" t="s">
        <v>3099</v>
      </c>
      <c r="B71" s="64">
        <v>9.35</v>
      </c>
      <c r="C71" s="64">
        <v>26.15</v>
      </c>
      <c r="D71" s="64">
        <v>22.57</v>
      </c>
      <c r="E71" s="64">
        <v>2.16</v>
      </c>
      <c r="F71" s="64">
        <v>6.69</v>
      </c>
      <c r="G71" s="64">
        <v>39.409999999999997</v>
      </c>
      <c r="H71" s="64">
        <v>16.5</v>
      </c>
      <c r="I71" s="216" t="s">
        <v>43</v>
      </c>
      <c r="J71" s="64">
        <v>0.39</v>
      </c>
      <c r="K71" s="64">
        <v>358.96</v>
      </c>
      <c r="L71" s="64">
        <v>29.03</v>
      </c>
      <c r="M71" s="64">
        <v>69.19</v>
      </c>
      <c r="N71" s="64">
        <v>324.2</v>
      </c>
      <c r="O71" s="64">
        <v>0</v>
      </c>
      <c r="P71" s="64">
        <v>0.39</v>
      </c>
      <c r="Q71" s="64">
        <v>16.38</v>
      </c>
      <c r="R71" s="198"/>
      <c r="S71" s="198"/>
      <c r="T71" s="198"/>
      <c r="U71" s="198"/>
    </row>
    <row r="72" spans="1:21" s="12" customFormat="1" x14ac:dyDescent="0.25">
      <c r="A72" s="215" t="s">
        <v>3100</v>
      </c>
      <c r="B72" s="64">
        <v>8.5399999999999991</v>
      </c>
      <c r="C72" s="64">
        <v>27.29</v>
      </c>
      <c r="D72" s="64">
        <v>22.55</v>
      </c>
      <c r="E72" s="64">
        <v>2.2999999999999998</v>
      </c>
      <c r="F72" s="64">
        <v>4.58</v>
      </c>
      <c r="G72" s="64">
        <v>39.409999999999997</v>
      </c>
      <c r="H72" s="64">
        <v>16.5</v>
      </c>
      <c r="I72" s="216" t="s">
        <v>43</v>
      </c>
      <c r="J72" s="64">
        <v>0.26</v>
      </c>
      <c r="K72" s="64">
        <v>26.35</v>
      </c>
      <c r="L72" s="64">
        <v>28.44</v>
      </c>
      <c r="M72" s="64">
        <v>71.45</v>
      </c>
      <c r="N72" s="64">
        <v>232.1</v>
      </c>
      <c r="O72" s="64">
        <v>0</v>
      </c>
      <c r="P72" s="64">
        <v>0.39</v>
      </c>
      <c r="Q72" s="64">
        <v>15.74</v>
      </c>
      <c r="R72" s="198"/>
      <c r="S72" s="198"/>
      <c r="T72" s="198"/>
      <c r="U72" s="198"/>
    </row>
    <row r="73" spans="1:21" s="12" customFormat="1" x14ac:dyDescent="0.25">
      <c r="A73" s="215" t="s">
        <v>3101</v>
      </c>
      <c r="B73" s="64">
        <v>7.97</v>
      </c>
      <c r="C73" s="64">
        <v>27.49</v>
      </c>
      <c r="D73" s="64">
        <v>22.21</v>
      </c>
      <c r="E73" s="64">
        <v>2.86</v>
      </c>
      <c r="F73" s="64">
        <v>4.45</v>
      </c>
      <c r="G73" s="64">
        <v>39.409999999999997</v>
      </c>
      <c r="H73" s="64">
        <v>16.5</v>
      </c>
      <c r="I73" s="216" t="s">
        <v>43</v>
      </c>
      <c r="J73" s="64">
        <v>0.25</v>
      </c>
      <c r="K73" s="64">
        <v>37.520000000000003</v>
      </c>
      <c r="L73" s="64">
        <v>27.39</v>
      </c>
      <c r="M73" s="64">
        <v>75.27</v>
      </c>
      <c r="N73" s="64">
        <v>210.9</v>
      </c>
      <c r="O73" s="64">
        <v>0</v>
      </c>
      <c r="P73" s="64">
        <v>0.4</v>
      </c>
      <c r="Q73" s="64">
        <v>14.8</v>
      </c>
      <c r="R73" s="198"/>
      <c r="S73" s="198"/>
      <c r="T73" s="198"/>
      <c r="U73" s="198"/>
    </row>
    <row r="74" spans="1:21" s="12" customFormat="1" x14ac:dyDescent="0.25">
      <c r="A74" s="215" t="s">
        <v>3102</v>
      </c>
      <c r="B74" s="64">
        <v>7.45</v>
      </c>
      <c r="C74" s="64">
        <v>27.59</v>
      </c>
      <c r="D74" s="64">
        <v>21.84</v>
      </c>
      <c r="E74" s="64">
        <v>2.63</v>
      </c>
      <c r="F74" s="64">
        <v>4.18</v>
      </c>
      <c r="G74" s="64">
        <v>36.06</v>
      </c>
      <c r="H74" s="64">
        <v>15.29</v>
      </c>
      <c r="I74" s="216" t="s">
        <v>43</v>
      </c>
      <c r="J74" s="64">
        <v>0.35</v>
      </c>
      <c r="K74" s="64">
        <v>11.93</v>
      </c>
      <c r="L74" s="64">
        <v>27.48</v>
      </c>
      <c r="M74" s="64">
        <v>75.430000000000007</v>
      </c>
      <c r="N74" s="64">
        <v>190.5</v>
      </c>
      <c r="O74" s="64">
        <v>0</v>
      </c>
      <c r="P74" s="64">
        <v>0.42</v>
      </c>
      <c r="Q74" s="64">
        <v>15.02</v>
      </c>
      <c r="R74" s="198"/>
      <c r="S74" s="198"/>
      <c r="T74" s="198"/>
      <c r="U74" s="198"/>
    </row>
    <row r="75" spans="1:21" s="12" customFormat="1" x14ac:dyDescent="0.25">
      <c r="A75" s="215" t="s">
        <v>3103</v>
      </c>
      <c r="B75" s="64">
        <v>7.12</v>
      </c>
      <c r="C75" s="64">
        <v>27.61</v>
      </c>
      <c r="D75" s="64">
        <v>21.6</v>
      </c>
      <c r="E75" s="64">
        <v>3.08</v>
      </c>
      <c r="F75" s="64">
        <v>4.68</v>
      </c>
      <c r="G75" s="64">
        <v>34.97</v>
      </c>
      <c r="H75" s="64">
        <v>15.29</v>
      </c>
      <c r="I75" s="216" t="s">
        <v>43</v>
      </c>
      <c r="J75" s="64">
        <v>0.32</v>
      </c>
      <c r="K75" s="64">
        <v>17.11</v>
      </c>
      <c r="L75" s="64">
        <v>27.62</v>
      </c>
      <c r="M75" s="64">
        <v>73.83</v>
      </c>
      <c r="N75" s="64">
        <v>168.5</v>
      </c>
      <c r="O75" s="64">
        <v>0</v>
      </c>
      <c r="P75" s="64">
        <v>0.41</v>
      </c>
      <c r="Q75" s="64">
        <v>14.78</v>
      </c>
      <c r="R75" s="198"/>
      <c r="S75" s="198"/>
      <c r="T75" s="198"/>
      <c r="U75" s="198"/>
    </row>
    <row r="76" spans="1:21" s="12" customFormat="1" x14ac:dyDescent="0.25">
      <c r="A76" s="215" t="s">
        <v>3104</v>
      </c>
      <c r="B76" s="64">
        <v>7.62</v>
      </c>
      <c r="C76" s="64">
        <v>27.45</v>
      </c>
      <c r="D76" s="64">
        <v>21.91</v>
      </c>
      <c r="E76" s="64">
        <v>2.76</v>
      </c>
      <c r="F76" s="64">
        <v>5.24</v>
      </c>
      <c r="G76" s="64">
        <v>34.97</v>
      </c>
      <c r="H76" s="64">
        <v>15.29</v>
      </c>
      <c r="I76" s="216" t="s">
        <v>43</v>
      </c>
      <c r="J76" s="64">
        <v>0.3</v>
      </c>
      <c r="K76" s="64">
        <v>351</v>
      </c>
      <c r="L76" s="64">
        <v>27.55</v>
      </c>
      <c r="M76" s="64">
        <v>74.400000000000006</v>
      </c>
      <c r="N76" s="64">
        <v>141.1</v>
      </c>
      <c r="O76" s="64">
        <v>0</v>
      </c>
      <c r="P76" s="64">
        <v>0.43</v>
      </c>
      <c r="Q76" s="64">
        <v>15.15</v>
      </c>
      <c r="R76" s="198"/>
      <c r="S76" s="198"/>
      <c r="T76" s="198"/>
      <c r="U76" s="198"/>
    </row>
    <row r="77" spans="1:21" s="12" customFormat="1" x14ac:dyDescent="0.25">
      <c r="A77" s="215" t="s">
        <v>3105</v>
      </c>
      <c r="B77" s="64">
        <v>7.93</v>
      </c>
      <c r="C77" s="64">
        <v>27.67</v>
      </c>
      <c r="D77" s="64">
        <v>22.27</v>
      </c>
      <c r="E77" s="64">
        <v>2.65</v>
      </c>
      <c r="F77" s="64">
        <v>5.85</v>
      </c>
      <c r="G77" s="64">
        <v>34.97</v>
      </c>
      <c r="H77" s="64">
        <v>15.29</v>
      </c>
      <c r="I77" s="216" t="s">
        <v>43</v>
      </c>
      <c r="J77" s="64">
        <v>0.22</v>
      </c>
      <c r="K77" s="64">
        <v>23.2</v>
      </c>
      <c r="L77" s="64">
        <v>27.29</v>
      </c>
      <c r="M77" s="64">
        <v>75.400000000000006</v>
      </c>
      <c r="N77" s="64">
        <v>128.19999999999999</v>
      </c>
      <c r="O77" s="64">
        <v>0</v>
      </c>
      <c r="P77" s="64">
        <v>0.46</v>
      </c>
      <c r="Q77" s="64">
        <v>14.54</v>
      </c>
      <c r="R77" s="198"/>
      <c r="S77" s="198"/>
      <c r="T77" s="198"/>
      <c r="U77" s="198"/>
    </row>
    <row r="78" spans="1:21" s="12" customFormat="1" x14ac:dyDescent="0.25">
      <c r="A78" s="215" t="s">
        <v>3106</v>
      </c>
      <c r="B78" s="64">
        <v>9.84</v>
      </c>
      <c r="C78" s="64">
        <v>27.06</v>
      </c>
      <c r="D78" s="64">
        <v>23.47</v>
      </c>
      <c r="E78" s="64">
        <v>3.08</v>
      </c>
      <c r="F78" s="64">
        <v>5.73</v>
      </c>
      <c r="G78" s="64">
        <v>34.65</v>
      </c>
      <c r="H78" s="64">
        <v>14.93</v>
      </c>
      <c r="I78" s="216" t="s">
        <v>43</v>
      </c>
      <c r="J78" s="64">
        <v>0.21</v>
      </c>
      <c r="K78" s="64">
        <v>24.02</v>
      </c>
      <c r="L78" s="64">
        <v>27.1</v>
      </c>
      <c r="M78" s="64">
        <v>77.680000000000007</v>
      </c>
      <c r="N78" s="64">
        <v>121.2</v>
      </c>
      <c r="O78" s="64">
        <v>0</v>
      </c>
      <c r="P78" s="64">
        <v>0.56999999999999995</v>
      </c>
      <c r="Q78" s="64">
        <v>15.12</v>
      </c>
      <c r="R78" s="198"/>
      <c r="S78" s="198"/>
      <c r="T78" s="198"/>
      <c r="U78" s="198"/>
    </row>
    <row r="79" spans="1:21" s="12" customFormat="1" x14ac:dyDescent="0.25">
      <c r="A79" s="215" t="s">
        <v>3107</v>
      </c>
      <c r="B79" s="64">
        <v>8.33</v>
      </c>
      <c r="C79" s="64">
        <v>31.38</v>
      </c>
      <c r="D79" s="64">
        <v>24.64</v>
      </c>
      <c r="E79" s="64">
        <v>3.11</v>
      </c>
      <c r="F79" s="64">
        <v>7.11</v>
      </c>
      <c r="G79" s="64">
        <v>34.549999999999997</v>
      </c>
      <c r="H79" s="64">
        <v>14.93</v>
      </c>
      <c r="I79" s="216" t="s">
        <v>43</v>
      </c>
      <c r="J79" s="64">
        <v>0.26</v>
      </c>
      <c r="K79" s="64">
        <v>26.75</v>
      </c>
      <c r="L79" s="64">
        <v>26.84</v>
      </c>
      <c r="M79" s="64">
        <v>78.849999999999994</v>
      </c>
      <c r="N79" s="64">
        <v>103.2</v>
      </c>
      <c r="O79" s="64">
        <v>0</v>
      </c>
      <c r="P79" s="64">
        <v>0.61</v>
      </c>
      <c r="Q79" s="64">
        <v>15.92</v>
      </c>
      <c r="R79" s="198"/>
      <c r="S79" s="198"/>
      <c r="T79" s="198"/>
      <c r="U79" s="198"/>
    </row>
    <row r="80" spans="1:21" s="12" customFormat="1" x14ac:dyDescent="0.25">
      <c r="A80" s="215" t="s">
        <v>3108</v>
      </c>
      <c r="B80" s="64">
        <v>7.96</v>
      </c>
      <c r="C80" s="64">
        <v>28.99</v>
      </c>
      <c r="D80" s="64">
        <v>23.02</v>
      </c>
      <c r="E80" s="64">
        <v>3.1</v>
      </c>
      <c r="F80" s="64">
        <v>8.59</v>
      </c>
      <c r="G80" s="64">
        <v>34.549999999999997</v>
      </c>
      <c r="H80" s="64">
        <v>14.93</v>
      </c>
      <c r="I80" s="216" t="s">
        <v>43</v>
      </c>
      <c r="J80" s="64">
        <v>0.16</v>
      </c>
      <c r="K80" s="64">
        <v>15.16</v>
      </c>
      <c r="L80" s="64">
        <v>26.62</v>
      </c>
      <c r="M80" s="64">
        <v>79.900000000000006</v>
      </c>
      <c r="N80" s="64">
        <v>84.7</v>
      </c>
      <c r="O80" s="64">
        <v>0</v>
      </c>
      <c r="P80" s="64">
        <v>0.53</v>
      </c>
      <c r="Q80" s="64">
        <v>16.72</v>
      </c>
      <c r="R80" s="198"/>
      <c r="S80" s="198"/>
      <c r="T80" s="198"/>
      <c r="U80" s="198"/>
    </row>
    <row r="81" spans="1:26" s="12" customFormat="1" x14ac:dyDescent="0.25">
      <c r="A81" s="215" t="s">
        <v>3109</v>
      </c>
      <c r="B81" s="64">
        <v>9.5500000000000007</v>
      </c>
      <c r="C81" s="64">
        <v>30.3</v>
      </c>
      <c r="D81" s="64">
        <v>25.02</v>
      </c>
      <c r="E81" s="64">
        <v>3.19</v>
      </c>
      <c r="F81" s="64">
        <v>7.93</v>
      </c>
      <c r="G81" s="64">
        <v>34.549999999999997</v>
      </c>
      <c r="H81" s="64">
        <v>14.93</v>
      </c>
      <c r="I81" s="216" t="s">
        <v>43</v>
      </c>
      <c r="J81" s="64">
        <v>0.21</v>
      </c>
      <c r="K81" s="64">
        <v>27.91</v>
      </c>
      <c r="L81" s="64">
        <v>26.38</v>
      </c>
      <c r="M81" s="64">
        <v>81.11</v>
      </c>
      <c r="N81" s="64">
        <v>62</v>
      </c>
      <c r="O81" s="64">
        <v>0</v>
      </c>
      <c r="P81" s="64">
        <v>0.54</v>
      </c>
      <c r="Q81" s="64">
        <v>17.05</v>
      </c>
      <c r="R81" s="198"/>
      <c r="S81" s="198"/>
      <c r="T81" s="198"/>
      <c r="U81" s="198"/>
    </row>
    <row r="82" spans="1:26" s="12" customFormat="1" x14ac:dyDescent="0.25">
      <c r="A82" s="215" t="s">
        <v>3110</v>
      </c>
      <c r="B82" s="64">
        <v>8.4499999999999993</v>
      </c>
      <c r="C82" s="64">
        <v>28.88</v>
      </c>
      <c r="D82" s="64">
        <v>23.36</v>
      </c>
      <c r="E82" s="64">
        <v>3.63</v>
      </c>
      <c r="F82" s="64">
        <v>7.03</v>
      </c>
      <c r="G82" s="64">
        <v>36.24</v>
      </c>
      <c r="H82" s="64">
        <v>16.29</v>
      </c>
      <c r="I82" s="216" t="s">
        <v>43</v>
      </c>
      <c r="J82" s="64">
        <v>0.28999999999999998</v>
      </c>
      <c r="K82" s="64">
        <v>42.54</v>
      </c>
      <c r="L82" s="64">
        <v>26.23</v>
      </c>
      <c r="M82" s="64">
        <v>81.62</v>
      </c>
      <c r="N82" s="64">
        <v>52.6</v>
      </c>
      <c r="O82" s="64">
        <v>0</v>
      </c>
      <c r="P82" s="64">
        <v>0.54</v>
      </c>
      <c r="Q82" s="64">
        <v>17.41</v>
      </c>
      <c r="R82" s="198"/>
      <c r="S82" s="198"/>
      <c r="T82" s="198"/>
      <c r="U82" s="198"/>
    </row>
    <row r="83" spans="1:26" s="12" customFormat="1" x14ac:dyDescent="0.25">
      <c r="A83" s="215" t="s">
        <v>3111</v>
      </c>
      <c r="B83" s="64">
        <v>7.65</v>
      </c>
      <c r="C83" s="64">
        <v>27.85</v>
      </c>
      <c r="D83" s="64">
        <v>22.15</v>
      </c>
      <c r="E83" s="64">
        <v>3.06</v>
      </c>
      <c r="F83" s="64">
        <v>8.08</v>
      </c>
      <c r="G83" s="64">
        <v>36.79</v>
      </c>
      <c r="H83" s="64">
        <v>16.29</v>
      </c>
      <c r="I83" s="216" t="s">
        <v>43</v>
      </c>
      <c r="J83" s="64">
        <v>0.24</v>
      </c>
      <c r="K83" s="64">
        <v>42.31</v>
      </c>
      <c r="L83" s="64">
        <v>26.13</v>
      </c>
      <c r="M83" s="64">
        <v>82.43</v>
      </c>
      <c r="N83" s="64">
        <v>47</v>
      </c>
      <c r="O83" s="64">
        <v>0</v>
      </c>
      <c r="P83" s="64">
        <v>0.55000000000000004</v>
      </c>
      <c r="Q83" s="64">
        <v>17.399999999999999</v>
      </c>
      <c r="R83" s="198"/>
      <c r="S83" s="198"/>
      <c r="T83" s="198"/>
      <c r="U83" s="198"/>
    </row>
    <row r="84" spans="1:26" s="12" customFormat="1" x14ac:dyDescent="0.25">
      <c r="A84" s="215" t="s">
        <v>3112</v>
      </c>
      <c r="B84" s="64">
        <v>7.62</v>
      </c>
      <c r="C84" s="64">
        <v>28.33</v>
      </c>
      <c r="D84" s="64">
        <v>22.39</v>
      </c>
      <c r="E84" s="64">
        <v>3.15</v>
      </c>
      <c r="F84" s="64">
        <v>6.21</v>
      </c>
      <c r="G84" s="64">
        <v>36.79</v>
      </c>
      <c r="H84" s="64">
        <v>16.29</v>
      </c>
      <c r="I84" s="216" t="s">
        <v>43</v>
      </c>
      <c r="J84" s="64">
        <v>0.19</v>
      </c>
      <c r="K84" s="64">
        <v>41.6</v>
      </c>
      <c r="L84" s="64">
        <v>25.97</v>
      </c>
      <c r="M84" s="64">
        <v>83.67</v>
      </c>
      <c r="N84" s="64">
        <v>46</v>
      </c>
      <c r="O84" s="64">
        <v>0</v>
      </c>
      <c r="P84" s="64">
        <v>0.54</v>
      </c>
      <c r="Q84" s="64">
        <v>16.600000000000001</v>
      </c>
      <c r="R84" s="198"/>
      <c r="S84" s="198"/>
      <c r="T84" s="198"/>
      <c r="U84" s="198"/>
    </row>
    <row r="85" spans="1:26" s="12" customFormat="1" x14ac:dyDescent="0.25">
      <c r="A85" s="215" t="s">
        <v>3113</v>
      </c>
      <c r="B85" s="64">
        <v>7.06</v>
      </c>
      <c r="C85" s="64">
        <v>27.93</v>
      </c>
      <c r="D85" s="64">
        <v>21.72</v>
      </c>
      <c r="E85" s="64">
        <v>3.05</v>
      </c>
      <c r="F85" s="64">
        <v>6.89</v>
      </c>
      <c r="G85" s="64">
        <v>36.79</v>
      </c>
      <c r="H85" s="64">
        <v>16.29</v>
      </c>
      <c r="I85" s="216" t="s">
        <v>43</v>
      </c>
      <c r="J85" s="64">
        <v>0.13</v>
      </c>
      <c r="K85" s="64">
        <v>29.29</v>
      </c>
      <c r="L85" s="64">
        <v>25.79</v>
      </c>
      <c r="M85" s="64">
        <v>85.13</v>
      </c>
      <c r="N85" s="64">
        <v>46.1</v>
      </c>
      <c r="O85" s="64">
        <v>0</v>
      </c>
      <c r="P85" s="64">
        <v>0.51</v>
      </c>
      <c r="Q85" s="64">
        <v>15.88</v>
      </c>
      <c r="R85" s="198"/>
      <c r="S85" s="198"/>
      <c r="T85" s="198"/>
      <c r="U85" s="198"/>
    </row>
    <row r="86" spans="1:26" s="12" customFormat="1" x14ac:dyDescent="0.25">
      <c r="A86" s="215" t="s">
        <v>3114</v>
      </c>
      <c r="B86" s="64">
        <v>6.41</v>
      </c>
      <c r="C86" s="64">
        <v>28.11</v>
      </c>
      <c r="D86" s="64">
        <v>21.3</v>
      </c>
      <c r="E86" s="64">
        <v>2.99</v>
      </c>
      <c r="F86" s="64">
        <v>6.93</v>
      </c>
      <c r="G86" s="64">
        <v>35.83</v>
      </c>
      <c r="H86" s="64">
        <v>15.03</v>
      </c>
      <c r="I86" s="216" t="s">
        <v>43</v>
      </c>
      <c r="J86" s="64">
        <v>0.15</v>
      </c>
      <c r="K86" s="64">
        <v>28.24</v>
      </c>
      <c r="L86" s="64">
        <v>25.66</v>
      </c>
      <c r="M86" s="64">
        <v>86.43</v>
      </c>
      <c r="N86" s="64">
        <v>45.9</v>
      </c>
      <c r="O86" s="64">
        <v>0</v>
      </c>
      <c r="P86" s="64">
        <v>0.55000000000000004</v>
      </c>
      <c r="Q86" s="64">
        <v>16.010000000000002</v>
      </c>
      <c r="R86" s="198"/>
      <c r="S86" s="198"/>
      <c r="T86" s="198"/>
      <c r="U86" s="198"/>
    </row>
    <row r="87" spans="1:26" s="12" customFormat="1" x14ac:dyDescent="0.25">
      <c r="A87" s="215" t="s">
        <v>3115</v>
      </c>
      <c r="B87" s="64">
        <v>6.13</v>
      </c>
      <c r="C87" s="64">
        <v>27.68</v>
      </c>
      <c r="D87" s="64">
        <v>20.83</v>
      </c>
      <c r="E87" s="64">
        <v>2.95</v>
      </c>
      <c r="F87" s="64">
        <v>7.46</v>
      </c>
      <c r="G87" s="64">
        <v>35.520000000000003</v>
      </c>
      <c r="H87" s="64">
        <v>15.03</v>
      </c>
      <c r="I87" s="216" t="s">
        <v>43</v>
      </c>
      <c r="J87" s="64">
        <v>0.15</v>
      </c>
      <c r="K87" s="64">
        <v>32.01</v>
      </c>
      <c r="L87" s="64">
        <v>25.53</v>
      </c>
      <c r="M87" s="64">
        <v>87.82</v>
      </c>
      <c r="N87" s="64">
        <v>45.8</v>
      </c>
      <c r="O87" s="64">
        <v>0</v>
      </c>
      <c r="P87" s="64">
        <v>0.53</v>
      </c>
      <c r="Q87" s="64">
        <v>15.64</v>
      </c>
      <c r="R87" s="198"/>
      <c r="S87" s="198"/>
      <c r="T87" s="198"/>
      <c r="U87" s="198"/>
    </row>
    <row r="88" spans="1:26" s="12" customFormat="1" x14ac:dyDescent="0.25">
      <c r="A88" s="215" t="s">
        <v>3116</v>
      </c>
      <c r="B88" s="64">
        <v>5.77</v>
      </c>
      <c r="C88" s="64">
        <v>27.65</v>
      </c>
      <c r="D88" s="64">
        <v>20.53</v>
      </c>
      <c r="E88" s="64">
        <v>1.52</v>
      </c>
      <c r="F88" s="64">
        <v>6.49</v>
      </c>
      <c r="G88" s="64">
        <v>35.520000000000003</v>
      </c>
      <c r="H88" s="64">
        <v>15.03</v>
      </c>
      <c r="I88" s="216" t="s">
        <v>43</v>
      </c>
      <c r="J88" s="64">
        <v>7.0000000000000007E-2</v>
      </c>
      <c r="K88" s="64">
        <v>39.75</v>
      </c>
      <c r="L88" s="64">
        <v>25.38</v>
      </c>
      <c r="M88" s="64">
        <v>89.29</v>
      </c>
      <c r="N88" s="64">
        <v>45.8</v>
      </c>
      <c r="O88" s="64">
        <v>0</v>
      </c>
      <c r="P88" s="64">
        <v>0.5</v>
      </c>
      <c r="Q88" s="64">
        <v>15.88</v>
      </c>
      <c r="R88" s="198"/>
      <c r="S88" s="198"/>
      <c r="T88" s="198"/>
      <c r="U88" s="198"/>
    </row>
    <row r="89" spans="1:26" s="12" customFormat="1" x14ac:dyDescent="0.25">
      <c r="A89" s="215" t="s">
        <v>3117</v>
      </c>
      <c r="B89" s="64">
        <v>7.1</v>
      </c>
      <c r="C89" s="64">
        <v>28.26</v>
      </c>
      <c r="D89" s="64">
        <v>21.94</v>
      </c>
      <c r="E89" s="64">
        <v>2.23</v>
      </c>
      <c r="F89" s="64">
        <v>5.54</v>
      </c>
      <c r="G89" s="64">
        <v>35.520000000000003</v>
      </c>
      <c r="H89" s="64">
        <v>15.03</v>
      </c>
      <c r="I89" s="216" t="s">
        <v>43</v>
      </c>
      <c r="J89" s="64">
        <v>0.14000000000000001</v>
      </c>
      <c r="K89" s="64">
        <v>41.25</v>
      </c>
      <c r="L89" s="64">
        <v>25.33</v>
      </c>
      <c r="M89" s="64">
        <v>90.34</v>
      </c>
      <c r="N89" s="64">
        <v>45.7</v>
      </c>
      <c r="O89" s="64">
        <v>0</v>
      </c>
      <c r="P89" s="64">
        <v>0.56000000000000005</v>
      </c>
      <c r="Q89" s="64">
        <v>15.87</v>
      </c>
      <c r="R89" s="198"/>
      <c r="S89" s="198"/>
      <c r="T89" s="198"/>
      <c r="U89" s="198"/>
    </row>
    <row r="90" spans="1:26" s="12" customFormat="1" x14ac:dyDescent="0.25">
      <c r="A90" s="215" t="s">
        <v>3118</v>
      </c>
      <c r="B90" s="64">
        <v>6.57</v>
      </c>
      <c r="C90" s="64">
        <v>26.92</v>
      </c>
      <c r="D90" s="64">
        <v>20.77</v>
      </c>
      <c r="E90" s="64">
        <v>2.31</v>
      </c>
      <c r="F90" s="64">
        <v>8.11</v>
      </c>
      <c r="G90" s="64">
        <v>33.049999999999997</v>
      </c>
      <c r="H90" s="64">
        <v>14.46</v>
      </c>
      <c r="I90" s="216" t="s">
        <v>43</v>
      </c>
      <c r="J90" s="64">
        <v>0.09</v>
      </c>
      <c r="K90" s="64">
        <v>41.55</v>
      </c>
      <c r="L90" s="64">
        <v>25.09</v>
      </c>
      <c r="M90" s="64">
        <v>93.74</v>
      </c>
      <c r="N90" s="64">
        <v>45.1</v>
      </c>
      <c r="O90" s="64">
        <v>0</v>
      </c>
      <c r="P90" s="64">
        <v>0.54</v>
      </c>
      <c r="Q90" s="64">
        <v>15.99</v>
      </c>
      <c r="R90" s="198"/>
      <c r="S90" s="198"/>
      <c r="T90" s="198"/>
      <c r="U90" s="198"/>
    </row>
    <row r="91" spans="1:26" s="12" customFormat="1" x14ac:dyDescent="0.25">
      <c r="A91" s="215" t="s">
        <v>3119</v>
      </c>
      <c r="B91" s="64">
        <v>5.84</v>
      </c>
      <c r="C91" s="64">
        <v>27.31</v>
      </c>
      <c r="D91" s="64">
        <v>20.399999999999999</v>
      </c>
      <c r="E91" s="64">
        <v>2.0499999999999998</v>
      </c>
      <c r="F91" s="64">
        <v>9.0500000000000007</v>
      </c>
      <c r="G91" s="64">
        <v>32.26</v>
      </c>
      <c r="H91" s="64">
        <v>14.46</v>
      </c>
      <c r="I91" s="216" t="s">
        <v>43</v>
      </c>
      <c r="J91" s="64">
        <v>0.16</v>
      </c>
      <c r="K91" s="64">
        <v>33.659999999999997</v>
      </c>
      <c r="L91" s="64">
        <v>24.79</v>
      </c>
      <c r="M91" s="64">
        <v>95.77</v>
      </c>
      <c r="N91" s="64">
        <v>44.5</v>
      </c>
      <c r="O91" s="64">
        <v>0</v>
      </c>
      <c r="P91" s="64">
        <v>0.49</v>
      </c>
      <c r="Q91" s="64">
        <v>17.61</v>
      </c>
      <c r="R91" s="198"/>
      <c r="S91" s="198"/>
      <c r="T91" s="198"/>
      <c r="U91" s="198"/>
    </row>
    <row r="92" spans="1:26" s="12" customFormat="1" x14ac:dyDescent="0.25">
      <c r="A92" s="215" t="s">
        <v>3120</v>
      </c>
      <c r="B92" s="64">
        <v>6.25</v>
      </c>
      <c r="C92" s="64">
        <v>26.12</v>
      </c>
      <c r="D92" s="64">
        <v>20.07</v>
      </c>
      <c r="E92" s="64">
        <v>2.02</v>
      </c>
      <c r="F92" s="64">
        <v>8.81</v>
      </c>
      <c r="G92" s="64">
        <v>32.26</v>
      </c>
      <c r="H92" s="64">
        <v>14.46</v>
      </c>
      <c r="I92" s="216" t="s">
        <v>43</v>
      </c>
      <c r="J92" s="64">
        <v>0.16</v>
      </c>
      <c r="K92" s="64">
        <v>24.41</v>
      </c>
      <c r="L92" s="64">
        <v>24.82</v>
      </c>
      <c r="M92" s="64">
        <v>95.56</v>
      </c>
      <c r="N92" s="64">
        <v>45.1</v>
      </c>
      <c r="O92" s="64">
        <v>0</v>
      </c>
      <c r="P92" s="64">
        <v>0.53</v>
      </c>
      <c r="Q92" s="64">
        <v>18.02</v>
      </c>
      <c r="R92" s="198"/>
      <c r="S92" s="198"/>
      <c r="T92" s="198"/>
      <c r="U92" s="198"/>
    </row>
    <row r="93" spans="1:26" s="12" customFormat="1" x14ac:dyDescent="0.25">
      <c r="A93" s="215" t="s">
        <v>3121</v>
      </c>
      <c r="B93" s="64">
        <v>9.01</v>
      </c>
      <c r="C93" s="64">
        <v>27.4</v>
      </c>
      <c r="D93" s="64">
        <v>22.99</v>
      </c>
      <c r="E93" s="64">
        <v>2.25</v>
      </c>
      <c r="F93" s="64">
        <v>8.98</v>
      </c>
      <c r="G93" s="64">
        <v>32.26</v>
      </c>
      <c r="H93" s="64">
        <v>14.46</v>
      </c>
      <c r="I93" s="216" t="s">
        <v>43</v>
      </c>
      <c r="J93" s="64">
        <v>0.13</v>
      </c>
      <c r="K93" s="64">
        <v>37.25</v>
      </c>
      <c r="L93" s="64">
        <v>24.91</v>
      </c>
      <c r="M93" s="64">
        <v>95.8</v>
      </c>
      <c r="N93" s="64">
        <v>45.6</v>
      </c>
      <c r="O93" s="64">
        <v>0</v>
      </c>
      <c r="P93" s="64">
        <v>0.61</v>
      </c>
      <c r="Q93" s="64">
        <v>18.21</v>
      </c>
      <c r="R93" s="198"/>
      <c r="S93" s="198"/>
      <c r="T93" s="198"/>
      <c r="U93" s="198"/>
    </row>
    <row r="94" spans="1:26" s="12" customFormat="1" x14ac:dyDescent="0.25">
      <c r="A94" s="215" t="s">
        <v>3122</v>
      </c>
      <c r="B94" s="64">
        <v>13.36</v>
      </c>
      <c r="C94" s="64">
        <v>25.44</v>
      </c>
      <c r="D94" s="64">
        <v>25.4</v>
      </c>
      <c r="E94" s="64">
        <v>2</v>
      </c>
      <c r="F94" s="64">
        <v>6.8</v>
      </c>
      <c r="G94" s="64">
        <v>29.72</v>
      </c>
      <c r="H94" s="64">
        <v>14.8</v>
      </c>
      <c r="I94" s="216" t="s">
        <v>43</v>
      </c>
      <c r="J94" s="64">
        <v>0.18</v>
      </c>
      <c r="K94" s="64">
        <v>32.33</v>
      </c>
      <c r="L94" s="64">
        <v>24.94</v>
      </c>
      <c r="M94" s="64">
        <v>95.34</v>
      </c>
      <c r="N94" s="64">
        <v>45.5</v>
      </c>
      <c r="O94" s="64">
        <v>0</v>
      </c>
      <c r="P94" s="64">
        <v>0.57999999999999996</v>
      </c>
      <c r="Q94" s="64">
        <v>18.37</v>
      </c>
      <c r="R94" s="198"/>
      <c r="S94" s="198"/>
      <c r="T94" s="198"/>
      <c r="U94" s="198"/>
    </row>
    <row r="95" spans="1:26" s="12" customFormat="1" x14ac:dyDescent="0.25">
      <c r="A95" s="215" t="s">
        <v>3123</v>
      </c>
      <c r="B95" s="64">
        <v>10.4</v>
      </c>
      <c r="C95" s="64">
        <v>25.41</v>
      </c>
      <c r="D95" s="64">
        <v>23.02</v>
      </c>
      <c r="E95" s="64">
        <v>1.9</v>
      </c>
      <c r="F95" s="64">
        <v>5.4</v>
      </c>
      <c r="G95" s="64">
        <v>28.89</v>
      </c>
      <c r="H95" s="64">
        <v>14.8</v>
      </c>
      <c r="I95" s="216" t="s">
        <v>43</v>
      </c>
      <c r="J95" s="64">
        <v>0.19</v>
      </c>
      <c r="K95" s="64">
        <v>31.74</v>
      </c>
      <c r="L95" s="64">
        <v>24.83</v>
      </c>
      <c r="M95" s="64">
        <v>95.79</v>
      </c>
      <c r="N95" s="64">
        <v>45.3</v>
      </c>
      <c r="O95" s="64">
        <v>0.2</v>
      </c>
      <c r="P95" s="64">
        <v>0.54</v>
      </c>
      <c r="Q95" s="64">
        <v>18.2</v>
      </c>
      <c r="R95" s="198"/>
      <c r="S95" s="198"/>
      <c r="T95" s="198"/>
      <c r="U95" s="198"/>
    </row>
    <row r="96" spans="1:26" s="12" customFormat="1" x14ac:dyDescent="0.25">
      <c r="A96" s="215" t="s">
        <v>3124</v>
      </c>
      <c r="B96" s="64">
        <v>9.65</v>
      </c>
      <c r="C96" s="64">
        <v>26.61</v>
      </c>
      <c r="D96" s="64">
        <v>23.07</v>
      </c>
      <c r="E96" s="64">
        <v>1.96</v>
      </c>
      <c r="F96" s="64">
        <v>5.6</v>
      </c>
      <c r="G96" s="64">
        <v>28.89</v>
      </c>
      <c r="H96" s="64">
        <v>14.8</v>
      </c>
      <c r="I96" s="216" t="s">
        <v>43</v>
      </c>
      <c r="J96" s="64">
        <v>0.22</v>
      </c>
      <c r="K96" s="64">
        <v>22.42</v>
      </c>
      <c r="L96" s="64">
        <v>24.47</v>
      </c>
      <c r="M96" s="64">
        <v>96.56</v>
      </c>
      <c r="N96" s="64">
        <v>45.5</v>
      </c>
      <c r="O96" s="64">
        <v>0.2</v>
      </c>
      <c r="P96" s="64">
        <v>0.55000000000000004</v>
      </c>
      <c r="Q96" s="64">
        <v>17.170000000000002</v>
      </c>
      <c r="R96" s="198"/>
      <c r="S96" s="198"/>
      <c r="T96" s="214"/>
      <c r="U96" s="198"/>
      <c r="Z96" s="109"/>
    </row>
    <row r="97" spans="1:33" s="12" customFormat="1" x14ac:dyDescent="0.25">
      <c r="A97" s="215" t="s">
        <v>3125</v>
      </c>
      <c r="B97" s="64">
        <v>9.1</v>
      </c>
      <c r="C97" s="64">
        <v>26.04</v>
      </c>
      <c r="D97" s="64">
        <v>22.31</v>
      </c>
      <c r="E97" s="64">
        <v>1.83</v>
      </c>
      <c r="F97" s="64">
        <v>6.05</v>
      </c>
      <c r="G97" s="64">
        <v>28.89</v>
      </c>
      <c r="H97" s="64">
        <v>14.8</v>
      </c>
      <c r="I97" s="216" t="s">
        <v>43</v>
      </c>
      <c r="J97" s="64">
        <v>7.0000000000000007E-2</v>
      </c>
      <c r="K97" s="64">
        <v>29.87</v>
      </c>
      <c r="L97" s="64">
        <v>24.16</v>
      </c>
      <c r="M97" s="64">
        <v>96.62</v>
      </c>
      <c r="N97" s="64">
        <v>45.7</v>
      </c>
      <c r="O97" s="64">
        <v>0</v>
      </c>
      <c r="P97" s="64">
        <v>0.5</v>
      </c>
      <c r="Q97" s="64">
        <v>16.920000000000002</v>
      </c>
      <c r="R97" s="198"/>
      <c r="S97" s="198"/>
      <c r="T97" s="198"/>
      <c r="U97" s="198"/>
    </row>
    <row r="98" spans="1:33" s="12" customFormat="1" x14ac:dyDescent="0.25">
      <c r="A98" s="215" t="s">
        <v>3126</v>
      </c>
      <c r="B98" s="64">
        <v>8.4700000000000006</v>
      </c>
      <c r="C98" s="64">
        <v>26.94</v>
      </c>
      <c r="D98" s="64">
        <v>22.31</v>
      </c>
      <c r="E98" s="64">
        <v>1.89</v>
      </c>
      <c r="F98" s="64">
        <v>6.45</v>
      </c>
      <c r="G98" s="64">
        <v>27.29</v>
      </c>
      <c r="H98" s="64">
        <v>13.06</v>
      </c>
      <c r="I98" s="216" t="s">
        <v>43</v>
      </c>
      <c r="J98" s="64">
        <v>0.02</v>
      </c>
      <c r="K98" s="64">
        <v>349.87</v>
      </c>
      <c r="L98" s="64">
        <v>24.1</v>
      </c>
      <c r="M98" s="64">
        <v>97.19</v>
      </c>
      <c r="N98" s="64">
        <v>46.3</v>
      </c>
      <c r="O98" s="64">
        <v>0</v>
      </c>
      <c r="P98" s="64">
        <v>0.46</v>
      </c>
      <c r="Q98" s="64">
        <v>17.02</v>
      </c>
      <c r="R98" s="198"/>
      <c r="S98" s="198"/>
      <c r="T98" s="198"/>
      <c r="U98" s="198"/>
    </row>
    <row r="99" spans="1:33" s="12" customFormat="1" x14ac:dyDescent="0.25">
      <c r="A99" s="215" t="s">
        <v>3127</v>
      </c>
      <c r="B99" s="64">
        <v>9.15</v>
      </c>
      <c r="C99" s="64">
        <v>27.24</v>
      </c>
      <c r="D99" s="64">
        <v>23.02</v>
      </c>
      <c r="E99" s="64">
        <v>2.09</v>
      </c>
      <c r="F99" s="64">
        <v>6.39</v>
      </c>
      <c r="G99" s="64">
        <v>26.8</v>
      </c>
      <c r="H99" s="64">
        <v>13.06</v>
      </c>
      <c r="I99" s="216" t="s">
        <v>43</v>
      </c>
      <c r="J99" s="64">
        <v>0.08</v>
      </c>
      <c r="K99" s="64">
        <v>36.35</v>
      </c>
      <c r="L99" s="64">
        <v>24.1</v>
      </c>
      <c r="M99" s="64">
        <v>97.14</v>
      </c>
      <c r="N99" s="64">
        <v>46</v>
      </c>
      <c r="O99" s="64">
        <v>0</v>
      </c>
      <c r="P99" s="64">
        <v>0.46</v>
      </c>
      <c r="Q99" s="64">
        <v>17.190000000000001</v>
      </c>
      <c r="R99" s="198"/>
      <c r="S99" s="198"/>
      <c r="T99" s="198"/>
      <c r="U99" s="198"/>
    </row>
    <row r="100" spans="1:33" s="12" customFormat="1" x14ac:dyDescent="0.25">
      <c r="A100" s="215" t="s">
        <v>3128</v>
      </c>
      <c r="B100" s="64">
        <v>8.56</v>
      </c>
      <c r="C100" s="64">
        <v>26.55</v>
      </c>
      <c r="D100" s="64">
        <v>22.17</v>
      </c>
      <c r="E100" s="64">
        <v>2.3199999999999998</v>
      </c>
      <c r="F100" s="64">
        <v>5.78</v>
      </c>
      <c r="G100" s="64">
        <v>26.8</v>
      </c>
      <c r="H100" s="64">
        <v>13.06</v>
      </c>
      <c r="I100" s="216" t="s">
        <v>43</v>
      </c>
      <c r="J100" s="64">
        <v>0.06</v>
      </c>
      <c r="K100" s="64">
        <v>31.06</v>
      </c>
      <c r="L100" s="64">
        <v>24.14</v>
      </c>
      <c r="M100" s="64">
        <v>97.22</v>
      </c>
      <c r="N100" s="64">
        <v>45.6</v>
      </c>
      <c r="O100" s="64">
        <v>0</v>
      </c>
      <c r="P100" s="64">
        <v>0.47</v>
      </c>
      <c r="Q100" s="64">
        <v>17.04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3129</v>
      </c>
      <c r="B101" s="64">
        <v>7.56</v>
      </c>
      <c r="C101" s="64">
        <v>25.91</v>
      </c>
      <c r="D101" s="64">
        <v>21.01</v>
      </c>
      <c r="E101" s="64">
        <v>2.1800000000000002</v>
      </c>
      <c r="F101" s="64">
        <v>7.07</v>
      </c>
      <c r="G101" s="64">
        <v>26.8</v>
      </c>
      <c r="H101" s="64">
        <v>13.06</v>
      </c>
      <c r="I101" s="216" t="s">
        <v>43</v>
      </c>
      <c r="J101" s="64">
        <v>0.1</v>
      </c>
      <c r="K101" s="64">
        <v>21.12</v>
      </c>
      <c r="L101" s="64">
        <v>23.98</v>
      </c>
      <c r="M101" s="64">
        <v>97.25</v>
      </c>
      <c r="N101" s="64">
        <v>45.5</v>
      </c>
      <c r="O101" s="64">
        <v>0.2</v>
      </c>
      <c r="P101" s="64">
        <v>0.42</v>
      </c>
      <c r="Q101" s="64">
        <v>17.329999999999998</v>
      </c>
      <c r="R101" s="198"/>
      <c r="S101" s="198"/>
      <c r="T101" s="198"/>
      <c r="U101" s="198"/>
    </row>
    <row r="102" spans="1:33" s="12" customFormat="1" x14ac:dyDescent="0.25">
      <c r="A102" s="215" t="s">
        <v>3130</v>
      </c>
      <c r="B102" s="64">
        <v>8.25</v>
      </c>
      <c r="C102" s="64">
        <v>25.06</v>
      </c>
      <c r="D102" s="64">
        <v>21.09</v>
      </c>
      <c r="E102" s="64">
        <v>2.0499999999999998</v>
      </c>
      <c r="F102" s="64">
        <v>6.36</v>
      </c>
      <c r="G102" s="64">
        <v>27.11</v>
      </c>
      <c r="H102" s="64">
        <v>11.4</v>
      </c>
      <c r="I102" s="216" t="s">
        <v>43</v>
      </c>
      <c r="J102" s="64">
        <v>0.15</v>
      </c>
      <c r="K102" s="64">
        <v>35.380000000000003</v>
      </c>
      <c r="L102" s="64">
        <v>23.89</v>
      </c>
      <c r="M102" s="64">
        <v>97.25</v>
      </c>
      <c r="N102" s="64">
        <v>45.5</v>
      </c>
      <c r="O102" s="64">
        <v>0.2</v>
      </c>
      <c r="P102" s="64">
        <v>0.45</v>
      </c>
      <c r="Q102" s="64">
        <v>17.52</v>
      </c>
      <c r="R102" s="198"/>
      <c r="S102" s="198"/>
      <c r="T102" s="198"/>
      <c r="U102" s="198"/>
    </row>
    <row r="103" spans="1:33" s="12" customFormat="1" x14ac:dyDescent="0.25">
      <c r="A103" s="215" t="s">
        <v>3131</v>
      </c>
      <c r="B103" s="64">
        <v>7.43</v>
      </c>
      <c r="C103" s="64">
        <v>23.94</v>
      </c>
      <c r="D103" s="64">
        <v>19.809999999999999</v>
      </c>
      <c r="E103" s="64">
        <v>1.95</v>
      </c>
      <c r="F103" s="64">
        <v>7.28</v>
      </c>
      <c r="G103" s="64">
        <v>27.21</v>
      </c>
      <c r="H103" s="64">
        <v>11.4</v>
      </c>
      <c r="I103" s="216" t="s">
        <v>43</v>
      </c>
      <c r="J103" s="64">
        <v>0.14000000000000001</v>
      </c>
      <c r="K103" s="64">
        <v>24.65</v>
      </c>
      <c r="L103" s="64">
        <v>23.79</v>
      </c>
      <c r="M103" s="64">
        <v>97.25</v>
      </c>
      <c r="N103" s="64">
        <v>45.5</v>
      </c>
      <c r="O103" s="64">
        <v>0</v>
      </c>
      <c r="P103" s="64">
        <v>0.37</v>
      </c>
      <c r="Q103" s="64">
        <v>19.25</v>
      </c>
      <c r="R103" s="198"/>
      <c r="S103" s="198"/>
      <c r="T103" s="198"/>
      <c r="U103" s="198"/>
    </row>
    <row r="104" spans="1:33" s="12" customFormat="1" x14ac:dyDescent="0.25">
      <c r="A104" s="215" t="s">
        <v>3132</v>
      </c>
      <c r="B104" s="64">
        <v>7.35</v>
      </c>
      <c r="C104" s="64">
        <v>22.23</v>
      </c>
      <c r="D104" s="64">
        <v>18.809999999999999</v>
      </c>
      <c r="E104" s="64">
        <v>1.51</v>
      </c>
      <c r="F104" s="64">
        <v>6.88</v>
      </c>
      <c r="G104" s="64">
        <v>27.21</v>
      </c>
      <c r="H104" s="64">
        <v>11.4</v>
      </c>
      <c r="I104" s="216" t="s">
        <v>43</v>
      </c>
      <c r="J104" s="64">
        <v>0.09</v>
      </c>
      <c r="K104" s="64">
        <v>30.96</v>
      </c>
      <c r="L104" s="64">
        <v>23.7</v>
      </c>
      <c r="M104" s="64">
        <v>97.25</v>
      </c>
      <c r="N104" s="64">
        <v>45.8</v>
      </c>
      <c r="O104" s="64">
        <v>0</v>
      </c>
      <c r="P104" s="64">
        <v>0.39</v>
      </c>
      <c r="Q104" s="64">
        <v>19.3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5.77</v>
      </c>
      <c r="C106" s="67">
        <f>MIN(C9:C104)</f>
        <v>22.23</v>
      </c>
      <c r="D106" s="67">
        <f t="shared" ref="D106:Q106" si="0">MIN(D9:D104)</f>
        <v>18.809999999999999</v>
      </c>
      <c r="E106" s="67">
        <f t="shared" si="0"/>
        <v>1.36</v>
      </c>
      <c r="F106" s="67">
        <f t="shared" si="0"/>
        <v>2.98</v>
      </c>
      <c r="G106" s="67">
        <f t="shared" si="0"/>
        <v>26.8</v>
      </c>
      <c r="H106" s="67">
        <f t="shared" si="0"/>
        <v>11.4</v>
      </c>
      <c r="I106" s="67">
        <f t="shared" si="0"/>
        <v>0</v>
      </c>
      <c r="J106" s="67">
        <f t="shared" si="0"/>
        <v>0.02</v>
      </c>
      <c r="K106" s="67">
        <f t="shared" si="0"/>
        <v>0.17</v>
      </c>
      <c r="L106" s="67">
        <f t="shared" si="0"/>
        <v>23.34</v>
      </c>
      <c r="M106" s="67">
        <f t="shared" si="0"/>
        <v>66.349999999999994</v>
      </c>
      <c r="N106" s="67">
        <f t="shared" si="0"/>
        <v>37.299999999999997</v>
      </c>
      <c r="O106" s="67">
        <f t="shared" si="0"/>
        <v>0</v>
      </c>
      <c r="P106" s="67">
        <f t="shared" si="0"/>
        <v>0.37</v>
      </c>
      <c r="Q106" s="67">
        <f t="shared" si="0"/>
        <v>14.51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21.11</v>
      </c>
      <c r="C107" s="66">
        <f t="shared" ref="C107:Q107" si="1">MAX(C9:C104)</f>
        <v>31.38</v>
      </c>
      <c r="D107" s="66">
        <f t="shared" si="1"/>
        <v>32.35</v>
      </c>
      <c r="E107" s="66">
        <f t="shared" si="1"/>
        <v>3.63</v>
      </c>
      <c r="F107" s="66">
        <f t="shared" si="1"/>
        <v>9.0500000000000007</v>
      </c>
      <c r="G107" s="66">
        <f t="shared" si="1"/>
        <v>51.34</v>
      </c>
      <c r="H107" s="66">
        <f t="shared" si="1"/>
        <v>20.68</v>
      </c>
      <c r="I107" s="66">
        <f t="shared" si="1"/>
        <v>0</v>
      </c>
      <c r="J107" s="66">
        <f t="shared" si="1"/>
        <v>0.77</v>
      </c>
      <c r="K107" s="66">
        <f t="shared" si="1"/>
        <v>359.28</v>
      </c>
      <c r="L107" s="66">
        <f t="shared" si="1"/>
        <v>29.72</v>
      </c>
      <c r="M107" s="66">
        <f t="shared" si="1"/>
        <v>97.25</v>
      </c>
      <c r="N107" s="66">
        <f t="shared" si="1"/>
        <v>690.6</v>
      </c>
      <c r="O107" s="66">
        <f t="shared" si="1"/>
        <v>0.2</v>
      </c>
      <c r="P107" s="66">
        <f t="shared" si="1"/>
        <v>1.23</v>
      </c>
      <c r="Q107" s="66">
        <f t="shared" si="1"/>
        <v>19.78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11.820937499999999</v>
      </c>
      <c r="C108" s="67">
        <f t="shared" ref="C108:Q108" si="2">AVERAGE(C9:C104)</f>
        <v>25.861770833333335</v>
      </c>
      <c r="D108" s="67">
        <f t="shared" si="2"/>
        <v>24.397916666666674</v>
      </c>
      <c r="E108" s="67">
        <f t="shared" si="2"/>
        <v>2.4103125000000012</v>
      </c>
      <c r="F108" s="67">
        <f t="shared" si="2"/>
        <v>5.0367708333333328</v>
      </c>
      <c r="G108" s="67">
        <f t="shared" si="2"/>
        <v>39.046770833333333</v>
      </c>
      <c r="H108" s="67">
        <f t="shared" si="2"/>
        <v>15.995624999999999</v>
      </c>
      <c r="I108" s="67" t="e">
        <f t="shared" si="2"/>
        <v>#DIV/0!</v>
      </c>
      <c r="J108" s="67">
        <f t="shared" si="2"/>
        <v>0.26250000000000001</v>
      </c>
      <c r="K108" s="67">
        <f t="shared" si="2"/>
        <v>93.883958333333339</v>
      </c>
      <c r="L108" s="67">
        <f t="shared" si="2"/>
        <v>25.574895833333326</v>
      </c>
      <c r="M108" s="67">
        <f t="shared" si="2"/>
        <v>86.371875000000003</v>
      </c>
      <c r="N108" s="67">
        <f t="shared" si="2"/>
        <v>177.76145833333328</v>
      </c>
      <c r="O108" s="67">
        <f t="shared" si="2"/>
        <v>1.0416666666666666E-2</v>
      </c>
      <c r="P108" s="67">
        <f t="shared" si="2"/>
        <v>0.66041666666666654</v>
      </c>
      <c r="Q108" s="67">
        <f t="shared" si="2"/>
        <v>17.087291666666665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4.684279886942126</v>
      </c>
      <c r="C109" s="67">
        <f t="shared" ref="C109:Q109" si="3">STDEV(C9:C104)</f>
        <v>1.9018223918357144</v>
      </c>
      <c r="D109" s="67">
        <f t="shared" si="3"/>
        <v>3.3398635070334519</v>
      </c>
      <c r="E109" s="67">
        <f t="shared" si="3"/>
        <v>0.42967663024528235</v>
      </c>
      <c r="F109" s="67">
        <f t="shared" si="3"/>
        <v>1.5480959407177179</v>
      </c>
      <c r="G109" s="67">
        <f t="shared" si="3"/>
        <v>7.1876951132936915</v>
      </c>
      <c r="H109" s="67">
        <f t="shared" si="3"/>
        <v>2.3406255630313662</v>
      </c>
      <c r="I109" s="67" t="e">
        <f t="shared" si="3"/>
        <v>#DIV/0!</v>
      </c>
      <c r="J109" s="67">
        <f t="shared" si="3"/>
        <v>0.16185763725213026</v>
      </c>
      <c r="K109" s="67">
        <f t="shared" si="3"/>
        <v>132.77395134096517</v>
      </c>
      <c r="L109" s="67">
        <f t="shared" si="3"/>
        <v>2.0838900843787158</v>
      </c>
      <c r="M109" s="67">
        <f t="shared" si="3"/>
        <v>10.619940560097165</v>
      </c>
      <c r="N109" s="67">
        <f t="shared" si="3"/>
        <v>189.29438803358326</v>
      </c>
      <c r="O109" s="67">
        <f t="shared" si="3"/>
        <v>4.4672296057934158E-2</v>
      </c>
      <c r="P109" s="67">
        <f t="shared" si="3"/>
        <v>0.2281593010741981</v>
      </c>
      <c r="Q109" s="67">
        <f t="shared" si="3"/>
        <v>1.2920424297796407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3133</v>
      </c>
      <c r="B9" s="64">
        <v>6.77</v>
      </c>
      <c r="C9" s="64">
        <v>20.48</v>
      </c>
      <c r="D9" s="64">
        <v>17.38</v>
      </c>
      <c r="E9" s="64">
        <v>1.79</v>
      </c>
      <c r="F9" s="64">
        <v>8.25</v>
      </c>
      <c r="G9" s="64">
        <v>27.21</v>
      </c>
      <c r="H9" s="64">
        <v>11.4</v>
      </c>
      <c r="I9" s="216" t="s">
        <v>43</v>
      </c>
      <c r="J9" s="64">
        <v>0.1</v>
      </c>
      <c r="K9" s="64">
        <v>16.28</v>
      </c>
      <c r="L9" s="64">
        <v>23.62</v>
      </c>
      <c r="M9" s="64">
        <v>96.89</v>
      </c>
      <c r="N9" s="64">
        <v>45.9</v>
      </c>
      <c r="O9" s="64">
        <v>0</v>
      </c>
      <c r="P9" s="64">
        <v>0.33</v>
      </c>
      <c r="Q9" s="64">
        <v>19.68</v>
      </c>
      <c r="R9" s="198"/>
      <c r="S9" s="198"/>
      <c r="T9" s="198"/>
      <c r="U9" s="198"/>
    </row>
    <row r="10" spans="1:21" s="12" customFormat="1" x14ac:dyDescent="0.25">
      <c r="A10" s="215" t="s">
        <v>3134</v>
      </c>
      <c r="B10" s="64">
        <v>7.32</v>
      </c>
      <c r="C10" s="64">
        <v>19.47</v>
      </c>
      <c r="D10" s="64">
        <v>17.27</v>
      </c>
      <c r="E10" s="64">
        <v>2.1</v>
      </c>
      <c r="F10" s="64">
        <v>7.5</v>
      </c>
      <c r="G10" s="64">
        <v>21.42</v>
      </c>
      <c r="H10" s="64">
        <v>12.78</v>
      </c>
      <c r="I10" s="216" t="s">
        <v>43</v>
      </c>
      <c r="J10" s="64">
        <v>0.11</v>
      </c>
      <c r="K10" s="64">
        <v>23.38</v>
      </c>
      <c r="L10" s="64">
        <v>23.61</v>
      </c>
      <c r="M10" s="64">
        <v>96.76</v>
      </c>
      <c r="N10" s="64">
        <v>46.3</v>
      </c>
      <c r="O10" s="64">
        <v>0</v>
      </c>
      <c r="P10" s="64">
        <v>0.36</v>
      </c>
      <c r="Q10" s="64">
        <v>19.53</v>
      </c>
      <c r="R10" s="198"/>
      <c r="S10" s="198"/>
      <c r="T10" s="198"/>
      <c r="U10" s="198"/>
    </row>
    <row r="11" spans="1:21" s="12" customFormat="1" x14ac:dyDescent="0.25">
      <c r="A11" s="215" t="s">
        <v>3135</v>
      </c>
      <c r="B11" s="64">
        <v>8.31</v>
      </c>
      <c r="C11" s="64">
        <v>23.75</v>
      </c>
      <c r="D11" s="64">
        <v>20.420000000000002</v>
      </c>
      <c r="E11" s="64">
        <v>2.11</v>
      </c>
      <c r="F11" s="64">
        <v>4.5599999999999996</v>
      </c>
      <c r="G11" s="64">
        <v>19.66</v>
      </c>
      <c r="H11" s="64">
        <v>12.78</v>
      </c>
      <c r="I11" s="216" t="s">
        <v>43</v>
      </c>
      <c r="J11" s="64">
        <v>0.09</v>
      </c>
      <c r="K11" s="64">
        <v>50.63</v>
      </c>
      <c r="L11" s="64">
        <v>23.65</v>
      </c>
      <c r="M11" s="64">
        <v>96.75</v>
      </c>
      <c r="N11" s="64">
        <v>46.5</v>
      </c>
      <c r="O11" s="64">
        <v>0</v>
      </c>
      <c r="P11" s="64">
        <v>0.35</v>
      </c>
      <c r="Q11" s="64">
        <v>19.34</v>
      </c>
      <c r="R11" s="198"/>
      <c r="S11" s="198"/>
      <c r="T11" s="198"/>
      <c r="U11" s="198"/>
    </row>
    <row r="12" spans="1:21" s="12" customFormat="1" x14ac:dyDescent="0.25">
      <c r="A12" s="215" t="s">
        <v>3136</v>
      </c>
      <c r="B12" s="64">
        <v>8.57</v>
      </c>
      <c r="C12" s="64">
        <v>23.23</v>
      </c>
      <c r="D12" s="64">
        <v>20.34</v>
      </c>
      <c r="E12" s="64">
        <v>2.21</v>
      </c>
      <c r="F12" s="64">
        <v>5.4</v>
      </c>
      <c r="G12" s="64">
        <v>19.66</v>
      </c>
      <c r="H12" s="64">
        <v>12.78</v>
      </c>
      <c r="I12" s="216" t="s">
        <v>43</v>
      </c>
      <c r="J12" s="64">
        <v>0.18</v>
      </c>
      <c r="K12" s="64">
        <v>21.09</v>
      </c>
      <c r="L12" s="64">
        <v>23.52</v>
      </c>
      <c r="M12" s="64">
        <v>97.21</v>
      </c>
      <c r="N12" s="64">
        <v>46.6</v>
      </c>
      <c r="O12" s="64">
        <v>0</v>
      </c>
      <c r="P12" s="64">
        <v>0.35</v>
      </c>
      <c r="Q12" s="64">
        <v>17.97</v>
      </c>
      <c r="R12" s="198"/>
      <c r="S12" s="198"/>
      <c r="T12" s="198"/>
      <c r="U12" s="198"/>
    </row>
    <row r="13" spans="1:21" s="12" customFormat="1" x14ac:dyDescent="0.25">
      <c r="A13" s="215" t="s">
        <v>3137</v>
      </c>
      <c r="B13" s="64">
        <v>8.4499999999999993</v>
      </c>
      <c r="C13" s="64">
        <v>24.17</v>
      </c>
      <c r="D13" s="64">
        <v>20.76</v>
      </c>
      <c r="E13" s="64">
        <v>1.43</v>
      </c>
      <c r="F13" s="64">
        <v>4.3499999999999996</v>
      </c>
      <c r="G13" s="64">
        <v>19.66</v>
      </c>
      <c r="H13" s="64">
        <v>12.78</v>
      </c>
      <c r="I13" s="216" t="s">
        <v>43</v>
      </c>
      <c r="J13" s="64">
        <v>0.19</v>
      </c>
      <c r="K13" s="64">
        <v>40.909999999999997</v>
      </c>
      <c r="L13" s="64">
        <v>23.52</v>
      </c>
      <c r="M13" s="64">
        <v>96.74</v>
      </c>
      <c r="N13" s="64">
        <v>46.3</v>
      </c>
      <c r="O13" s="64">
        <v>0</v>
      </c>
      <c r="P13" s="64">
        <v>0.31</v>
      </c>
      <c r="Q13" s="64">
        <v>17.489999999999998</v>
      </c>
      <c r="R13" s="198"/>
      <c r="S13" s="198"/>
      <c r="T13" s="198"/>
      <c r="U13" s="198"/>
    </row>
    <row r="14" spans="1:21" s="12" customFormat="1" x14ac:dyDescent="0.25">
      <c r="A14" s="215" t="s">
        <v>3138</v>
      </c>
      <c r="B14" s="64">
        <v>8.0500000000000007</v>
      </c>
      <c r="C14" s="64">
        <v>24.35</v>
      </c>
      <c r="D14" s="64">
        <v>20.54</v>
      </c>
      <c r="E14" s="64">
        <v>1.85</v>
      </c>
      <c r="F14" s="64">
        <v>4.33</v>
      </c>
      <c r="G14" s="64">
        <v>17.87</v>
      </c>
      <c r="H14" s="64">
        <v>10.02</v>
      </c>
      <c r="I14" s="216" t="s">
        <v>43</v>
      </c>
      <c r="J14" s="64">
        <v>0.2</v>
      </c>
      <c r="K14" s="64">
        <v>35.020000000000003</v>
      </c>
      <c r="L14" s="64">
        <v>23.5</v>
      </c>
      <c r="M14" s="64">
        <v>96.75</v>
      </c>
      <c r="N14" s="64">
        <v>46.3</v>
      </c>
      <c r="O14" s="64">
        <v>0</v>
      </c>
      <c r="P14" s="64">
        <v>0.32</v>
      </c>
      <c r="Q14" s="64">
        <v>17.05</v>
      </c>
      <c r="R14" s="198"/>
      <c r="S14" s="198"/>
      <c r="T14" s="198"/>
      <c r="U14" s="198"/>
    </row>
    <row r="15" spans="1:21" s="12" customFormat="1" x14ac:dyDescent="0.25">
      <c r="A15" s="215" t="s">
        <v>3139</v>
      </c>
      <c r="B15" s="64">
        <v>7.61</v>
      </c>
      <c r="C15" s="64">
        <v>25.04</v>
      </c>
      <c r="D15" s="64">
        <v>20.57</v>
      </c>
      <c r="E15" s="64">
        <v>1.85</v>
      </c>
      <c r="F15" s="64">
        <v>4.0199999999999996</v>
      </c>
      <c r="G15" s="64">
        <v>17.29</v>
      </c>
      <c r="H15" s="64">
        <v>9.73</v>
      </c>
      <c r="I15" s="216" t="s">
        <v>43</v>
      </c>
      <c r="J15" s="64">
        <v>0.22</v>
      </c>
      <c r="K15" s="64">
        <v>42</v>
      </c>
      <c r="L15" s="64">
        <v>23.55</v>
      </c>
      <c r="M15" s="64">
        <v>96.76</v>
      </c>
      <c r="N15" s="64">
        <v>46.2</v>
      </c>
      <c r="O15" s="64">
        <v>0</v>
      </c>
      <c r="P15" s="64">
        <v>0.3</v>
      </c>
      <c r="Q15" s="64">
        <v>17.04</v>
      </c>
      <c r="R15" s="198"/>
      <c r="S15" s="198"/>
      <c r="T15" s="198"/>
      <c r="U15" s="198"/>
    </row>
    <row r="16" spans="1:21" s="12" customFormat="1" x14ac:dyDescent="0.25">
      <c r="A16" s="215" t="s">
        <v>3140</v>
      </c>
      <c r="B16" s="64">
        <v>7.05</v>
      </c>
      <c r="C16" s="64">
        <v>25.46</v>
      </c>
      <c r="D16" s="64">
        <v>20.36</v>
      </c>
      <c r="E16" s="64">
        <v>1.8</v>
      </c>
      <c r="F16" s="64">
        <v>3.83</v>
      </c>
      <c r="G16" s="64">
        <v>17.29</v>
      </c>
      <c r="H16" s="64">
        <v>9.73</v>
      </c>
      <c r="I16" s="216" t="s">
        <v>43</v>
      </c>
      <c r="J16" s="64">
        <v>0.27</v>
      </c>
      <c r="K16" s="64">
        <v>37.479999999999997</v>
      </c>
      <c r="L16" s="64">
        <v>23.43</v>
      </c>
      <c r="M16" s="64">
        <v>97.23</v>
      </c>
      <c r="N16" s="64">
        <v>46.2</v>
      </c>
      <c r="O16" s="64">
        <v>0</v>
      </c>
      <c r="P16" s="64">
        <v>0.28000000000000003</v>
      </c>
      <c r="Q16" s="64">
        <v>17.02</v>
      </c>
      <c r="R16" s="198"/>
      <c r="S16" s="198"/>
      <c r="T16" s="198"/>
      <c r="U16" s="198"/>
    </row>
    <row r="17" spans="1:21" s="12" customFormat="1" x14ac:dyDescent="0.25">
      <c r="A17" s="215" t="s">
        <v>3141</v>
      </c>
      <c r="B17" s="64">
        <v>6.68</v>
      </c>
      <c r="C17" s="64">
        <v>25.09</v>
      </c>
      <c r="D17" s="64">
        <v>19.850000000000001</v>
      </c>
      <c r="E17" s="64">
        <v>1.83</v>
      </c>
      <c r="F17" s="64">
        <v>3.98</v>
      </c>
      <c r="G17" s="64">
        <v>17.29</v>
      </c>
      <c r="H17" s="64">
        <v>9.73</v>
      </c>
      <c r="I17" s="216" t="s">
        <v>43</v>
      </c>
      <c r="J17" s="64">
        <v>0.2</v>
      </c>
      <c r="K17" s="64">
        <v>30.39</v>
      </c>
      <c r="L17" s="64">
        <v>23.37</v>
      </c>
      <c r="M17" s="64">
        <v>96.78</v>
      </c>
      <c r="N17" s="64">
        <v>46.2</v>
      </c>
      <c r="O17" s="64">
        <v>0</v>
      </c>
      <c r="P17" s="64">
        <v>0.28000000000000003</v>
      </c>
      <c r="Q17" s="64">
        <v>16.59</v>
      </c>
      <c r="R17" s="198"/>
      <c r="S17" s="198"/>
      <c r="T17" s="198"/>
      <c r="U17" s="198"/>
    </row>
    <row r="18" spans="1:21" s="12" customFormat="1" x14ac:dyDescent="0.25">
      <c r="A18" s="215" t="s">
        <v>3142</v>
      </c>
      <c r="B18" s="64">
        <v>6.09</v>
      </c>
      <c r="C18" s="64">
        <v>25.47</v>
      </c>
      <c r="D18" s="64">
        <v>19.59</v>
      </c>
      <c r="E18" s="64">
        <v>1.66</v>
      </c>
      <c r="F18" s="64">
        <v>5.36</v>
      </c>
      <c r="G18" s="64">
        <v>14.33</v>
      </c>
      <c r="H18" s="64">
        <v>7.53</v>
      </c>
      <c r="I18" s="216" t="s">
        <v>43</v>
      </c>
      <c r="J18" s="64">
        <v>0.19</v>
      </c>
      <c r="K18" s="64">
        <v>37.51</v>
      </c>
      <c r="L18" s="64">
        <v>23.35</v>
      </c>
      <c r="M18" s="64">
        <v>96.76</v>
      </c>
      <c r="N18" s="64">
        <v>46.1</v>
      </c>
      <c r="O18" s="64">
        <v>0</v>
      </c>
      <c r="P18" s="64">
        <v>0.26</v>
      </c>
      <c r="Q18" s="64">
        <v>17.829999999999998</v>
      </c>
      <c r="R18" s="198"/>
      <c r="S18" s="198"/>
      <c r="T18" s="198"/>
      <c r="U18" s="198"/>
    </row>
    <row r="19" spans="1:21" s="12" customFormat="1" x14ac:dyDescent="0.25">
      <c r="A19" s="215" t="s">
        <v>3143</v>
      </c>
      <c r="B19" s="64">
        <v>6.08</v>
      </c>
      <c r="C19" s="64">
        <v>24.85</v>
      </c>
      <c r="D19" s="64">
        <v>19.23</v>
      </c>
      <c r="E19" s="64">
        <v>2.0699999999999998</v>
      </c>
      <c r="F19" s="64">
        <v>5.48</v>
      </c>
      <c r="G19" s="64">
        <v>13.37</v>
      </c>
      <c r="H19" s="64">
        <v>7.53</v>
      </c>
      <c r="I19" s="216" t="s">
        <v>43</v>
      </c>
      <c r="J19" s="64">
        <v>0.23</v>
      </c>
      <c r="K19" s="64">
        <v>45.68</v>
      </c>
      <c r="L19" s="64">
        <v>23.49</v>
      </c>
      <c r="M19" s="64">
        <v>96.76</v>
      </c>
      <c r="N19" s="64">
        <v>46</v>
      </c>
      <c r="O19" s="64">
        <v>0</v>
      </c>
      <c r="P19" s="64">
        <v>0.26</v>
      </c>
      <c r="Q19" s="64">
        <v>18.46</v>
      </c>
      <c r="R19" s="198"/>
      <c r="S19" s="198"/>
      <c r="T19" s="198"/>
      <c r="U19" s="198"/>
    </row>
    <row r="20" spans="1:21" s="12" customFormat="1" x14ac:dyDescent="0.25">
      <c r="A20" s="215" t="s">
        <v>3144</v>
      </c>
      <c r="B20" s="64">
        <v>5.87</v>
      </c>
      <c r="C20" s="64">
        <v>24.46</v>
      </c>
      <c r="D20" s="64">
        <v>18.850000000000001</v>
      </c>
      <c r="E20" s="64">
        <v>1.93</v>
      </c>
      <c r="F20" s="64">
        <v>4.6100000000000003</v>
      </c>
      <c r="G20" s="64">
        <v>13.37</v>
      </c>
      <c r="H20" s="64">
        <v>7.53</v>
      </c>
      <c r="I20" s="216" t="s">
        <v>43</v>
      </c>
      <c r="J20" s="64">
        <v>0.21</v>
      </c>
      <c r="K20" s="64">
        <v>17.809999999999999</v>
      </c>
      <c r="L20" s="64">
        <v>23.46</v>
      </c>
      <c r="M20" s="64">
        <v>97.2</v>
      </c>
      <c r="N20" s="64">
        <v>46</v>
      </c>
      <c r="O20" s="64">
        <v>0</v>
      </c>
      <c r="P20" s="64">
        <v>0.3</v>
      </c>
      <c r="Q20" s="64">
        <v>18.73</v>
      </c>
      <c r="R20" s="198"/>
      <c r="S20" s="198"/>
      <c r="T20" s="198"/>
      <c r="U20" s="198"/>
    </row>
    <row r="21" spans="1:21" s="12" customFormat="1" x14ac:dyDescent="0.25">
      <c r="A21" s="215" t="s">
        <v>3145</v>
      </c>
      <c r="B21" s="64">
        <v>5.98</v>
      </c>
      <c r="C21" s="64">
        <v>24.92</v>
      </c>
      <c r="D21" s="64">
        <v>19.190000000000001</v>
      </c>
      <c r="E21" s="64">
        <v>2.13</v>
      </c>
      <c r="F21" s="64">
        <v>5.27</v>
      </c>
      <c r="G21" s="64">
        <v>13.37</v>
      </c>
      <c r="H21" s="64">
        <v>7.53</v>
      </c>
      <c r="I21" s="216" t="s">
        <v>43</v>
      </c>
      <c r="J21" s="64">
        <v>0.24</v>
      </c>
      <c r="K21" s="64">
        <v>23.17</v>
      </c>
      <c r="L21" s="64">
        <v>23.62</v>
      </c>
      <c r="M21" s="64">
        <v>96.57</v>
      </c>
      <c r="N21" s="64">
        <v>46.1</v>
      </c>
      <c r="O21" s="64">
        <v>0</v>
      </c>
      <c r="P21" s="64">
        <v>0.34</v>
      </c>
      <c r="Q21" s="64">
        <v>18.75</v>
      </c>
      <c r="R21" s="198"/>
      <c r="S21" s="198"/>
      <c r="T21" s="198"/>
      <c r="U21" s="198"/>
    </row>
    <row r="22" spans="1:21" s="12" customFormat="1" x14ac:dyDescent="0.25">
      <c r="A22" s="215" t="s">
        <v>3146</v>
      </c>
      <c r="B22" s="64">
        <v>6.33</v>
      </c>
      <c r="C22" s="64">
        <v>25.19</v>
      </c>
      <c r="D22" s="64">
        <v>19.62</v>
      </c>
      <c r="E22" s="64">
        <v>2.0699999999999998</v>
      </c>
      <c r="F22" s="64">
        <v>3.99</v>
      </c>
      <c r="G22" s="64">
        <v>17.239999999999998</v>
      </c>
      <c r="H22" s="64">
        <v>10.28</v>
      </c>
      <c r="I22" s="216" t="s">
        <v>43</v>
      </c>
      <c r="J22" s="64">
        <v>0.2</v>
      </c>
      <c r="K22" s="64">
        <v>33.11</v>
      </c>
      <c r="L22" s="64">
        <v>23.54</v>
      </c>
      <c r="M22" s="64">
        <v>96.74</v>
      </c>
      <c r="N22" s="64">
        <v>46.1</v>
      </c>
      <c r="O22" s="64">
        <v>0</v>
      </c>
      <c r="P22" s="64">
        <v>0.35</v>
      </c>
      <c r="Q22" s="64">
        <v>18.760000000000002</v>
      </c>
      <c r="R22" s="198"/>
      <c r="S22" s="198"/>
      <c r="T22" s="198"/>
      <c r="U22" s="198"/>
    </row>
    <row r="23" spans="1:21" s="12" customFormat="1" x14ac:dyDescent="0.25">
      <c r="A23" s="215" t="s">
        <v>3147</v>
      </c>
      <c r="B23" s="64">
        <v>7.24</v>
      </c>
      <c r="C23" s="64">
        <v>26.73</v>
      </c>
      <c r="D23" s="64">
        <v>21.2</v>
      </c>
      <c r="E23" s="64">
        <v>2.6</v>
      </c>
      <c r="F23" s="64">
        <v>3.01</v>
      </c>
      <c r="G23" s="64">
        <v>18.489999999999998</v>
      </c>
      <c r="H23" s="64">
        <v>10.28</v>
      </c>
      <c r="I23" s="216" t="s">
        <v>43</v>
      </c>
      <c r="J23" s="64">
        <v>0.26</v>
      </c>
      <c r="K23" s="64">
        <v>11.76</v>
      </c>
      <c r="L23" s="64">
        <v>23.61</v>
      </c>
      <c r="M23" s="64">
        <v>96.67</v>
      </c>
      <c r="N23" s="64">
        <v>46.3</v>
      </c>
      <c r="O23" s="64">
        <v>0</v>
      </c>
      <c r="P23" s="64">
        <v>0.34</v>
      </c>
      <c r="Q23" s="64">
        <v>18.07</v>
      </c>
      <c r="R23" s="198"/>
      <c r="S23" s="198"/>
      <c r="T23" s="198"/>
      <c r="U23" s="198"/>
    </row>
    <row r="24" spans="1:21" s="12" customFormat="1" x14ac:dyDescent="0.25">
      <c r="A24" s="215" t="s">
        <v>3148</v>
      </c>
      <c r="B24" s="64">
        <v>7.53</v>
      </c>
      <c r="C24" s="64">
        <v>25.68</v>
      </c>
      <c r="D24" s="64">
        <v>20.86</v>
      </c>
      <c r="E24" s="64">
        <v>2.3199999999999998</v>
      </c>
      <c r="F24" s="64">
        <v>3.7</v>
      </c>
      <c r="G24" s="64">
        <v>18.489999999999998</v>
      </c>
      <c r="H24" s="64">
        <v>10.28</v>
      </c>
      <c r="I24" s="216" t="s">
        <v>43</v>
      </c>
      <c r="J24" s="64">
        <v>0.35</v>
      </c>
      <c r="K24" s="64">
        <v>22.88</v>
      </c>
      <c r="L24" s="64">
        <v>23.52</v>
      </c>
      <c r="M24" s="64">
        <v>97.04</v>
      </c>
      <c r="N24" s="64">
        <v>46.2</v>
      </c>
      <c r="O24" s="64">
        <v>0</v>
      </c>
      <c r="P24" s="64">
        <v>0.36</v>
      </c>
      <c r="Q24" s="64">
        <v>17.03</v>
      </c>
      <c r="R24" s="198"/>
      <c r="S24" s="198"/>
      <c r="T24" s="198"/>
      <c r="U24" s="198"/>
    </row>
    <row r="25" spans="1:21" s="12" customFormat="1" x14ac:dyDescent="0.25">
      <c r="A25" s="215" t="s">
        <v>3149</v>
      </c>
      <c r="B25" s="64">
        <v>7.33</v>
      </c>
      <c r="C25" s="64">
        <v>25.9</v>
      </c>
      <c r="D25" s="64">
        <v>20.82</v>
      </c>
      <c r="E25" s="64">
        <v>2.88</v>
      </c>
      <c r="F25" s="64">
        <v>3.5</v>
      </c>
      <c r="G25" s="64">
        <v>18.489999999999998</v>
      </c>
      <c r="H25" s="64">
        <v>10.28</v>
      </c>
      <c r="I25" s="216" t="s">
        <v>43</v>
      </c>
      <c r="J25" s="64">
        <v>0.32</v>
      </c>
      <c r="K25" s="64">
        <v>21.38</v>
      </c>
      <c r="L25" s="64">
        <v>23.51</v>
      </c>
      <c r="M25" s="64">
        <v>96.61</v>
      </c>
      <c r="N25" s="64">
        <v>46.2</v>
      </c>
      <c r="O25" s="64">
        <v>0</v>
      </c>
      <c r="P25" s="64">
        <v>0.34</v>
      </c>
      <c r="Q25" s="64">
        <v>16.66</v>
      </c>
      <c r="R25" s="198"/>
      <c r="S25" s="198"/>
      <c r="T25" s="198"/>
      <c r="U25" s="198"/>
    </row>
    <row r="26" spans="1:21" s="12" customFormat="1" x14ac:dyDescent="0.25">
      <c r="A26" s="215" t="s">
        <v>3150</v>
      </c>
      <c r="B26" s="64">
        <v>7.55</v>
      </c>
      <c r="C26" s="64">
        <v>25.95</v>
      </c>
      <c r="D26" s="64">
        <v>21.02</v>
      </c>
      <c r="E26" s="64">
        <v>3.02</v>
      </c>
      <c r="F26" s="64">
        <v>3.32</v>
      </c>
      <c r="G26" s="64">
        <v>20.12</v>
      </c>
      <c r="H26" s="64">
        <v>9.68</v>
      </c>
      <c r="I26" s="216" t="s">
        <v>43</v>
      </c>
      <c r="J26" s="64">
        <v>0.3</v>
      </c>
      <c r="K26" s="64">
        <v>11.08</v>
      </c>
      <c r="L26" s="64">
        <v>23.5</v>
      </c>
      <c r="M26" s="64">
        <v>96.54</v>
      </c>
      <c r="N26" s="64">
        <v>46.2</v>
      </c>
      <c r="O26" s="64">
        <v>0</v>
      </c>
      <c r="P26" s="64">
        <v>0.33</v>
      </c>
      <c r="Q26" s="64">
        <v>16.510000000000002</v>
      </c>
      <c r="R26" s="198"/>
      <c r="S26" s="198"/>
      <c r="T26" s="198"/>
      <c r="U26" s="198"/>
    </row>
    <row r="27" spans="1:21" s="12" customFormat="1" x14ac:dyDescent="0.25">
      <c r="A27" s="215" t="s">
        <v>3151</v>
      </c>
      <c r="B27" s="64">
        <v>8.61</v>
      </c>
      <c r="C27" s="64">
        <v>25.85</v>
      </c>
      <c r="D27" s="64">
        <v>21.81</v>
      </c>
      <c r="E27" s="64">
        <v>2.78</v>
      </c>
      <c r="F27" s="64">
        <v>3.69</v>
      </c>
      <c r="G27" s="64">
        <v>20.65</v>
      </c>
      <c r="H27" s="64">
        <v>9.68</v>
      </c>
      <c r="I27" s="216" t="s">
        <v>43</v>
      </c>
      <c r="J27" s="64">
        <v>0.28000000000000003</v>
      </c>
      <c r="K27" s="64">
        <v>27.7</v>
      </c>
      <c r="L27" s="64">
        <v>23.56</v>
      </c>
      <c r="M27" s="64">
        <v>97.18</v>
      </c>
      <c r="N27" s="64">
        <v>46.1</v>
      </c>
      <c r="O27" s="64">
        <v>0</v>
      </c>
      <c r="P27" s="64">
        <v>0.34</v>
      </c>
      <c r="Q27" s="64">
        <v>16.21</v>
      </c>
      <c r="R27" s="198"/>
      <c r="S27" s="198"/>
      <c r="T27" s="198"/>
      <c r="U27" s="198"/>
    </row>
    <row r="28" spans="1:21" s="12" customFormat="1" x14ac:dyDescent="0.25">
      <c r="A28" s="215" t="s">
        <v>3152</v>
      </c>
      <c r="B28" s="64">
        <v>9.2799999999999994</v>
      </c>
      <c r="C28" s="64">
        <v>26.13</v>
      </c>
      <c r="D28" s="64">
        <v>22.51</v>
      </c>
      <c r="E28" s="64">
        <v>2.62</v>
      </c>
      <c r="F28" s="64">
        <v>3.37</v>
      </c>
      <c r="G28" s="64">
        <v>20.65</v>
      </c>
      <c r="H28" s="64">
        <v>9.68</v>
      </c>
      <c r="I28" s="216" t="s">
        <v>43</v>
      </c>
      <c r="J28" s="64">
        <v>0.27</v>
      </c>
      <c r="K28" s="64">
        <v>15.85</v>
      </c>
      <c r="L28" s="64">
        <v>23.58</v>
      </c>
      <c r="M28" s="64">
        <v>97.16</v>
      </c>
      <c r="N28" s="64">
        <v>46.1</v>
      </c>
      <c r="O28" s="64">
        <v>0</v>
      </c>
      <c r="P28" s="64">
        <v>0.33</v>
      </c>
      <c r="Q28" s="64">
        <v>16.37</v>
      </c>
      <c r="R28" s="198"/>
      <c r="S28" s="198"/>
      <c r="T28" s="198"/>
      <c r="U28" s="198"/>
    </row>
    <row r="29" spans="1:21" s="12" customFormat="1" x14ac:dyDescent="0.25">
      <c r="A29" s="215" t="s">
        <v>3153</v>
      </c>
      <c r="B29" s="64">
        <v>9.3000000000000007</v>
      </c>
      <c r="C29" s="64">
        <v>26.19</v>
      </c>
      <c r="D29" s="64">
        <v>22.56</v>
      </c>
      <c r="E29" s="64">
        <v>2.9</v>
      </c>
      <c r="F29" s="64">
        <v>3.31</v>
      </c>
      <c r="G29" s="64">
        <v>20.65</v>
      </c>
      <c r="H29" s="64">
        <v>9.68</v>
      </c>
      <c r="I29" s="216" t="s">
        <v>43</v>
      </c>
      <c r="J29" s="64">
        <v>0.22</v>
      </c>
      <c r="K29" s="64">
        <v>33.770000000000003</v>
      </c>
      <c r="L29" s="64">
        <v>23.54</v>
      </c>
      <c r="M29" s="64">
        <v>97.23</v>
      </c>
      <c r="N29" s="64">
        <v>46.1</v>
      </c>
      <c r="O29" s="64">
        <v>0</v>
      </c>
      <c r="P29" s="64">
        <v>0.32</v>
      </c>
      <c r="Q29" s="64">
        <v>16.47</v>
      </c>
      <c r="R29" s="198"/>
      <c r="S29" s="198"/>
      <c r="T29" s="198"/>
      <c r="U29" s="198"/>
    </row>
    <row r="30" spans="1:21" s="12" customFormat="1" x14ac:dyDescent="0.25">
      <c r="A30" s="215" t="s">
        <v>3154</v>
      </c>
      <c r="B30" s="64">
        <v>9.34</v>
      </c>
      <c r="C30" s="64">
        <v>26.19</v>
      </c>
      <c r="D30" s="64">
        <v>22.59</v>
      </c>
      <c r="E30" s="64">
        <v>2.8</v>
      </c>
      <c r="F30" s="64">
        <v>3.98</v>
      </c>
      <c r="G30" s="64">
        <v>20.51</v>
      </c>
      <c r="H30" s="64">
        <v>12.59</v>
      </c>
      <c r="I30" s="216" t="s">
        <v>43</v>
      </c>
      <c r="J30" s="64">
        <v>0.24</v>
      </c>
      <c r="K30" s="64">
        <v>29.92</v>
      </c>
      <c r="L30" s="64">
        <v>23.57</v>
      </c>
      <c r="M30" s="64">
        <v>97.2</v>
      </c>
      <c r="N30" s="64">
        <v>46.7</v>
      </c>
      <c r="O30" s="64">
        <v>0</v>
      </c>
      <c r="P30" s="64">
        <v>0.3</v>
      </c>
      <c r="Q30" s="64">
        <v>17.11</v>
      </c>
      <c r="R30" s="198"/>
      <c r="S30" s="198"/>
      <c r="T30" s="198"/>
      <c r="U30" s="198"/>
    </row>
    <row r="31" spans="1:21" s="12" customFormat="1" x14ac:dyDescent="0.25">
      <c r="A31" s="215" t="s">
        <v>3155</v>
      </c>
      <c r="B31" s="64">
        <v>11.7</v>
      </c>
      <c r="C31" s="64">
        <v>25.57</v>
      </c>
      <c r="D31" s="64">
        <v>24.14</v>
      </c>
      <c r="E31" s="64">
        <v>2.68</v>
      </c>
      <c r="F31" s="64">
        <v>3.69</v>
      </c>
      <c r="G31" s="64">
        <v>20.47</v>
      </c>
      <c r="H31" s="64">
        <v>12.59</v>
      </c>
      <c r="I31" s="216" t="s">
        <v>43</v>
      </c>
      <c r="J31" s="64">
        <v>0.05</v>
      </c>
      <c r="K31" s="64">
        <v>9.5299999999999994</v>
      </c>
      <c r="L31" s="64">
        <v>23.46</v>
      </c>
      <c r="M31" s="64">
        <v>97.25</v>
      </c>
      <c r="N31" s="64">
        <v>52.8</v>
      </c>
      <c r="O31" s="64">
        <v>0</v>
      </c>
      <c r="P31" s="64">
        <v>0.54</v>
      </c>
      <c r="Q31" s="64">
        <v>17.71</v>
      </c>
      <c r="R31" s="198"/>
      <c r="S31" s="198"/>
      <c r="T31" s="198"/>
      <c r="U31" s="198"/>
    </row>
    <row r="32" spans="1:21" s="12" customFormat="1" x14ac:dyDescent="0.25">
      <c r="A32" s="215" t="s">
        <v>3156</v>
      </c>
      <c r="B32" s="64">
        <v>12.3</v>
      </c>
      <c r="C32" s="64">
        <v>26.27</v>
      </c>
      <c r="D32" s="64">
        <v>25.01</v>
      </c>
      <c r="E32" s="64">
        <v>2.92</v>
      </c>
      <c r="F32" s="64">
        <v>3.55</v>
      </c>
      <c r="G32" s="64">
        <v>20.47</v>
      </c>
      <c r="H32" s="64">
        <v>12.59</v>
      </c>
      <c r="I32" s="216" t="s">
        <v>43</v>
      </c>
      <c r="J32" s="64">
        <v>0.15</v>
      </c>
      <c r="K32" s="64">
        <v>28.05</v>
      </c>
      <c r="L32" s="64">
        <v>23.43</v>
      </c>
      <c r="M32" s="64">
        <v>97.25</v>
      </c>
      <c r="N32" s="64">
        <v>59.1</v>
      </c>
      <c r="O32" s="64">
        <v>0</v>
      </c>
      <c r="P32" s="64">
        <v>0.56000000000000005</v>
      </c>
      <c r="Q32" s="64">
        <v>18.07</v>
      </c>
      <c r="R32" s="198"/>
      <c r="S32" s="198"/>
      <c r="T32" s="198"/>
      <c r="U32" s="198"/>
    </row>
    <row r="33" spans="1:21" s="12" customFormat="1" x14ac:dyDescent="0.25">
      <c r="A33" s="215" t="s">
        <v>3157</v>
      </c>
      <c r="B33" s="64">
        <v>13.46</v>
      </c>
      <c r="C33" s="64">
        <v>24.93</v>
      </c>
      <c r="D33" s="64">
        <v>25.2</v>
      </c>
      <c r="E33" s="64">
        <v>2.89</v>
      </c>
      <c r="F33" s="64">
        <v>3.78</v>
      </c>
      <c r="G33" s="64">
        <v>20.47</v>
      </c>
      <c r="H33" s="64">
        <v>12.59</v>
      </c>
      <c r="I33" s="216" t="s">
        <v>43</v>
      </c>
      <c r="J33" s="64">
        <v>0.21</v>
      </c>
      <c r="K33" s="64">
        <v>17.16</v>
      </c>
      <c r="L33" s="64">
        <v>23.55</v>
      </c>
      <c r="M33" s="64">
        <v>97.25</v>
      </c>
      <c r="N33" s="64">
        <v>61.5</v>
      </c>
      <c r="O33" s="64">
        <v>0</v>
      </c>
      <c r="P33" s="64">
        <v>0.47</v>
      </c>
      <c r="Q33" s="64">
        <v>18.22</v>
      </c>
      <c r="R33" s="198"/>
      <c r="S33" s="198"/>
      <c r="T33" s="198"/>
      <c r="U33" s="198"/>
    </row>
    <row r="34" spans="1:21" s="12" customFormat="1" x14ac:dyDescent="0.25">
      <c r="A34" s="215" t="s">
        <v>3158</v>
      </c>
      <c r="B34" s="64">
        <v>12.94</v>
      </c>
      <c r="C34" s="64">
        <v>24.41</v>
      </c>
      <c r="D34" s="64">
        <v>24.49</v>
      </c>
      <c r="E34" s="64">
        <v>3.06</v>
      </c>
      <c r="F34" s="64">
        <v>3.88</v>
      </c>
      <c r="G34" s="64">
        <v>22.56</v>
      </c>
      <c r="H34" s="64">
        <v>14.65</v>
      </c>
      <c r="I34" s="216" t="s">
        <v>43</v>
      </c>
      <c r="J34" s="64">
        <v>0.18</v>
      </c>
      <c r="K34" s="64">
        <v>25.57</v>
      </c>
      <c r="L34" s="64">
        <v>23.66</v>
      </c>
      <c r="M34" s="64">
        <v>97.25</v>
      </c>
      <c r="N34" s="64">
        <v>71.5</v>
      </c>
      <c r="O34" s="64">
        <v>0</v>
      </c>
      <c r="P34" s="64">
        <v>0.49</v>
      </c>
      <c r="Q34" s="64">
        <v>18.7</v>
      </c>
      <c r="R34" s="198"/>
      <c r="S34" s="198"/>
      <c r="T34" s="198"/>
      <c r="U34" s="198"/>
    </row>
    <row r="35" spans="1:21" s="12" customFormat="1" x14ac:dyDescent="0.25">
      <c r="A35" s="215" t="s">
        <v>3159</v>
      </c>
      <c r="B35" s="64">
        <v>14.56</v>
      </c>
      <c r="C35" s="64">
        <v>24.46</v>
      </c>
      <c r="D35" s="64">
        <v>25.82</v>
      </c>
      <c r="E35" s="64">
        <v>2.83</v>
      </c>
      <c r="F35" s="64">
        <v>3.58</v>
      </c>
      <c r="G35" s="64">
        <v>23.23</v>
      </c>
      <c r="H35" s="64">
        <v>14.65</v>
      </c>
      <c r="I35" s="216" t="s">
        <v>43</v>
      </c>
      <c r="J35" s="64">
        <v>0.2</v>
      </c>
      <c r="K35" s="64">
        <v>16.28</v>
      </c>
      <c r="L35" s="64">
        <v>23.76</v>
      </c>
      <c r="M35" s="64">
        <v>97.23</v>
      </c>
      <c r="N35" s="64">
        <v>83.5</v>
      </c>
      <c r="O35" s="64">
        <v>0</v>
      </c>
      <c r="P35" s="64">
        <v>0.44</v>
      </c>
      <c r="Q35" s="64">
        <v>17.8</v>
      </c>
      <c r="R35" s="198"/>
      <c r="S35" s="198"/>
      <c r="T35" s="198"/>
      <c r="U35" s="198"/>
    </row>
    <row r="36" spans="1:21" s="12" customFormat="1" x14ac:dyDescent="0.25">
      <c r="A36" s="215" t="s">
        <v>3160</v>
      </c>
      <c r="B36" s="64">
        <v>16</v>
      </c>
      <c r="C36" s="64">
        <v>23.66</v>
      </c>
      <c r="D36" s="64">
        <v>26.53</v>
      </c>
      <c r="E36" s="64">
        <v>3.07</v>
      </c>
      <c r="F36" s="64">
        <v>3.69</v>
      </c>
      <c r="G36" s="64">
        <v>23.23</v>
      </c>
      <c r="H36" s="64">
        <v>14.65</v>
      </c>
      <c r="I36" s="216" t="s">
        <v>43</v>
      </c>
      <c r="J36" s="64">
        <v>0.2</v>
      </c>
      <c r="K36" s="64">
        <v>26.91</v>
      </c>
      <c r="L36" s="64">
        <v>23.75</v>
      </c>
      <c r="M36" s="64">
        <v>97.23</v>
      </c>
      <c r="N36" s="64">
        <v>92.2</v>
      </c>
      <c r="O36" s="64">
        <v>0</v>
      </c>
      <c r="P36" s="64">
        <v>0.49</v>
      </c>
      <c r="Q36" s="64">
        <v>17.25</v>
      </c>
      <c r="R36" s="198"/>
      <c r="S36" s="198"/>
      <c r="T36" s="198"/>
      <c r="U36" s="198"/>
    </row>
    <row r="37" spans="1:21" s="12" customFormat="1" x14ac:dyDescent="0.25">
      <c r="A37" s="215" t="s">
        <v>3161</v>
      </c>
      <c r="B37" s="64">
        <v>16.97</v>
      </c>
      <c r="C37" s="64">
        <v>23.94</v>
      </c>
      <c r="D37" s="64">
        <v>27.47</v>
      </c>
      <c r="E37" s="64">
        <v>3.15</v>
      </c>
      <c r="F37" s="64">
        <v>3.68</v>
      </c>
      <c r="G37" s="64">
        <v>23.23</v>
      </c>
      <c r="H37" s="64">
        <v>14.65</v>
      </c>
      <c r="I37" s="216" t="s">
        <v>43</v>
      </c>
      <c r="J37" s="64">
        <v>0.09</v>
      </c>
      <c r="K37" s="64">
        <v>35.94</v>
      </c>
      <c r="L37" s="64">
        <v>23.74</v>
      </c>
      <c r="M37" s="64">
        <v>97.16</v>
      </c>
      <c r="N37" s="64">
        <v>99.7</v>
      </c>
      <c r="O37" s="64">
        <v>0</v>
      </c>
      <c r="P37" s="64">
        <v>0.56000000000000005</v>
      </c>
      <c r="Q37" s="64">
        <v>17.190000000000001</v>
      </c>
      <c r="R37" s="198"/>
      <c r="S37" s="198"/>
      <c r="T37" s="198"/>
      <c r="U37" s="198"/>
    </row>
    <row r="38" spans="1:21" s="12" customFormat="1" x14ac:dyDescent="0.25">
      <c r="A38" s="215" t="s">
        <v>3162</v>
      </c>
      <c r="B38" s="64">
        <v>16.91</v>
      </c>
      <c r="C38" s="64">
        <v>24.2</v>
      </c>
      <c r="D38" s="64">
        <v>27.56</v>
      </c>
      <c r="E38" s="64">
        <v>2.89</v>
      </c>
      <c r="F38" s="64">
        <v>3.26</v>
      </c>
      <c r="G38" s="64">
        <v>29.48</v>
      </c>
      <c r="H38" s="64">
        <v>12.52</v>
      </c>
      <c r="I38" s="216" t="s">
        <v>43</v>
      </c>
      <c r="J38" s="64">
        <v>0.13</v>
      </c>
      <c r="K38" s="64">
        <v>27.86</v>
      </c>
      <c r="L38" s="64">
        <v>23.71</v>
      </c>
      <c r="M38" s="64">
        <v>97.21</v>
      </c>
      <c r="N38" s="64">
        <v>113.6</v>
      </c>
      <c r="O38" s="64">
        <v>0</v>
      </c>
      <c r="P38" s="64">
        <v>0.64</v>
      </c>
      <c r="Q38" s="64">
        <v>17.45</v>
      </c>
      <c r="R38" s="198"/>
      <c r="S38" s="198"/>
      <c r="T38" s="198"/>
      <c r="U38" s="198"/>
    </row>
    <row r="39" spans="1:21" s="12" customFormat="1" x14ac:dyDescent="0.25">
      <c r="A39" s="215" t="s">
        <v>3163</v>
      </c>
      <c r="B39" s="64">
        <v>17.98</v>
      </c>
      <c r="C39" s="64">
        <v>24.72</v>
      </c>
      <c r="D39" s="64">
        <v>28.71</v>
      </c>
      <c r="E39" s="64">
        <v>2.97</v>
      </c>
      <c r="F39" s="64">
        <v>3.08</v>
      </c>
      <c r="G39" s="64">
        <v>31.5</v>
      </c>
      <c r="H39" s="64">
        <v>12.52</v>
      </c>
      <c r="I39" s="216" t="s">
        <v>43</v>
      </c>
      <c r="J39" s="64">
        <v>0.19</v>
      </c>
      <c r="K39" s="64">
        <v>38.96</v>
      </c>
      <c r="L39" s="64">
        <v>24</v>
      </c>
      <c r="M39" s="64">
        <v>96.22</v>
      </c>
      <c r="N39" s="64">
        <v>139.19999999999999</v>
      </c>
      <c r="O39" s="64">
        <v>0</v>
      </c>
      <c r="P39" s="64">
        <v>0.7</v>
      </c>
      <c r="Q39" s="64">
        <v>17.52</v>
      </c>
      <c r="R39" s="198"/>
      <c r="S39" s="198"/>
      <c r="T39" s="198"/>
      <c r="U39" s="198"/>
    </row>
    <row r="40" spans="1:21" s="12" customFormat="1" x14ac:dyDescent="0.25">
      <c r="A40" s="215" t="s">
        <v>3164</v>
      </c>
      <c r="B40" s="64">
        <v>19.2</v>
      </c>
      <c r="C40" s="64">
        <v>24.38</v>
      </c>
      <c r="D40" s="64">
        <v>29.5</v>
      </c>
      <c r="E40" s="64">
        <v>1.41</v>
      </c>
      <c r="F40" s="64">
        <v>3.39</v>
      </c>
      <c r="G40" s="64">
        <v>31.5</v>
      </c>
      <c r="H40" s="64">
        <v>12.52</v>
      </c>
      <c r="I40" s="216" t="s">
        <v>43</v>
      </c>
      <c r="J40" s="64">
        <v>0.24</v>
      </c>
      <c r="K40" s="64">
        <v>21.19</v>
      </c>
      <c r="L40" s="64">
        <v>24.24</v>
      </c>
      <c r="M40" s="64">
        <v>94.89</v>
      </c>
      <c r="N40" s="64">
        <v>179.4</v>
      </c>
      <c r="O40" s="64">
        <v>0</v>
      </c>
      <c r="P40" s="64">
        <v>0.72</v>
      </c>
      <c r="Q40" s="64">
        <v>17.170000000000002</v>
      </c>
      <c r="R40" s="198"/>
      <c r="S40" s="198"/>
      <c r="T40" s="198"/>
      <c r="U40" s="198"/>
    </row>
    <row r="41" spans="1:21" s="12" customFormat="1" x14ac:dyDescent="0.25">
      <c r="A41" s="215" t="s">
        <v>3165</v>
      </c>
      <c r="B41" s="64">
        <v>19.97</v>
      </c>
      <c r="C41" s="64">
        <v>24.99</v>
      </c>
      <c r="D41" s="64">
        <v>30.45</v>
      </c>
      <c r="E41" s="64">
        <v>1.72</v>
      </c>
      <c r="F41" s="64">
        <v>3.3</v>
      </c>
      <c r="G41" s="64">
        <v>31.5</v>
      </c>
      <c r="H41" s="64">
        <v>12.52</v>
      </c>
      <c r="I41" s="216" t="s">
        <v>43</v>
      </c>
      <c r="J41" s="64">
        <v>0.23</v>
      </c>
      <c r="K41" s="64">
        <v>34.299999999999997</v>
      </c>
      <c r="L41" s="64">
        <v>24.59</v>
      </c>
      <c r="M41" s="64">
        <v>92.97</v>
      </c>
      <c r="N41" s="64">
        <v>180.3</v>
      </c>
      <c r="O41" s="64">
        <v>0</v>
      </c>
      <c r="P41" s="64">
        <v>0.73</v>
      </c>
      <c r="Q41" s="64">
        <v>17.510000000000002</v>
      </c>
      <c r="R41" s="198"/>
      <c r="S41" s="198"/>
      <c r="T41" s="198"/>
      <c r="U41" s="198"/>
    </row>
    <row r="42" spans="1:21" s="12" customFormat="1" x14ac:dyDescent="0.25">
      <c r="A42" s="215" t="s">
        <v>3166</v>
      </c>
      <c r="B42" s="64">
        <v>20.92</v>
      </c>
      <c r="C42" s="64">
        <v>25.07</v>
      </c>
      <c r="D42" s="64">
        <v>31.26</v>
      </c>
      <c r="E42" s="64">
        <v>1.71</v>
      </c>
      <c r="F42" s="64">
        <v>4.17</v>
      </c>
      <c r="G42" s="64">
        <v>36.18</v>
      </c>
      <c r="H42" s="64">
        <v>15.28</v>
      </c>
      <c r="I42" s="216" t="s">
        <v>43</v>
      </c>
      <c r="J42" s="64">
        <v>0.26</v>
      </c>
      <c r="K42" s="64">
        <v>19.84</v>
      </c>
      <c r="L42" s="64">
        <v>24.75</v>
      </c>
      <c r="M42" s="64">
        <v>92.64</v>
      </c>
      <c r="N42" s="64">
        <v>250.4</v>
      </c>
      <c r="O42" s="64">
        <v>0</v>
      </c>
      <c r="P42" s="64">
        <v>0.81</v>
      </c>
      <c r="Q42" s="64">
        <v>17.98</v>
      </c>
      <c r="R42" s="198"/>
      <c r="S42" s="198"/>
      <c r="T42" s="198"/>
      <c r="U42" s="198"/>
    </row>
    <row r="43" spans="1:21" s="12" customFormat="1" x14ac:dyDescent="0.25">
      <c r="A43" s="215" t="s">
        <v>3167</v>
      </c>
      <c r="B43" s="64">
        <v>21.66</v>
      </c>
      <c r="C43" s="64">
        <v>24.71</v>
      </c>
      <c r="D43" s="64">
        <v>31.65</v>
      </c>
      <c r="E43" s="64">
        <v>2.31</v>
      </c>
      <c r="F43" s="64">
        <v>3.98</v>
      </c>
      <c r="G43" s="64">
        <v>37.69</v>
      </c>
      <c r="H43" s="64">
        <v>15.28</v>
      </c>
      <c r="I43" s="216" t="s">
        <v>43</v>
      </c>
      <c r="J43" s="64">
        <v>0.28999999999999998</v>
      </c>
      <c r="K43" s="64">
        <v>359.29</v>
      </c>
      <c r="L43" s="64">
        <v>25.69</v>
      </c>
      <c r="M43" s="64">
        <v>88.81</v>
      </c>
      <c r="N43" s="64">
        <v>392.4</v>
      </c>
      <c r="O43" s="64">
        <v>0</v>
      </c>
      <c r="P43" s="64">
        <v>0.81</v>
      </c>
      <c r="Q43" s="64">
        <v>18.329999999999998</v>
      </c>
      <c r="R43" s="198"/>
      <c r="S43" s="198"/>
      <c r="T43" s="198"/>
      <c r="U43" s="198"/>
    </row>
    <row r="44" spans="1:21" s="12" customFormat="1" x14ac:dyDescent="0.25">
      <c r="A44" s="215" t="s">
        <v>3168</v>
      </c>
      <c r="B44" s="64">
        <v>22.3</v>
      </c>
      <c r="C44" s="64">
        <v>24.56</v>
      </c>
      <c r="D44" s="64">
        <v>32.090000000000003</v>
      </c>
      <c r="E44" s="64">
        <v>2.36</v>
      </c>
      <c r="F44" s="64">
        <v>3.6</v>
      </c>
      <c r="G44" s="64">
        <v>37.69</v>
      </c>
      <c r="H44" s="64">
        <v>15.28</v>
      </c>
      <c r="I44" s="216" t="s">
        <v>43</v>
      </c>
      <c r="J44" s="64">
        <v>0.28999999999999998</v>
      </c>
      <c r="K44" s="64">
        <v>16.54</v>
      </c>
      <c r="L44" s="64">
        <v>26.87</v>
      </c>
      <c r="M44" s="64">
        <v>81.69</v>
      </c>
      <c r="N44" s="64">
        <v>467</v>
      </c>
      <c r="O44" s="64">
        <v>0</v>
      </c>
      <c r="P44" s="64">
        <v>0.82</v>
      </c>
      <c r="Q44" s="64">
        <v>18.600000000000001</v>
      </c>
      <c r="R44" s="198"/>
      <c r="S44" s="198"/>
      <c r="T44" s="198"/>
      <c r="U44" s="198"/>
    </row>
    <row r="45" spans="1:21" s="12" customFormat="1" x14ac:dyDescent="0.25">
      <c r="A45" s="215" t="s">
        <v>3169</v>
      </c>
      <c r="B45" s="64">
        <v>22.43</v>
      </c>
      <c r="C45" s="64">
        <v>24.51</v>
      </c>
      <c r="D45" s="64">
        <v>32.159999999999997</v>
      </c>
      <c r="E45" s="64">
        <v>2.0699999999999998</v>
      </c>
      <c r="F45" s="64">
        <v>3.4</v>
      </c>
      <c r="G45" s="64">
        <v>37.69</v>
      </c>
      <c r="H45" s="64">
        <v>15.28</v>
      </c>
      <c r="I45" s="216" t="s">
        <v>43</v>
      </c>
      <c r="J45" s="64">
        <v>0.38</v>
      </c>
      <c r="K45" s="64">
        <v>6.18</v>
      </c>
      <c r="L45" s="64">
        <v>26.81</v>
      </c>
      <c r="M45" s="64">
        <v>80.31</v>
      </c>
      <c r="N45" s="64">
        <v>498.5</v>
      </c>
      <c r="O45" s="64">
        <v>0</v>
      </c>
      <c r="P45" s="64">
        <v>0.8</v>
      </c>
      <c r="Q45" s="64">
        <v>18.8</v>
      </c>
      <c r="R45" s="198"/>
      <c r="S45" s="198"/>
      <c r="T45" s="198"/>
      <c r="U45" s="198"/>
    </row>
    <row r="46" spans="1:21" s="12" customFormat="1" x14ac:dyDescent="0.25">
      <c r="A46" s="215" t="s">
        <v>3170</v>
      </c>
      <c r="B46" s="64">
        <v>21.8</v>
      </c>
      <c r="C46" s="64">
        <v>24.8</v>
      </c>
      <c r="D46" s="64">
        <v>31.82</v>
      </c>
      <c r="E46" s="64">
        <v>2.16</v>
      </c>
      <c r="F46" s="64">
        <v>3.34</v>
      </c>
      <c r="G46" s="64">
        <v>41.87</v>
      </c>
      <c r="H46" s="64">
        <v>15.01</v>
      </c>
      <c r="I46" s="216" t="s">
        <v>43</v>
      </c>
      <c r="J46" s="64">
        <v>0.33</v>
      </c>
      <c r="K46" s="64">
        <v>20.58</v>
      </c>
      <c r="L46" s="64">
        <v>26.62</v>
      </c>
      <c r="M46" s="64">
        <v>80.56</v>
      </c>
      <c r="N46" s="64">
        <v>394.6</v>
      </c>
      <c r="O46" s="64">
        <v>0</v>
      </c>
      <c r="P46" s="64">
        <v>0.76</v>
      </c>
      <c r="Q46" s="64">
        <v>18.309999999999999</v>
      </c>
      <c r="R46" s="198"/>
      <c r="S46" s="198"/>
      <c r="T46" s="198"/>
      <c r="U46" s="198"/>
    </row>
    <row r="47" spans="1:21" s="12" customFormat="1" x14ac:dyDescent="0.25">
      <c r="A47" s="215" t="s">
        <v>3171</v>
      </c>
      <c r="B47" s="64">
        <v>20.88</v>
      </c>
      <c r="C47" s="64">
        <v>24.73</v>
      </c>
      <c r="D47" s="64">
        <v>31.04</v>
      </c>
      <c r="E47" s="64">
        <v>2.15</v>
      </c>
      <c r="F47" s="64">
        <v>3.5</v>
      </c>
      <c r="G47" s="64">
        <v>43.23</v>
      </c>
      <c r="H47" s="64">
        <v>15.01</v>
      </c>
      <c r="I47" s="216" t="s">
        <v>43</v>
      </c>
      <c r="J47" s="64">
        <v>0.33</v>
      </c>
      <c r="K47" s="64">
        <v>13.99</v>
      </c>
      <c r="L47" s="64">
        <v>26.86</v>
      </c>
      <c r="M47" s="64">
        <v>79.8</v>
      </c>
      <c r="N47" s="64">
        <v>463.3</v>
      </c>
      <c r="O47" s="64">
        <v>0</v>
      </c>
      <c r="P47" s="64">
        <v>0.73</v>
      </c>
      <c r="Q47" s="64">
        <v>17.12</v>
      </c>
      <c r="R47" s="198"/>
      <c r="S47" s="198"/>
      <c r="T47" s="198"/>
      <c r="U47" s="198"/>
    </row>
    <row r="48" spans="1:21" s="12" customFormat="1" x14ac:dyDescent="0.25">
      <c r="A48" s="215" t="s">
        <v>3172</v>
      </c>
      <c r="B48" s="64">
        <v>20.059999999999999</v>
      </c>
      <c r="C48" s="64">
        <v>24.78</v>
      </c>
      <c r="D48" s="64">
        <v>30.41</v>
      </c>
      <c r="E48" s="64">
        <v>2.12</v>
      </c>
      <c r="F48" s="64">
        <v>3.76</v>
      </c>
      <c r="G48" s="64">
        <v>43.23</v>
      </c>
      <c r="H48" s="64">
        <v>15.01</v>
      </c>
      <c r="I48" s="216" t="s">
        <v>43</v>
      </c>
      <c r="J48" s="64">
        <v>0.35</v>
      </c>
      <c r="K48" s="64">
        <v>8.41</v>
      </c>
      <c r="L48" s="64">
        <v>27.79</v>
      </c>
      <c r="M48" s="64">
        <v>75.92</v>
      </c>
      <c r="N48" s="64">
        <v>487</v>
      </c>
      <c r="O48" s="64">
        <v>0</v>
      </c>
      <c r="P48" s="64">
        <v>0.73</v>
      </c>
      <c r="Q48" s="64">
        <v>16.57</v>
      </c>
      <c r="R48" s="198"/>
      <c r="S48" s="198"/>
      <c r="T48" s="198"/>
      <c r="U48" s="198"/>
    </row>
    <row r="49" spans="1:21" s="12" customFormat="1" x14ac:dyDescent="0.25">
      <c r="A49" s="215" t="s">
        <v>3173</v>
      </c>
      <c r="B49" s="64">
        <v>15.99</v>
      </c>
      <c r="C49" s="64">
        <v>27.08</v>
      </c>
      <c r="D49" s="64">
        <v>28.41</v>
      </c>
      <c r="E49" s="64">
        <v>2.02</v>
      </c>
      <c r="F49" s="64">
        <v>6.42</v>
      </c>
      <c r="G49" s="64">
        <v>43.23</v>
      </c>
      <c r="H49" s="64">
        <v>15.01</v>
      </c>
      <c r="I49" s="216" t="s">
        <v>43</v>
      </c>
      <c r="J49" s="64">
        <v>0.34</v>
      </c>
      <c r="K49" s="64">
        <v>5.33</v>
      </c>
      <c r="L49" s="64">
        <v>27.31</v>
      </c>
      <c r="M49" s="64">
        <v>77.14</v>
      </c>
      <c r="N49" s="64">
        <v>394</v>
      </c>
      <c r="O49" s="64">
        <v>0</v>
      </c>
      <c r="P49" s="64">
        <v>0.63</v>
      </c>
      <c r="Q49" s="64">
        <v>15.99</v>
      </c>
      <c r="R49" s="198"/>
      <c r="S49" s="198"/>
      <c r="T49" s="198"/>
      <c r="U49" s="198"/>
    </row>
    <row r="50" spans="1:21" s="12" customFormat="1" x14ac:dyDescent="0.25">
      <c r="A50" s="215" t="s">
        <v>3174</v>
      </c>
      <c r="B50" s="64">
        <v>9.4</v>
      </c>
      <c r="C50" s="64">
        <v>30.88</v>
      </c>
      <c r="D50" s="64">
        <v>25.23</v>
      </c>
      <c r="E50" s="64">
        <v>1.43</v>
      </c>
      <c r="F50" s="64">
        <v>5.14</v>
      </c>
      <c r="G50" s="64">
        <v>34.619999999999997</v>
      </c>
      <c r="H50" s="64">
        <v>15.68</v>
      </c>
      <c r="I50" s="216" t="s">
        <v>43</v>
      </c>
      <c r="J50" s="64">
        <v>0.36</v>
      </c>
      <c r="K50" s="64">
        <v>10.5</v>
      </c>
      <c r="L50" s="64">
        <v>27.6</v>
      </c>
      <c r="M50" s="64">
        <v>77.2</v>
      </c>
      <c r="N50" s="64">
        <v>636.4</v>
      </c>
      <c r="O50" s="64">
        <v>0</v>
      </c>
      <c r="P50" s="64">
        <v>0.64</v>
      </c>
      <c r="Q50" s="64">
        <v>14.36</v>
      </c>
      <c r="R50" s="198"/>
      <c r="S50" s="198"/>
      <c r="T50" s="198"/>
      <c r="U50" s="198"/>
    </row>
    <row r="51" spans="1:21" s="12" customFormat="1" x14ac:dyDescent="0.25">
      <c r="A51" s="215" t="s">
        <v>3175</v>
      </c>
      <c r="B51" s="64">
        <v>9.0399999999999991</v>
      </c>
      <c r="C51" s="64">
        <v>30.42</v>
      </c>
      <c r="D51" s="64">
        <v>24.68</v>
      </c>
      <c r="E51" s="64">
        <v>1.65</v>
      </c>
      <c r="F51" s="64">
        <v>5.54</v>
      </c>
      <c r="G51" s="64">
        <v>31.62</v>
      </c>
      <c r="H51" s="64">
        <v>15.68</v>
      </c>
      <c r="I51" s="216" t="s">
        <v>43</v>
      </c>
      <c r="J51" s="64">
        <v>0.42</v>
      </c>
      <c r="K51" s="64">
        <v>5.24</v>
      </c>
      <c r="L51" s="64">
        <v>27.83</v>
      </c>
      <c r="M51" s="64">
        <v>76.03</v>
      </c>
      <c r="N51" s="64">
        <v>662.6</v>
      </c>
      <c r="O51" s="64">
        <v>0</v>
      </c>
      <c r="P51" s="64">
        <v>0.81</v>
      </c>
      <c r="Q51" s="64">
        <v>13.41</v>
      </c>
      <c r="R51" s="198"/>
      <c r="S51" s="198"/>
      <c r="T51" s="198"/>
      <c r="U51" s="198"/>
    </row>
    <row r="52" spans="1:21" s="12" customFormat="1" x14ac:dyDescent="0.25">
      <c r="A52" s="215" t="s">
        <v>3176</v>
      </c>
      <c r="B52" s="64">
        <v>6.7</v>
      </c>
      <c r="C52" s="64">
        <v>32.19</v>
      </c>
      <c r="D52" s="64">
        <v>23.79</v>
      </c>
      <c r="E52" s="64">
        <v>1.83</v>
      </c>
      <c r="F52" s="64">
        <v>7</v>
      </c>
      <c r="G52" s="64">
        <v>31.62</v>
      </c>
      <c r="H52" s="64">
        <v>15.68</v>
      </c>
      <c r="I52" s="216" t="s">
        <v>43</v>
      </c>
      <c r="J52" s="64">
        <v>0.41</v>
      </c>
      <c r="K52" s="64">
        <v>4.0999999999999996</v>
      </c>
      <c r="L52" s="64">
        <v>28.23</v>
      </c>
      <c r="M52" s="64">
        <v>73.349999999999994</v>
      </c>
      <c r="N52" s="64">
        <v>509.4</v>
      </c>
      <c r="O52" s="64">
        <v>0</v>
      </c>
      <c r="P52" s="64">
        <v>0.87</v>
      </c>
      <c r="Q52" s="64">
        <v>13.16</v>
      </c>
      <c r="R52" s="198"/>
      <c r="S52" s="198"/>
      <c r="T52" s="198"/>
      <c r="U52" s="198"/>
    </row>
    <row r="53" spans="1:21" s="12" customFormat="1" x14ac:dyDescent="0.25">
      <c r="A53" s="215" t="s">
        <v>3177</v>
      </c>
      <c r="B53" s="64">
        <v>5.87</v>
      </c>
      <c r="C53" s="64">
        <v>33.69</v>
      </c>
      <c r="D53" s="64">
        <v>23.95</v>
      </c>
      <c r="E53" s="64">
        <v>1.78</v>
      </c>
      <c r="F53" s="64">
        <v>5.12</v>
      </c>
      <c r="G53" s="64">
        <v>31.62</v>
      </c>
      <c r="H53" s="64">
        <v>15.68</v>
      </c>
      <c r="I53" s="216" t="s">
        <v>43</v>
      </c>
      <c r="J53" s="64">
        <v>0.41</v>
      </c>
      <c r="K53" s="64">
        <v>4.12</v>
      </c>
      <c r="L53" s="64">
        <v>28.68</v>
      </c>
      <c r="M53" s="64">
        <v>71.36</v>
      </c>
      <c r="N53" s="64">
        <v>496.8</v>
      </c>
      <c r="O53" s="64">
        <v>0</v>
      </c>
      <c r="P53" s="64">
        <v>0.84</v>
      </c>
      <c r="Q53" s="64">
        <v>14.18</v>
      </c>
      <c r="R53" s="198"/>
      <c r="S53" s="198"/>
      <c r="T53" s="198"/>
      <c r="U53" s="198"/>
    </row>
    <row r="54" spans="1:21" s="12" customFormat="1" x14ac:dyDescent="0.25">
      <c r="A54" s="215" t="s">
        <v>3178</v>
      </c>
      <c r="B54" s="64">
        <v>7.13</v>
      </c>
      <c r="C54" s="64">
        <v>30.35</v>
      </c>
      <c r="D54" s="64">
        <v>23.11</v>
      </c>
      <c r="E54" s="64">
        <v>1.56</v>
      </c>
      <c r="F54" s="64">
        <v>6.29</v>
      </c>
      <c r="G54" s="64">
        <v>31.62</v>
      </c>
      <c r="H54" s="64">
        <v>15.68</v>
      </c>
      <c r="I54" s="216" t="s">
        <v>43</v>
      </c>
      <c r="J54" s="64">
        <v>0.53</v>
      </c>
      <c r="K54" s="64">
        <v>358.22</v>
      </c>
      <c r="L54" s="64">
        <v>28.82</v>
      </c>
      <c r="M54" s="64">
        <v>70.23</v>
      </c>
      <c r="N54" s="64">
        <v>566</v>
      </c>
      <c r="O54" s="64">
        <v>0</v>
      </c>
      <c r="P54" s="64">
        <v>0.78</v>
      </c>
      <c r="Q54" s="64">
        <v>15.16</v>
      </c>
      <c r="R54" s="198"/>
      <c r="S54" s="198"/>
      <c r="T54" s="198"/>
      <c r="U54" s="198"/>
    </row>
    <row r="55" spans="1:21" s="12" customFormat="1" x14ac:dyDescent="0.25">
      <c r="A55" s="215" t="s">
        <v>3179</v>
      </c>
      <c r="B55" s="64">
        <v>7.49</v>
      </c>
      <c r="C55" s="64">
        <v>30.5</v>
      </c>
      <c r="D55" s="64">
        <v>23.49</v>
      </c>
      <c r="E55" s="64">
        <v>2.25</v>
      </c>
      <c r="F55" s="64">
        <v>5.42</v>
      </c>
      <c r="G55" s="64">
        <v>31.62</v>
      </c>
      <c r="H55" s="64">
        <v>15.68</v>
      </c>
      <c r="I55" s="216" t="s">
        <v>43</v>
      </c>
      <c r="J55" s="64">
        <v>0.7</v>
      </c>
      <c r="K55" s="64">
        <v>335.32</v>
      </c>
      <c r="L55" s="64">
        <v>29.65</v>
      </c>
      <c r="M55" s="64">
        <v>68.31</v>
      </c>
      <c r="N55" s="64">
        <v>564.4</v>
      </c>
      <c r="O55" s="64">
        <v>0</v>
      </c>
      <c r="P55" s="64">
        <v>0.71</v>
      </c>
      <c r="Q55" s="64">
        <v>15.84</v>
      </c>
      <c r="R55" s="198"/>
      <c r="S55" s="198"/>
      <c r="T55" s="198"/>
      <c r="U55" s="198"/>
    </row>
    <row r="56" spans="1:21" s="12" customFormat="1" x14ac:dyDescent="0.25">
      <c r="A56" s="215" t="s">
        <v>3180</v>
      </c>
      <c r="B56" s="64">
        <v>7.03</v>
      </c>
      <c r="C56" s="64">
        <v>27.95</v>
      </c>
      <c r="D56" s="64">
        <v>21.71</v>
      </c>
      <c r="E56" s="64">
        <v>1.62</v>
      </c>
      <c r="F56" s="64">
        <v>5.92</v>
      </c>
      <c r="G56" s="64">
        <v>25.65</v>
      </c>
      <c r="H56" s="64">
        <v>13.66</v>
      </c>
      <c r="I56" s="216" t="s">
        <v>43</v>
      </c>
      <c r="J56" s="64">
        <v>0.55000000000000004</v>
      </c>
      <c r="K56" s="64">
        <v>344.07</v>
      </c>
      <c r="L56" s="64">
        <v>29.71</v>
      </c>
      <c r="M56" s="64">
        <v>67.33</v>
      </c>
      <c r="N56" s="64">
        <v>517.70000000000005</v>
      </c>
      <c r="O56" s="64">
        <v>0</v>
      </c>
      <c r="P56" s="64">
        <v>0.7</v>
      </c>
      <c r="Q56" s="64">
        <v>15.73</v>
      </c>
      <c r="R56" s="198"/>
      <c r="S56" s="198"/>
      <c r="T56" s="198"/>
      <c r="U56" s="198"/>
    </row>
    <row r="57" spans="1:21" s="12" customFormat="1" x14ac:dyDescent="0.25">
      <c r="A57" s="215" t="s">
        <v>3181</v>
      </c>
      <c r="B57" s="64">
        <v>5</v>
      </c>
      <c r="C57" s="64">
        <v>26.72</v>
      </c>
      <c r="D57" s="64">
        <v>19.399999999999999</v>
      </c>
      <c r="E57" s="64">
        <v>0.39</v>
      </c>
      <c r="F57" s="64">
        <v>14.68</v>
      </c>
      <c r="G57" s="219" t="s">
        <v>40</v>
      </c>
      <c r="H57" s="219" t="s">
        <v>40</v>
      </c>
      <c r="I57" s="216" t="s">
        <v>43</v>
      </c>
      <c r="J57" s="64">
        <v>0.55000000000000004</v>
      </c>
      <c r="K57" s="64">
        <v>345.82</v>
      </c>
      <c r="L57" s="64">
        <v>29.43</v>
      </c>
      <c r="M57" s="64">
        <v>68.08</v>
      </c>
      <c r="N57" s="64">
        <v>674.8</v>
      </c>
      <c r="O57" s="64">
        <v>0</v>
      </c>
      <c r="P57" s="64">
        <v>0.4</v>
      </c>
      <c r="Q57" s="64">
        <v>15.66</v>
      </c>
      <c r="R57" s="198"/>
      <c r="S57" s="198"/>
      <c r="T57" s="198"/>
      <c r="U57" s="198"/>
    </row>
    <row r="58" spans="1:21" s="12" customFormat="1" x14ac:dyDescent="0.25">
      <c r="A58" s="215" t="s">
        <v>3182</v>
      </c>
      <c r="B58" s="64">
        <v>2.76</v>
      </c>
      <c r="C58" s="64">
        <v>25.22</v>
      </c>
      <c r="D58" s="64">
        <v>16.78</v>
      </c>
      <c r="E58" s="64">
        <v>5.87</v>
      </c>
      <c r="F58" s="64">
        <v>7.32</v>
      </c>
      <c r="G58" s="219" t="s">
        <v>40</v>
      </c>
      <c r="H58" s="219" t="s">
        <v>40</v>
      </c>
      <c r="I58" s="216" t="s">
        <v>43</v>
      </c>
      <c r="J58" s="64">
        <v>0.43</v>
      </c>
      <c r="K58" s="64">
        <v>7.12</v>
      </c>
      <c r="L58" s="64">
        <v>29.82</v>
      </c>
      <c r="M58" s="64">
        <v>66.52</v>
      </c>
      <c r="N58" s="64">
        <v>737.3</v>
      </c>
      <c r="O58" s="64">
        <v>0</v>
      </c>
      <c r="P58" s="64">
        <v>0.37</v>
      </c>
      <c r="Q58" s="64">
        <v>14.14</v>
      </c>
      <c r="R58" s="198"/>
      <c r="S58" s="198"/>
      <c r="T58" s="198"/>
      <c r="U58" s="198"/>
    </row>
    <row r="59" spans="1:21" s="12" customFormat="1" x14ac:dyDescent="0.25">
      <c r="A59" s="215" t="s">
        <v>3183</v>
      </c>
      <c r="B59" s="64">
        <v>2.78</v>
      </c>
      <c r="C59" s="64">
        <v>23.22</v>
      </c>
      <c r="D59" s="64">
        <v>15.69</v>
      </c>
      <c r="E59" s="64">
        <v>12.38</v>
      </c>
      <c r="F59" s="64">
        <v>5.76</v>
      </c>
      <c r="G59" s="219" t="s">
        <v>40</v>
      </c>
      <c r="H59" s="219" t="s">
        <v>40</v>
      </c>
      <c r="I59" s="216" t="s">
        <v>43</v>
      </c>
      <c r="J59" s="64">
        <v>0.5</v>
      </c>
      <c r="K59" s="64">
        <v>355.26</v>
      </c>
      <c r="L59" s="64">
        <v>29.93</v>
      </c>
      <c r="M59" s="64">
        <v>65.83</v>
      </c>
      <c r="N59" s="64">
        <v>797.2</v>
      </c>
      <c r="O59" s="64">
        <v>0</v>
      </c>
      <c r="P59" s="64">
        <v>0.37</v>
      </c>
      <c r="Q59" s="64">
        <v>12.94</v>
      </c>
      <c r="R59" s="198"/>
      <c r="S59" s="198"/>
      <c r="T59" s="198"/>
      <c r="U59" s="198"/>
    </row>
    <row r="60" spans="1:21" s="12" customFormat="1" x14ac:dyDescent="0.25">
      <c r="A60" s="215" t="s">
        <v>3184</v>
      </c>
      <c r="B60" s="64">
        <v>3.61</v>
      </c>
      <c r="C60" s="64">
        <v>22.81</v>
      </c>
      <c r="D60" s="64">
        <v>16.13</v>
      </c>
      <c r="E60" s="64">
        <v>27.36</v>
      </c>
      <c r="F60" s="64">
        <v>5.47</v>
      </c>
      <c r="G60" s="64">
        <v>3</v>
      </c>
      <c r="H60" s="64">
        <v>6.49</v>
      </c>
      <c r="I60" s="216" t="s">
        <v>43</v>
      </c>
      <c r="J60" s="64">
        <v>0.53</v>
      </c>
      <c r="K60" s="64">
        <v>356.14</v>
      </c>
      <c r="L60" s="64">
        <v>30.43</v>
      </c>
      <c r="M60" s="64">
        <v>64.45</v>
      </c>
      <c r="N60" s="64">
        <v>665</v>
      </c>
      <c r="O60" s="64">
        <v>0</v>
      </c>
      <c r="P60" s="64">
        <v>0.36</v>
      </c>
      <c r="Q60" s="64">
        <v>12.31</v>
      </c>
      <c r="R60" s="198"/>
      <c r="S60" s="198"/>
      <c r="T60" s="198"/>
      <c r="U60" s="198"/>
    </row>
    <row r="61" spans="1:21" s="12" customFormat="1" x14ac:dyDescent="0.25">
      <c r="A61" s="215" t="s">
        <v>3185</v>
      </c>
      <c r="B61" s="64">
        <v>4.05</v>
      </c>
      <c r="C61" s="64">
        <v>23.43</v>
      </c>
      <c r="D61" s="64">
        <v>16.82</v>
      </c>
      <c r="E61" s="64">
        <v>20.94</v>
      </c>
      <c r="F61" s="64">
        <v>5.01</v>
      </c>
      <c r="G61" s="64">
        <v>14.99</v>
      </c>
      <c r="H61" s="64">
        <v>12.45</v>
      </c>
      <c r="I61" s="216" t="s">
        <v>43</v>
      </c>
      <c r="J61" s="64">
        <v>0.38</v>
      </c>
      <c r="K61" s="64">
        <v>19.34</v>
      </c>
      <c r="L61" s="64">
        <v>28.58</v>
      </c>
      <c r="M61" s="64">
        <v>71.48</v>
      </c>
      <c r="N61" s="64">
        <v>604.79999999999995</v>
      </c>
      <c r="O61" s="64">
        <v>0</v>
      </c>
      <c r="P61" s="64">
        <v>0.38</v>
      </c>
      <c r="Q61" s="64">
        <v>12.25</v>
      </c>
      <c r="R61" s="198"/>
      <c r="S61" s="198"/>
      <c r="T61" s="198"/>
      <c r="U61" s="198"/>
    </row>
    <row r="62" spans="1:21" s="12" customFormat="1" x14ac:dyDescent="0.25">
      <c r="A62" s="215" t="s">
        <v>3186</v>
      </c>
      <c r="B62" s="64">
        <v>4.1900000000000004</v>
      </c>
      <c r="C62" s="64">
        <v>23.96</v>
      </c>
      <c r="D62" s="64">
        <v>17.23</v>
      </c>
      <c r="E62" s="64">
        <v>14.96</v>
      </c>
      <c r="F62" s="64">
        <v>4.67</v>
      </c>
      <c r="G62" s="64">
        <v>14.99</v>
      </c>
      <c r="H62" s="64">
        <v>12.45</v>
      </c>
      <c r="I62" s="216" t="s">
        <v>43</v>
      </c>
      <c r="J62" s="64">
        <v>0.38</v>
      </c>
      <c r="K62" s="64">
        <v>23.93</v>
      </c>
      <c r="L62" s="64">
        <v>27.91</v>
      </c>
      <c r="M62" s="64">
        <v>73.38</v>
      </c>
      <c r="N62" s="64">
        <v>471.8</v>
      </c>
      <c r="O62" s="64">
        <v>0</v>
      </c>
      <c r="P62" s="64">
        <v>0.44</v>
      </c>
      <c r="Q62" s="64">
        <v>12.32</v>
      </c>
      <c r="R62" s="198"/>
      <c r="S62" s="198"/>
      <c r="T62" s="198"/>
      <c r="U62" s="198"/>
    </row>
    <row r="63" spans="1:21" s="12" customFormat="1" x14ac:dyDescent="0.25">
      <c r="A63" s="215" t="s">
        <v>3187</v>
      </c>
      <c r="B63" s="64">
        <v>4.13</v>
      </c>
      <c r="C63" s="64">
        <v>24.36</v>
      </c>
      <c r="D63" s="64">
        <v>17.399999999999999</v>
      </c>
      <c r="E63" s="64">
        <v>6.08</v>
      </c>
      <c r="F63" s="64">
        <v>4.71</v>
      </c>
      <c r="G63" s="64">
        <v>14.99</v>
      </c>
      <c r="H63" s="64">
        <v>12.45</v>
      </c>
      <c r="I63" s="216" t="s">
        <v>43</v>
      </c>
      <c r="J63" s="64">
        <v>0.37</v>
      </c>
      <c r="K63" s="64">
        <v>27.04</v>
      </c>
      <c r="L63" s="64">
        <v>27.61</v>
      </c>
      <c r="M63" s="64">
        <v>75.349999999999994</v>
      </c>
      <c r="N63" s="64">
        <v>532.70000000000005</v>
      </c>
      <c r="O63" s="64">
        <v>0</v>
      </c>
      <c r="P63" s="64">
        <v>0.45</v>
      </c>
      <c r="Q63" s="64">
        <v>12.38</v>
      </c>
      <c r="R63" s="198"/>
      <c r="S63" s="198"/>
      <c r="T63" s="198"/>
      <c r="U63" s="198"/>
    </row>
    <row r="64" spans="1:21" s="12" customFormat="1" x14ac:dyDescent="0.25">
      <c r="A64" s="215" t="s">
        <v>3188</v>
      </c>
      <c r="B64" s="64">
        <v>4.12</v>
      </c>
      <c r="C64" s="64">
        <v>24.49</v>
      </c>
      <c r="D64" s="64">
        <v>17.46</v>
      </c>
      <c r="E64" s="64">
        <v>0.74</v>
      </c>
      <c r="F64" s="64">
        <v>5.88</v>
      </c>
      <c r="G64" s="64">
        <v>17.41</v>
      </c>
      <c r="H64" s="64">
        <v>13.18</v>
      </c>
      <c r="I64" s="216" t="s">
        <v>43</v>
      </c>
      <c r="J64" s="64">
        <v>0.49</v>
      </c>
      <c r="K64" s="64">
        <v>27.89</v>
      </c>
      <c r="L64" s="64">
        <v>28.16</v>
      </c>
      <c r="M64" s="64">
        <v>73.69</v>
      </c>
      <c r="N64" s="64">
        <v>617</v>
      </c>
      <c r="O64" s="64">
        <v>0</v>
      </c>
      <c r="P64" s="64">
        <v>0.47</v>
      </c>
      <c r="Q64" s="64">
        <v>11.98</v>
      </c>
      <c r="R64" s="198"/>
      <c r="S64" s="198"/>
      <c r="T64" s="198"/>
      <c r="U64" s="198"/>
    </row>
    <row r="65" spans="1:21" s="12" customFormat="1" x14ac:dyDescent="0.25">
      <c r="A65" s="215" t="s">
        <v>3189</v>
      </c>
      <c r="B65" s="64">
        <v>4.0999999999999996</v>
      </c>
      <c r="C65" s="64">
        <v>25.12</v>
      </c>
      <c r="D65" s="64">
        <v>17.79</v>
      </c>
      <c r="E65" s="64">
        <v>0.61</v>
      </c>
      <c r="F65" s="64">
        <v>4.53</v>
      </c>
      <c r="G65" s="64">
        <v>27.09</v>
      </c>
      <c r="H65" s="64">
        <v>15.2</v>
      </c>
      <c r="I65" s="216" t="s">
        <v>43</v>
      </c>
      <c r="J65" s="64">
        <v>0.4</v>
      </c>
      <c r="K65" s="64">
        <v>8.94</v>
      </c>
      <c r="L65" s="64">
        <v>28.34</v>
      </c>
      <c r="M65" s="64">
        <v>71.8</v>
      </c>
      <c r="N65" s="64">
        <v>514.20000000000005</v>
      </c>
      <c r="O65" s="64">
        <v>0</v>
      </c>
      <c r="P65" s="64">
        <v>0.52</v>
      </c>
      <c r="Q65" s="64">
        <v>14.84</v>
      </c>
      <c r="R65" s="198"/>
      <c r="S65" s="198"/>
      <c r="T65" s="198"/>
      <c r="U65" s="198"/>
    </row>
    <row r="66" spans="1:21" s="12" customFormat="1" x14ac:dyDescent="0.25">
      <c r="A66" s="215" t="s">
        <v>3190</v>
      </c>
      <c r="B66" s="64">
        <v>5.82</v>
      </c>
      <c r="C66" s="64">
        <v>24.87</v>
      </c>
      <c r="D66" s="64">
        <v>19.04</v>
      </c>
      <c r="E66" s="64">
        <v>0.62</v>
      </c>
      <c r="F66" s="64">
        <v>5.28</v>
      </c>
      <c r="G66" s="64">
        <v>27.09</v>
      </c>
      <c r="H66" s="64">
        <v>15.2</v>
      </c>
      <c r="I66" s="216" t="s">
        <v>43</v>
      </c>
      <c r="J66" s="64">
        <v>0.35</v>
      </c>
      <c r="K66" s="64">
        <v>25.48</v>
      </c>
      <c r="L66" s="64">
        <v>27.92</v>
      </c>
      <c r="M66" s="64">
        <v>73.650000000000006</v>
      </c>
      <c r="N66" s="64">
        <v>531.20000000000005</v>
      </c>
      <c r="O66" s="64">
        <v>0</v>
      </c>
      <c r="P66" s="64">
        <v>0.56000000000000005</v>
      </c>
      <c r="Q66" s="64">
        <v>15.25</v>
      </c>
      <c r="R66" s="198"/>
      <c r="S66" s="198"/>
      <c r="T66" s="198"/>
      <c r="U66" s="198"/>
    </row>
    <row r="67" spans="1:21" s="12" customFormat="1" x14ac:dyDescent="0.25">
      <c r="A67" s="215" t="s">
        <v>3191</v>
      </c>
      <c r="B67" s="64">
        <v>5.95</v>
      </c>
      <c r="C67" s="64">
        <v>23.33</v>
      </c>
      <c r="D67" s="64">
        <v>18.29</v>
      </c>
      <c r="E67" s="64">
        <v>0.61</v>
      </c>
      <c r="F67" s="64">
        <v>5.43</v>
      </c>
      <c r="G67" s="64">
        <v>27.09</v>
      </c>
      <c r="H67" s="64">
        <v>15.2</v>
      </c>
      <c r="I67" s="216" t="s">
        <v>43</v>
      </c>
      <c r="J67" s="64">
        <v>0.37</v>
      </c>
      <c r="K67" s="64">
        <v>22.26</v>
      </c>
      <c r="L67" s="64">
        <v>27.75</v>
      </c>
      <c r="M67" s="64">
        <v>74.3</v>
      </c>
      <c r="N67" s="64">
        <v>519.5</v>
      </c>
      <c r="O67" s="64">
        <v>0</v>
      </c>
      <c r="P67" s="64">
        <v>0.56999999999999995</v>
      </c>
      <c r="Q67" s="64">
        <v>14.68</v>
      </c>
      <c r="R67" s="198"/>
      <c r="S67" s="198"/>
      <c r="T67" s="198"/>
      <c r="U67" s="198"/>
    </row>
    <row r="68" spans="1:21" s="12" customFormat="1" x14ac:dyDescent="0.25">
      <c r="A68" s="215" t="s">
        <v>3192</v>
      </c>
      <c r="B68" s="64">
        <v>5.42</v>
      </c>
      <c r="C68" s="64">
        <v>23.93</v>
      </c>
      <c r="D68" s="64">
        <v>18.2</v>
      </c>
      <c r="E68" s="64">
        <v>0.42</v>
      </c>
      <c r="F68" s="64">
        <v>5.48</v>
      </c>
      <c r="G68" s="64">
        <v>31.4</v>
      </c>
      <c r="H68" s="64">
        <v>15.89</v>
      </c>
      <c r="I68" s="216" t="s">
        <v>43</v>
      </c>
      <c r="J68" s="64">
        <v>0.37</v>
      </c>
      <c r="K68" s="64">
        <v>24.98</v>
      </c>
      <c r="L68" s="64">
        <v>28.14</v>
      </c>
      <c r="M68" s="64">
        <v>72.34</v>
      </c>
      <c r="N68" s="64">
        <v>348.2</v>
      </c>
      <c r="O68" s="64">
        <v>0</v>
      </c>
      <c r="P68" s="64">
        <v>0.59</v>
      </c>
      <c r="Q68" s="64">
        <v>15.4</v>
      </c>
      <c r="R68" s="198"/>
      <c r="S68" s="198"/>
      <c r="T68" s="198"/>
      <c r="U68" s="198"/>
    </row>
    <row r="69" spans="1:21" s="12" customFormat="1" x14ac:dyDescent="0.25">
      <c r="A69" s="215" t="s">
        <v>3193</v>
      </c>
      <c r="B69" s="64">
        <v>4.51</v>
      </c>
      <c r="C69" s="64">
        <v>25.5</v>
      </c>
      <c r="D69" s="64">
        <v>18.34</v>
      </c>
      <c r="E69" s="64">
        <v>0.44</v>
      </c>
      <c r="F69" s="64">
        <v>5.92</v>
      </c>
      <c r="G69" s="64">
        <v>48.65</v>
      </c>
      <c r="H69" s="64">
        <v>17.8</v>
      </c>
      <c r="I69" s="216" t="s">
        <v>43</v>
      </c>
      <c r="J69" s="64">
        <v>0.3</v>
      </c>
      <c r="K69" s="64">
        <v>31.3</v>
      </c>
      <c r="L69" s="64">
        <v>28.14</v>
      </c>
      <c r="M69" s="64">
        <v>72.59</v>
      </c>
      <c r="N69" s="64">
        <v>357.4</v>
      </c>
      <c r="O69" s="64">
        <v>0</v>
      </c>
      <c r="P69" s="64">
        <v>0.63</v>
      </c>
      <c r="Q69" s="64">
        <v>14.78</v>
      </c>
      <c r="R69" s="198"/>
      <c r="S69" s="198"/>
      <c r="T69" s="198"/>
      <c r="U69" s="198"/>
    </row>
    <row r="70" spans="1:21" s="12" customFormat="1" x14ac:dyDescent="0.25">
      <c r="A70" s="215" t="s">
        <v>3194</v>
      </c>
      <c r="B70" s="64">
        <v>4.2699999999999996</v>
      </c>
      <c r="C70" s="64">
        <v>27.7</v>
      </c>
      <c r="D70" s="64">
        <v>19.350000000000001</v>
      </c>
      <c r="E70" s="64">
        <v>0.15</v>
      </c>
      <c r="F70" s="64">
        <v>4.83</v>
      </c>
      <c r="G70" s="64">
        <v>48.65</v>
      </c>
      <c r="H70" s="64">
        <v>17.8</v>
      </c>
      <c r="I70" s="216" t="s">
        <v>43</v>
      </c>
      <c r="J70" s="64">
        <v>0.39</v>
      </c>
      <c r="K70" s="64">
        <v>25.77</v>
      </c>
      <c r="L70" s="64">
        <v>27.82</v>
      </c>
      <c r="M70" s="64">
        <v>74.16</v>
      </c>
      <c r="N70" s="64">
        <v>356.7</v>
      </c>
      <c r="O70" s="64">
        <v>0</v>
      </c>
      <c r="P70" s="64">
        <v>0.63</v>
      </c>
      <c r="Q70" s="64">
        <v>13.98</v>
      </c>
      <c r="R70" s="198"/>
      <c r="S70" s="198"/>
      <c r="T70" s="198"/>
      <c r="U70" s="198"/>
    </row>
    <row r="71" spans="1:21" s="12" customFormat="1" x14ac:dyDescent="0.25">
      <c r="A71" s="215" t="s">
        <v>3195</v>
      </c>
      <c r="B71" s="64">
        <v>3.41</v>
      </c>
      <c r="C71" s="64">
        <v>25.87</v>
      </c>
      <c r="D71" s="64">
        <v>17.649999999999999</v>
      </c>
      <c r="E71" s="64">
        <v>0.53</v>
      </c>
      <c r="F71" s="64">
        <v>6.64</v>
      </c>
      <c r="G71" s="64">
        <v>48.65</v>
      </c>
      <c r="H71" s="64">
        <v>17.8</v>
      </c>
      <c r="I71" s="216" t="s">
        <v>43</v>
      </c>
      <c r="J71" s="64">
        <v>0.39</v>
      </c>
      <c r="K71" s="64">
        <v>33.89</v>
      </c>
      <c r="L71" s="64">
        <v>27.82</v>
      </c>
      <c r="M71" s="64">
        <v>74.42</v>
      </c>
      <c r="N71" s="64">
        <v>535.79999999999995</v>
      </c>
      <c r="O71" s="64">
        <v>0</v>
      </c>
      <c r="P71" s="64">
        <v>0.56999999999999995</v>
      </c>
      <c r="Q71" s="64">
        <v>13.53</v>
      </c>
      <c r="R71" s="198"/>
      <c r="S71" s="198"/>
      <c r="T71" s="198"/>
      <c r="U71" s="198"/>
    </row>
    <row r="72" spans="1:21" s="12" customFormat="1" x14ac:dyDescent="0.25">
      <c r="A72" s="215" t="s">
        <v>3196</v>
      </c>
      <c r="B72" s="64">
        <v>2.34</v>
      </c>
      <c r="C72" s="64">
        <v>24.83</v>
      </c>
      <c r="D72" s="64">
        <v>16.23</v>
      </c>
      <c r="E72" s="64">
        <v>0.68</v>
      </c>
      <c r="F72" s="64">
        <v>8.4600000000000009</v>
      </c>
      <c r="G72" s="64">
        <v>47.78</v>
      </c>
      <c r="H72" s="64">
        <v>17.690000000000001</v>
      </c>
      <c r="I72" s="216" t="s">
        <v>43</v>
      </c>
      <c r="J72" s="64">
        <v>0.37</v>
      </c>
      <c r="K72" s="64">
        <v>33.1</v>
      </c>
      <c r="L72" s="64">
        <v>27.72</v>
      </c>
      <c r="M72" s="64">
        <v>74.33</v>
      </c>
      <c r="N72" s="64">
        <v>339.1</v>
      </c>
      <c r="O72" s="64">
        <v>0</v>
      </c>
      <c r="P72" s="64">
        <v>0.51</v>
      </c>
      <c r="Q72" s="64">
        <v>13.35</v>
      </c>
      <c r="R72" s="198"/>
      <c r="S72" s="198"/>
      <c r="T72" s="198"/>
      <c r="U72" s="198"/>
    </row>
    <row r="73" spans="1:21" s="12" customFormat="1" x14ac:dyDescent="0.25">
      <c r="A73" s="215" t="s">
        <v>3197</v>
      </c>
      <c r="B73" s="64">
        <v>1.77</v>
      </c>
      <c r="C73" s="64">
        <v>23.04</v>
      </c>
      <c r="D73" s="64">
        <v>14.78</v>
      </c>
      <c r="E73" s="64">
        <v>0.97</v>
      </c>
      <c r="F73" s="64">
        <v>9.75</v>
      </c>
      <c r="G73" s="64">
        <v>44.3</v>
      </c>
      <c r="H73" s="64">
        <v>17.399999999999999</v>
      </c>
      <c r="I73" s="216" t="s">
        <v>43</v>
      </c>
      <c r="J73" s="64">
        <v>0.42</v>
      </c>
      <c r="K73" s="64">
        <v>32.909999999999997</v>
      </c>
      <c r="L73" s="64">
        <v>27.82</v>
      </c>
      <c r="M73" s="64">
        <v>74.38</v>
      </c>
      <c r="N73" s="64">
        <v>359.8</v>
      </c>
      <c r="O73" s="64">
        <v>0</v>
      </c>
      <c r="P73" s="64">
        <v>0.44</v>
      </c>
      <c r="Q73" s="64">
        <v>12.21</v>
      </c>
      <c r="R73" s="198"/>
      <c r="S73" s="198"/>
      <c r="T73" s="198"/>
      <c r="U73" s="198"/>
    </row>
    <row r="74" spans="1:21" s="12" customFormat="1" x14ac:dyDescent="0.25">
      <c r="A74" s="215" t="s">
        <v>3198</v>
      </c>
      <c r="B74" s="64">
        <v>1.84</v>
      </c>
      <c r="C74" s="64">
        <v>18.760000000000002</v>
      </c>
      <c r="D74" s="64">
        <v>10.8</v>
      </c>
      <c r="E74" s="64">
        <v>0</v>
      </c>
      <c r="F74" s="64">
        <v>9.9499999999999993</v>
      </c>
      <c r="G74" s="64">
        <v>44.3</v>
      </c>
      <c r="H74" s="64">
        <v>17.399999999999999</v>
      </c>
      <c r="I74" s="216" t="s">
        <v>43</v>
      </c>
      <c r="J74" s="64">
        <v>0.43</v>
      </c>
      <c r="K74" s="64">
        <v>35.99</v>
      </c>
      <c r="L74" s="64">
        <v>27.64</v>
      </c>
      <c r="M74" s="64">
        <v>74.459999999999994</v>
      </c>
      <c r="N74" s="64">
        <v>255.5</v>
      </c>
      <c r="O74" s="64">
        <v>0</v>
      </c>
      <c r="P74" s="64">
        <v>0.39</v>
      </c>
      <c r="Q74" s="217" t="s">
        <v>42</v>
      </c>
      <c r="R74" s="198"/>
      <c r="S74" s="198"/>
      <c r="T74" s="198"/>
      <c r="U74" s="198"/>
    </row>
    <row r="75" spans="1:21" s="12" customFormat="1" x14ac:dyDescent="0.25">
      <c r="A75" s="215" t="s">
        <v>3199</v>
      </c>
      <c r="B75" s="64">
        <v>2.21</v>
      </c>
      <c r="C75" s="64">
        <v>21.98</v>
      </c>
      <c r="D75" s="64">
        <v>14.54</v>
      </c>
      <c r="E75" s="64">
        <v>0.41</v>
      </c>
      <c r="F75" s="64">
        <v>7.75</v>
      </c>
      <c r="G75" s="64">
        <v>44.3</v>
      </c>
      <c r="H75" s="64">
        <v>17.399999999999999</v>
      </c>
      <c r="I75" s="216" t="s">
        <v>43</v>
      </c>
      <c r="J75" s="64">
        <v>0.4</v>
      </c>
      <c r="K75" s="64">
        <v>33.24</v>
      </c>
      <c r="L75" s="64">
        <v>27.64</v>
      </c>
      <c r="M75" s="64">
        <v>74.400000000000006</v>
      </c>
      <c r="N75" s="64">
        <v>233.7</v>
      </c>
      <c r="O75" s="64">
        <v>0</v>
      </c>
      <c r="P75" s="64">
        <v>0.41</v>
      </c>
      <c r="Q75" s="217" t="s">
        <v>42</v>
      </c>
      <c r="R75" s="198"/>
      <c r="S75" s="198"/>
      <c r="T75" s="198"/>
      <c r="U75" s="198"/>
    </row>
    <row r="76" spans="1:21" s="12" customFormat="1" x14ac:dyDescent="0.25">
      <c r="A76" s="215" t="s">
        <v>3200</v>
      </c>
      <c r="B76" s="64">
        <v>1.96</v>
      </c>
      <c r="C76" s="64">
        <v>22.57</v>
      </c>
      <c r="D76" s="64">
        <v>14.67</v>
      </c>
      <c r="E76" s="64">
        <v>0.87</v>
      </c>
      <c r="F76" s="64">
        <v>19.38</v>
      </c>
      <c r="G76" s="64">
        <v>43.26</v>
      </c>
      <c r="H76" s="64">
        <v>18.010000000000002</v>
      </c>
      <c r="I76" s="216" t="s">
        <v>43</v>
      </c>
      <c r="J76" s="64">
        <v>0.32</v>
      </c>
      <c r="K76" s="64">
        <v>27.29</v>
      </c>
      <c r="L76" s="64">
        <v>27.44</v>
      </c>
      <c r="M76" s="64">
        <v>74.900000000000006</v>
      </c>
      <c r="N76" s="64">
        <v>194</v>
      </c>
      <c r="O76" s="64">
        <v>0</v>
      </c>
      <c r="P76" s="64">
        <v>0.37</v>
      </c>
      <c r="Q76" s="64">
        <v>13.27</v>
      </c>
      <c r="R76" s="198"/>
      <c r="S76" s="198"/>
      <c r="T76" s="198"/>
      <c r="U76" s="198"/>
    </row>
    <row r="77" spans="1:21" s="12" customFormat="1" x14ac:dyDescent="0.25">
      <c r="A77" s="215" t="s">
        <v>3201</v>
      </c>
      <c r="B77" s="64">
        <v>1.52</v>
      </c>
      <c r="C77" s="64">
        <v>23.09</v>
      </c>
      <c r="D77" s="64">
        <v>14.61</v>
      </c>
      <c r="E77" s="64">
        <v>0.32</v>
      </c>
      <c r="F77" s="64">
        <v>9.14</v>
      </c>
      <c r="G77" s="64">
        <v>39.119999999999997</v>
      </c>
      <c r="H77" s="64">
        <v>19.7</v>
      </c>
      <c r="I77" s="216" t="s">
        <v>43</v>
      </c>
      <c r="J77" s="64">
        <v>0.38</v>
      </c>
      <c r="K77" s="64">
        <v>28.68</v>
      </c>
      <c r="L77" s="64">
        <v>27.22</v>
      </c>
      <c r="M77" s="64">
        <v>75.7</v>
      </c>
      <c r="N77" s="64">
        <v>165.7</v>
      </c>
      <c r="O77" s="64">
        <v>0</v>
      </c>
      <c r="P77" s="64">
        <v>0.34</v>
      </c>
      <c r="Q77" s="64">
        <v>12.95</v>
      </c>
      <c r="R77" s="198"/>
      <c r="S77" s="198"/>
      <c r="T77" s="198"/>
      <c r="U77" s="198"/>
    </row>
    <row r="78" spans="1:21" s="12" customFormat="1" x14ac:dyDescent="0.25">
      <c r="A78" s="215" t="s">
        <v>3202</v>
      </c>
      <c r="B78" s="64">
        <v>2.5099999999999998</v>
      </c>
      <c r="C78" s="64">
        <v>22.84</v>
      </c>
      <c r="D78" s="64">
        <v>15.26</v>
      </c>
      <c r="E78" s="64">
        <v>0.2</v>
      </c>
      <c r="F78" s="64">
        <v>5.53</v>
      </c>
      <c r="G78" s="64">
        <v>39.119999999999997</v>
      </c>
      <c r="H78" s="64">
        <v>19.7</v>
      </c>
      <c r="I78" s="216" t="s">
        <v>43</v>
      </c>
      <c r="J78" s="64">
        <v>0.27</v>
      </c>
      <c r="K78" s="64">
        <v>31.62</v>
      </c>
      <c r="L78" s="64">
        <v>27.21</v>
      </c>
      <c r="M78" s="64">
        <v>76.45</v>
      </c>
      <c r="N78" s="64">
        <v>150</v>
      </c>
      <c r="O78" s="64">
        <v>0</v>
      </c>
      <c r="P78" s="64">
        <v>0.35</v>
      </c>
      <c r="Q78" s="64">
        <v>12.49</v>
      </c>
      <c r="R78" s="198"/>
      <c r="S78" s="198"/>
      <c r="T78" s="198"/>
      <c r="U78" s="198"/>
    </row>
    <row r="79" spans="1:21" s="12" customFormat="1" x14ac:dyDescent="0.25">
      <c r="A79" s="215" t="s">
        <v>3203</v>
      </c>
      <c r="B79" s="64">
        <v>3.58</v>
      </c>
      <c r="C79" s="64">
        <v>22.58</v>
      </c>
      <c r="D79" s="64">
        <v>15.98</v>
      </c>
      <c r="E79" s="64">
        <v>-0.04</v>
      </c>
      <c r="F79" s="64">
        <v>5.17</v>
      </c>
      <c r="G79" s="64">
        <v>39.119999999999997</v>
      </c>
      <c r="H79" s="64">
        <v>19.7</v>
      </c>
      <c r="I79" s="216" t="s">
        <v>43</v>
      </c>
      <c r="J79" s="64">
        <v>0.32</v>
      </c>
      <c r="K79" s="64">
        <v>36.24</v>
      </c>
      <c r="L79" s="64">
        <v>26.99</v>
      </c>
      <c r="M79" s="64">
        <v>76.19</v>
      </c>
      <c r="N79" s="64">
        <v>123.5</v>
      </c>
      <c r="O79" s="64">
        <v>0</v>
      </c>
      <c r="P79" s="64">
        <v>0.35</v>
      </c>
      <c r="Q79" s="64">
        <v>12.68</v>
      </c>
      <c r="R79" s="198"/>
      <c r="S79" s="198"/>
      <c r="T79" s="198"/>
      <c r="U79" s="198"/>
    </row>
    <row r="80" spans="1:21" s="12" customFormat="1" x14ac:dyDescent="0.25">
      <c r="A80" s="215" t="s">
        <v>3204</v>
      </c>
      <c r="B80" s="64">
        <v>3.03</v>
      </c>
      <c r="C80" s="64">
        <v>22.88</v>
      </c>
      <c r="D80" s="64">
        <v>15.7</v>
      </c>
      <c r="E80" s="64">
        <v>-0.19</v>
      </c>
      <c r="F80" s="64">
        <v>5.0599999999999996</v>
      </c>
      <c r="G80" s="64">
        <v>36.71</v>
      </c>
      <c r="H80" s="64">
        <v>18.690000000000001</v>
      </c>
      <c r="I80" s="216" t="s">
        <v>43</v>
      </c>
      <c r="J80" s="64">
        <v>0.32</v>
      </c>
      <c r="K80" s="64">
        <v>31.58</v>
      </c>
      <c r="L80" s="64">
        <v>26.77</v>
      </c>
      <c r="M80" s="64">
        <v>77.209999999999994</v>
      </c>
      <c r="N80" s="64">
        <v>93.2</v>
      </c>
      <c r="O80" s="64">
        <v>0</v>
      </c>
      <c r="P80" s="64">
        <v>0.36</v>
      </c>
      <c r="Q80" s="64">
        <v>13.52</v>
      </c>
      <c r="R80" s="198"/>
      <c r="S80" s="198"/>
      <c r="T80" s="198"/>
      <c r="U80" s="198"/>
    </row>
    <row r="81" spans="1:26" s="12" customFormat="1" x14ac:dyDescent="0.25">
      <c r="A81" s="215" t="s">
        <v>3205</v>
      </c>
      <c r="B81" s="64">
        <v>2.76</v>
      </c>
      <c r="C81" s="64">
        <v>23.36</v>
      </c>
      <c r="D81" s="64">
        <v>15.75</v>
      </c>
      <c r="E81" s="64">
        <v>0.09</v>
      </c>
      <c r="F81" s="64">
        <v>6.8</v>
      </c>
      <c r="G81" s="64">
        <v>27.09</v>
      </c>
      <c r="H81" s="64">
        <v>14.49</v>
      </c>
      <c r="I81" s="216" t="s">
        <v>43</v>
      </c>
      <c r="J81" s="64">
        <v>0.34</v>
      </c>
      <c r="K81" s="64">
        <v>47.26</v>
      </c>
      <c r="L81" s="64">
        <v>26.56</v>
      </c>
      <c r="M81" s="64">
        <v>78.319999999999993</v>
      </c>
      <c r="N81" s="64">
        <v>69.7</v>
      </c>
      <c r="O81" s="64">
        <v>0</v>
      </c>
      <c r="P81" s="64">
        <v>0.36</v>
      </c>
      <c r="Q81" s="64">
        <v>13.44</v>
      </c>
      <c r="R81" s="198"/>
      <c r="S81" s="198"/>
      <c r="T81" s="198"/>
      <c r="U81" s="198"/>
    </row>
    <row r="82" spans="1:26" s="12" customFormat="1" x14ac:dyDescent="0.25">
      <c r="A82" s="215" t="s">
        <v>3206</v>
      </c>
      <c r="B82" s="64">
        <v>3.15</v>
      </c>
      <c r="C82" s="64">
        <v>25.84</v>
      </c>
      <c r="D82" s="64">
        <v>17.440000000000001</v>
      </c>
      <c r="E82" s="64">
        <v>0.15</v>
      </c>
      <c r="F82" s="64">
        <v>7.05</v>
      </c>
      <c r="G82" s="64">
        <v>27.09</v>
      </c>
      <c r="H82" s="64">
        <v>14.49</v>
      </c>
      <c r="I82" s="216" t="s">
        <v>43</v>
      </c>
      <c r="J82" s="64">
        <v>0.31</v>
      </c>
      <c r="K82" s="64">
        <v>35.67</v>
      </c>
      <c r="L82" s="64">
        <v>26.41</v>
      </c>
      <c r="M82" s="64">
        <v>79.62</v>
      </c>
      <c r="N82" s="64">
        <v>51.1</v>
      </c>
      <c r="O82" s="64">
        <v>0</v>
      </c>
      <c r="P82" s="64">
        <v>0.41</v>
      </c>
      <c r="Q82" s="64">
        <v>14.72</v>
      </c>
      <c r="R82" s="198"/>
      <c r="S82" s="198"/>
      <c r="T82" s="198"/>
      <c r="U82" s="198"/>
    </row>
    <row r="83" spans="1:26" s="12" customFormat="1" x14ac:dyDescent="0.25">
      <c r="A83" s="215" t="s">
        <v>3207</v>
      </c>
      <c r="B83" s="64">
        <v>9.11</v>
      </c>
      <c r="C83" s="64">
        <v>26.07</v>
      </c>
      <c r="D83" s="64">
        <v>22.34</v>
      </c>
      <c r="E83" s="64">
        <v>0.52</v>
      </c>
      <c r="F83" s="64">
        <v>5.69</v>
      </c>
      <c r="G83" s="64">
        <v>27.09</v>
      </c>
      <c r="H83" s="64">
        <v>14.49</v>
      </c>
      <c r="I83" s="216" t="s">
        <v>43</v>
      </c>
      <c r="J83" s="64">
        <v>0.22</v>
      </c>
      <c r="K83" s="64">
        <v>43.91</v>
      </c>
      <c r="L83" s="64">
        <v>26.28</v>
      </c>
      <c r="M83" s="64">
        <v>80.55</v>
      </c>
      <c r="N83" s="64">
        <v>44.2</v>
      </c>
      <c r="O83" s="64">
        <v>0</v>
      </c>
      <c r="P83" s="64">
        <v>0.44</v>
      </c>
      <c r="Q83" s="64">
        <v>14.77</v>
      </c>
      <c r="R83" s="198"/>
      <c r="S83" s="198"/>
      <c r="T83" s="198"/>
      <c r="U83" s="198"/>
    </row>
    <row r="84" spans="1:26" s="12" customFormat="1" x14ac:dyDescent="0.25">
      <c r="A84" s="215" t="s">
        <v>3208</v>
      </c>
      <c r="B84" s="64">
        <v>5.33</v>
      </c>
      <c r="C84" s="64">
        <v>25.37</v>
      </c>
      <c r="D84" s="64">
        <v>18.920000000000002</v>
      </c>
      <c r="E84" s="64">
        <v>0.22</v>
      </c>
      <c r="F84" s="64">
        <v>6.38</v>
      </c>
      <c r="G84" s="64">
        <v>31.53</v>
      </c>
      <c r="H84" s="64">
        <v>15.32</v>
      </c>
      <c r="I84" s="216" t="s">
        <v>43</v>
      </c>
      <c r="J84" s="64">
        <v>0.27</v>
      </c>
      <c r="K84" s="64">
        <v>42.47</v>
      </c>
      <c r="L84" s="64">
        <v>26.1</v>
      </c>
      <c r="M84" s="64">
        <v>82.08</v>
      </c>
      <c r="N84" s="64">
        <v>43.4</v>
      </c>
      <c r="O84" s="64">
        <v>0</v>
      </c>
      <c r="P84" s="64">
        <v>0.46</v>
      </c>
      <c r="Q84" s="64">
        <v>14.92</v>
      </c>
      <c r="R84" s="198"/>
      <c r="S84" s="198"/>
      <c r="T84" s="198"/>
      <c r="U84" s="198"/>
    </row>
    <row r="85" spans="1:26" s="12" customFormat="1" x14ac:dyDescent="0.25">
      <c r="A85" s="215" t="s">
        <v>3209</v>
      </c>
      <c r="B85" s="64">
        <v>5.21</v>
      </c>
      <c r="C85" s="64">
        <v>25.11</v>
      </c>
      <c r="D85" s="64">
        <v>18.68</v>
      </c>
      <c r="E85" s="64">
        <v>0.09</v>
      </c>
      <c r="F85" s="64">
        <v>6.7</v>
      </c>
      <c r="G85" s="64">
        <v>49.28</v>
      </c>
      <c r="H85" s="64">
        <v>17.63</v>
      </c>
      <c r="I85" s="216" t="s">
        <v>43</v>
      </c>
      <c r="J85" s="64">
        <v>0.34</v>
      </c>
      <c r="K85" s="64">
        <v>38.9</v>
      </c>
      <c r="L85" s="64">
        <v>26.11</v>
      </c>
      <c r="M85" s="64">
        <v>82.31</v>
      </c>
      <c r="N85" s="64">
        <v>43.2</v>
      </c>
      <c r="O85" s="64">
        <v>0</v>
      </c>
      <c r="P85" s="64">
        <v>0.45</v>
      </c>
      <c r="Q85" s="64">
        <v>15.6</v>
      </c>
      <c r="R85" s="198"/>
      <c r="S85" s="198"/>
      <c r="T85" s="198"/>
      <c r="U85" s="198"/>
    </row>
    <row r="86" spans="1:26" s="12" customFormat="1" x14ac:dyDescent="0.25">
      <c r="A86" s="215" t="s">
        <v>3210</v>
      </c>
      <c r="B86" s="64">
        <v>5.17</v>
      </c>
      <c r="C86" s="64">
        <v>23.18</v>
      </c>
      <c r="D86" s="64">
        <v>17.59</v>
      </c>
      <c r="E86" s="64">
        <v>0.63</v>
      </c>
      <c r="F86" s="64">
        <v>4.6500000000000004</v>
      </c>
      <c r="G86" s="64">
        <v>49.28</v>
      </c>
      <c r="H86" s="64">
        <v>17.63</v>
      </c>
      <c r="I86" s="216" t="s">
        <v>43</v>
      </c>
      <c r="J86" s="64">
        <v>0.35</v>
      </c>
      <c r="K86" s="64">
        <v>36.29</v>
      </c>
      <c r="L86" s="64">
        <v>25.99</v>
      </c>
      <c r="M86" s="64">
        <v>81.95</v>
      </c>
      <c r="N86" s="64">
        <v>43.4</v>
      </c>
      <c r="O86" s="64">
        <v>0</v>
      </c>
      <c r="P86" s="64">
        <v>0.45</v>
      </c>
      <c r="Q86" s="64">
        <v>14.65</v>
      </c>
      <c r="R86" s="198"/>
      <c r="S86" s="198"/>
      <c r="T86" s="198"/>
      <c r="U86" s="198"/>
    </row>
    <row r="87" spans="1:26" s="12" customFormat="1" x14ac:dyDescent="0.25">
      <c r="A87" s="215" t="s">
        <v>3211</v>
      </c>
      <c r="B87" s="64">
        <v>4.9000000000000004</v>
      </c>
      <c r="C87" s="64">
        <v>22.61</v>
      </c>
      <c r="D87" s="64">
        <v>17.05</v>
      </c>
      <c r="E87" s="64">
        <v>0.64</v>
      </c>
      <c r="F87" s="64">
        <v>4.34</v>
      </c>
      <c r="G87" s="64">
        <v>49.28</v>
      </c>
      <c r="H87" s="64">
        <v>17.63</v>
      </c>
      <c r="I87" s="216" t="s">
        <v>43</v>
      </c>
      <c r="J87" s="64">
        <v>0.37</v>
      </c>
      <c r="K87" s="64">
        <v>31.93</v>
      </c>
      <c r="L87" s="64">
        <v>25.92</v>
      </c>
      <c r="M87" s="64">
        <v>81.66</v>
      </c>
      <c r="N87" s="64">
        <v>43.5</v>
      </c>
      <c r="O87" s="64">
        <v>0</v>
      </c>
      <c r="P87" s="64">
        <v>0.45</v>
      </c>
      <c r="Q87" s="64">
        <v>14.06</v>
      </c>
      <c r="R87" s="198"/>
      <c r="S87" s="198"/>
      <c r="T87" s="198"/>
      <c r="U87" s="198"/>
    </row>
    <row r="88" spans="1:26" s="12" customFormat="1" x14ac:dyDescent="0.25">
      <c r="A88" s="215" t="s">
        <v>3212</v>
      </c>
      <c r="B88" s="64">
        <v>6.53</v>
      </c>
      <c r="C88" s="64">
        <v>24.95</v>
      </c>
      <c r="D88" s="64">
        <v>19.649999999999999</v>
      </c>
      <c r="E88" s="64">
        <v>0.52</v>
      </c>
      <c r="F88" s="64">
        <v>4.7</v>
      </c>
      <c r="G88" s="64">
        <v>47.84</v>
      </c>
      <c r="H88" s="64">
        <v>17.11</v>
      </c>
      <c r="I88" s="216" t="s">
        <v>43</v>
      </c>
      <c r="J88" s="64">
        <v>0.35</v>
      </c>
      <c r="K88" s="64">
        <v>36.43</v>
      </c>
      <c r="L88" s="64">
        <v>25.93</v>
      </c>
      <c r="M88" s="64">
        <v>81.14</v>
      </c>
      <c r="N88" s="64">
        <v>43.4</v>
      </c>
      <c r="O88" s="64">
        <v>0</v>
      </c>
      <c r="P88" s="64">
        <v>0.54</v>
      </c>
      <c r="Q88" s="64">
        <v>13.17</v>
      </c>
      <c r="R88" s="198"/>
      <c r="S88" s="198"/>
      <c r="T88" s="198"/>
      <c r="U88" s="198"/>
    </row>
    <row r="89" spans="1:26" s="12" customFormat="1" x14ac:dyDescent="0.25">
      <c r="A89" s="215" t="s">
        <v>3213</v>
      </c>
      <c r="B89" s="64">
        <v>7.1</v>
      </c>
      <c r="C89" s="64">
        <v>24.96</v>
      </c>
      <c r="D89" s="64">
        <v>20.11</v>
      </c>
      <c r="E89" s="64">
        <v>0.84</v>
      </c>
      <c r="F89" s="64">
        <v>3.5</v>
      </c>
      <c r="G89" s="64">
        <v>42.06</v>
      </c>
      <c r="H89" s="64">
        <v>15.56</v>
      </c>
      <c r="I89" s="216" t="s">
        <v>43</v>
      </c>
      <c r="J89" s="64">
        <v>0.37</v>
      </c>
      <c r="K89" s="64">
        <v>41.73</v>
      </c>
      <c r="L89" s="64">
        <v>25.85</v>
      </c>
      <c r="M89" s="64">
        <v>81.44</v>
      </c>
      <c r="N89" s="64">
        <v>43.5</v>
      </c>
      <c r="O89" s="64">
        <v>0</v>
      </c>
      <c r="P89" s="64">
        <v>0.63</v>
      </c>
      <c r="Q89" s="64">
        <v>14.13</v>
      </c>
      <c r="R89" s="198"/>
      <c r="S89" s="198"/>
      <c r="T89" s="198"/>
      <c r="U89" s="198"/>
    </row>
    <row r="90" spans="1:26" s="12" customFormat="1" x14ac:dyDescent="0.25">
      <c r="A90" s="215" t="s">
        <v>3214</v>
      </c>
      <c r="B90" s="64">
        <v>6.99</v>
      </c>
      <c r="C90" s="64">
        <v>24.71</v>
      </c>
      <c r="D90" s="64">
        <v>19.89</v>
      </c>
      <c r="E90" s="64">
        <v>0.9</v>
      </c>
      <c r="F90" s="64">
        <v>3.83</v>
      </c>
      <c r="G90" s="64">
        <v>42.06</v>
      </c>
      <c r="H90" s="64">
        <v>15.56</v>
      </c>
      <c r="I90" s="216" t="s">
        <v>43</v>
      </c>
      <c r="J90" s="64">
        <v>0.34</v>
      </c>
      <c r="K90" s="64">
        <v>44.17</v>
      </c>
      <c r="L90" s="64">
        <v>25.67</v>
      </c>
      <c r="M90" s="64">
        <v>83.72</v>
      </c>
      <c r="N90" s="64">
        <v>43.6</v>
      </c>
      <c r="O90" s="64">
        <v>0</v>
      </c>
      <c r="P90" s="64">
        <v>0.63</v>
      </c>
      <c r="Q90" s="64">
        <v>14</v>
      </c>
      <c r="R90" s="198"/>
      <c r="S90" s="198"/>
      <c r="T90" s="198"/>
      <c r="U90" s="198"/>
    </row>
    <row r="91" spans="1:26" s="12" customFormat="1" x14ac:dyDescent="0.25">
      <c r="A91" s="215" t="s">
        <v>3215</v>
      </c>
      <c r="B91" s="64">
        <v>7.28</v>
      </c>
      <c r="C91" s="64">
        <v>24.33</v>
      </c>
      <c r="D91" s="64">
        <v>19.91</v>
      </c>
      <c r="E91" s="64">
        <v>1</v>
      </c>
      <c r="F91" s="64">
        <v>4.22</v>
      </c>
      <c r="G91" s="64">
        <v>42.06</v>
      </c>
      <c r="H91" s="64">
        <v>15.56</v>
      </c>
      <c r="I91" s="216" t="s">
        <v>43</v>
      </c>
      <c r="J91" s="64">
        <v>0.4</v>
      </c>
      <c r="K91" s="64">
        <v>19.12</v>
      </c>
      <c r="L91" s="64">
        <v>25.54</v>
      </c>
      <c r="M91" s="64">
        <v>85.05</v>
      </c>
      <c r="N91" s="64">
        <v>43.7</v>
      </c>
      <c r="O91" s="64">
        <v>0</v>
      </c>
      <c r="P91" s="64">
        <v>0.64</v>
      </c>
      <c r="Q91" s="64">
        <v>14.01</v>
      </c>
      <c r="R91" s="198"/>
      <c r="S91" s="198"/>
      <c r="T91" s="198"/>
      <c r="U91" s="198"/>
    </row>
    <row r="92" spans="1:26" s="12" customFormat="1" x14ac:dyDescent="0.25">
      <c r="A92" s="215" t="s">
        <v>3216</v>
      </c>
      <c r="B92" s="64">
        <v>8.1300000000000008</v>
      </c>
      <c r="C92" s="64">
        <v>24.66</v>
      </c>
      <c r="D92" s="64">
        <v>20.78</v>
      </c>
      <c r="E92" s="64">
        <v>1.24</v>
      </c>
      <c r="F92" s="64">
        <v>3.89</v>
      </c>
      <c r="G92" s="64">
        <v>43.17</v>
      </c>
      <c r="H92" s="64">
        <v>15.6</v>
      </c>
      <c r="I92" s="216" t="s">
        <v>43</v>
      </c>
      <c r="J92" s="64">
        <v>0.43</v>
      </c>
      <c r="K92" s="64">
        <v>15.03</v>
      </c>
      <c r="L92" s="64">
        <v>25.52</v>
      </c>
      <c r="M92" s="64">
        <v>83.63</v>
      </c>
      <c r="N92" s="64">
        <v>43.6</v>
      </c>
      <c r="O92" s="64">
        <v>0</v>
      </c>
      <c r="P92" s="64">
        <v>0.63</v>
      </c>
      <c r="Q92" s="64">
        <v>14.39</v>
      </c>
      <c r="R92" s="198"/>
      <c r="S92" s="198"/>
      <c r="T92" s="198"/>
      <c r="U92" s="198"/>
    </row>
    <row r="93" spans="1:26" s="12" customFormat="1" x14ac:dyDescent="0.25">
      <c r="A93" s="215" t="s">
        <v>3217</v>
      </c>
      <c r="B93" s="64">
        <v>7.95</v>
      </c>
      <c r="C93" s="64">
        <v>24.83</v>
      </c>
      <c r="D93" s="64">
        <v>20.73</v>
      </c>
      <c r="E93" s="64">
        <v>1.06</v>
      </c>
      <c r="F93" s="64">
        <v>4.6399999999999997</v>
      </c>
      <c r="G93" s="64">
        <v>46.98</v>
      </c>
      <c r="H93" s="64">
        <v>15.69</v>
      </c>
      <c r="I93" s="216" t="s">
        <v>43</v>
      </c>
      <c r="J93" s="64">
        <v>0.47</v>
      </c>
      <c r="K93" s="64">
        <v>17.68</v>
      </c>
      <c r="L93" s="64">
        <v>25.39</v>
      </c>
      <c r="M93" s="64">
        <v>82.3</v>
      </c>
      <c r="N93" s="64">
        <v>43.6</v>
      </c>
      <c r="O93" s="64">
        <v>0</v>
      </c>
      <c r="P93" s="64">
        <v>0.64</v>
      </c>
      <c r="Q93" s="64">
        <v>14.48</v>
      </c>
      <c r="R93" s="198"/>
      <c r="S93" s="198"/>
      <c r="T93" s="198"/>
      <c r="U93" s="198"/>
    </row>
    <row r="94" spans="1:26" s="12" customFormat="1" x14ac:dyDescent="0.25">
      <c r="A94" s="215" t="s">
        <v>3218</v>
      </c>
      <c r="B94" s="64">
        <v>7.84</v>
      </c>
      <c r="C94" s="64">
        <v>25.99</v>
      </c>
      <c r="D94" s="64">
        <v>21.28</v>
      </c>
      <c r="E94" s="64">
        <v>1.64</v>
      </c>
      <c r="F94" s="64">
        <v>2.74</v>
      </c>
      <c r="G94" s="64">
        <v>46.98</v>
      </c>
      <c r="H94" s="64">
        <v>15.69</v>
      </c>
      <c r="I94" s="216" t="s">
        <v>43</v>
      </c>
      <c r="J94" s="64">
        <v>0.45</v>
      </c>
      <c r="K94" s="64">
        <v>16.850000000000001</v>
      </c>
      <c r="L94" s="64">
        <v>25.33</v>
      </c>
      <c r="M94" s="64">
        <v>80.33</v>
      </c>
      <c r="N94" s="64">
        <v>43.6</v>
      </c>
      <c r="O94" s="64">
        <v>0</v>
      </c>
      <c r="P94" s="64">
        <v>0.63</v>
      </c>
      <c r="Q94" s="64">
        <v>16</v>
      </c>
      <c r="R94" s="198"/>
      <c r="S94" s="198"/>
      <c r="T94" s="198"/>
      <c r="U94" s="198"/>
    </row>
    <row r="95" spans="1:26" s="12" customFormat="1" x14ac:dyDescent="0.25">
      <c r="A95" s="215" t="s">
        <v>3219</v>
      </c>
      <c r="B95" s="64">
        <v>9.81</v>
      </c>
      <c r="C95" s="64">
        <v>23.61</v>
      </c>
      <c r="D95" s="64">
        <v>21.52</v>
      </c>
      <c r="E95" s="64">
        <v>1.0900000000000001</v>
      </c>
      <c r="F95" s="64">
        <v>4.68</v>
      </c>
      <c r="G95" s="64">
        <v>46.98</v>
      </c>
      <c r="H95" s="64">
        <v>15.69</v>
      </c>
      <c r="I95" s="216" t="s">
        <v>43</v>
      </c>
      <c r="J95" s="64">
        <v>0.34</v>
      </c>
      <c r="K95" s="64">
        <v>20.88</v>
      </c>
      <c r="L95" s="64">
        <v>25.14</v>
      </c>
      <c r="M95" s="64">
        <v>81.95</v>
      </c>
      <c r="N95" s="64">
        <v>43.7</v>
      </c>
      <c r="O95" s="64">
        <v>0</v>
      </c>
      <c r="P95" s="64">
        <v>0.69</v>
      </c>
      <c r="Q95" s="64">
        <v>15.54</v>
      </c>
      <c r="R95" s="198"/>
      <c r="S95" s="198"/>
      <c r="T95" s="198"/>
      <c r="U95" s="198"/>
    </row>
    <row r="96" spans="1:26" s="12" customFormat="1" x14ac:dyDescent="0.25">
      <c r="A96" s="215" t="s">
        <v>3220</v>
      </c>
      <c r="B96" s="64">
        <v>7.81</v>
      </c>
      <c r="C96" s="64">
        <v>27.48</v>
      </c>
      <c r="D96" s="64">
        <v>22.07</v>
      </c>
      <c r="E96" s="64">
        <v>1.7</v>
      </c>
      <c r="F96" s="64">
        <v>3.1</v>
      </c>
      <c r="G96" s="64">
        <v>46.68</v>
      </c>
      <c r="H96" s="64">
        <v>15.96</v>
      </c>
      <c r="I96" s="216" t="s">
        <v>43</v>
      </c>
      <c r="J96" s="64">
        <v>0.36</v>
      </c>
      <c r="K96" s="64">
        <v>30.01</v>
      </c>
      <c r="L96" s="64">
        <v>25.03</v>
      </c>
      <c r="M96" s="64">
        <v>83.78</v>
      </c>
      <c r="N96" s="64">
        <v>40.299999999999997</v>
      </c>
      <c r="O96" s="64">
        <v>0</v>
      </c>
      <c r="P96" s="64">
        <v>0.7</v>
      </c>
      <c r="Q96" s="64">
        <v>15.01</v>
      </c>
      <c r="R96" s="198"/>
      <c r="S96" s="198"/>
      <c r="T96" s="214"/>
      <c r="U96" s="198"/>
      <c r="Z96" s="109"/>
    </row>
    <row r="97" spans="1:33" s="12" customFormat="1" x14ac:dyDescent="0.25">
      <c r="A97" s="215" t="s">
        <v>3221</v>
      </c>
      <c r="B97" s="64">
        <v>8.06</v>
      </c>
      <c r="C97" s="64">
        <v>23.44</v>
      </c>
      <c r="D97" s="64">
        <v>20.04</v>
      </c>
      <c r="E97" s="64">
        <v>1.43</v>
      </c>
      <c r="F97" s="64">
        <v>5.25</v>
      </c>
      <c r="G97" s="64">
        <v>45.48</v>
      </c>
      <c r="H97" s="64">
        <v>16.72</v>
      </c>
      <c r="I97" s="216" t="s">
        <v>43</v>
      </c>
      <c r="J97" s="64">
        <v>0.35</v>
      </c>
      <c r="K97" s="64">
        <v>37.590000000000003</v>
      </c>
      <c r="L97" s="64">
        <v>24.74</v>
      </c>
      <c r="M97" s="64">
        <v>84.96</v>
      </c>
      <c r="N97" s="64">
        <v>38.799999999999997</v>
      </c>
      <c r="O97" s="64">
        <v>0</v>
      </c>
      <c r="P97" s="64">
        <v>0.68</v>
      </c>
      <c r="Q97" s="64">
        <v>15.52</v>
      </c>
      <c r="R97" s="198"/>
      <c r="S97" s="198"/>
      <c r="T97" s="198"/>
      <c r="U97" s="198"/>
    </row>
    <row r="98" spans="1:33" s="12" customFormat="1" x14ac:dyDescent="0.25">
      <c r="A98" s="215" t="s">
        <v>3222</v>
      </c>
      <c r="B98" s="64">
        <v>8.39</v>
      </c>
      <c r="C98" s="64">
        <v>23.07</v>
      </c>
      <c r="D98" s="64">
        <v>20.11</v>
      </c>
      <c r="E98" s="64">
        <v>1.77</v>
      </c>
      <c r="F98" s="64">
        <v>1.73</v>
      </c>
      <c r="G98" s="64">
        <v>45.48</v>
      </c>
      <c r="H98" s="64">
        <v>16.72</v>
      </c>
      <c r="I98" s="216" t="s">
        <v>43</v>
      </c>
      <c r="J98" s="64">
        <v>0.28000000000000003</v>
      </c>
      <c r="K98" s="64">
        <v>36.049999999999997</v>
      </c>
      <c r="L98" s="64">
        <v>24.56</v>
      </c>
      <c r="M98" s="64">
        <v>86.1</v>
      </c>
      <c r="N98" s="64">
        <v>38.6</v>
      </c>
      <c r="O98" s="64">
        <v>0</v>
      </c>
      <c r="P98" s="64">
        <v>0.7</v>
      </c>
      <c r="Q98" s="64">
        <v>15.55</v>
      </c>
      <c r="R98" s="198"/>
      <c r="S98" s="198"/>
      <c r="T98" s="198"/>
      <c r="U98" s="198"/>
    </row>
    <row r="99" spans="1:33" s="12" customFormat="1" x14ac:dyDescent="0.25">
      <c r="A99" s="215" t="s">
        <v>3223</v>
      </c>
      <c r="B99" s="64">
        <v>9.9700000000000006</v>
      </c>
      <c r="C99" s="64">
        <v>21.79</v>
      </c>
      <c r="D99" s="64">
        <v>20.67</v>
      </c>
      <c r="E99" s="64">
        <v>1.32</v>
      </c>
      <c r="F99" s="64">
        <v>3.19</v>
      </c>
      <c r="G99" s="64">
        <v>45.48</v>
      </c>
      <c r="H99" s="64">
        <v>16.72</v>
      </c>
      <c r="I99" s="216" t="s">
        <v>43</v>
      </c>
      <c r="J99" s="64">
        <v>0.27</v>
      </c>
      <c r="K99" s="64">
        <v>22.99</v>
      </c>
      <c r="L99" s="64">
        <v>24.5</v>
      </c>
      <c r="M99" s="64">
        <v>86.24</v>
      </c>
      <c r="N99" s="64">
        <v>38.5</v>
      </c>
      <c r="O99" s="64">
        <v>0</v>
      </c>
      <c r="P99" s="64">
        <v>0.75</v>
      </c>
      <c r="Q99" s="64">
        <v>14.28</v>
      </c>
      <c r="R99" s="198"/>
      <c r="S99" s="198"/>
      <c r="T99" s="198"/>
      <c r="U99" s="198"/>
    </row>
    <row r="100" spans="1:33" s="12" customFormat="1" x14ac:dyDescent="0.25">
      <c r="A100" s="215" t="s">
        <v>3224</v>
      </c>
      <c r="B100" s="64">
        <v>9.5500000000000007</v>
      </c>
      <c r="C100" s="64">
        <v>22.71</v>
      </c>
      <c r="D100" s="64">
        <v>20.83</v>
      </c>
      <c r="E100" s="64">
        <v>1.35</v>
      </c>
      <c r="F100" s="64">
        <v>3.66</v>
      </c>
      <c r="G100" s="64">
        <v>44.71</v>
      </c>
      <c r="H100" s="64">
        <v>16.559999999999999</v>
      </c>
      <c r="I100" s="216" t="s">
        <v>43</v>
      </c>
      <c r="J100" s="64">
        <v>0.19</v>
      </c>
      <c r="K100" s="64">
        <v>36.29</v>
      </c>
      <c r="L100" s="64">
        <v>24.45</v>
      </c>
      <c r="M100" s="64">
        <v>85.9</v>
      </c>
      <c r="N100" s="64">
        <v>38.700000000000003</v>
      </c>
      <c r="O100" s="64">
        <v>0</v>
      </c>
      <c r="P100" s="64">
        <v>0.76</v>
      </c>
      <c r="Q100" s="64">
        <v>13.73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3225</v>
      </c>
      <c r="B101" s="64">
        <v>9.48</v>
      </c>
      <c r="C101" s="64">
        <v>23.29</v>
      </c>
      <c r="D101" s="64">
        <v>21.1</v>
      </c>
      <c r="E101" s="64">
        <v>1.25</v>
      </c>
      <c r="F101" s="64">
        <v>2.37</v>
      </c>
      <c r="G101" s="64">
        <v>41.63</v>
      </c>
      <c r="H101" s="64">
        <v>16.14</v>
      </c>
      <c r="I101" s="216" t="s">
        <v>43</v>
      </c>
      <c r="J101" s="64">
        <v>0.21</v>
      </c>
      <c r="K101" s="64">
        <v>34.75</v>
      </c>
      <c r="L101" s="64">
        <v>24.26</v>
      </c>
      <c r="M101" s="64">
        <v>85.77</v>
      </c>
      <c r="N101" s="64">
        <v>38.700000000000003</v>
      </c>
      <c r="O101" s="64">
        <v>0</v>
      </c>
      <c r="P101" s="64">
        <v>0.73</v>
      </c>
      <c r="Q101" s="64">
        <v>14.71</v>
      </c>
      <c r="R101" s="198"/>
      <c r="S101" s="198"/>
      <c r="T101" s="198"/>
      <c r="U101" s="198"/>
    </row>
    <row r="102" spans="1:33" s="12" customFormat="1" x14ac:dyDescent="0.25">
      <c r="A102" s="215" t="s">
        <v>3226</v>
      </c>
      <c r="B102" s="64">
        <v>9.4700000000000006</v>
      </c>
      <c r="C102" s="64">
        <v>22.73</v>
      </c>
      <c r="D102" s="64">
        <v>20.78</v>
      </c>
      <c r="E102" s="64">
        <v>1.21</v>
      </c>
      <c r="F102" s="64">
        <v>3.24</v>
      </c>
      <c r="G102" s="64">
        <v>41.63</v>
      </c>
      <c r="H102" s="64">
        <v>16.14</v>
      </c>
      <c r="I102" s="216" t="s">
        <v>43</v>
      </c>
      <c r="J102" s="64">
        <v>0.19</v>
      </c>
      <c r="K102" s="64">
        <v>36.36</v>
      </c>
      <c r="L102" s="64">
        <v>24.07</v>
      </c>
      <c r="M102" s="64">
        <v>87.6</v>
      </c>
      <c r="N102" s="64">
        <v>38.6</v>
      </c>
      <c r="O102" s="64">
        <v>0</v>
      </c>
      <c r="P102" s="64">
        <v>0.72</v>
      </c>
      <c r="Q102" s="64">
        <v>14.19</v>
      </c>
      <c r="R102" s="198"/>
      <c r="S102" s="198"/>
      <c r="T102" s="198"/>
      <c r="U102" s="198"/>
    </row>
    <row r="103" spans="1:33" s="12" customFormat="1" x14ac:dyDescent="0.25">
      <c r="A103" s="215" t="s">
        <v>3227</v>
      </c>
      <c r="B103" s="64">
        <v>9.1999999999999993</v>
      </c>
      <c r="C103" s="64">
        <v>22.88</v>
      </c>
      <c r="D103" s="64">
        <v>20.65</v>
      </c>
      <c r="E103" s="64">
        <v>1.56</v>
      </c>
      <c r="F103" s="64">
        <v>3.25</v>
      </c>
      <c r="G103" s="64">
        <v>41.63</v>
      </c>
      <c r="H103" s="64">
        <v>16.14</v>
      </c>
      <c r="I103" s="216" t="s">
        <v>43</v>
      </c>
      <c r="J103" s="64">
        <v>0.21</v>
      </c>
      <c r="K103" s="64">
        <v>35</v>
      </c>
      <c r="L103" s="64">
        <v>24.04</v>
      </c>
      <c r="M103" s="64">
        <v>90.21</v>
      </c>
      <c r="N103" s="64">
        <v>38.5</v>
      </c>
      <c r="O103" s="64">
        <v>0</v>
      </c>
      <c r="P103" s="64">
        <v>0.68</v>
      </c>
      <c r="Q103" s="64">
        <v>14.78</v>
      </c>
      <c r="R103" s="198"/>
      <c r="S103" s="198"/>
      <c r="T103" s="198"/>
      <c r="U103" s="198"/>
    </row>
    <row r="104" spans="1:33" s="12" customFormat="1" x14ac:dyDescent="0.25">
      <c r="A104" s="215" t="s">
        <v>3228</v>
      </c>
      <c r="B104" s="64">
        <v>8.82</v>
      </c>
      <c r="C104" s="64">
        <v>22.18</v>
      </c>
      <c r="D104" s="64">
        <v>19.96</v>
      </c>
      <c r="E104" s="64">
        <v>0.44</v>
      </c>
      <c r="F104" s="64">
        <v>3.81</v>
      </c>
      <c r="G104" s="64">
        <v>40.880000000000003</v>
      </c>
      <c r="H104" s="64">
        <v>15.88</v>
      </c>
      <c r="I104" s="216" t="s">
        <v>43</v>
      </c>
      <c r="J104" s="64">
        <v>0.27</v>
      </c>
      <c r="K104" s="64">
        <v>36.79</v>
      </c>
      <c r="L104" s="64">
        <v>24.01</v>
      </c>
      <c r="M104" s="64">
        <v>92.35</v>
      </c>
      <c r="N104" s="64">
        <v>38.700000000000003</v>
      </c>
      <c r="O104" s="64">
        <v>0</v>
      </c>
      <c r="P104" s="64">
        <v>0.66</v>
      </c>
      <c r="Q104" s="64">
        <v>14.33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1.52</v>
      </c>
      <c r="C106" s="67">
        <f>MIN(C9:C104)</f>
        <v>18.760000000000002</v>
      </c>
      <c r="D106" s="67">
        <f t="shared" ref="D106:Q106" si="0">MIN(D9:D104)</f>
        <v>10.8</v>
      </c>
      <c r="E106" s="67">
        <f t="shared" si="0"/>
        <v>-0.19</v>
      </c>
      <c r="F106" s="67">
        <f t="shared" si="0"/>
        <v>1.73</v>
      </c>
      <c r="G106" s="67">
        <f t="shared" si="0"/>
        <v>3</v>
      </c>
      <c r="H106" s="67">
        <f t="shared" si="0"/>
        <v>6.49</v>
      </c>
      <c r="I106" s="67">
        <f t="shared" si="0"/>
        <v>0</v>
      </c>
      <c r="J106" s="67">
        <f t="shared" si="0"/>
        <v>0.05</v>
      </c>
      <c r="K106" s="67">
        <f t="shared" si="0"/>
        <v>4.0999999999999996</v>
      </c>
      <c r="L106" s="67">
        <f t="shared" si="0"/>
        <v>23.35</v>
      </c>
      <c r="M106" s="67">
        <f t="shared" si="0"/>
        <v>64.45</v>
      </c>
      <c r="N106" s="67">
        <f t="shared" si="0"/>
        <v>38.5</v>
      </c>
      <c r="O106" s="67">
        <f t="shared" si="0"/>
        <v>0</v>
      </c>
      <c r="P106" s="67">
        <f t="shared" si="0"/>
        <v>0.26</v>
      </c>
      <c r="Q106" s="67">
        <f t="shared" si="0"/>
        <v>11.98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22.43</v>
      </c>
      <c r="C107" s="66">
        <f t="shared" ref="C107:Q107" si="1">MAX(C9:C104)</f>
        <v>33.69</v>
      </c>
      <c r="D107" s="66">
        <f t="shared" si="1"/>
        <v>32.159999999999997</v>
      </c>
      <c r="E107" s="66">
        <f t="shared" si="1"/>
        <v>27.36</v>
      </c>
      <c r="F107" s="66">
        <f t="shared" si="1"/>
        <v>19.38</v>
      </c>
      <c r="G107" s="66">
        <f t="shared" si="1"/>
        <v>49.28</v>
      </c>
      <c r="H107" s="66">
        <f t="shared" si="1"/>
        <v>19.7</v>
      </c>
      <c r="I107" s="66">
        <f t="shared" si="1"/>
        <v>0</v>
      </c>
      <c r="J107" s="66">
        <f t="shared" si="1"/>
        <v>0.7</v>
      </c>
      <c r="K107" s="66">
        <f t="shared" si="1"/>
        <v>359.29</v>
      </c>
      <c r="L107" s="66">
        <f t="shared" si="1"/>
        <v>30.43</v>
      </c>
      <c r="M107" s="66">
        <f t="shared" si="1"/>
        <v>97.25</v>
      </c>
      <c r="N107" s="66">
        <f t="shared" si="1"/>
        <v>797.2</v>
      </c>
      <c r="O107" s="66">
        <f t="shared" si="1"/>
        <v>0</v>
      </c>
      <c r="P107" s="66">
        <f t="shared" si="1"/>
        <v>0.87</v>
      </c>
      <c r="Q107" s="66">
        <f t="shared" si="1"/>
        <v>19.68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8.5304166666666692</v>
      </c>
      <c r="C108" s="67">
        <f t="shared" ref="C108:Q108" si="2">AVERAGE(C9:C104)</f>
        <v>24.839062499999994</v>
      </c>
      <c r="D108" s="67">
        <f t="shared" si="2"/>
        <v>21.177187499999999</v>
      </c>
      <c r="E108" s="67">
        <f t="shared" si="2"/>
        <v>2.3472916666666674</v>
      </c>
      <c r="F108" s="67">
        <f t="shared" si="2"/>
        <v>5.0572916666666643</v>
      </c>
      <c r="G108" s="67">
        <f t="shared" si="2"/>
        <v>31.594408602150541</v>
      </c>
      <c r="H108" s="67">
        <f t="shared" si="2"/>
        <v>14.218817204301079</v>
      </c>
      <c r="I108" s="67" t="e">
        <f t="shared" si="2"/>
        <v>#DIV/0!</v>
      </c>
      <c r="J108" s="67">
        <f t="shared" si="2"/>
        <v>0.31041666666666673</v>
      </c>
      <c r="K108" s="67">
        <f t="shared" si="2"/>
        <v>50.44</v>
      </c>
      <c r="L108" s="67">
        <f t="shared" si="2"/>
        <v>25.774791666666669</v>
      </c>
      <c r="M108" s="67">
        <f t="shared" si="2"/>
        <v>84.511874999999989</v>
      </c>
      <c r="N108" s="67">
        <f t="shared" si="2"/>
        <v>215.25729166666667</v>
      </c>
      <c r="O108" s="67">
        <f t="shared" si="2"/>
        <v>0</v>
      </c>
      <c r="P108" s="67">
        <f t="shared" si="2"/>
        <v>0.52177083333333341</v>
      </c>
      <c r="Q108" s="67">
        <f t="shared" si="2"/>
        <v>15.677553191489364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5.3218004307340703</v>
      </c>
      <c r="C109" s="67">
        <f t="shared" ref="C109:Q109" si="3">STDEV(C9:C104)</f>
        <v>2.3058698909408069</v>
      </c>
      <c r="D109" s="67">
        <f t="shared" si="3"/>
        <v>4.5824237905340688</v>
      </c>
      <c r="E109" s="67">
        <f t="shared" si="3"/>
        <v>3.8279975469294976</v>
      </c>
      <c r="F109" s="67">
        <f t="shared" si="3"/>
        <v>2.3881287451703246</v>
      </c>
      <c r="G109" s="67">
        <f t="shared" si="3"/>
        <v>11.88623651104281</v>
      </c>
      <c r="H109" s="67">
        <f t="shared" si="3"/>
        <v>3.0245861554722979</v>
      </c>
      <c r="I109" s="67" t="e">
        <f t="shared" si="3"/>
        <v>#DIV/0!</v>
      </c>
      <c r="J109" s="67">
        <f t="shared" si="3"/>
        <v>0.1145142295609146</v>
      </c>
      <c r="K109" s="67">
        <f t="shared" si="3"/>
        <v>85.329330824443758</v>
      </c>
      <c r="L109" s="67">
        <f t="shared" si="3"/>
        <v>2.0461228955047579</v>
      </c>
      <c r="M109" s="67">
        <f t="shared" si="3"/>
        <v>10.361922531684561</v>
      </c>
      <c r="N109" s="67">
        <f t="shared" si="3"/>
        <v>224.08885349802981</v>
      </c>
      <c r="O109" s="67">
        <f t="shared" si="3"/>
        <v>0</v>
      </c>
      <c r="P109" s="67">
        <f t="shared" si="3"/>
        <v>0.17233379356211184</v>
      </c>
      <c r="Q109" s="67">
        <f t="shared" si="3"/>
        <v>2.0467638690992116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I33" sqref="I33:I39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01-07-2023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01-07-2023 00:15</v>
      </c>
      <c r="B9" s="61">
        <f>'01'!B108</f>
        <v>7.8904166666666624</v>
      </c>
      <c r="C9" s="61">
        <f>'01'!C108</f>
        <v>16.730729166666666</v>
      </c>
      <c r="D9" s="61">
        <f>'01'!D108</f>
        <v>16.207187499999996</v>
      </c>
      <c r="E9" s="61">
        <f>'01'!E108</f>
        <v>2.0713541666666666</v>
      </c>
      <c r="F9" s="61">
        <f>'01'!F108</f>
        <v>8.1979166666666661</v>
      </c>
      <c r="G9" s="211" t="s">
        <v>43</v>
      </c>
      <c r="H9" s="211" t="s">
        <v>43</v>
      </c>
      <c r="I9" s="61">
        <f>'01'!I108</f>
        <v>0.54520833333333341</v>
      </c>
      <c r="J9" s="61">
        <f>'01'!J108</f>
        <v>0.18115789473684205</v>
      </c>
      <c r="K9" s="61">
        <f>'01'!K108</f>
        <v>118.40000000000003</v>
      </c>
      <c r="L9" s="61">
        <f>'01'!L108</f>
        <v>26.994062499999995</v>
      </c>
      <c r="M9" s="61">
        <f>'01'!M108</f>
        <v>68.787604166666654</v>
      </c>
      <c r="N9" s="61">
        <f>'01'!N108</f>
        <v>255.47604166666665</v>
      </c>
      <c r="O9" s="61">
        <f>'01'!O108</f>
        <v>0</v>
      </c>
      <c r="P9" s="202">
        <f>'01'!P108</f>
        <v>0.70406250000000037</v>
      </c>
      <c r="Q9" s="61">
        <f>'01'!Q108</f>
        <v>11.409374999999999</v>
      </c>
      <c r="R9" s="118"/>
      <c r="S9" s="118"/>
      <c r="T9" s="118"/>
      <c r="U9" s="118"/>
    </row>
    <row r="10" spans="1:21" x14ac:dyDescent="0.25">
      <c r="A10" s="94" t="str">
        <f>'02'!$B$2</f>
        <v>02-07-2023 00:15</v>
      </c>
      <c r="B10" s="61">
        <f>'02'!B108</f>
        <v>7.9268749999999955</v>
      </c>
      <c r="C10" s="61">
        <f>'02'!C108</f>
        <v>17.383333333333329</v>
      </c>
      <c r="D10" s="61">
        <f>'02'!D108</f>
        <v>16.596458333333334</v>
      </c>
      <c r="E10" s="61">
        <f>'02'!E108</f>
        <v>1.8928124999999991</v>
      </c>
      <c r="F10" s="61">
        <f>'02'!F108</f>
        <v>9.2631249999999987</v>
      </c>
      <c r="G10" s="211" t="s">
        <v>43</v>
      </c>
      <c r="H10" s="211" t="s">
        <v>43</v>
      </c>
      <c r="I10" s="61">
        <f>'02'!I108</f>
        <v>0.55094339622641531</v>
      </c>
      <c r="J10" s="61">
        <f>'02'!J108</f>
        <v>0.15322916666666661</v>
      </c>
      <c r="K10" s="61">
        <f>'02'!K108</f>
        <v>130.04093750000001</v>
      </c>
      <c r="L10" s="61">
        <f>'02'!L108</f>
        <v>26.947708333333342</v>
      </c>
      <c r="M10" s="61">
        <f>'02'!M108</f>
        <v>69.885416666666657</v>
      </c>
      <c r="N10" s="61">
        <f>'02'!N108</f>
        <v>184.24374999999989</v>
      </c>
      <c r="O10" s="61">
        <f>'02'!O108</f>
        <v>0</v>
      </c>
      <c r="P10" s="202">
        <f>'02'!P108</f>
        <v>0.75020833333333325</v>
      </c>
      <c r="Q10" s="61">
        <f>'02'!Q108</f>
        <v>11.080520833333331</v>
      </c>
      <c r="R10" s="118"/>
      <c r="S10" s="118"/>
      <c r="T10" s="118"/>
      <c r="U10" s="118"/>
    </row>
    <row r="11" spans="1:21" x14ac:dyDescent="0.25">
      <c r="A11" s="94" t="str">
        <f>'03'!$B$2</f>
        <v>03-07-2023 00:15</v>
      </c>
      <c r="B11" s="61">
        <f>'03'!B108</f>
        <v>10.244062500000002</v>
      </c>
      <c r="C11" s="61">
        <f>'03'!C108</f>
        <v>21.66729166666666</v>
      </c>
      <c r="D11" s="61">
        <f>'03'!D108</f>
        <v>20.818437499999991</v>
      </c>
      <c r="E11" s="61">
        <f>'03'!E108</f>
        <v>2.5167708333333341</v>
      </c>
      <c r="F11" s="61">
        <f>'03'!F108</f>
        <v>16.284375000000001</v>
      </c>
      <c r="G11" s="211" t="s">
        <v>43</v>
      </c>
      <c r="H11" s="211" t="s">
        <v>43</v>
      </c>
      <c r="I11" s="61">
        <f>'03'!I108</f>
        <v>3.1859999999999999</v>
      </c>
      <c r="J11" s="61">
        <f>'03'!J108</f>
        <v>0.3071875</v>
      </c>
      <c r="K11" s="61">
        <f>'03'!K108</f>
        <v>199.17250000000004</v>
      </c>
      <c r="L11" s="61">
        <f>'03'!L108</f>
        <v>28.005208333333332</v>
      </c>
      <c r="M11" s="61">
        <f>'03'!M108</f>
        <v>70.560312500000009</v>
      </c>
      <c r="N11" s="61">
        <f>'03'!N108</f>
        <v>199.03645833333334</v>
      </c>
      <c r="O11" s="61">
        <f>'03'!O108</f>
        <v>0</v>
      </c>
      <c r="P11" s="202">
        <f>'03'!P108</f>
        <v>0.72375000000000023</v>
      </c>
      <c r="Q11" s="61">
        <f>'03'!Q108</f>
        <v>16.778749999999999</v>
      </c>
      <c r="R11" s="118"/>
      <c r="S11" s="118"/>
      <c r="T11" s="118"/>
      <c r="U11" s="118"/>
    </row>
    <row r="12" spans="1:21" x14ac:dyDescent="0.25">
      <c r="A12" s="94" t="str">
        <f>'04'!$B$2</f>
        <v>04-07-2023 00:15</v>
      </c>
      <c r="B12" s="61">
        <f>'04'!B108</f>
        <v>7.3028124999999973</v>
      </c>
      <c r="C12" s="61">
        <f>'04'!C108</f>
        <v>20.272812500000004</v>
      </c>
      <c r="D12" s="61">
        <f>'04'!D108</f>
        <v>17.683124999999993</v>
      </c>
      <c r="E12" s="61">
        <f>'04'!E108</f>
        <v>2.518020833333332</v>
      </c>
      <c r="F12" s="61">
        <f>'04'!F108</f>
        <v>21.008854166666676</v>
      </c>
      <c r="G12" s="211" t="s">
        <v>43</v>
      </c>
      <c r="H12" s="211" t="s">
        <v>43</v>
      </c>
      <c r="I12" s="61">
        <f>'04'!I108</f>
        <v>4.4595121951219525</v>
      </c>
      <c r="J12" s="61">
        <f>'04'!J108</f>
        <v>0.42864583333333339</v>
      </c>
      <c r="K12" s="61">
        <f>'04'!K108</f>
        <v>167.00843750000001</v>
      </c>
      <c r="L12" s="61">
        <f>'04'!L108</f>
        <v>27.963124999999987</v>
      </c>
      <c r="M12" s="61">
        <f>'04'!M108</f>
        <v>73.322395833333331</v>
      </c>
      <c r="N12" s="61">
        <f>'04'!N108</f>
        <v>232.1802083333333</v>
      </c>
      <c r="O12" s="61">
        <f>'04'!O108</f>
        <v>9.166666666666666E-2</v>
      </c>
      <c r="P12" s="202">
        <f>'04'!P108</f>
        <v>0.68385416666666676</v>
      </c>
      <c r="Q12" s="61">
        <f>'04'!Q108</f>
        <v>14.919687499999997</v>
      </c>
      <c r="R12" s="118"/>
      <c r="S12" s="118"/>
      <c r="T12" s="118"/>
      <c r="U12" s="118"/>
    </row>
    <row r="13" spans="1:21" x14ac:dyDescent="0.25">
      <c r="A13" s="94" t="str">
        <f>'05'!$B$2</f>
        <v>05-07-2023 00:15</v>
      </c>
      <c r="B13" s="61">
        <f>'05'!B108</f>
        <v>7.3001041666666673</v>
      </c>
      <c r="C13" s="61">
        <f>'05'!C108</f>
        <v>18.714687500000007</v>
      </c>
      <c r="D13" s="61">
        <f>'05'!D108</f>
        <v>16.828750000000003</v>
      </c>
      <c r="E13" s="61">
        <f>'05'!E108</f>
        <v>2.3471875</v>
      </c>
      <c r="F13" s="61">
        <f>'05'!F108</f>
        <v>12.635520833333336</v>
      </c>
      <c r="G13" s="211" t="s">
        <v>43</v>
      </c>
      <c r="H13" s="211" t="s">
        <v>43</v>
      </c>
      <c r="I13" s="61">
        <f>'05'!I108</f>
        <v>3.96875</v>
      </c>
      <c r="J13" s="61">
        <f>'05'!J108</f>
        <v>0.39885416666666673</v>
      </c>
      <c r="K13" s="61">
        <f>'05'!K108</f>
        <v>182.87270833333332</v>
      </c>
      <c r="L13" s="61">
        <f>'05'!L108</f>
        <v>25.985833333333332</v>
      </c>
      <c r="M13" s="61">
        <f>'05'!M108</f>
        <v>80.778020833333287</v>
      </c>
      <c r="N13" s="61">
        <f>'05'!N108</f>
        <v>249.03541666666675</v>
      </c>
      <c r="O13" s="61">
        <f>'05'!O108</f>
        <v>0.79583333333333339</v>
      </c>
      <c r="P13" s="202">
        <f>'05'!P108</f>
        <v>0.60791666666666677</v>
      </c>
      <c r="Q13" s="61">
        <f>'05'!Q108</f>
        <v>11.709583333333333</v>
      </c>
      <c r="R13" s="118"/>
      <c r="S13" s="118"/>
      <c r="T13" s="118"/>
      <c r="U13" s="118"/>
    </row>
    <row r="14" spans="1:21" x14ac:dyDescent="0.25">
      <c r="A14" s="94" t="str">
        <f>'06'!$B$2</f>
        <v>06-07-2023 00:15</v>
      </c>
      <c r="B14" s="61">
        <f>'06'!B108</f>
        <v>9.0709374999999959</v>
      </c>
      <c r="C14" s="61">
        <f>'06'!C108</f>
        <v>13.989062500000003</v>
      </c>
      <c r="D14" s="61">
        <f>'06'!D108</f>
        <v>15.640208333333335</v>
      </c>
      <c r="E14" s="61">
        <f>'06'!E108</f>
        <v>2.2729166666666676</v>
      </c>
      <c r="F14" s="61">
        <f>'06'!F108</f>
        <v>7.801354166666667</v>
      </c>
      <c r="G14" s="211" t="s">
        <v>43</v>
      </c>
      <c r="H14" s="211" t="s">
        <v>43</v>
      </c>
      <c r="I14" s="61">
        <f>'06'!I108</f>
        <v>4.2366666666666664</v>
      </c>
      <c r="J14" s="61">
        <f>'06'!J108</f>
        <v>0.2742708333333333</v>
      </c>
      <c r="K14" s="61">
        <f>'06'!K108</f>
        <v>185.79031250000006</v>
      </c>
      <c r="L14" s="61">
        <f>'06'!L108</f>
        <v>23.923020833333325</v>
      </c>
      <c r="M14" s="61">
        <f>'06'!M108</f>
        <v>92.709895833333334</v>
      </c>
      <c r="N14" s="61">
        <f>'06'!N108</f>
        <v>99.9791666666667</v>
      </c>
      <c r="O14" s="61">
        <f>'06'!O108</f>
        <v>2.2916666666666669E-2</v>
      </c>
      <c r="P14" s="202">
        <f>'06'!P108</f>
        <v>0.46208333333333318</v>
      </c>
      <c r="Q14" s="61">
        <f>'06'!Q108</f>
        <v>16.205104166666658</v>
      </c>
      <c r="R14" s="118"/>
      <c r="S14" s="118"/>
      <c r="T14" s="118"/>
      <c r="U14" s="118"/>
    </row>
    <row r="15" spans="1:21" x14ac:dyDescent="0.25">
      <c r="A15" s="94" t="str">
        <f>'07'!$B$2</f>
        <v>07-07-2023 00:15</v>
      </c>
      <c r="B15" s="61">
        <f>'07'!B108</f>
        <v>6.3933333333333335</v>
      </c>
      <c r="C15" s="61">
        <f>'07'!C108</f>
        <v>13.163750000000006</v>
      </c>
      <c r="D15" s="61">
        <f>'07'!D108</f>
        <v>13.038645833333335</v>
      </c>
      <c r="E15" s="61">
        <f>'07'!E108</f>
        <v>2.2324999999999999</v>
      </c>
      <c r="F15" s="61">
        <f>'07'!F108</f>
        <v>10.07104166666667</v>
      </c>
      <c r="G15" s="211" t="s">
        <v>43</v>
      </c>
      <c r="H15" s="211" t="s">
        <v>43</v>
      </c>
      <c r="I15" s="61">
        <f>'07'!I108</f>
        <v>3.5941666666666676</v>
      </c>
      <c r="J15" s="61">
        <f>'07'!J108</f>
        <v>0.19729166666666675</v>
      </c>
      <c r="K15" s="61">
        <f>'07'!K108</f>
        <v>182.45093750000001</v>
      </c>
      <c r="L15" s="61">
        <f>'07'!L108</f>
        <v>22.935520833333339</v>
      </c>
      <c r="M15" s="61">
        <f>'07'!M108</f>
        <v>93.643124999999984</v>
      </c>
      <c r="N15" s="61">
        <f>'07'!N108</f>
        <v>95.064583333333346</v>
      </c>
      <c r="O15" s="61">
        <f>'07'!O108</f>
        <v>0.54375000000000007</v>
      </c>
      <c r="P15" s="202">
        <f>'07'!P108</f>
        <v>0.29666666666666652</v>
      </c>
      <c r="Q15" s="61">
        <f>'07'!Q108</f>
        <v>9.6516666666666637</v>
      </c>
      <c r="R15" s="118"/>
      <c r="S15" s="118"/>
      <c r="T15" s="118"/>
      <c r="U15" s="118"/>
    </row>
    <row r="16" spans="1:21" x14ac:dyDescent="0.25">
      <c r="A16" s="94" t="str">
        <f>'08'!$B$2</f>
        <v>08-07-2023 00:15</v>
      </c>
      <c r="B16" s="61">
        <f>'08'!B108</f>
        <v>8.2229166666666682</v>
      </c>
      <c r="C16" s="61">
        <f>'08'!C108</f>
        <v>14.569583333333339</v>
      </c>
      <c r="D16" s="61">
        <f>'08'!D108</f>
        <v>15.281562500000005</v>
      </c>
      <c r="E16" s="61">
        <f>'08'!E108</f>
        <v>2.409583333333333</v>
      </c>
      <c r="F16" s="61">
        <f>'08'!F108</f>
        <v>6.4394791666666693</v>
      </c>
      <c r="G16" s="211" t="s">
        <v>43</v>
      </c>
      <c r="H16" s="211" t="s">
        <v>43</v>
      </c>
      <c r="I16" s="61">
        <f>'08'!I108</f>
        <v>8.1955208333333349</v>
      </c>
      <c r="J16" s="61">
        <f>'08'!J108</f>
        <v>0.23135416666666672</v>
      </c>
      <c r="K16" s="61">
        <f>'08'!K108</f>
        <v>205.52250000000004</v>
      </c>
      <c r="L16" s="61">
        <f>'08'!L108</f>
        <v>23.307395833333327</v>
      </c>
      <c r="M16" s="61">
        <f>'08'!M108</f>
        <v>92.530937499999979</v>
      </c>
      <c r="N16" s="61">
        <f>'08'!N108</f>
        <v>108.77916666666671</v>
      </c>
      <c r="O16" s="61">
        <f>'08'!O108</f>
        <v>8.7499999999999981E-2</v>
      </c>
      <c r="P16" s="202">
        <f>'08'!P108</f>
        <v>0.30802083333333324</v>
      </c>
      <c r="Q16" s="61">
        <f>'08'!Q108</f>
        <v>10.834166666666667</v>
      </c>
      <c r="R16" s="118"/>
      <c r="S16" s="118"/>
      <c r="T16" s="118"/>
      <c r="U16" s="118"/>
    </row>
    <row r="17" spans="1:21" x14ac:dyDescent="0.25">
      <c r="A17" s="94" t="str">
        <f>'09'!$B$2</f>
        <v>09-07-2023 00:15</v>
      </c>
      <c r="B17" s="61">
        <f>'09'!B108</f>
        <v>11.091145833333334</v>
      </c>
      <c r="C17" s="61">
        <f>'09'!C108</f>
        <v>15.196354166666667</v>
      </c>
      <c r="D17" s="61">
        <f>'09'!D108</f>
        <v>17.926875000000006</v>
      </c>
      <c r="E17" s="61">
        <f>'09'!E108</f>
        <v>2.1293749999999991</v>
      </c>
      <c r="F17" s="61">
        <f>'09'!F108</f>
        <v>5.2380208333333327</v>
      </c>
      <c r="G17" s="211" t="s">
        <v>43</v>
      </c>
      <c r="H17" s="211" t="s">
        <v>43</v>
      </c>
      <c r="I17" s="61">
        <f>'09'!I108</f>
        <v>5.8988541666666663</v>
      </c>
      <c r="J17" s="61">
        <f>'09'!J108</f>
        <v>0.27770833333333328</v>
      </c>
      <c r="K17" s="61">
        <f>'09'!K108</f>
        <v>100.83625000000002</v>
      </c>
      <c r="L17" s="61">
        <f>'09'!L108</f>
        <v>24.804270833333334</v>
      </c>
      <c r="M17" s="61">
        <f>'09'!M108</f>
        <v>78.529687500000009</v>
      </c>
      <c r="N17" s="61">
        <f>'09'!N108</f>
        <v>255.00312500000007</v>
      </c>
      <c r="O17" s="61">
        <f>'09'!O108</f>
        <v>2.0833333333333333E-3</v>
      </c>
      <c r="P17" s="202">
        <f>'09'!P108</f>
        <v>0.48250000000000015</v>
      </c>
      <c r="Q17" s="61">
        <f>'09'!Q108</f>
        <v>9.8566666666666691</v>
      </c>
      <c r="R17" s="118"/>
      <c r="S17" s="118"/>
      <c r="T17" s="118"/>
      <c r="U17" s="118"/>
    </row>
    <row r="18" spans="1:21" x14ac:dyDescent="0.25">
      <c r="A18" s="94" t="str">
        <f>'10'!$B$2</f>
        <v>10-07-2023 00:15</v>
      </c>
      <c r="B18" s="61">
        <f>'10'!B108</f>
        <v>13.329166666666664</v>
      </c>
      <c r="C18" s="61">
        <f>'10'!C108</f>
        <v>16.924166666666668</v>
      </c>
      <c r="D18" s="61">
        <f>'10'!D108</f>
        <v>20.671041666666657</v>
      </c>
      <c r="E18" s="61">
        <f>'10'!E108</f>
        <v>2.191875</v>
      </c>
      <c r="F18" s="61">
        <f>'10'!F108</f>
        <v>7.5226041666666665</v>
      </c>
      <c r="G18" s="101">
        <f>'10'!$G$108</f>
        <v>42.851363636363637</v>
      </c>
      <c r="H18" s="61">
        <f>'10'!H108</f>
        <v>31.731363636363632</v>
      </c>
      <c r="I18" s="61">
        <f>'10'!I108</f>
        <v>8.2800000000000011</v>
      </c>
      <c r="J18" s="61">
        <f>'10'!J108</f>
        <v>0.29937499999999995</v>
      </c>
      <c r="K18" s="61">
        <f>'10'!K108</f>
        <v>141.98635416666664</v>
      </c>
      <c r="L18" s="61">
        <f>'10'!L108</f>
        <v>26.130104166666658</v>
      </c>
      <c r="M18" s="61">
        <f>'10'!M108</f>
        <v>80.547500000000014</v>
      </c>
      <c r="N18" s="61">
        <f>'10'!N108</f>
        <v>175.265625</v>
      </c>
      <c r="O18" s="61">
        <f>'10'!O108</f>
        <v>0</v>
      </c>
      <c r="P18" s="202">
        <f>'10'!P108</f>
        <v>0.67489583333333336</v>
      </c>
      <c r="Q18" s="61">
        <f>'10'!Q108</f>
        <v>15.444062499999996</v>
      </c>
      <c r="R18" s="118"/>
      <c r="S18" s="118"/>
      <c r="T18" s="118"/>
      <c r="U18" s="118"/>
    </row>
    <row r="19" spans="1:21" x14ac:dyDescent="0.25">
      <c r="A19" s="94" t="str">
        <f>'11'!$B$2</f>
        <v>11-07-2023 00:15</v>
      </c>
      <c r="B19" s="61">
        <f>'11'!B108</f>
        <v>5.9510416666666641</v>
      </c>
      <c r="C19" s="61">
        <f>'11'!C108</f>
        <v>12.704791666666665</v>
      </c>
      <c r="D19" s="61">
        <f>'11'!D108</f>
        <v>12.427708333333326</v>
      </c>
      <c r="E19" s="61">
        <f>'11'!E108</f>
        <v>2.0044791666666666</v>
      </c>
      <c r="F19" s="61">
        <f>'11'!F108</f>
        <v>7.257604166666666</v>
      </c>
      <c r="G19" s="99">
        <f>'11'!$G$108</f>
        <v>32.831000000000003</v>
      </c>
      <c r="H19" s="61">
        <f>'11'!H108</f>
        <v>27.686999999999994</v>
      </c>
      <c r="I19" s="61">
        <f>'11'!I108</f>
        <v>4.3164583333333333</v>
      </c>
      <c r="J19" s="61">
        <f>'11'!J108</f>
        <v>0.19729166666666664</v>
      </c>
      <c r="K19" s="61">
        <f>'11'!K108</f>
        <v>79.781354166666645</v>
      </c>
      <c r="L19" s="61">
        <f>'11'!L108</f>
        <v>23.78177083333334</v>
      </c>
      <c r="M19" s="61">
        <f>'11'!M108</f>
        <v>90.894166666666663</v>
      </c>
      <c r="N19" s="61">
        <f>'11'!N108</f>
        <v>143.71979166666662</v>
      </c>
      <c r="O19" s="61">
        <f>'11'!O108</f>
        <v>0.63124999999999998</v>
      </c>
      <c r="P19" s="202">
        <f>'11'!P108</f>
        <v>0.76583333333333314</v>
      </c>
      <c r="Q19" s="61">
        <f>'11'!Q108</f>
        <v>7.5321874999999983</v>
      </c>
      <c r="R19" s="118"/>
      <c r="S19" s="118"/>
      <c r="T19" s="118"/>
      <c r="U19" s="118"/>
    </row>
    <row r="20" spans="1:21" x14ac:dyDescent="0.25">
      <c r="A20" s="94" t="str">
        <f>'12'!$B$2</f>
        <v>12-07-2023 00:15</v>
      </c>
      <c r="B20" s="61">
        <f>'12'!B108</f>
        <v>4.2300000000000013</v>
      </c>
      <c r="C20" s="61">
        <f>'12'!C108</f>
        <v>12.13833333333333</v>
      </c>
      <c r="D20" s="61">
        <f>'12'!D108</f>
        <v>10.736145833333332</v>
      </c>
      <c r="E20" s="61">
        <f>'12'!E108</f>
        <v>2.1001041666666667</v>
      </c>
      <c r="F20" s="61">
        <f>'12'!F108</f>
        <v>8.2748958333333373</v>
      </c>
      <c r="G20" s="101">
        <f>'12'!$G$108</f>
        <v>25.734146341463411</v>
      </c>
      <c r="H20" s="61">
        <f>'12'!H108</f>
        <v>7.6136585365853682</v>
      </c>
      <c r="I20" s="61">
        <f>'12'!I108</f>
        <v>4.6688235294117639</v>
      </c>
      <c r="J20" s="61">
        <f>'12'!J108</f>
        <v>0.22750000000000001</v>
      </c>
      <c r="K20" s="61">
        <f>'12'!K108</f>
        <v>173.46937500000004</v>
      </c>
      <c r="L20" s="61">
        <f>'12'!L108</f>
        <v>24.434479166666673</v>
      </c>
      <c r="M20" s="61">
        <f>'12'!M108</f>
        <v>87.427499999999995</v>
      </c>
      <c r="N20" s="61">
        <f>'12'!N108</f>
        <v>188.8947916666668</v>
      </c>
      <c r="O20" s="61">
        <f>'12'!O108</f>
        <v>0</v>
      </c>
      <c r="P20" s="202">
        <f>'12'!P108</f>
        <v>0.76958333333333362</v>
      </c>
      <c r="Q20" s="61">
        <f>'12'!Q108</f>
        <v>6.759062499999998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13-07-2023 00:15</v>
      </c>
      <c r="B21" s="91">
        <f>'13'!B108</f>
        <v>5.4478124999999986</v>
      </c>
      <c r="C21" s="91">
        <f>'13'!C108</f>
        <v>13.795729166666673</v>
      </c>
      <c r="D21" s="91">
        <f>'13'!D108</f>
        <v>12.628437500000006</v>
      </c>
      <c r="E21" s="91">
        <f>'13'!E108</f>
        <v>1.7960416666666665</v>
      </c>
      <c r="F21" s="91">
        <f>'13'!F108</f>
        <v>7.4488541666666661</v>
      </c>
      <c r="G21" s="100">
        <f>'13'!$G$108</f>
        <v>26.63729166666667</v>
      </c>
      <c r="H21" s="91">
        <f>'13'!H108</f>
        <v>13.000104166666661</v>
      </c>
      <c r="I21" s="210" t="s">
        <v>36</v>
      </c>
      <c r="J21" s="91">
        <f>'13'!J108</f>
        <v>0.24666666666666667</v>
      </c>
      <c r="K21" s="91">
        <f>'13'!K108</f>
        <v>160.96104166666672</v>
      </c>
      <c r="L21" s="91">
        <f>'13'!L108</f>
        <v>25.117812500000003</v>
      </c>
      <c r="M21" s="91">
        <f>'13'!M108</f>
        <v>83.359479166666702</v>
      </c>
      <c r="N21" s="91">
        <f>'13'!N108</f>
        <v>201.94583333333324</v>
      </c>
      <c r="O21" s="91">
        <f>'13'!O108</f>
        <v>0</v>
      </c>
      <c r="P21" s="203">
        <f>'13'!P108</f>
        <v>0.95843749999999994</v>
      </c>
      <c r="Q21" s="91">
        <f>'13'!Q108</f>
        <v>8.7371874999999992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14-07-2023 00:15</v>
      </c>
      <c r="B22" s="90">
        <f>'14'!B108</f>
        <v>5.5187500000000007</v>
      </c>
      <c r="C22" s="90">
        <f>'14'!C108</f>
        <v>15.613854166666668</v>
      </c>
      <c r="D22" s="90">
        <f>'14'!D108</f>
        <v>13.688541666666671</v>
      </c>
      <c r="E22" s="90">
        <f>'14'!E108</f>
        <v>1.843958333333334</v>
      </c>
      <c r="F22" s="90">
        <f>'14'!F108</f>
        <v>8.1078124999999996</v>
      </c>
      <c r="G22" s="100">
        <f>'14'!$G$108</f>
        <v>35.668369565217404</v>
      </c>
      <c r="H22" s="100">
        <f>'14'!$G$108</f>
        <v>35.668369565217404</v>
      </c>
      <c r="I22" s="210" t="s">
        <v>36</v>
      </c>
      <c r="J22" s="90">
        <f>'14'!J108</f>
        <v>0.15927083333333336</v>
      </c>
      <c r="K22" s="90">
        <f>'14'!K108</f>
        <v>110.0937500000001</v>
      </c>
      <c r="L22" s="90">
        <f>'14'!L108</f>
        <v>26.580312500000002</v>
      </c>
      <c r="M22" s="90">
        <f>'14'!M108</f>
        <v>77.472395833333351</v>
      </c>
      <c r="N22" s="90">
        <f>'14'!N108</f>
        <v>213.69374999999994</v>
      </c>
      <c r="O22" s="90">
        <f>'14'!O108</f>
        <v>0</v>
      </c>
      <c r="P22" s="204">
        <f>'14'!P108</f>
        <v>1.038645833333333</v>
      </c>
      <c r="Q22" s="90">
        <f>'14'!Q108</f>
        <v>7.31</v>
      </c>
      <c r="R22" s="206"/>
      <c r="S22" s="206"/>
      <c r="T22" s="206"/>
      <c r="U22" s="206"/>
    </row>
    <row r="23" spans="1:21" x14ac:dyDescent="0.25">
      <c r="A23" s="94" t="str">
        <f>'15'!$B$2</f>
        <v>15-07-2023 00:15</v>
      </c>
      <c r="B23" s="61">
        <f>'15'!B108</f>
        <v>4.9894791666666665</v>
      </c>
      <c r="C23" s="61">
        <f>'15'!C108</f>
        <v>15.897395833333336</v>
      </c>
      <c r="D23" s="61">
        <f>'15'!D108</f>
        <v>13.421145833333332</v>
      </c>
      <c r="E23" s="61">
        <f>'15'!E108</f>
        <v>2.066666666666666</v>
      </c>
      <c r="F23" s="61">
        <f>'15'!F108</f>
        <v>5.3382291666666672</v>
      </c>
      <c r="G23" s="100">
        <f>'15'!$G$108</f>
        <v>29.52915662650604</v>
      </c>
      <c r="H23" s="61">
        <f>'15'!H108</f>
        <v>12.567831325301206</v>
      </c>
      <c r="I23" s="210" t="s">
        <v>36</v>
      </c>
      <c r="J23" s="61">
        <f>'15'!J108</f>
        <v>0.24072916666666677</v>
      </c>
      <c r="K23" s="61">
        <f>'15'!K108</f>
        <v>88.72562499999998</v>
      </c>
      <c r="L23" s="61">
        <f>'15'!L108</f>
        <v>23.682604166666678</v>
      </c>
      <c r="M23" s="61">
        <f>'15'!M108</f>
        <v>89.996354166666535</v>
      </c>
      <c r="N23" s="61">
        <f>'15'!N108</f>
        <v>149.65</v>
      </c>
      <c r="O23" s="61">
        <f>'15'!O108</f>
        <v>0.25416666666666665</v>
      </c>
      <c r="P23" s="202">
        <f>'15'!P108</f>
        <v>1.1704166666666664</v>
      </c>
      <c r="Q23" s="61">
        <f>'15'!Q108</f>
        <v>3.9549999999999996</v>
      </c>
      <c r="R23" s="118"/>
      <c r="S23" s="118"/>
      <c r="T23" s="118"/>
      <c r="U23" s="118"/>
    </row>
    <row r="24" spans="1:21" x14ac:dyDescent="0.25">
      <c r="A24" s="94" t="str">
        <f>'16'!$B$2</f>
        <v>16-07-2023 00:15</v>
      </c>
      <c r="B24" s="61">
        <f>'16'!B108</f>
        <v>4.4605208333333328</v>
      </c>
      <c r="C24" s="61">
        <f>'16'!C108</f>
        <v>16.171458333333334</v>
      </c>
      <c r="D24" s="61">
        <f>'16'!D108</f>
        <v>13.147604166666669</v>
      </c>
      <c r="E24" s="61">
        <f>'16'!E108</f>
        <v>2.0490625000000002</v>
      </c>
      <c r="F24" s="61">
        <f>'16'!F108</f>
        <v>4.7992708333333356</v>
      </c>
      <c r="G24" s="100">
        <f>'16'!$G$108</f>
        <v>22.211979166666666</v>
      </c>
      <c r="H24" s="61">
        <f>'16'!H108</f>
        <v>12.679479166666679</v>
      </c>
      <c r="I24" s="210" t="s">
        <v>36</v>
      </c>
      <c r="J24" s="61">
        <f>'16'!J108</f>
        <v>0.21864583333333346</v>
      </c>
      <c r="K24" s="61">
        <f>'16'!K108</f>
        <v>36.266249999999992</v>
      </c>
      <c r="L24" s="61">
        <f>'16'!L108</f>
        <v>23.797395833333329</v>
      </c>
      <c r="M24" s="61">
        <f>'16'!M108</f>
        <v>90.954374999999985</v>
      </c>
      <c r="N24" s="61">
        <f>'16'!N108</f>
        <v>149.29270833333337</v>
      </c>
      <c r="O24" s="61">
        <f>'16'!O108</f>
        <v>7.2916666666666671E-2</v>
      </c>
      <c r="P24" s="202">
        <f>'16'!P108</f>
        <v>1.2478124999999998</v>
      </c>
      <c r="Q24" s="61">
        <f>'16'!Q108</f>
        <v>2.3022916666666671</v>
      </c>
      <c r="R24" s="118"/>
      <c r="S24" s="118"/>
      <c r="T24" s="118"/>
      <c r="U24" s="118"/>
    </row>
    <row r="25" spans="1:21" x14ac:dyDescent="0.25">
      <c r="A25" s="94" t="str">
        <f>'17'!$B$2</f>
        <v>17-07-2023 00:15</v>
      </c>
      <c r="B25" s="61">
        <f>'17'!B108</f>
        <v>5.5890625000000016</v>
      </c>
      <c r="C25" s="61">
        <f>'17'!C108</f>
        <v>15.806666666666663</v>
      </c>
      <c r="D25" s="61">
        <f>'17'!D108</f>
        <v>13.851874999999998</v>
      </c>
      <c r="E25" s="61">
        <f>'17'!E108</f>
        <v>2.1049999999999991</v>
      </c>
      <c r="F25" s="61">
        <f>'17'!F108</f>
        <v>4.1382291666666662</v>
      </c>
      <c r="G25" s="101">
        <f>'17'!$G$108</f>
        <v>18.526979166666663</v>
      </c>
      <c r="H25" s="61">
        <f>'17'!H108</f>
        <v>11.635729166666666</v>
      </c>
      <c r="I25" s="210" t="s">
        <v>36</v>
      </c>
      <c r="J25" s="61">
        <f>'17'!J108</f>
        <v>0.29812499999999992</v>
      </c>
      <c r="K25" s="61">
        <f>'17'!K108</f>
        <v>67.282708333333332</v>
      </c>
      <c r="L25" s="61">
        <f>'17'!L108</f>
        <v>22.86375</v>
      </c>
      <c r="M25" s="61">
        <f>'17'!M108</f>
        <v>95.479791666666571</v>
      </c>
      <c r="N25" s="61">
        <f>'17'!N108</f>
        <v>116.88750000000009</v>
      </c>
      <c r="O25" s="61">
        <f>'17'!O108</f>
        <v>0.6625000000000002</v>
      </c>
      <c r="P25" s="202">
        <f>'17'!P108</f>
        <v>1.3394791666666668</v>
      </c>
      <c r="Q25" s="61">
        <f>'17'!Q108</f>
        <v>1.2761333333333333</v>
      </c>
      <c r="R25" s="118"/>
      <c r="S25" s="118"/>
      <c r="T25" s="118"/>
      <c r="U25" s="118"/>
    </row>
    <row r="26" spans="1:21" x14ac:dyDescent="0.25">
      <c r="A26" s="94" t="str">
        <f>'18'!$B$2</f>
        <v>18-07-2023 00:15</v>
      </c>
      <c r="B26" s="61">
        <f>'18'!B108</f>
        <v>12.363250000000003</v>
      </c>
      <c r="C26" s="61">
        <f>'18'!C108</f>
        <v>20.937999999999995</v>
      </c>
      <c r="D26" s="61">
        <f>'18'!D108</f>
        <v>22.115500000000004</v>
      </c>
      <c r="E26" s="61">
        <f>'18'!E108</f>
        <v>2.692361111111111</v>
      </c>
      <c r="F26" s="61">
        <f>'18'!F108</f>
        <v>7.5071951219512183</v>
      </c>
      <c r="G26" s="99">
        <f>'18'!$G$108</f>
        <v>40.803015873015873</v>
      </c>
      <c r="H26" s="61">
        <f>'18'!H108</f>
        <v>15.326507936507927</v>
      </c>
      <c r="I26" s="61">
        <f>'18'!I108</f>
        <v>4.947027027027028</v>
      </c>
      <c r="J26" s="61">
        <f>'18'!J108</f>
        <v>0.46390243902439043</v>
      </c>
      <c r="K26" s="61">
        <f>'18'!K108</f>
        <v>102.38414634146342</v>
      </c>
      <c r="L26" s="61">
        <f>'18'!L108</f>
        <v>24.491097560975604</v>
      </c>
      <c r="M26" s="61">
        <f>'18'!M108</f>
        <v>91.096219512195134</v>
      </c>
      <c r="N26" s="61">
        <f>'18'!N108</f>
        <v>155.72926829268297</v>
      </c>
      <c r="O26" s="61">
        <f>'18'!O108</f>
        <v>4.9382716049382715E-3</v>
      </c>
      <c r="P26" s="202">
        <f>'18'!P108</f>
        <v>1.0599999999999998</v>
      </c>
      <c r="Q26" s="61">
        <f>'18'!Q108</f>
        <v>11.770769230769231</v>
      </c>
      <c r="R26" s="118"/>
      <c r="S26" s="118"/>
      <c r="T26" s="118"/>
      <c r="U26" s="118"/>
    </row>
    <row r="27" spans="1:21" x14ac:dyDescent="0.25">
      <c r="A27" s="94" t="str">
        <f>'19'!$B$2</f>
        <v>19-07-2023 00:15</v>
      </c>
      <c r="B27" s="61">
        <f>'19'!B108</f>
        <v>19.164375</v>
      </c>
      <c r="C27" s="61">
        <f>'19'!C108</f>
        <v>21.611874999999987</v>
      </c>
      <c r="D27" s="61">
        <f>'19'!D108</f>
        <v>27.938645833333315</v>
      </c>
      <c r="E27" s="61">
        <f>'19'!E108</f>
        <v>3.0244791666666671</v>
      </c>
      <c r="F27" s="61">
        <f>'19'!F108</f>
        <v>6.5365625000000032</v>
      </c>
      <c r="G27" s="61">
        <f>'19'!G108</f>
        <v>67.829270833333325</v>
      </c>
      <c r="H27" s="61">
        <f>'19'!H108</f>
        <v>26.456562500000018</v>
      </c>
      <c r="I27" s="61">
        <f>'19'!I108</f>
        <v>5.2372916666666649</v>
      </c>
      <c r="J27" s="61">
        <f>'19'!J108</f>
        <v>0.51739583333333328</v>
      </c>
      <c r="K27" s="61">
        <f>'19'!K108</f>
        <v>97.489166666666634</v>
      </c>
      <c r="L27" s="61">
        <f>'19'!L108</f>
        <v>25.014791666666667</v>
      </c>
      <c r="M27" s="61">
        <f>'19'!M108</f>
        <v>91.614270833333293</v>
      </c>
      <c r="N27" s="61">
        <f>'19'!N108</f>
        <v>162.53541666666672</v>
      </c>
      <c r="O27" s="61">
        <f>'19'!O108</f>
        <v>2.0833333333333332E-2</v>
      </c>
      <c r="P27" s="202">
        <f>'19'!P108</f>
        <v>1.1417708333333338</v>
      </c>
      <c r="Q27" s="61">
        <f>'19'!Q108</f>
        <v>9.4353125000000073</v>
      </c>
      <c r="R27" s="118"/>
      <c r="S27" s="118"/>
      <c r="T27" s="118"/>
      <c r="U27" s="118"/>
    </row>
    <row r="28" spans="1:21" x14ac:dyDescent="0.25">
      <c r="A28" s="94" t="str">
        <f>'20'!$B$2</f>
        <v>20-07-2023 00:15</v>
      </c>
      <c r="B28" s="61">
        <f>'20'!B108</f>
        <v>13.571875000000004</v>
      </c>
      <c r="C28" s="61">
        <f>'20'!C108</f>
        <v>21.920624999999998</v>
      </c>
      <c r="D28" s="61">
        <f>'20'!D108</f>
        <v>23.614791666666665</v>
      </c>
      <c r="E28" s="61">
        <f>'20'!E108</f>
        <v>2.9618749999999996</v>
      </c>
      <c r="F28" s="61">
        <f>'20'!F108</f>
        <v>10.60760416666667</v>
      </c>
      <c r="G28" s="61">
        <f>'20'!G108</f>
        <v>59.365937500000001</v>
      </c>
      <c r="H28" s="61">
        <f>'20'!H108</f>
        <v>23.086145833333322</v>
      </c>
      <c r="I28" s="61">
        <f>'20'!I108</f>
        <v>5.0805357142857144</v>
      </c>
      <c r="J28" s="61">
        <f>'20'!J108</f>
        <v>0.46864583333333343</v>
      </c>
      <c r="K28" s="61">
        <f>'20'!K108</f>
        <v>109.11104166666665</v>
      </c>
      <c r="L28" s="61">
        <f>'20'!L108</f>
        <v>26.509375000000009</v>
      </c>
      <c r="M28" s="61">
        <f>'20'!M108</f>
        <v>85.010104166666665</v>
      </c>
      <c r="N28" s="61">
        <f>'20'!N108</f>
        <v>204.03020833333332</v>
      </c>
      <c r="O28" s="61">
        <f>'20'!O108</f>
        <v>8.3333333333333332E-3</v>
      </c>
      <c r="P28" s="202">
        <f>'20'!P108</f>
        <v>0.78145833333333359</v>
      </c>
      <c r="Q28" s="61">
        <f>'20'!Q108</f>
        <v>8.4053409090909099</v>
      </c>
      <c r="R28" s="118"/>
      <c r="S28" s="118"/>
      <c r="T28" s="118"/>
      <c r="U28" s="118"/>
    </row>
    <row r="29" spans="1:21" x14ac:dyDescent="0.25">
      <c r="A29" s="94" t="str">
        <f>'21'!$B$2</f>
        <v>21-07-2023 00:15</v>
      </c>
      <c r="B29" s="61">
        <f>'21'!B108</f>
        <v>9.6854166666666632</v>
      </c>
      <c r="C29" s="61">
        <f>'21'!C108</f>
        <v>17.118750000000009</v>
      </c>
      <c r="D29" s="61">
        <f>'21'!D108</f>
        <v>17.861145833333328</v>
      </c>
      <c r="E29" s="61">
        <f>'21'!E108</f>
        <v>2.8101041666666671</v>
      </c>
      <c r="F29" s="61">
        <f>'21'!F108</f>
        <v>8.2522916666666664</v>
      </c>
      <c r="G29" s="61">
        <f>'21'!G108</f>
        <v>25.956250000000001</v>
      </c>
      <c r="H29" s="61">
        <f>'21'!H108</f>
        <v>14.978020833333332</v>
      </c>
      <c r="I29" s="61">
        <f>'21'!I108</f>
        <v>4.2296296296296294</v>
      </c>
      <c r="J29" s="61">
        <f>'21'!J108</f>
        <v>0.74916666666666687</v>
      </c>
      <c r="K29" s="61">
        <f>'21'!K108</f>
        <v>110.48135416666668</v>
      </c>
      <c r="L29" s="61">
        <f>'21'!L108</f>
        <v>24.871354166666663</v>
      </c>
      <c r="M29" s="61">
        <f>'21'!M108</f>
        <v>92.329791666666679</v>
      </c>
      <c r="N29" s="61">
        <f>'21'!N108</f>
        <v>167.73750000000004</v>
      </c>
      <c r="O29" s="61">
        <f>'21'!O108</f>
        <v>0.13333333333333333</v>
      </c>
      <c r="P29" s="202">
        <f>'21'!P108</f>
        <v>0.50041666666666662</v>
      </c>
      <c r="Q29" s="61">
        <f>'21'!Q108</f>
        <v>6.4576623376623372</v>
      </c>
      <c r="R29" s="118"/>
      <c r="S29" s="118"/>
      <c r="T29" s="118"/>
      <c r="U29" s="118"/>
    </row>
    <row r="30" spans="1:21" x14ac:dyDescent="0.25">
      <c r="A30" s="94" t="str">
        <f>'22'!$B$2</f>
        <v>22-07-2023 00:15</v>
      </c>
      <c r="B30" s="61">
        <f>'22'!B108</f>
        <v>5.555894736842105</v>
      </c>
      <c r="C30" s="61">
        <f>'22'!C108</f>
        <v>14.038105263157894</v>
      </c>
      <c r="D30" s="61">
        <f>'22'!D108</f>
        <v>12.847578947368421</v>
      </c>
      <c r="E30" s="61">
        <f>'22'!E108</f>
        <v>2.4868539325842693</v>
      </c>
      <c r="F30" s="61">
        <f>'22'!F108</f>
        <v>7.0507291666666703</v>
      </c>
      <c r="G30" s="61">
        <f>'22'!G108</f>
        <v>16.064807692307696</v>
      </c>
      <c r="H30" s="61">
        <f>'22'!H108</f>
        <v>8.111923076923075</v>
      </c>
      <c r="I30" s="210" t="s">
        <v>36</v>
      </c>
      <c r="J30" s="61">
        <f>'22'!J108</f>
        <v>0.92416666666666647</v>
      </c>
      <c r="K30" s="61">
        <f>'22'!K108</f>
        <v>141.45281249999999</v>
      </c>
      <c r="L30" s="61">
        <f>'22'!L108</f>
        <v>24.623020833333317</v>
      </c>
      <c r="M30" s="61">
        <f>'22'!M108</f>
        <v>90.311458333333363</v>
      </c>
      <c r="N30" s="61">
        <f>'22'!N108</f>
        <v>223.82604166666661</v>
      </c>
      <c r="O30" s="61">
        <f>'22'!O108</f>
        <v>0.43958333333333338</v>
      </c>
      <c r="P30" s="202">
        <f>'22'!P108</f>
        <v>0.32197916666666648</v>
      </c>
      <c r="Q30" s="61">
        <f>'22'!Q108</f>
        <v>14.117204301075271</v>
      </c>
      <c r="R30" s="118"/>
      <c r="S30" s="118"/>
      <c r="T30" s="118"/>
      <c r="U30" s="118"/>
    </row>
    <row r="31" spans="1:21" x14ac:dyDescent="0.25">
      <c r="A31" s="94" t="str">
        <f>'23'!$B$2</f>
        <v>23-07-2023 00:15</v>
      </c>
      <c r="B31" s="61">
        <f>'23'!B108</f>
        <v>7.2463541666666664</v>
      </c>
      <c r="C31" s="61">
        <f>'23'!C108</f>
        <v>17.022187499999998</v>
      </c>
      <c r="D31" s="61">
        <f>'23'!D108</f>
        <v>15.851041666666665</v>
      </c>
      <c r="E31" s="61">
        <f>'23'!E108</f>
        <v>2.618020833333333</v>
      </c>
      <c r="F31" s="61">
        <f>'23'!F108</f>
        <v>7.5781249999999973</v>
      </c>
      <c r="G31" s="61">
        <f>'23'!G108</f>
        <v>15.71214285714286</v>
      </c>
      <c r="H31" s="61">
        <f>'23'!H108</f>
        <v>10.758928571428569</v>
      </c>
      <c r="I31" s="210" t="s">
        <v>36</v>
      </c>
      <c r="J31" s="61">
        <f>'23'!J108</f>
        <v>0.34156250000000021</v>
      </c>
      <c r="K31" s="61">
        <f>'23'!K108</f>
        <v>193.22177083333335</v>
      </c>
      <c r="L31" s="61">
        <f>'23'!L108</f>
        <v>24.294791666666669</v>
      </c>
      <c r="M31" s="61">
        <f>'23'!M108</f>
        <v>92.255729166666654</v>
      </c>
      <c r="N31" s="61">
        <f>'23'!N108</f>
        <v>159.51770833333333</v>
      </c>
      <c r="O31" s="61">
        <f>'23'!O108</f>
        <v>3.5416666666666673E-2</v>
      </c>
      <c r="P31" s="202">
        <f>'23'!P108</f>
        <v>0.35406249999999989</v>
      </c>
      <c r="Q31" s="61">
        <f>'23'!Q108</f>
        <v>12.66197916666667</v>
      </c>
      <c r="R31" s="118"/>
      <c r="S31" s="207"/>
      <c r="T31" s="118"/>
      <c r="U31" s="118"/>
    </row>
    <row r="32" spans="1:21" x14ac:dyDescent="0.25">
      <c r="A32" s="94" t="str">
        <f>'24'!$B$2</f>
        <v>24-07-2023 00:15</v>
      </c>
      <c r="B32" s="61">
        <f>'24'!B108</f>
        <v>12.421354166666667</v>
      </c>
      <c r="C32" s="61">
        <f>'24'!C108</f>
        <v>21.100729166666667</v>
      </c>
      <c r="D32" s="61">
        <f>'24'!D108</f>
        <v>22.246041666666667</v>
      </c>
      <c r="E32" s="61">
        <f>'24'!E108</f>
        <v>2.4668749999999995</v>
      </c>
      <c r="F32" s="61">
        <f>'24'!F108</f>
        <v>8.8470833333333356</v>
      </c>
      <c r="G32" s="61">
        <f>'24'!G108</f>
        <v>36.54155844155845</v>
      </c>
      <c r="H32" s="61">
        <f>'24'!H108</f>
        <v>13.438961038961047</v>
      </c>
      <c r="I32" s="210" t="s">
        <v>36</v>
      </c>
      <c r="J32" s="61">
        <f>'24'!J108</f>
        <v>0.36750000000000033</v>
      </c>
      <c r="K32" s="61">
        <f>'24'!K108</f>
        <v>174.89562499999997</v>
      </c>
      <c r="L32" s="61">
        <f>'24'!L108</f>
        <v>25.110416666666662</v>
      </c>
      <c r="M32" s="61">
        <f>'24'!M108</f>
        <v>90.120729166666649</v>
      </c>
      <c r="N32" s="61">
        <f>'24'!N108</f>
        <v>190.21979166666665</v>
      </c>
      <c r="O32" s="61">
        <f>'24'!O108</f>
        <v>2.0833333333333332E-2</v>
      </c>
      <c r="P32" s="202">
        <f>'24'!P108</f>
        <v>0.58947916666666667</v>
      </c>
      <c r="Q32" s="61">
        <f>'24'!Q108</f>
        <v>14.524270833333333</v>
      </c>
      <c r="R32" s="118"/>
      <c r="S32" s="118"/>
      <c r="T32" s="118"/>
      <c r="U32" s="118"/>
    </row>
    <row r="33" spans="1:21" x14ac:dyDescent="0.25">
      <c r="A33" s="94" t="str">
        <f>'25'!$B$2</f>
        <v>25-07-2023 00:15</v>
      </c>
      <c r="B33" s="61">
        <f>'25'!B108</f>
        <v>15.270937500000004</v>
      </c>
      <c r="C33" s="61">
        <f>'25'!C108</f>
        <v>26.460729166666667</v>
      </c>
      <c r="D33" s="61">
        <f>'25'!D108</f>
        <v>27.477395833333336</v>
      </c>
      <c r="E33" s="61">
        <f>'25'!E108</f>
        <v>2.5957291666666658</v>
      </c>
      <c r="F33" s="61">
        <f>'25'!F108</f>
        <v>10.132812499999995</v>
      </c>
      <c r="G33" s="61">
        <f>'25'!G108</f>
        <v>55.707142857142856</v>
      </c>
      <c r="H33" s="61">
        <f>'25'!H108</f>
        <v>18.274166666666673</v>
      </c>
      <c r="I33" s="211" t="s">
        <v>43</v>
      </c>
      <c r="J33" s="61">
        <f>'25'!J108</f>
        <v>0.57562500000000028</v>
      </c>
      <c r="K33" s="61">
        <f>'25'!K108</f>
        <v>109.15687500000001</v>
      </c>
      <c r="L33" s="61">
        <f>'25'!L108</f>
        <v>26.920729166666671</v>
      </c>
      <c r="M33" s="61">
        <f>'25'!M108</f>
        <v>78.95802083333335</v>
      </c>
      <c r="N33" s="61">
        <f>'25'!N108</f>
        <v>292.68437499999999</v>
      </c>
      <c r="O33" s="61">
        <f>'25'!O108</f>
        <v>0</v>
      </c>
      <c r="P33" s="202">
        <f>'25'!P108</f>
        <v>0.6885416666666665</v>
      </c>
      <c r="Q33" s="61">
        <f>'25'!Q108</f>
        <v>15.501827956989244</v>
      </c>
      <c r="R33" s="118"/>
      <c r="S33" s="207"/>
      <c r="T33" s="118"/>
      <c r="U33" s="118"/>
    </row>
    <row r="34" spans="1:21" x14ac:dyDescent="0.25">
      <c r="A34" s="94" t="str">
        <f>'26'!$B$2</f>
        <v>26-07-2023 00:15</v>
      </c>
      <c r="B34" s="61">
        <f>'26'!B108</f>
        <v>14.761562500000002</v>
      </c>
      <c r="C34" s="61">
        <f>'26'!C108</f>
        <v>25.366041666666661</v>
      </c>
      <c r="D34" s="61">
        <f>'26'!D108</f>
        <v>26.48</v>
      </c>
      <c r="E34" s="61">
        <f>'26'!E108</f>
        <v>2.895208333333334</v>
      </c>
      <c r="F34" s="61">
        <f>'26'!F108</f>
        <v>8.4980208333333334</v>
      </c>
      <c r="G34" s="61">
        <f>'26'!G108</f>
        <v>37.379891304347815</v>
      </c>
      <c r="H34" s="61">
        <f>'26'!H108</f>
        <v>13.960108695652172</v>
      </c>
      <c r="I34" s="211" t="s">
        <v>43</v>
      </c>
      <c r="J34" s="61">
        <f>'26'!J108</f>
        <v>0.66416666666666657</v>
      </c>
      <c r="K34" s="61">
        <f>'26'!K108</f>
        <v>97.518229166666615</v>
      </c>
      <c r="L34" s="61">
        <f>'26'!L108</f>
        <v>26.874166666666671</v>
      </c>
      <c r="M34" s="61">
        <f>'26'!M108</f>
        <v>79.908229166666658</v>
      </c>
      <c r="N34" s="61">
        <f>'26'!N108</f>
        <v>293.30624999999998</v>
      </c>
      <c r="O34" s="61">
        <f>'26'!O108</f>
        <v>0.26041666666666669</v>
      </c>
      <c r="P34" s="202">
        <f>'26'!P108</f>
        <v>0.52656250000000027</v>
      </c>
      <c r="Q34" s="61">
        <f>'26'!Q108</f>
        <v>14.996562499999998</v>
      </c>
      <c r="R34" s="118"/>
      <c r="S34" s="118"/>
      <c r="T34" s="118"/>
      <c r="U34" s="118"/>
    </row>
    <row r="35" spans="1:21" x14ac:dyDescent="0.25">
      <c r="A35" s="94" t="str">
        <f>'27'!$B$2</f>
        <v>27-07-2023 00:15</v>
      </c>
      <c r="B35" s="61">
        <f>'27'!B108</f>
        <v>15.04947916666667</v>
      </c>
      <c r="C35" s="61">
        <f>'27'!C108</f>
        <v>28.14052083333333</v>
      </c>
      <c r="D35" s="61">
        <f>'27'!D108</f>
        <v>28.241249999999994</v>
      </c>
      <c r="E35" s="61">
        <f>'27'!E108</f>
        <v>2.9704166666666665</v>
      </c>
      <c r="F35" s="61">
        <f>'27'!F108</f>
        <v>10.243750000000002</v>
      </c>
      <c r="G35" s="61">
        <f>'27'!G108</f>
        <v>44.643229166666664</v>
      </c>
      <c r="H35" s="61">
        <f>'27'!H108</f>
        <v>17.99989583333333</v>
      </c>
      <c r="I35" s="211" t="s">
        <v>43</v>
      </c>
      <c r="J35" s="61">
        <f>'27'!J108</f>
        <v>0.5279166666666667</v>
      </c>
      <c r="K35" s="61">
        <f>'27'!K108</f>
        <v>73.606770833333329</v>
      </c>
      <c r="L35" s="61">
        <f>'27'!L108</f>
        <v>26.978125000000002</v>
      </c>
      <c r="M35" s="61">
        <f>'27'!M108</f>
        <v>81.174479166666671</v>
      </c>
      <c r="N35" s="61">
        <f>'27'!N108</f>
        <v>216.29583333333326</v>
      </c>
      <c r="O35" s="61">
        <f>'27'!O108</f>
        <v>4.1666666666666666E-3</v>
      </c>
      <c r="P35" s="202">
        <f>'27'!P108</f>
        <v>0.61333333333333351</v>
      </c>
      <c r="Q35" s="61">
        <f>'27'!Q108</f>
        <v>14.232315789473688</v>
      </c>
      <c r="R35" s="118"/>
      <c r="S35" s="118"/>
      <c r="T35" s="118"/>
      <c r="U35" s="118"/>
    </row>
    <row r="36" spans="1:21" x14ac:dyDescent="0.25">
      <c r="A36" s="94" t="str">
        <f>'28'!$B$2</f>
        <v>28-07-2023 00:15</v>
      </c>
      <c r="B36" s="61">
        <f>'28'!B108</f>
        <v>9.7245833333333369</v>
      </c>
      <c r="C36" s="61">
        <f>'28'!C108</f>
        <v>27.210416666666671</v>
      </c>
      <c r="D36" s="61">
        <f>'28'!D108</f>
        <v>23.461666666666677</v>
      </c>
      <c r="E36" s="61">
        <f>'28'!E108</f>
        <v>2.5953124999999999</v>
      </c>
      <c r="F36" s="61">
        <f>'28'!F108</f>
        <v>7.2019791666666713</v>
      </c>
      <c r="G36" s="61">
        <f>'28'!G108</f>
        <v>30.764895833333323</v>
      </c>
      <c r="H36" s="61">
        <f>'28'!H108</f>
        <v>14.53020833333334</v>
      </c>
      <c r="I36" s="211" t="s">
        <v>43</v>
      </c>
      <c r="J36" s="61">
        <f>'28'!J108</f>
        <v>0.47625000000000012</v>
      </c>
      <c r="K36" s="61">
        <f>'28'!K108</f>
        <v>165.35437499999998</v>
      </c>
      <c r="L36" s="61">
        <f>'28'!L108</f>
        <v>25.795416666666672</v>
      </c>
      <c r="M36" s="61">
        <f>'28'!M108</f>
        <v>88.083124999999995</v>
      </c>
      <c r="N36" s="61">
        <f>'28'!N108</f>
        <v>182.17604166666658</v>
      </c>
      <c r="O36" s="61">
        <f>'28'!O108</f>
        <v>0.68124999999999991</v>
      </c>
      <c r="P36" s="202">
        <f>'28'!P108</f>
        <v>0.561770833333333</v>
      </c>
      <c r="Q36" s="61">
        <f>'28'!Q108</f>
        <v>5.0558064516129013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29-07-2023 00:15</v>
      </c>
      <c r="B37" s="61">
        <f>'29'!B108</f>
        <v>8.8208333333333346</v>
      </c>
      <c r="C37" s="61">
        <f>'29'!C108</f>
        <v>23.980104166666667</v>
      </c>
      <c r="D37" s="61">
        <f>'29'!D108</f>
        <v>20.953229166666663</v>
      </c>
      <c r="E37" s="61">
        <f>'29'!E108</f>
        <v>2.6891666666666674</v>
      </c>
      <c r="F37" s="61">
        <f>'29'!F108</f>
        <v>4.9921874999999991</v>
      </c>
      <c r="G37" s="61">
        <f>'29'!G108</f>
        <v>26.691704545454538</v>
      </c>
      <c r="H37" s="61">
        <f>'29'!H108</f>
        <v>9.8981818181818202</v>
      </c>
      <c r="I37" s="211" t="s">
        <v>43</v>
      </c>
      <c r="J37" s="61">
        <f>'29'!J108</f>
        <v>0.60072916666666643</v>
      </c>
      <c r="K37" s="61">
        <f>'29'!K108</f>
        <v>142.20166666666668</v>
      </c>
      <c r="L37" s="61">
        <f>'29'!L108</f>
        <v>24.312916666666656</v>
      </c>
      <c r="M37" s="61">
        <f>'29'!M108</f>
        <v>92.76114583333333</v>
      </c>
      <c r="N37" s="61">
        <f>'29'!N108</f>
        <v>132.76770833333322</v>
      </c>
      <c r="O37" s="61">
        <f>'29'!O108</f>
        <v>0.21041666666666659</v>
      </c>
      <c r="P37" s="202">
        <f>'29'!P108</f>
        <v>0.50562499999999988</v>
      </c>
      <c r="Q37" s="61">
        <f>'29'!Q108</f>
        <v>12.046029411764705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30-07-2023 00:15</v>
      </c>
      <c r="B38" s="61">
        <f>'30'!B108</f>
        <v>11.820937499999999</v>
      </c>
      <c r="C38" s="61">
        <f>'30'!C108</f>
        <v>25.861770833333335</v>
      </c>
      <c r="D38" s="61">
        <f>'30'!D108</f>
        <v>24.397916666666674</v>
      </c>
      <c r="E38" s="61">
        <f>'30'!E108</f>
        <v>2.4103125000000012</v>
      </c>
      <c r="F38" s="61">
        <f>'30'!F108</f>
        <v>5.0367708333333328</v>
      </c>
      <c r="G38" s="61">
        <f>'30'!G108</f>
        <v>39.046770833333333</v>
      </c>
      <c r="H38" s="61">
        <f>'30'!H108</f>
        <v>15.995624999999999</v>
      </c>
      <c r="I38" s="211" t="s">
        <v>43</v>
      </c>
      <c r="J38" s="61">
        <f>'30'!J108</f>
        <v>0.26250000000000001</v>
      </c>
      <c r="K38" s="61">
        <f>'30'!K108</f>
        <v>93.883958333333339</v>
      </c>
      <c r="L38" s="61">
        <f>'30'!L108</f>
        <v>25.574895833333326</v>
      </c>
      <c r="M38" s="61">
        <f>'30'!M108</f>
        <v>86.371875000000003</v>
      </c>
      <c r="N38" s="61">
        <f>'30'!N108</f>
        <v>177.76145833333328</v>
      </c>
      <c r="O38" s="61">
        <f>'30'!O108</f>
        <v>1.0416666666666666E-2</v>
      </c>
      <c r="P38" s="202">
        <f>'30'!P108</f>
        <v>0.66041666666666654</v>
      </c>
      <c r="Q38" s="61">
        <f>'30'!Q108</f>
        <v>17.087291666666665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31-07-2023 00:15</v>
      </c>
      <c r="B39" s="61">
        <f>'31'!B109</f>
        <v>5.3218004307340703</v>
      </c>
      <c r="C39" s="61">
        <f>'31'!C109</f>
        <v>2.3058698909408069</v>
      </c>
      <c r="D39" s="61">
        <f>'31'!D109</f>
        <v>4.5824237905340688</v>
      </c>
      <c r="E39" s="61">
        <f>'31'!E109</f>
        <v>3.8279975469294976</v>
      </c>
      <c r="F39" s="61">
        <f>'31'!F109</f>
        <v>2.3881287451703246</v>
      </c>
      <c r="G39" s="61">
        <f>'31'!G109</f>
        <v>11.88623651104281</v>
      </c>
      <c r="H39" s="61">
        <f>'31'!H109</f>
        <v>3.0245861554722979</v>
      </c>
      <c r="I39" s="211" t="s">
        <v>43</v>
      </c>
      <c r="J39" s="61">
        <f>'31'!J109</f>
        <v>0.1145142295609146</v>
      </c>
      <c r="K39" s="61">
        <f>'31'!K109</f>
        <v>85.329330824443758</v>
      </c>
      <c r="L39" s="61">
        <f>'31'!L109</f>
        <v>2.0461228955047579</v>
      </c>
      <c r="M39" s="61">
        <f>'31'!M109</f>
        <v>10.361922531684561</v>
      </c>
      <c r="N39" s="61">
        <f>'31'!N109</f>
        <v>224.08885349802981</v>
      </c>
      <c r="O39" s="61">
        <f>'31'!O109</f>
        <v>0</v>
      </c>
      <c r="P39" s="61">
        <f>'31'!P109</f>
        <v>0.17233379356211184</v>
      </c>
      <c r="Q39" s="61">
        <f>'31'!Q109</f>
        <v>2.0467638690992116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4.2300000000000013</v>
      </c>
      <c r="C41" s="16">
        <f t="shared" si="0"/>
        <v>12.13833333333333</v>
      </c>
      <c r="D41" s="16">
        <f t="shared" si="0"/>
        <v>10.736145833333332</v>
      </c>
      <c r="E41" s="16">
        <f t="shared" si="0"/>
        <v>1.7960416666666665</v>
      </c>
      <c r="F41" s="16">
        <f t="shared" si="0"/>
        <v>4.1382291666666662</v>
      </c>
      <c r="G41" s="16">
        <f t="shared" si="0"/>
        <v>15.71214285714286</v>
      </c>
      <c r="H41" s="16">
        <f t="shared" si="0"/>
        <v>7.6136585365853682</v>
      </c>
      <c r="I41" s="16">
        <f t="shared" si="0"/>
        <v>0.54520833333333341</v>
      </c>
      <c r="J41" s="16">
        <f t="shared" si="0"/>
        <v>0.15322916666666661</v>
      </c>
      <c r="K41" s="16">
        <f t="shared" si="0"/>
        <v>36.266249999999992</v>
      </c>
      <c r="L41" s="16">
        <f t="shared" si="0"/>
        <v>22.86375</v>
      </c>
      <c r="M41" s="16">
        <f t="shared" si="0"/>
        <v>68.787604166666654</v>
      </c>
      <c r="N41" s="16">
        <f t="shared" si="0"/>
        <v>95.064583333333346</v>
      </c>
      <c r="O41" s="16">
        <f t="shared" si="0"/>
        <v>0</v>
      </c>
      <c r="P41" s="16">
        <f t="shared" si="0"/>
        <v>0.29666666666666652</v>
      </c>
      <c r="Q41" s="16">
        <f t="shared" si="0"/>
        <v>1.2761333333333333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19.164375</v>
      </c>
      <c r="C42" s="16">
        <f t="shared" si="1"/>
        <v>28.14052083333333</v>
      </c>
      <c r="D42" s="16">
        <f t="shared" si="1"/>
        <v>28.241249999999994</v>
      </c>
      <c r="E42" s="16">
        <f t="shared" si="1"/>
        <v>3.0244791666666671</v>
      </c>
      <c r="F42" s="16">
        <f t="shared" si="1"/>
        <v>21.008854166666676</v>
      </c>
      <c r="G42" s="16">
        <f t="shared" si="1"/>
        <v>67.829270833333325</v>
      </c>
      <c r="H42" s="16">
        <f t="shared" si="1"/>
        <v>35.668369565217404</v>
      </c>
      <c r="I42" s="16">
        <f t="shared" si="1"/>
        <v>8.2800000000000011</v>
      </c>
      <c r="J42" s="16">
        <f t="shared" si="1"/>
        <v>0.92416666666666647</v>
      </c>
      <c r="K42" s="16">
        <f t="shared" si="1"/>
        <v>205.52250000000004</v>
      </c>
      <c r="L42" s="16">
        <f t="shared" si="1"/>
        <v>28.005208333333332</v>
      </c>
      <c r="M42" s="16">
        <f t="shared" si="1"/>
        <v>95.479791666666571</v>
      </c>
      <c r="N42" s="16">
        <f t="shared" si="1"/>
        <v>293.30624999999998</v>
      </c>
      <c r="O42" s="16">
        <f t="shared" si="1"/>
        <v>0.79583333333333339</v>
      </c>
      <c r="P42" s="16">
        <f t="shared" si="1"/>
        <v>1.3394791666666668</v>
      </c>
      <c r="Q42" s="16">
        <f t="shared" si="1"/>
        <v>17.087291666666665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9.3471763523391811</v>
      </c>
      <c r="C43" s="16">
        <f t="shared" si="2"/>
        <v>18.716995175438594</v>
      </c>
      <c r="D43" s="16">
        <f t="shared" si="2"/>
        <v>18.469331798245616</v>
      </c>
      <c r="E43" s="16">
        <f t="shared" si="2"/>
        <v>2.3921474459009575</v>
      </c>
      <c r="F43" s="16">
        <f t="shared" si="2"/>
        <v>8.4104099762872639</v>
      </c>
      <c r="G43" s="16">
        <f t="shared" si="2"/>
        <v>34.785566852723186</v>
      </c>
      <c r="H43" s="16">
        <f t="shared" si="2"/>
        <v>16.923751033386775</v>
      </c>
      <c r="I43" s="16">
        <f t="shared" si="2"/>
        <v>4.4622117598980724</v>
      </c>
      <c r="J43" s="16">
        <f t="shared" si="2"/>
        <v>0.37589437223648547</v>
      </c>
      <c r="K43" s="16">
        <f t="shared" si="2"/>
        <v>131.38062779471548</v>
      </c>
      <c r="L43" s="16">
        <f t="shared" si="2"/>
        <v>25.287515752032519</v>
      </c>
      <c r="M43" s="16">
        <f t="shared" si="2"/>
        <v>85.229137872628726</v>
      </c>
      <c r="N43" s="16">
        <f t="shared" si="2"/>
        <v>185.89118394308943</v>
      </c>
      <c r="O43" s="16">
        <f t="shared" si="2"/>
        <v>0.16648405349794243</v>
      </c>
      <c r="P43" s="16">
        <f t="shared" si="2"/>
        <v>0.7096527777777778</v>
      </c>
      <c r="Q43" s="16">
        <f t="shared" si="2"/>
        <v>10.735127296281272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3.8146111590803664</v>
      </c>
      <c r="C44" s="16">
        <f t="shared" si="3"/>
        <v>4.6958023322593183</v>
      </c>
      <c r="D44" s="16">
        <f t="shared" si="3"/>
        <v>5.2134869706478986</v>
      </c>
      <c r="E44" s="16">
        <f t="shared" si="3"/>
        <v>0.34967436707815686</v>
      </c>
      <c r="F44" s="16">
        <f t="shared" si="3"/>
        <v>3.4395088246607277</v>
      </c>
      <c r="G44" s="16">
        <f t="shared" si="3"/>
        <v>13.851155126398051</v>
      </c>
      <c r="H44" s="16">
        <f t="shared" si="3"/>
        <v>7.6947880538856701</v>
      </c>
      <c r="I44" s="16">
        <f t="shared" si="3"/>
        <v>2.085357338207233</v>
      </c>
      <c r="J44" s="16">
        <f t="shared" si="3"/>
        <v>0.1891793204412196</v>
      </c>
      <c r="K44" s="16">
        <f t="shared" si="3"/>
        <v>44.695069590713324</v>
      </c>
      <c r="L44" s="16">
        <f t="shared" si="3"/>
        <v>1.4561583835520222</v>
      </c>
      <c r="M44" s="16">
        <f t="shared" si="3"/>
        <v>7.8027521838987317</v>
      </c>
      <c r="N44" s="16">
        <f t="shared" si="3"/>
        <v>52.15439763351069</v>
      </c>
      <c r="O44" s="16">
        <f t="shared" si="3"/>
        <v>0.24989255620345766</v>
      </c>
      <c r="P44" s="16">
        <f t="shared" si="3"/>
        <v>0.28119693562484832</v>
      </c>
      <c r="Q44" s="16">
        <f t="shared" si="3"/>
        <v>4.3207052100606917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>COUNT(G9:G39)+9</f>
        <v>31</v>
      </c>
      <c r="H45" s="13">
        <f>COUNT(H9:H39)+9</f>
        <v>31</v>
      </c>
      <c r="I45" s="16">
        <f>COUNT(I9:I39)+8</f>
        <v>24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&lt;90%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LESS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216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V30" sqref="V3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6" t="s">
        <v>242</v>
      </c>
      <c r="E1" s="226"/>
      <c r="F1" s="226"/>
      <c r="G1" s="226"/>
      <c r="H1" s="226"/>
      <c r="I1" s="226"/>
      <c r="J1" s="227"/>
    </row>
    <row r="2" spans="2:24" ht="22.5" customHeight="1" thickBot="1" x14ac:dyDescent="0.3">
      <c r="B2" s="54"/>
      <c r="C2" s="111" t="s">
        <v>0</v>
      </c>
      <c r="D2" s="112" t="s">
        <v>247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8" t="s">
        <v>1</v>
      </c>
      <c r="H5" s="228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/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/>
      <c r="I8" s="60">
        <v>0</v>
      </c>
      <c r="J8" s="61" t="e">
        <f>F8/H8</f>
        <v>#DIV/0!</v>
      </c>
      <c r="K8" s="61">
        <f>(H8-F8)*100/F8</f>
        <v>-100</v>
      </c>
      <c r="L8" s="60" t="s">
        <v>67</v>
      </c>
      <c r="M8" s="78" t="s">
        <v>216</v>
      </c>
      <c r="O8" s="63">
        <v>45119.529166666667</v>
      </c>
      <c r="P8" s="64" t="s">
        <v>70</v>
      </c>
      <c r="Q8" s="64">
        <v>4650.1899999999996</v>
      </c>
      <c r="R8" s="64">
        <v>3543.65</v>
      </c>
      <c r="S8" s="77" t="s">
        <v>244</v>
      </c>
      <c r="T8" s="77">
        <v>839.24</v>
      </c>
      <c r="U8" s="86">
        <v>0.92689999999999995</v>
      </c>
      <c r="V8" s="86">
        <v>0.92220000000000002</v>
      </c>
      <c r="W8" s="60" t="s">
        <v>67</v>
      </c>
      <c r="X8" s="78" t="s">
        <v>216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 t="s">
        <v>216</v>
      </c>
      <c r="O9" s="63">
        <v>45132.46875</v>
      </c>
      <c r="P9" s="64" t="s">
        <v>70</v>
      </c>
      <c r="Q9" s="64">
        <v>5333.92</v>
      </c>
      <c r="R9" s="64">
        <v>4051.65</v>
      </c>
      <c r="S9" s="77" t="s">
        <v>244</v>
      </c>
      <c r="T9" s="77">
        <v>864.65</v>
      </c>
      <c r="U9" s="86">
        <v>0.9375</v>
      </c>
      <c r="V9" s="86">
        <v>0.91839999999999999</v>
      </c>
      <c r="W9" s="60" t="s">
        <v>67</v>
      </c>
      <c r="X9" s="62" t="s">
        <v>2555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216</v>
      </c>
      <c r="O10" s="63" t="s">
        <v>3229</v>
      </c>
      <c r="P10" s="64" t="s">
        <v>70</v>
      </c>
      <c r="Q10" s="64">
        <v>4558.46</v>
      </c>
      <c r="R10" s="64">
        <v>3441.52</v>
      </c>
      <c r="S10" s="77" t="s">
        <v>244</v>
      </c>
      <c r="T10" s="77">
        <v>833.09</v>
      </c>
      <c r="U10" s="86">
        <v>0.89259999999999995</v>
      </c>
      <c r="V10" s="86">
        <v>0.89459999999999995</v>
      </c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244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244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4" t="s">
        <v>25</v>
      </c>
      <c r="D21" s="224"/>
      <c r="E21" s="224"/>
      <c r="F21" s="224"/>
      <c r="G21" s="224"/>
      <c r="H21" s="224"/>
      <c r="I21" s="45">
        <f>COUNT(B8:B20)</f>
        <v>0</v>
      </c>
      <c r="J21" s="46"/>
      <c r="K21" s="46"/>
      <c r="L21" s="47"/>
      <c r="M21" s="48"/>
      <c r="O21" s="80"/>
      <c r="P21" s="223" t="s">
        <v>84</v>
      </c>
      <c r="Q21" s="223"/>
      <c r="R21" s="223"/>
      <c r="S21" s="223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5" t="s">
        <v>2</v>
      </c>
      <c r="H24" s="225"/>
      <c r="I24" s="40"/>
      <c r="J24" s="51"/>
      <c r="K24" s="51"/>
      <c r="L24" s="40"/>
      <c r="M24" s="41"/>
      <c r="O24" s="68"/>
      <c r="P24" s="69"/>
      <c r="Q24" s="69"/>
      <c r="R24" s="69"/>
      <c r="S24" s="208" t="s">
        <v>71</v>
      </c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/>
      <c r="C27" s="60" t="s">
        <v>68</v>
      </c>
      <c r="D27" s="60" t="s">
        <v>51</v>
      </c>
      <c r="E27" s="60">
        <v>0</v>
      </c>
      <c r="F27" s="60">
        <v>200</v>
      </c>
      <c r="G27" s="60"/>
      <c r="H27" s="61"/>
      <c r="I27" s="60">
        <v>0</v>
      </c>
      <c r="J27" s="61" t="e">
        <f>F27/H27</f>
        <v>#DIV/0!</v>
      </c>
      <c r="K27" s="61">
        <f>(H27-F27)*100/F27</f>
        <v>-100</v>
      </c>
      <c r="L27" s="60" t="s">
        <v>67</v>
      </c>
      <c r="M27" s="78" t="s">
        <v>216</v>
      </c>
      <c r="O27" s="63">
        <v>45119.529166666667</v>
      </c>
      <c r="P27" s="64" t="s">
        <v>71</v>
      </c>
      <c r="Q27" s="64">
        <v>5348.01</v>
      </c>
      <c r="R27" s="64">
        <v>4078.21</v>
      </c>
      <c r="S27" s="77" t="s">
        <v>245</v>
      </c>
      <c r="T27" s="77">
        <v>826.37</v>
      </c>
      <c r="U27" s="86">
        <v>0.91469999999999996</v>
      </c>
      <c r="V27" s="86">
        <v>0.9375</v>
      </c>
      <c r="W27" s="60" t="s">
        <v>67</v>
      </c>
      <c r="X27" s="78" t="s">
        <v>216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240</v>
      </c>
      <c r="O28" s="63">
        <v>45132.46875</v>
      </c>
      <c r="P28" s="64" t="s">
        <v>71</v>
      </c>
      <c r="Q28" s="64">
        <v>4599.26</v>
      </c>
      <c r="R28" s="64">
        <v>3479.23</v>
      </c>
      <c r="S28" s="77" t="s">
        <v>245</v>
      </c>
      <c r="T28" s="77">
        <v>864.71</v>
      </c>
      <c r="U28" s="86">
        <v>0.92220000000000002</v>
      </c>
      <c r="V28" s="86">
        <v>0.89259999999999995</v>
      </c>
      <c r="W28" s="60" t="s">
        <v>67</v>
      </c>
      <c r="X28" s="62" t="s">
        <v>2555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241</v>
      </c>
      <c r="O29" s="63" t="s">
        <v>3229</v>
      </c>
      <c r="P29" s="64" t="s">
        <v>71</v>
      </c>
      <c r="Q29" s="64">
        <v>5141.72</v>
      </c>
      <c r="R29" s="64">
        <v>3918.66</v>
      </c>
      <c r="S29" s="77" t="s">
        <v>245</v>
      </c>
      <c r="T29" s="77">
        <v>829.21</v>
      </c>
      <c r="U29" s="86">
        <v>0.91839999999999999</v>
      </c>
      <c r="V29" s="86">
        <v>0.93810000000000004</v>
      </c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241</v>
      </c>
      <c r="O30" s="63"/>
      <c r="P30" s="64" t="s">
        <v>71</v>
      </c>
      <c r="Q30" s="64"/>
      <c r="R30" s="64"/>
      <c r="S30" s="77" t="s">
        <v>245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3" t="s">
        <v>85</v>
      </c>
      <c r="Q40" s="223"/>
      <c r="R40" s="223"/>
      <c r="S40" s="223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4" t="s">
        <v>26</v>
      </c>
      <c r="E41" s="224"/>
      <c r="F41" s="224"/>
      <c r="G41" s="224"/>
      <c r="H41" s="224"/>
      <c r="I41" s="224"/>
      <c r="J41" s="52">
        <f>COUNT(B27:B39)</f>
        <v>0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5" t="s">
        <v>23</v>
      </c>
      <c r="H44" s="225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4" t="s">
        <v>27</v>
      </c>
      <c r="E61" s="224"/>
      <c r="F61" s="224"/>
      <c r="G61" s="224"/>
      <c r="H61" s="224"/>
      <c r="I61" s="224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5" t="s">
        <v>3</v>
      </c>
      <c r="H64" s="225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/>
      <c r="C67" s="60" t="s">
        <v>3</v>
      </c>
      <c r="D67" s="60" t="s">
        <v>52</v>
      </c>
      <c r="E67" s="60">
        <v>0</v>
      </c>
      <c r="F67" s="60">
        <v>5</v>
      </c>
      <c r="G67" s="60"/>
      <c r="H67" s="117"/>
      <c r="I67" s="60">
        <v>0</v>
      </c>
      <c r="J67" s="61" t="e">
        <f>F67/H67</f>
        <v>#DIV/0!</v>
      </c>
      <c r="K67" s="61">
        <f>(H67-F67)*100/F67</f>
        <v>-100</v>
      </c>
      <c r="L67" s="60" t="s">
        <v>67</v>
      </c>
      <c r="M67" s="78" t="s">
        <v>240</v>
      </c>
    </row>
    <row r="68" spans="2:13" ht="15.75" x14ac:dyDescent="0.25">
      <c r="B68" s="63"/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 t="s">
        <v>241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241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4" t="s">
        <v>28</v>
      </c>
      <c r="E81" s="224"/>
      <c r="F81" s="224"/>
      <c r="G81" s="224"/>
      <c r="H81" s="224"/>
      <c r="I81" s="224"/>
      <c r="J81" s="52">
        <f>COUNT(B67:B79)</f>
        <v>0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5" t="s">
        <v>24</v>
      </c>
      <c r="H84" s="225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4" t="s">
        <v>29</v>
      </c>
      <c r="E101" s="224"/>
      <c r="F101" s="224"/>
      <c r="G101" s="224"/>
      <c r="H101" s="224"/>
      <c r="I101" s="224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8" t="s">
        <v>4</v>
      </c>
      <c r="H104" s="228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45114.25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320.3</v>
      </c>
      <c r="I107" s="60">
        <f>G107-E107</f>
        <v>0</v>
      </c>
      <c r="J107" s="61">
        <f>F107/H107</f>
        <v>0.99906337808304713</v>
      </c>
      <c r="K107" s="61">
        <f>(H107-F107)*100/F107</f>
        <v>9.3750000000003553E-2</v>
      </c>
      <c r="L107" s="60" t="s">
        <v>67</v>
      </c>
      <c r="M107" s="62" t="s">
        <v>240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241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4" t="s">
        <v>69</v>
      </c>
      <c r="D119" s="224"/>
      <c r="E119" s="224"/>
      <c r="F119" s="224"/>
      <c r="G119" s="224"/>
      <c r="H119" s="224"/>
      <c r="I119" s="52">
        <f>COUNT(B107:B118)</f>
        <v>1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9" sqref="B9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9" t="s">
        <v>243</v>
      </c>
      <c r="C2" s="229"/>
      <c r="D2" s="230">
        <v>45108</v>
      </c>
      <c r="E2" s="230"/>
    </row>
    <row r="3" spans="1:5" x14ac:dyDescent="0.25">
      <c r="B3" s="229" t="s">
        <v>21</v>
      </c>
      <c r="C3" s="229"/>
      <c r="D3" s="230"/>
      <c r="E3" s="230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 t="s">
        <v>2553</v>
      </c>
      <c r="C8" s="201" t="s">
        <v>2554</v>
      </c>
      <c r="D8" s="33">
        <f t="shared" ref="D8:D13" si="0">C8-B8</f>
        <v>0.13541666666424135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0.13541666666424135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1" t="s">
        <v>22</v>
      </c>
      <c r="C44" s="231"/>
      <c r="D44" s="20">
        <f>SUM(D11:D42)</f>
        <v>0.13541666666424135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F4" sqref="F4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7" t="s">
        <v>220</v>
      </c>
      <c r="C2" s="247"/>
      <c r="D2" s="247"/>
      <c r="E2" s="247"/>
      <c r="F2" s="248">
        <v>45108</v>
      </c>
      <c r="G2" s="249"/>
      <c r="H2" s="249"/>
    </row>
    <row r="3" spans="2:24" s="12" customFormat="1" ht="15" customHeight="1" x14ac:dyDescent="0.25">
      <c r="B3" s="247"/>
      <c r="C3" s="247"/>
      <c r="D3" s="247"/>
      <c r="E3" s="247"/>
      <c r="F3" s="249"/>
      <c r="G3" s="249"/>
      <c r="H3" s="249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50" t="s">
        <v>4</v>
      </c>
      <c r="C12" s="252" t="s">
        <v>133</v>
      </c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127"/>
      <c r="U12" s="125"/>
    </row>
    <row r="13" spans="2:24" ht="15" customHeight="1" x14ac:dyDescent="0.25">
      <c r="B13" s="251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51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51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51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51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51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42" t="s">
        <v>2</v>
      </c>
      <c r="C25" s="245" t="s">
        <v>133</v>
      </c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34"/>
      <c r="S25" s="188"/>
      <c r="T25" s="189"/>
    </row>
    <row r="26" spans="2:28" ht="15" customHeight="1" x14ac:dyDescent="0.3">
      <c r="B26" s="242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42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42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4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6" t="s">
        <v>3</v>
      </c>
      <c r="C36" s="238" t="s">
        <v>133</v>
      </c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9"/>
    </row>
    <row r="37" spans="2:25" ht="15.75" customHeight="1" x14ac:dyDescent="0.25">
      <c r="B37" s="237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7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7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7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0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1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1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1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1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42" t="s">
        <v>184</v>
      </c>
      <c r="C61" s="245" t="s">
        <v>133</v>
      </c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34"/>
      <c r="S61" s="166"/>
      <c r="T61" s="167"/>
    </row>
    <row r="62" spans="2:20" ht="15.75" x14ac:dyDescent="0.3">
      <c r="B62" s="242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43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3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4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42" t="s">
        <v>201</v>
      </c>
      <c r="C69" s="245" t="s">
        <v>133</v>
      </c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34"/>
      <c r="S69" s="166"/>
      <c r="T69" s="167"/>
    </row>
    <row r="70" spans="2:20" ht="15.75" x14ac:dyDescent="0.3">
      <c r="B70" s="242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42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3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4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2" t="s">
        <v>24</v>
      </c>
      <c r="C77" s="234" t="s">
        <v>133</v>
      </c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177"/>
      <c r="S77" s="177"/>
      <c r="T77" s="178"/>
    </row>
    <row r="78" spans="2:20" x14ac:dyDescent="0.25">
      <c r="B78" s="233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33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33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33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33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33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2024-08-28T14:07:19Z</dcterms:modified>
</cp:coreProperties>
</file>