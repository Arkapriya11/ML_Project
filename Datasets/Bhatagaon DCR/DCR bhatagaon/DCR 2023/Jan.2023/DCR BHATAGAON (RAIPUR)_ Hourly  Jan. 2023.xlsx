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 defaultThemeVersion="124226"/>
  <bookViews>
    <workbookView xWindow="4155" yWindow="510" windowWidth="20730" windowHeight="11760" tabRatio="913" activeTab="31"/>
  </bookViews>
  <sheets>
    <sheet name="01" sheetId="2" r:id="rId3"/>
    <sheet name="02" sheetId="3" r:id="rId4"/>
    <sheet name="03" sheetId="8" r:id="rId5"/>
    <sheet name="04" sheetId="9" r:id="rId6"/>
    <sheet name="05" sheetId="10" r:id="rId7"/>
    <sheet name="06" sheetId="11" r:id="rId8"/>
    <sheet name="07" sheetId="12" r:id="rId9"/>
    <sheet name="08" sheetId="13" r:id="rId10"/>
    <sheet name="09" sheetId="14" r:id="rId11"/>
    <sheet name="10" sheetId="15" r:id="rId12"/>
    <sheet name="11" sheetId="16" r:id="rId13"/>
    <sheet name="12" sheetId="17" r:id="rId14"/>
    <sheet name="14" sheetId="19" r:id="rId15"/>
    <sheet name="13" sheetId="18" r:id="rId16"/>
    <sheet name="15" sheetId="20" r:id="rId17"/>
    <sheet name="16" sheetId="21" r:id="rId18"/>
    <sheet name="17" sheetId="22" r:id="rId19"/>
    <sheet name="18" sheetId="23" r:id="rId20"/>
    <sheet name="19" sheetId="24" r:id="rId21"/>
    <sheet name="20" sheetId="25" r:id="rId22"/>
    <sheet name="21" sheetId="26" r:id="rId23"/>
    <sheet name="22" sheetId="27" r:id="rId24"/>
    <sheet name="23" sheetId="28" r:id="rId25"/>
    <sheet name="24" sheetId="29" r:id="rId26"/>
    <sheet name="25" sheetId="30" r:id="rId27"/>
    <sheet name="26" sheetId="31" r:id="rId28"/>
    <sheet name="27" sheetId="32" r:id="rId29"/>
    <sheet name="28" sheetId="33" r:id="rId30"/>
    <sheet name="29" sheetId="40" r:id="rId31"/>
    <sheet name="30" sheetId="41" r:id="rId32"/>
    <sheet name="31" sheetId="42" r:id="rId33"/>
    <sheet name="MONTHLY 30" sheetId="39" r:id="rId34"/>
  </sheets>
  <definedNames/>
  <calcPr calcId="144525"/>
</workbook>
</file>

<file path=xl/calcChain.xml><?xml version="1.0" encoding="utf-8"?>
<calcChain xmlns="http://schemas.openxmlformats.org/spreadsheetml/2006/main">
  <c r="B2" i="16" l="1"/>
</calcChain>
</file>

<file path=xl/sharedStrings.xml><?xml version="1.0" encoding="utf-8"?>
<sst xmlns="http://schemas.openxmlformats.org/spreadsheetml/2006/main" count="3175" uniqueCount="807">
  <si>
    <t>Date:</t>
  </si>
  <si>
    <t>Status</t>
  </si>
  <si>
    <t>Station: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</si>
  <si>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</si>
  <si>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</si>
  <si>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</si>
  <si>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</si>
  <si>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</si>
  <si>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</si>
  <si>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</si>
  <si>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</si>
  <si>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</si>
  <si>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</si>
  <si>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</si>
  <si>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</si>
  <si>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</si>
  <si>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</si>
  <si>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>Zero Referrence</t>
  </si>
  <si>
    <t>Z.Ref</t>
  </si>
  <si>
    <t>Warm Up</t>
  </si>
  <si>
    <t>Wm. Up</t>
  </si>
  <si>
    <t>Date &amp; Time</t>
  </si>
  <si>
    <t>ug/m3</t>
  </si>
  <si>
    <t>mg/m3</t>
  </si>
  <si>
    <t>m/sec</t>
  </si>
  <si>
    <t>deg</t>
  </si>
  <si>
    <t>%</t>
  </si>
  <si>
    <t>degreC</t>
  </si>
  <si>
    <t>w/m2</t>
  </si>
  <si>
    <t>mm</t>
  </si>
  <si>
    <t>Min</t>
  </si>
  <si>
    <t>Max</t>
  </si>
  <si>
    <t>Avg</t>
  </si>
  <si>
    <t>Num</t>
  </si>
  <si>
    <t>DCR</t>
  </si>
  <si>
    <t>Done by</t>
  </si>
  <si>
    <t>Comment</t>
  </si>
  <si>
    <t>24 HRS</t>
  </si>
  <si>
    <t>Stdev</t>
  </si>
  <si>
    <t xml:space="preserve"> 01 Hour</t>
  </si>
  <si>
    <t>BHATAGAON ,RAIPUR</t>
  </si>
  <si>
    <t>RAHUL</t>
  </si>
  <si>
    <t>BHATAGAON RAIPUR</t>
  </si>
  <si>
    <t>NO2_BHATAGAON</t>
  </si>
  <si>
    <t>NOX_BHATAGAON</t>
  </si>
  <si>
    <t>SO2_BHATAGAON</t>
  </si>
  <si>
    <t>O3_BHATAGAON</t>
  </si>
  <si>
    <t>PM10_BHATAGAON</t>
  </si>
  <si>
    <t>PM2_5_BHATAGAON</t>
  </si>
  <si>
    <t>BENZ_BHATAGAON</t>
  </si>
  <si>
    <t>WS_BHATAGAON</t>
  </si>
  <si>
    <t>WD_BHATAGAON</t>
  </si>
  <si>
    <t>TEMP_BHATAGAON</t>
  </si>
  <si>
    <t>HUM BHATAGAON</t>
  </si>
  <si>
    <t>SR_BHATAGAON</t>
  </si>
  <si>
    <t>RG_BHATAGAON</t>
  </si>
  <si>
    <t>CO_BHATAGAON</t>
  </si>
  <si>
    <t>NH3_BHATAGAON</t>
  </si>
  <si>
    <t>NO_BHATAGAON</t>
  </si>
  <si>
    <t xml:space="preserve">BHATAGAON RAIPUR </t>
  </si>
  <si>
    <t>rahul</t>
  </si>
  <si>
    <t>01-01-2023 01:00</t>
  </si>
  <si>
    <t>01-01-2023 02:00</t>
  </si>
  <si>
    <t>01-01-2023 03:00</t>
  </si>
  <si>
    <t>01-01-2023 04:00</t>
  </si>
  <si>
    <t>01-01-2023 05:00</t>
  </si>
  <si>
    <t>01-01-2023 06:00</t>
  </si>
  <si>
    <t>01-01-2023 07:00</t>
  </si>
  <si>
    <t>01-01-2023 08:00</t>
  </si>
  <si>
    <t>01-01-2023 09:00</t>
  </si>
  <si>
    <t>01-01-2023 10:00</t>
  </si>
  <si>
    <t>01-01-2023 11:00</t>
  </si>
  <si>
    <t>01-01-2023 12:00</t>
  </si>
  <si>
    <t>01-01-2023 13:00</t>
  </si>
  <si>
    <t>01-01-2023 14:00</t>
  </si>
  <si>
    <t>01-01-2023 15:00</t>
  </si>
  <si>
    <t>01-01-2023 16:00</t>
  </si>
  <si>
    <t>01-01-2023 17:00</t>
  </si>
  <si>
    <t>01-01-2023 18:00</t>
  </si>
  <si>
    <t>01-01-2023 19:00</t>
  </si>
  <si>
    <t>01-01-2023 20:00</t>
  </si>
  <si>
    <t>01-01-2023 21:00</t>
  </si>
  <si>
    <t>01-01-2023 22:00</t>
  </si>
  <si>
    <t>01-01-2023 23:00</t>
  </si>
  <si>
    <t>01-01-2023 24:00</t>
  </si>
  <si>
    <t>02-01-2023 01:00</t>
  </si>
  <si>
    <t>02-01-2023 02:00</t>
  </si>
  <si>
    <t>02-01-2023 03:00</t>
  </si>
  <si>
    <t>02-01-2023 04:00</t>
  </si>
  <si>
    <t>02-01-2023 05:00</t>
  </si>
  <si>
    <t>02-01-2023 06:00</t>
  </si>
  <si>
    <t>02-01-2023 07:00</t>
  </si>
  <si>
    <t>02-01-2023 08:00</t>
  </si>
  <si>
    <t>02-01-2023 09:00</t>
  </si>
  <si>
    <t>02-01-2023 10:00</t>
  </si>
  <si>
    <t>02-01-2023 11:00</t>
  </si>
  <si>
    <t>02-01-2023 12:00</t>
  </si>
  <si>
    <t>02-01-2023 13:00</t>
  </si>
  <si>
    <t>02-01-2023 14:00</t>
  </si>
  <si>
    <t>02-01-2023 15:00</t>
  </si>
  <si>
    <t>02-01-2023 16:00</t>
  </si>
  <si>
    <t>02-01-2023 17:00</t>
  </si>
  <si>
    <t>02-01-2023 18:00</t>
  </si>
  <si>
    <t>02-01-2023 19:00</t>
  </si>
  <si>
    <t>02-01-2023 20:00</t>
  </si>
  <si>
    <t>02-01-2023 21:00</t>
  </si>
  <si>
    <t>02-01-2023 22:00</t>
  </si>
  <si>
    <t>02-01-2023 23:00</t>
  </si>
  <si>
    <t>02-01-2023 24:00</t>
  </si>
  <si>
    <t>03-01-2023 01:00</t>
  </si>
  <si>
    <t>03-01-2023 02:00</t>
  </si>
  <si>
    <t>03-01-2023 03:00</t>
  </si>
  <si>
    <t>03-01-2023 04:00</t>
  </si>
  <si>
    <t>03-01-2023 05:00</t>
  </si>
  <si>
    <t>03-01-2023 06:00</t>
  </si>
  <si>
    <t>03-01-2023 07:00</t>
  </si>
  <si>
    <t>03-01-2023 08:00</t>
  </si>
  <si>
    <t>03-01-2023 09:00</t>
  </si>
  <si>
    <t>03-01-2023 10:00</t>
  </si>
  <si>
    <t>03-01-2023 11:00</t>
  </si>
  <si>
    <t>03-01-2023 12:00</t>
  </si>
  <si>
    <t>03-01-2023 13:00</t>
  </si>
  <si>
    <t>03-01-2023 14:00</t>
  </si>
  <si>
    <t>03-01-2023 15:00</t>
  </si>
  <si>
    <t>03-01-2023 16:00</t>
  </si>
  <si>
    <t>03-01-2023 17:00</t>
  </si>
  <si>
    <t>03-01-2023 18:00</t>
  </si>
  <si>
    <t>03-01-2023 19:00</t>
  </si>
  <si>
    <t>03-01-2023 20:00</t>
  </si>
  <si>
    <t>03-01-2023 21:00</t>
  </si>
  <si>
    <t>03-01-2023 22:00</t>
  </si>
  <si>
    <t>03-01-2023 23:00</t>
  </si>
  <si>
    <t>03-01-2023 24:00</t>
  </si>
  <si>
    <t>04-01-2023 01:00</t>
  </si>
  <si>
    <t>04-01-2023 02:00</t>
  </si>
  <si>
    <t>04-01-2023 03:00</t>
  </si>
  <si>
    <t>04-01-2023 04:00</t>
  </si>
  <si>
    <t>04-01-2023 05:00</t>
  </si>
  <si>
    <t>04-01-2023 06:00</t>
  </si>
  <si>
    <t>04-01-2023 07:00</t>
  </si>
  <si>
    <t>04-01-2023 08:00</t>
  </si>
  <si>
    <t>04-01-2023 09:00</t>
  </si>
  <si>
    <t>04-01-2023 10:00</t>
  </si>
  <si>
    <t>04-01-2023 11:00</t>
  </si>
  <si>
    <t>04-01-2023 12:00</t>
  </si>
  <si>
    <t>04-01-2023 13:00</t>
  </si>
  <si>
    <t>04-01-2023 14:00</t>
  </si>
  <si>
    <t>04-01-2023 15:00</t>
  </si>
  <si>
    <t>04-01-2023 16:00</t>
  </si>
  <si>
    <t>04-01-2023 17:00</t>
  </si>
  <si>
    <t>04-01-2023 18:00</t>
  </si>
  <si>
    <t>04-01-2023 19:00</t>
  </si>
  <si>
    <t>04-01-2023 20:00</t>
  </si>
  <si>
    <t>04-01-2023 21:00</t>
  </si>
  <si>
    <t>04-01-2023 22:00</t>
  </si>
  <si>
    <t>04-01-2023 23:00</t>
  </si>
  <si>
    <t>04-01-2023 24:00</t>
  </si>
  <si>
    <t>05-01-2023 01:00</t>
  </si>
  <si>
    <t>05-01-2023 02:00</t>
  </si>
  <si>
    <t>05-01-2023 03:00</t>
  </si>
  <si>
    <t>05-01-2023 04:00</t>
  </si>
  <si>
    <t>05-01-2023 05:00</t>
  </si>
  <si>
    <t>05-01-2023 06:00</t>
  </si>
  <si>
    <t>05-01-2023 07:00</t>
  </si>
  <si>
    <t>05-01-2023 08:00</t>
  </si>
  <si>
    <t>05-01-2023 09:00</t>
  </si>
  <si>
    <t>05-01-2023 10:00</t>
  </si>
  <si>
    <t>05-01-2023 11:00</t>
  </si>
  <si>
    <t>05-01-2023 12:00</t>
  </si>
  <si>
    <t>05-01-2023 13:00</t>
  </si>
  <si>
    <t>05-01-2023 14:00</t>
  </si>
  <si>
    <t>05-01-2023 15:00</t>
  </si>
  <si>
    <t>05-01-2023 16:00</t>
  </si>
  <si>
    <t>05-01-2023 17:00</t>
  </si>
  <si>
    <t>05-01-2023 18:00</t>
  </si>
  <si>
    <t>05-01-2023 19:00</t>
  </si>
  <si>
    <t>05-01-2023 20:00</t>
  </si>
  <si>
    <t>05-01-2023 21:00</t>
  </si>
  <si>
    <t>05-01-2023 22:00</t>
  </si>
  <si>
    <t>05-01-2023 23:00</t>
  </si>
  <si>
    <t>05-01-2023 24:00</t>
  </si>
  <si>
    <t>06-01-2023 01:00</t>
  </si>
  <si>
    <t>06-01-2023 02:00</t>
  </si>
  <si>
    <t>06-01-2023 03:00</t>
  </si>
  <si>
    <t>06-01-2023 04:00</t>
  </si>
  <si>
    <t>06-01-2023 05:00</t>
  </si>
  <si>
    <t>06-01-2023 06:00</t>
  </si>
  <si>
    <t>06-01-2023 07:00</t>
  </si>
  <si>
    <t>06-01-2023 08:00</t>
  </si>
  <si>
    <t>06-01-2023 09:00</t>
  </si>
  <si>
    <t>06-01-2023 10:00</t>
  </si>
  <si>
    <t>06-01-2023 11:00</t>
  </si>
  <si>
    <t>06-01-2023 12:00</t>
  </si>
  <si>
    <t>06-01-2023 13:00</t>
  </si>
  <si>
    <t>06-01-2023 14:00</t>
  </si>
  <si>
    <t>06-01-2023 15:00</t>
  </si>
  <si>
    <t>06-01-2023 16:00</t>
  </si>
  <si>
    <t>06-01-2023 17:00</t>
  </si>
  <si>
    <t>06-01-2023 18:00</t>
  </si>
  <si>
    <t>06-01-2023 19:00</t>
  </si>
  <si>
    <t>06-01-2023 20:00</t>
  </si>
  <si>
    <t>06-01-2023 21:00</t>
  </si>
  <si>
    <t>06-01-2023 22:00</t>
  </si>
  <si>
    <t>06-01-2023 23:00</t>
  </si>
  <si>
    <t>06-01-2023 24:00</t>
  </si>
  <si>
    <t>07-01-2023 01:00</t>
  </si>
  <si>
    <t>07-01-2023 02:00</t>
  </si>
  <si>
    <t>07-01-2023 03:00</t>
  </si>
  <si>
    <t>07-01-2023 04:00</t>
  </si>
  <si>
    <t>07-01-2023 05:00</t>
  </si>
  <si>
    <t>07-01-2023 06:00</t>
  </si>
  <si>
    <t>07-01-2023 07:00</t>
  </si>
  <si>
    <t>07-01-2023 08:00</t>
  </si>
  <si>
    <t>07-01-2023 09:00</t>
  </si>
  <si>
    <t>07-01-2023 10:00</t>
  </si>
  <si>
    <t>07-01-2023 11:00</t>
  </si>
  <si>
    <t>07-01-2023 12:00</t>
  </si>
  <si>
    <t>07-01-2023 13:00</t>
  </si>
  <si>
    <t>07-01-2023 14:00</t>
  </si>
  <si>
    <t>07-01-2023 15:00</t>
  </si>
  <si>
    <t>07-01-2023 16:00</t>
  </si>
  <si>
    <t>07-01-2023 17:00</t>
  </si>
  <si>
    <t>07-01-2023 18:00</t>
  </si>
  <si>
    <t>07-01-2023 19:00</t>
  </si>
  <si>
    <t>07-01-2023 20:00</t>
  </si>
  <si>
    <t>07-01-2023 21:00</t>
  </si>
  <si>
    <t>07-01-2023 22:00</t>
  </si>
  <si>
    <t>07-01-2023 23:00</t>
  </si>
  <si>
    <t>07-01-2023 24:00</t>
  </si>
  <si>
    <t>08-01-2023 01:00</t>
  </si>
  <si>
    <t>08-01-2023 02:00</t>
  </si>
  <si>
    <t>08-01-2023 03:00</t>
  </si>
  <si>
    <t>08-01-2023 04:00</t>
  </si>
  <si>
    <t>08-01-2023 05:00</t>
  </si>
  <si>
    <t>08-01-2023 06:00</t>
  </si>
  <si>
    <t>08-01-2023 07:00</t>
  </si>
  <si>
    <t>08-01-2023 08:00</t>
  </si>
  <si>
    <t>08-01-2023 09:00</t>
  </si>
  <si>
    <t>08-01-2023 10:00</t>
  </si>
  <si>
    <t>08-01-2023 11:00</t>
  </si>
  <si>
    <t>08-01-2023 12:00</t>
  </si>
  <si>
    <t>08-01-2023 13:00</t>
  </si>
  <si>
    <t>08-01-2023 14:00</t>
  </si>
  <si>
    <t>08-01-2023 15:00</t>
  </si>
  <si>
    <t>08-01-2023 16:00</t>
  </si>
  <si>
    <t>08-01-2023 17:00</t>
  </si>
  <si>
    <t>08-01-2023 18:00</t>
  </si>
  <si>
    <t>08-01-2023 19:00</t>
  </si>
  <si>
    <t>08-01-2023 20:00</t>
  </si>
  <si>
    <t>08-01-2023 21:00</t>
  </si>
  <si>
    <t>08-01-2023 22:00</t>
  </si>
  <si>
    <t>08-01-2023 23:00</t>
  </si>
  <si>
    <t>08-01-2023 24:00</t>
  </si>
  <si>
    <t>09-01-2023 01:00</t>
  </si>
  <si>
    <t>09-01-2023 02:00</t>
  </si>
  <si>
    <t>09-01-2023 03:00</t>
  </si>
  <si>
    <t>09-01-2023 04:00</t>
  </si>
  <si>
    <t>09-01-2023 05:00</t>
  </si>
  <si>
    <t>09-01-2023 06:00</t>
  </si>
  <si>
    <t>09-01-2023 07:00</t>
  </si>
  <si>
    <t>09-01-2023 08:00</t>
  </si>
  <si>
    <t>09-01-2023 09:00</t>
  </si>
  <si>
    <t>09-01-2023 10:00</t>
  </si>
  <si>
    <t>09-01-2023 11:00</t>
  </si>
  <si>
    <t>09-01-2023 12:00</t>
  </si>
  <si>
    <t>09-01-2023 13:00</t>
  </si>
  <si>
    <t>09-01-2023 14:00</t>
  </si>
  <si>
    <t>09-01-2023 15:00</t>
  </si>
  <si>
    <t>09-01-2023 16:00</t>
  </si>
  <si>
    <t>09-01-2023 17:00</t>
  </si>
  <si>
    <t>09-01-2023 18:00</t>
  </si>
  <si>
    <t>09-01-2023 19:00</t>
  </si>
  <si>
    <t>09-01-2023 20:00</t>
  </si>
  <si>
    <t>09-01-2023 21:00</t>
  </si>
  <si>
    <t>09-01-2023 22:00</t>
  </si>
  <si>
    <t>09-01-2023 23:00</t>
  </si>
  <si>
    <t>09-01-2023 24:00</t>
  </si>
  <si>
    <t>10-01-2023 01:00</t>
  </si>
  <si>
    <t>10-01-2023 02:00</t>
  </si>
  <si>
    <t>10-01-2023 03:00</t>
  </si>
  <si>
    <t>10-01-2023 04:00</t>
  </si>
  <si>
    <t>10-01-2023 05:00</t>
  </si>
  <si>
    <t>10-01-2023 06:00</t>
  </si>
  <si>
    <t>10-01-2023 07:00</t>
  </si>
  <si>
    <t>10-01-2023 08:00</t>
  </si>
  <si>
    <t>10-01-2023 09:00</t>
  </si>
  <si>
    <t>10-01-2023 10:00</t>
  </si>
  <si>
    <t>10-01-2023 11:00</t>
  </si>
  <si>
    <t>10-01-2023 12:00</t>
  </si>
  <si>
    <t>10-01-2023 13:00</t>
  </si>
  <si>
    <t>10-01-2023 14:00</t>
  </si>
  <si>
    <t>10-01-2023 15:00</t>
  </si>
  <si>
    <t>10-01-2023 16:00</t>
  </si>
  <si>
    <t>10-01-2023 17:00</t>
  </si>
  <si>
    <t>10-01-2023 18:00</t>
  </si>
  <si>
    <t>10-01-2023 19:00</t>
  </si>
  <si>
    <t>10-01-2023 20:00</t>
  </si>
  <si>
    <t>10-01-2023 21:00</t>
  </si>
  <si>
    <t>10-01-2023 22:00</t>
  </si>
  <si>
    <t>10-01-2023 23:00</t>
  </si>
  <si>
    <t>10-01-2023 24:00</t>
  </si>
  <si>
    <t>11-01-2023 01:00</t>
  </si>
  <si>
    <t>11-01-2023 02:00</t>
  </si>
  <si>
    <t>11-01-2023 03:00</t>
  </si>
  <si>
    <t>11-01-2023 04:00</t>
  </si>
  <si>
    <t>11-01-2023 05:00</t>
  </si>
  <si>
    <t>11-01-2023 06:00</t>
  </si>
  <si>
    <t>11-01-2023 07:00</t>
  </si>
  <si>
    <t>11-01-2023 08:00</t>
  </si>
  <si>
    <t>11-01-2023 09:00</t>
  </si>
  <si>
    <t>11-01-2023 10:00</t>
  </si>
  <si>
    <t>11-01-2023 11:00</t>
  </si>
  <si>
    <t>11-01-2023 12:00</t>
  </si>
  <si>
    <t>11-01-2023 13:00</t>
  </si>
  <si>
    <t>11-01-2023 14:00</t>
  </si>
  <si>
    <t>11-01-2023 15:00</t>
  </si>
  <si>
    <t>11-01-2023 16:00</t>
  </si>
  <si>
    <t>11-01-2023 17:00</t>
  </si>
  <si>
    <t>11-01-2023 18:00</t>
  </si>
  <si>
    <t>11-01-2023 19:00</t>
  </si>
  <si>
    <t>11-01-2023 20:00</t>
  </si>
  <si>
    <t>11-01-2023 21:00</t>
  </si>
  <si>
    <t>11-01-2023 22:00</t>
  </si>
  <si>
    <t>11-01-2023 23:00</t>
  </si>
  <si>
    <t>11-01-2023 24:00</t>
  </si>
  <si>
    <t>12-01-2023 01:00</t>
  </si>
  <si>
    <t>12-01-2023 02:00</t>
  </si>
  <si>
    <t>12-01-2023 03:00</t>
  </si>
  <si>
    <t>12-01-2023 04:00</t>
  </si>
  <si>
    <t>12-01-2023 05:00</t>
  </si>
  <si>
    <t>12-01-2023 06:00</t>
  </si>
  <si>
    <t>12-01-2023 07:00</t>
  </si>
  <si>
    <t>12-01-2023 08:00</t>
  </si>
  <si>
    <t>12-01-2023 09:00</t>
  </si>
  <si>
    <t>12-01-2023 10:00</t>
  </si>
  <si>
    <t>12-01-2023 11:00</t>
  </si>
  <si>
    <t>12-01-2023 12:00</t>
  </si>
  <si>
    <t>12-01-2023 13:00</t>
  </si>
  <si>
    <t>12-01-2023 14:00</t>
  </si>
  <si>
    <t>12-01-2023 15:00</t>
  </si>
  <si>
    <t>12-01-2023 16:00</t>
  </si>
  <si>
    <t>12-01-2023 17:00</t>
  </si>
  <si>
    <t>12-01-2023 18:00</t>
  </si>
  <si>
    <t>12-01-2023 19:00</t>
  </si>
  <si>
    <t>12-01-2023 20:00</t>
  </si>
  <si>
    <t>12-01-2023 21:00</t>
  </si>
  <si>
    <t>12-01-2023 22:00</t>
  </si>
  <si>
    <t>12-01-2023 23:00</t>
  </si>
  <si>
    <t>12-01-2023 24:00</t>
  </si>
  <si>
    <t>13-01-2023 01:00</t>
  </si>
  <si>
    <t>13-01-2023 02:00</t>
  </si>
  <si>
    <t>13-01-2023 03:00</t>
  </si>
  <si>
    <t>13-01-2023 04:00</t>
  </si>
  <si>
    <t>13-01-2023 05:00</t>
  </si>
  <si>
    <t>13-01-2023 06:00</t>
  </si>
  <si>
    <t>13-01-2023 07:00</t>
  </si>
  <si>
    <t>13-01-2023 08:00</t>
  </si>
  <si>
    <t>13-01-2023 09:00</t>
  </si>
  <si>
    <t>13-01-2023 10:00</t>
  </si>
  <si>
    <t>13-01-2023 11:00</t>
  </si>
  <si>
    <t>13-01-2023 12:00</t>
  </si>
  <si>
    <t>13-01-2023 13:00</t>
  </si>
  <si>
    <t>13-01-2023 14:00</t>
  </si>
  <si>
    <t>13-01-2023 15:00</t>
  </si>
  <si>
    <t>13-01-2023 16:00</t>
  </si>
  <si>
    <t>13-01-2023 17:00</t>
  </si>
  <si>
    <t>13-01-2023 18:00</t>
  </si>
  <si>
    <t>13-01-2023 19:00</t>
  </si>
  <si>
    <t>13-01-2023 20:00</t>
  </si>
  <si>
    <t>13-01-2023 21:00</t>
  </si>
  <si>
    <t>13-01-2023 22:00</t>
  </si>
  <si>
    <t>13-01-2023 23:00</t>
  </si>
  <si>
    <t>13-01-2023 24:00</t>
  </si>
  <si>
    <t>14-01-2023 01:00</t>
  </si>
  <si>
    <t>14-01-2023 02:00</t>
  </si>
  <si>
    <t>14-01-2023 03:00</t>
  </si>
  <si>
    <t>14-01-2023 04:00</t>
  </si>
  <si>
    <t>14-01-2023 05:00</t>
  </si>
  <si>
    <t>14-01-2023 06:00</t>
  </si>
  <si>
    <t>14-01-2023 07:00</t>
  </si>
  <si>
    <t>14-01-2023 08:00</t>
  </si>
  <si>
    <t>14-01-2023 09:00</t>
  </si>
  <si>
    <t>14-01-2023 10:00</t>
  </si>
  <si>
    <t>14-01-2023 11:00</t>
  </si>
  <si>
    <t>14-01-2023 12:00</t>
  </si>
  <si>
    <t>14-01-2023 13:00</t>
  </si>
  <si>
    <t>14-01-2023 14:00</t>
  </si>
  <si>
    <t>14-01-2023 15:00</t>
  </si>
  <si>
    <t>14-01-2023 16:00</t>
  </si>
  <si>
    <t>14-01-2023 17:00</t>
  </si>
  <si>
    <t>14-01-2023 18:00</t>
  </si>
  <si>
    <t>14-01-2023 19:00</t>
  </si>
  <si>
    <t>14-01-2023 20:00</t>
  </si>
  <si>
    <t>14-01-2023 21:00</t>
  </si>
  <si>
    <t>14-01-2023 22:00</t>
  </si>
  <si>
    <t>14-01-2023 23:00</t>
  </si>
  <si>
    <t>14-01-2023 24:00</t>
  </si>
  <si>
    <t>15-01-2023 01:00</t>
  </si>
  <si>
    <t>15-01-2023 02:00</t>
  </si>
  <si>
    <t>15-01-2023 03:00</t>
  </si>
  <si>
    <t>15-01-2023 04:00</t>
  </si>
  <si>
    <t>15-01-2023 05:00</t>
  </si>
  <si>
    <t>15-01-2023 06:00</t>
  </si>
  <si>
    <t>15-01-2023 07:00</t>
  </si>
  <si>
    <t>15-01-2023 08:00</t>
  </si>
  <si>
    <t>15-01-2023 09:00</t>
  </si>
  <si>
    <t>15-01-2023 10:00</t>
  </si>
  <si>
    <t>15-01-2023 11:00</t>
  </si>
  <si>
    <t>15-01-2023 12:00</t>
  </si>
  <si>
    <t>15-01-2023 13:00</t>
  </si>
  <si>
    <t>15-01-2023 14:00</t>
  </si>
  <si>
    <t>15-01-2023 15:00</t>
  </si>
  <si>
    <t>15-01-2023 16:00</t>
  </si>
  <si>
    <t>15-01-2023 17:00</t>
  </si>
  <si>
    <t>15-01-2023 18:00</t>
  </si>
  <si>
    <t>15-01-2023 19:00</t>
  </si>
  <si>
    <t>15-01-2023 20:00</t>
  </si>
  <si>
    <t>15-01-2023 21:00</t>
  </si>
  <si>
    <t>15-01-2023 22:00</t>
  </si>
  <si>
    <t>15-01-2023 23:00</t>
  </si>
  <si>
    <t>15-01-2023 24:00</t>
  </si>
  <si>
    <t>16-01-2023 01:00</t>
  </si>
  <si>
    <t>16-01-2023 02:00</t>
  </si>
  <si>
    <t>16-01-2023 03:00</t>
  </si>
  <si>
    <t>16-01-2023 04:00</t>
  </si>
  <si>
    <t>16-01-2023 05:00</t>
  </si>
  <si>
    <t>16-01-2023 06:00</t>
  </si>
  <si>
    <t>16-01-2023 07:00</t>
  </si>
  <si>
    <t>16-01-2023 08:00</t>
  </si>
  <si>
    <t>16-01-2023 09:00</t>
  </si>
  <si>
    <t>16-01-2023 10:00</t>
  </si>
  <si>
    <t>16-01-2023 11:00</t>
  </si>
  <si>
    <t>16-01-2023 12:00</t>
  </si>
  <si>
    <t>16-01-2023 13:00</t>
  </si>
  <si>
    <t>16-01-2023 14:00</t>
  </si>
  <si>
    <t>16-01-2023 15:00</t>
  </si>
  <si>
    <t>16-01-2023 16:00</t>
  </si>
  <si>
    <t>16-01-2023 17:00</t>
  </si>
  <si>
    <t>16-01-2023 18:00</t>
  </si>
  <si>
    <t>16-01-2023 19:00</t>
  </si>
  <si>
    <t>16-01-2023 20:00</t>
  </si>
  <si>
    <t>16-01-2023 21:00</t>
  </si>
  <si>
    <t>16-01-2023 22:00</t>
  </si>
  <si>
    <t>16-01-2023 23:00</t>
  </si>
  <si>
    <t>16-01-2023 24:00</t>
  </si>
  <si>
    <t>17-01-2023 01:00</t>
  </si>
  <si>
    <t>17-01-2023 02:00</t>
  </si>
  <si>
    <t>17-01-2023 03:00</t>
  </si>
  <si>
    <t>17-01-2023 04:00</t>
  </si>
  <si>
    <t>17-01-2023 05:00</t>
  </si>
  <si>
    <t>17-01-2023 06:00</t>
  </si>
  <si>
    <t>17-01-2023 07:00</t>
  </si>
  <si>
    <t>17-01-2023 08:00</t>
  </si>
  <si>
    <t>17-01-2023 09:00</t>
  </si>
  <si>
    <t>17-01-2023 10:00</t>
  </si>
  <si>
    <t>17-01-2023 11:00</t>
  </si>
  <si>
    <t>17-01-2023 12:00</t>
  </si>
  <si>
    <t>17-01-2023 13:00</t>
  </si>
  <si>
    <t>17-01-2023 14:00</t>
  </si>
  <si>
    <t>17-01-2023 15:00</t>
  </si>
  <si>
    <t>17-01-2023 16:00</t>
  </si>
  <si>
    <t>17-01-2023 17:00</t>
  </si>
  <si>
    <t>17-01-2023 18:00</t>
  </si>
  <si>
    <t>17-01-2023 19:00</t>
  </si>
  <si>
    <t>17-01-2023 20:00</t>
  </si>
  <si>
    <t>17-01-2023 21:00</t>
  </si>
  <si>
    <t>17-01-2023 22:00</t>
  </si>
  <si>
    <t>17-01-2023 23:00</t>
  </si>
  <si>
    <t>17-01-2023 24:00</t>
  </si>
  <si>
    <t>18-01-2023 01:00</t>
  </si>
  <si>
    <t>18-01-2023 02:00</t>
  </si>
  <si>
    <t>18-01-2023 03:00</t>
  </si>
  <si>
    <t>18-01-2023 04:00</t>
  </si>
  <si>
    <t>18-01-2023 05:00</t>
  </si>
  <si>
    <t>18-01-2023 06:00</t>
  </si>
  <si>
    <t>18-01-2023 07:00</t>
  </si>
  <si>
    <t>18-01-2023 08:00</t>
  </si>
  <si>
    <t>18-01-2023 09:00</t>
  </si>
  <si>
    <t>18-01-2023 10:00</t>
  </si>
  <si>
    <t>18-01-2023 11:00</t>
  </si>
  <si>
    <t>18-01-2023 12:00</t>
  </si>
  <si>
    <t>18-01-2023 13:00</t>
  </si>
  <si>
    <t>18-01-2023 14:00</t>
  </si>
  <si>
    <t>18-01-2023 15:00</t>
  </si>
  <si>
    <t>18-01-2023 16:00</t>
  </si>
  <si>
    <t>18-01-2023 17:00</t>
  </si>
  <si>
    <t>18-01-2023 18:00</t>
  </si>
  <si>
    <t>18-01-2023 19:00</t>
  </si>
  <si>
    <t>18-01-2023 20:00</t>
  </si>
  <si>
    <t>18-01-2023 21:00</t>
  </si>
  <si>
    <t>18-01-2023 22:00</t>
  </si>
  <si>
    <t>18-01-2023 23:00</t>
  </si>
  <si>
    <t>18-01-2023 24:00</t>
  </si>
  <si>
    <t>19-01-2023 01:00</t>
  </si>
  <si>
    <t>19-01-2023 02:00</t>
  </si>
  <si>
    <t>19-01-2023 03:00</t>
  </si>
  <si>
    <t>19-01-2023 04:00</t>
  </si>
  <si>
    <t>19-01-2023 05:00</t>
  </si>
  <si>
    <t>19-01-2023 06:00</t>
  </si>
  <si>
    <t>19-01-2023 07:00</t>
  </si>
  <si>
    <t>19-01-2023 08:00</t>
  </si>
  <si>
    <t>19-01-2023 09:00</t>
  </si>
  <si>
    <t>19-01-2023 10:00</t>
  </si>
  <si>
    <t>19-01-2023 11:00</t>
  </si>
  <si>
    <t>19-01-2023 12:00</t>
  </si>
  <si>
    <t>19-01-2023 13:00</t>
  </si>
  <si>
    <t>19-01-2023 14:00</t>
  </si>
  <si>
    <t>19-01-2023 15:00</t>
  </si>
  <si>
    <t>19-01-2023 16:00</t>
  </si>
  <si>
    <t>19-01-2023 17:00</t>
  </si>
  <si>
    <t>19-01-2023 18:00</t>
  </si>
  <si>
    <t>19-01-2023 19:00</t>
  </si>
  <si>
    <t>19-01-2023 20:00</t>
  </si>
  <si>
    <t>19-01-2023 21:00</t>
  </si>
  <si>
    <t>19-01-2023 22:00</t>
  </si>
  <si>
    <t>19-01-2023 23:00</t>
  </si>
  <si>
    <t>19-01-2023 24:00</t>
  </si>
  <si>
    <t>20-01-2023 01:00</t>
  </si>
  <si>
    <t>20-01-2023 02:00</t>
  </si>
  <si>
    <t>20-01-2023 03:00</t>
  </si>
  <si>
    <t>20-01-2023 04:00</t>
  </si>
  <si>
    <t>20-01-2023 05:00</t>
  </si>
  <si>
    <t>20-01-2023 06:00</t>
  </si>
  <si>
    <t>20-01-2023 07:00</t>
  </si>
  <si>
    <t>20-01-2023 08:00</t>
  </si>
  <si>
    <t>20-01-2023 09:00</t>
  </si>
  <si>
    <t>20-01-2023 10:00</t>
  </si>
  <si>
    <t>20-01-2023 11:00</t>
  </si>
  <si>
    <t>20-01-2023 12:00</t>
  </si>
  <si>
    <t>20-01-2023 13:00</t>
  </si>
  <si>
    <t>20-01-2023 14:00</t>
  </si>
  <si>
    <t>20-01-2023 15:00</t>
  </si>
  <si>
    <t>20-01-2023 16:00</t>
  </si>
  <si>
    <t>20-01-2023 17:00</t>
  </si>
  <si>
    <t>20-01-2023 18:00</t>
  </si>
  <si>
    <t>20-01-2023 19:00</t>
  </si>
  <si>
    <t>20-01-2023 20:00</t>
  </si>
  <si>
    <t>20-01-2023 21:00</t>
  </si>
  <si>
    <t>20-01-2023 22:00</t>
  </si>
  <si>
    <t>20-01-2023 23:00</t>
  </si>
  <si>
    <t>20-01-2023 24:00</t>
  </si>
  <si>
    <t>21-01-2023 01:00</t>
  </si>
  <si>
    <t>21-01-2023 02:00</t>
  </si>
  <si>
    <t>21-01-2023 03:00</t>
  </si>
  <si>
    <t>21-01-2023 04:00</t>
  </si>
  <si>
    <t>21-01-2023 05:00</t>
  </si>
  <si>
    <t>21-01-2023 06:00</t>
  </si>
  <si>
    <t>21-01-2023 07:00</t>
  </si>
  <si>
    <t>21-01-2023 08:00</t>
  </si>
  <si>
    <t>21-01-2023 09:00</t>
  </si>
  <si>
    <t>21-01-2023 10:00</t>
  </si>
  <si>
    <t>21-01-2023 11:00</t>
  </si>
  <si>
    <t>21-01-2023 12:00</t>
  </si>
  <si>
    <t>21-01-2023 13:00</t>
  </si>
  <si>
    <t>21-01-2023 14:00</t>
  </si>
  <si>
    <t>21-01-2023 15:00</t>
  </si>
  <si>
    <t>21-01-2023 16:00</t>
  </si>
  <si>
    <t>21-01-2023 17:00</t>
  </si>
  <si>
    <t>21-01-2023 18:00</t>
  </si>
  <si>
    <t>21-01-2023 19:00</t>
  </si>
  <si>
    <t>21-01-2023 20:00</t>
  </si>
  <si>
    <t>21-01-2023 21:00</t>
  </si>
  <si>
    <t>21-01-2023 22:00</t>
  </si>
  <si>
    <t>21-01-2023 23:00</t>
  </si>
  <si>
    <t>21-01-2023 24:00</t>
  </si>
  <si>
    <t>22-01-2023 01:00</t>
  </si>
  <si>
    <t>22-01-2023 02:00</t>
  </si>
  <si>
    <t>22-01-2023 03:00</t>
  </si>
  <si>
    <t>22-01-2023 04:00</t>
  </si>
  <si>
    <t>22-01-2023 05:00</t>
  </si>
  <si>
    <t>22-01-2023 06:00</t>
  </si>
  <si>
    <t>22-01-2023 07:00</t>
  </si>
  <si>
    <t>22-01-2023 08:00</t>
  </si>
  <si>
    <t>22-01-2023 09:00</t>
  </si>
  <si>
    <t>22-01-2023 10:00</t>
  </si>
  <si>
    <t>22-01-2023 11:00</t>
  </si>
  <si>
    <t>22-01-2023 12:00</t>
  </si>
  <si>
    <t>22-01-2023 13:00</t>
  </si>
  <si>
    <t>22-01-2023 14:00</t>
  </si>
  <si>
    <t>22-01-2023 15:00</t>
  </si>
  <si>
    <t>22-01-2023 16:00</t>
  </si>
  <si>
    <t>22-01-2023 17:00</t>
  </si>
  <si>
    <t>22-01-2023 18:00</t>
  </si>
  <si>
    <t>22-01-2023 19:00</t>
  </si>
  <si>
    <t>22-01-2023 20:00</t>
  </si>
  <si>
    <t>22-01-2023 21:00</t>
  </si>
  <si>
    <t>22-01-2023 22:00</t>
  </si>
  <si>
    <t>22-01-2023 23:00</t>
  </si>
  <si>
    <t>22-01-2023 24:00</t>
  </si>
  <si>
    <t>23-01-2023 01:00</t>
  </si>
  <si>
    <t>23-01-2023 02:00</t>
  </si>
  <si>
    <t>23-01-2023 03:00</t>
  </si>
  <si>
    <t>23-01-2023 04:00</t>
  </si>
  <si>
    <t>23-01-2023 05:00</t>
  </si>
  <si>
    <t>23-01-2023 06:00</t>
  </si>
  <si>
    <t>23-01-2023 07:00</t>
  </si>
  <si>
    <t>23-01-2023 08:00</t>
  </si>
  <si>
    <t>23-01-2023 09:00</t>
  </si>
  <si>
    <t>23-01-2023 10:00</t>
  </si>
  <si>
    <t>23-01-2023 11:00</t>
  </si>
  <si>
    <t>23-01-2023 12:00</t>
  </si>
  <si>
    <t>23-01-2023 13:00</t>
  </si>
  <si>
    <t>23-01-2023 14:00</t>
  </si>
  <si>
    <t>23-01-2023 15:00</t>
  </si>
  <si>
    <t>23-01-2023 16:00</t>
  </si>
  <si>
    <t>23-01-2023 17:00</t>
  </si>
  <si>
    <t>23-01-2023 18:00</t>
  </si>
  <si>
    <t>23-01-2023 19:00</t>
  </si>
  <si>
    <t>23-01-2023 20:00</t>
  </si>
  <si>
    <t>23-01-2023 21:00</t>
  </si>
  <si>
    <t>23-01-2023 22:00</t>
  </si>
  <si>
    <t>23-01-2023 23:00</t>
  </si>
  <si>
    <t>23-01-2023 24:00</t>
  </si>
  <si>
    <t>ppb</t>
  </si>
  <si>
    <t>24-01-2023 01:00</t>
  </si>
  <si>
    <t>24-01-2023 02:00</t>
  </si>
  <si>
    <t>24-01-2023 03:00</t>
  </si>
  <si>
    <t>24-01-2023 04:00</t>
  </si>
  <si>
    <t>24-01-2023 05:00</t>
  </si>
  <si>
    <t>24-01-2023 06:00</t>
  </si>
  <si>
    <t>24-01-2023 07:00</t>
  </si>
  <si>
    <t>24-01-2023 08:00</t>
  </si>
  <si>
    <t>24-01-2023 09:00</t>
  </si>
  <si>
    <t>24-01-2023 10:00</t>
  </si>
  <si>
    <t>24-01-2023 11:00</t>
  </si>
  <si>
    <t>24-01-2023 12:00</t>
  </si>
  <si>
    <t>24-01-2023 13:00</t>
  </si>
  <si>
    <t>24-01-2023 14:00</t>
  </si>
  <si>
    <t>24-01-2023 15:00</t>
  </si>
  <si>
    <t>24-01-2023 16:00</t>
  </si>
  <si>
    <t>24-01-2023 17:00</t>
  </si>
  <si>
    <t>24-01-2023 18:00</t>
  </si>
  <si>
    <t>24-01-2023 19:00</t>
  </si>
  <si>
    <t>24-01-2023 20:00</t>
  </si>
  <si>
    <t>24-01-2023 21:00</t>
  </si>
  <si>
    <t>24-01-2023 22:00</t>
  </si>
  <si>
    <t>24-01-2023 23:00</t>
  </si>
  <si>
    <t>24-01-2023 24:00</t>
  </si>
  <si>
    <t>25-01-2023 01:00</t>
  </si>
  <si>
    <t>25-01-2023 02:00</t>
  </si>
  <si>
    <t>25-01-2023 03:00</t>
  </si>
  <si>
    <t>25-01-2023 04:00</t>
  </si>
  <si>
    <t>25-01-2023 05:00</t>
  </si>
  <si>
    <t>25-01-2023 06:00</t>
  </si>
  <si>
    <t>25-01-2023 07:00</t>
  </si>
  <si>
    <t>25-01-2023 08:00</t>
  </si>
  <si>
    <t>25-01-2023 09:00</t>
  </si>
  <si>
    <t>25-01-2023 10:00</t>
  </si>
  <si>
    <t>25-01-2023 11:00</t>
  </si>
  <si>
    <t>25-01-2023 12:00</t>
  </si>
  <si>
    <t>25-01-2023 13:00</t>
  </si>
  <si>
    <t>25-01-2023 14:00</t>
  </si>
  <si>
    <t>25-01-2023 15:00</t>
  </si>
  <si>
    <t>25-01-2023 16:00</t>
  </si>
  <si>
    <t>25-01-2023 17:00</t>
  </si>
  <si>
    <t>25-01-2023 18:00</t>
  </si>
  <si>
    <t>25-01-2023 19:00</t>
  </si>
  <si>
    <t>25-01-2023 20:00</t>
  </si>
  <si>
    <t>25-01-2023 21:00</t>
  </si>
  <si>
    <t>25-01-2023 22:00</t>
  </si>
  <si>
    <t>25-01-2023 23:00</t>
  </si>
  <si>
    <t>25-01-2023 24:00</t>
  </si>
  <si>
    <t>26-01-2023 01:00</t>
  </si>
  <si>
    <t>26-01-2023 02:00</t>
  </si>
  <si>
    <t>26-01-2023 03:00</t>
  </si>
  <si>
    <t>26-01-2023 04:00</t>
  </si>
  <si>
    <t>26-01-2023 05:00</t>
  </si>
  <si>
    <t>26-01-2023 06:00</t>
  </si>
  <si>
    <t>26-01-2023 07:00</t>
  </si>
  <si>
    <t>26-01-2023 08:00</t>
  </si>
  <si>
    <t>26-01-2023 09:00</t>
  </si>
  <si>
    <t>26-01-2023 10:00</t>
  </si>
  <si>
    <t>26-01-2023 11:00</t>
  </si>
  <si>
    <t>26-01-2023 12:00</t>
  </si>
  <si>
    <t>26-01-2023 13:00</t>
  </si>
  <si>
    <t>26-01-2023 14:00</t>
  </si>
  <si>
    <t>26-01-2023 15:00</t>
  </si>
  <si>
    <t>26-01-2023 16:00</t>
  </si>
  <si>
    <t>26-01-2023 17:00</t>
  </si>
  <si>
    <t>26-01-2023 18:00</t>
  </si>
  <si>
    <t>26-01-2023 19:00</t>
  </si>
  <si>
    <t>26-01-2023 20:00</t>
  </si>
  <si>
    <t>26-01-2023 21:00</t>
  </si>
  <si>
    <t>26-01-2023 22:00</t>
  </si>
  <si>
    <t>26-01-2023 23:00</t>
  </si>
  <si>
    <t>26-01-2023 24:00</t>
  </si>
  <si>
    <t>27-01-2023 01:00</t>
  </si>
  <si>
    <t>27-01-2023 02:00</t>
  </si>
  <si>
    <t>27-01-2023 03:00</t>
  </si>
  <si>
    <t>27-01-2023 04:00</t>
  </si>
  <si>
    <t>27-01-2023 05:00</t>
  </si>
  <si>
    <t>27-01-2023 06:00</t>
  </si>
  <si>
    <t>27-01-2023 07:00</t>
  </si>
  <si>
    <t>27-01-2023 08:00</t>
  </si>
  <si>
    <t>27-01-2023 09:00</t>
  </si>
  <si>
    <t>27-01-2023 10:00</t>
  </si>
  <si>
    <t>27-01-2023 11:00</t>
  </si>
  <si>
    <t>27-01-2023 12:00</t>
  </si>
  <si>
    <t>27-01-2023 13:00</t>
  </si>
  <si>
    <t>27-01-2023 14:00</t>
  </si>
  <si>
    <t>27-01-2023 15:00</t>
  </si>
  <si>
    <t>27-01-2023 16:00</t>
  </si>
  <si>
    <t>27-01-2023 17:00</t>
  </si>
  <si>
    <t>27-01-2023 18:00</t>
  </si>
  <si>
    <t>27-01-2023 19:00</t>
  </si>
  <si>
    <t>27-01-2023 20:00</t>
  </si>
  <si>
    <t>27-01-2023 21:00</t>
  </si>
  <si>
    <t>27-01-2023 22:00</t>
  </si>
  <si>
    <t>27-01-2023 23:00</t>
  </si>
  <si>
    <t>27-01-2023 24:00</t>
  </si>
  <si>
    <t>28-01-2023 01:00</t>
  </si>
  <si>
    <t>28-01-2023 02:00</t>
  </si>
  <si>
    <t>28-01-2023 03:00</t>
  </si>
  <si>
    <t>28-01-2023 04:00</t>
  </si>
  <si>
    <t>28-01-2023 05:00</t>
  </si>
  <si>
    <t>28-01-2023 06:00</t>
  </si>
  <si>
    <t>28-01-2023 07:00</t>
  </si>
  <si>
    <t>28-01-2023 08:00</t>
  </si>
  <si>
    <t>28-01-2023 09:00</t>
  </si>
  <si>
    <t>28-01-2023 10:00</t>
  </si>
  <si>
    <t>28-01-2023 11:00</t>
  </si>
  <si>
    <t>28-01-2023 12:00</t>
  </si>
  <si>
    <t>28-01-2023 13:00</t>
  </si>
  <si>
    <t>28-01-2023 14:00</t>
  </si>
  <si>
    <t>28-01-2023 15:00</t>
  </si>
  <si>
    <t>28-01-2023 16:00</t>
  </si>
  <si>
    <t>28-01-2023 17:00</t>
  </si>
  <si>
    <t>28-01-2023 18:00</t>
  </si>
  <si>
    <t>28-01-2023 19:00</t>
  </si>
  <si>
    <t>28-01-2023 20:00</t>
  </si>
  <si>
    <t>28-01-2023 21:00</t>
  </si>
  <si>
    <t>28-01-2023 22:00</t>
  </si>
  <si>
    <t>28-01-2023 23:00</t>
  </si>
  <si>
    <t>28-01-2023 24:00</t>
  </si>
  <si>
    <t>Akash</t>
  </si>
  <si>
    <t>29-01-2023 01:00</t>
  </si>
  <si>
    <t>29-01-2023 02:00</t>
  </si>
  <si>
    <t>29-01-2023 03:00</t>
  </si>
  <si>
    <t>29-01-2023 04:00</t>
  </si>
  <si>
    <t>29-01-2023 05:00</t>
  </si>
  <si>
    <t>29-01-2023 06:00</t>
  </si>
  <si>
    <t>29-01-2023 07:00</t>
  </si>
  <si>
    <t>29-01-2023 08:00</t>
  </si>
  <si>
    <t>29-01-2023 09:00</t>
  </si>
  <si>
    <t>29-01-2023 10:00</t>
  </si>
  <si>
    <t>29-01-2023 11:00</t>
  </si>
  <si>
    <t>29-01-2023 12:00</t>
  </si>
  <si>
    <t>29-01-2023 13:00</t>
  </si>
  <si>
    <t>29-01-2023 14:00</t>
  </si>
  <si>
    <t>29-01-2023 15:00</t>
  </si>
  <si>
    <t>29-01-2023 16:00</t>
  </si>
  <si>
    <t>29-01-2023 17:00</t>
  </si>
  <si>
    <t>29-01-2023 18:00</t>
  </si>
  <si>
    <t>29-01-2023 19:00</t>
  </si>
  <si>
    <t>29-01-2023 20:00</t>
  </si>
  <si>
    <t>29-01-2023 21:00</t>
  </si>
  <si>
    <t>29-01-2023 22:00</t>
  </si>
  <si>
    <t>29-01-2023 23:00</t>
  </si>
  <si>
    <t>29-01-2023 24:00</t>
  </si>
  <si>
    <t>30-01-2023 01:00</t>
  </si>
  <si>
    <t>30-01-2023 02:00</t>
  </si>
  <si>
    <t>30-01-2023 03:00</t>
  </si>
  <si>
    <t>30-01-2023 04:00</t>
  </si>
  <si>
    <t>30-01-2023 05:00</t>
  </si>
  <si>
    <t>30-01-2023 06:00</t>
  </si>
  <si>
    <t>30-01-2023 07:00</t>
  </si>
  <si>
    <t>30-01-2023 08:00</t>
  </si>
  <si>
    <t>30-01-2023 09:00</t>
  </si>
  <si>
    <t>30-01-2023 10:00</t>
  </si>
  <si>
    <t>30-01-2023 11:00</t>
  </si>
  <si>
    <t>30-01-2023 12:00</t>
  </si>
  <si>
    <t>30-01-2023 13:00</t>
  </si>
  <si>
    <t>30-01-2023 14:00</t>
  </si>
  <si>
    <t>30-01-2023 15:00</t>
  </si>
  <si>
    <t>30-01-2023 16:00</t>
  </si>
  <si>
    <t>30-01-2023 17:00</t>
  </si>
  <si>
    <t>30-01-2023 18:00</t>
  </si>
  <si>
    <t>30-01-2023 19:00</t>
  </si>
  <si>
    <t>30-01-2023 20:00</t>
  </si>
  <si>
    <t>30-01-2023 21:00</t>
  </si>
  <si>
    <t>30-01-2023 22:00</t>
  </si>
  <si>
    <t>30-01-2023 23:00</t>
  </si>
  <si>
    <t>30-01-2023 24:00</t>
  </si>
  <si>
    <t>31-01-2023 01:00</t>
  </si>
  <si>
    <t>31-01-2023 02:00</t>
  </si>
  <si>
    <t>31-01-2023 03:00</t>
  </si>
  <si>
    <t>31-01-2023 04:00</t>
  </si>
  <si>
    <t>31-01-2023 05:00</t>
  </si>
  <si>
    <t>31-01-2023 06:00</t>
  </si>
  <si>
    <t>31-01-2023 07:00</t>
  </si>
  <si>
    <t>31-01-2023 08:00</t>
  </si>
  <si>
    <t>31-01-2023 09:00</t>
  </si>
  <si>
    <t>31-01-2023 10:00</t>
  </si>
  <si>
    <t>31-01-2023 11:00</t>
  </si>
  <si>
    <t>31-01-2023 12:00</t>
  </si>
  <si>
    <t>31-01-2023 13:00</t>
  </si>
  <si>
    <t>31-01-2023 14:00</t>
  </si>
  <si>
    <t>31-01-2023 15:00</t>
  </si>
  <si>
    <t>31-01-2023 16:00</t>
  </si>
  <si>
    <t>31-01-2023 17:00</t>
  </si>
  <si>
    <t>31-01-2023 18:00</t>
  </si>
  <si>
    <t>31-01-2023 19:00</t>
  </si>
  <si>
    <t>31-01-2023 20:00</t>
  </si>
  <si>
    <t>31-01-2023 21:00</t>
  </si>
  <si>
    <t>31-01-2023 22:00</t>
  </si>
  <si>
    <t>31-01-2023 23:00</t>
  </si>
  <si>
    <t>31-01-2023 24:00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</si>
</sst>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0"/>
      <color theme="5" tint="-0.249970003962517"/>
      <name val="Arial"/>
      <family val="2"/>
    </font>
    <font>
      <b/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0003962517"/>
        <bgColor indexed="64"/>
      </patternFill>
    </fill>
    <fill>
      <patternFill patternType="solid">
        <fgColor theme="0" tint="-0.249970003962517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6">
    <xf numFmtId="0" fontId="0" fillId="0" borderId="0" xfId="0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8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/>
    </xf>
    <xf numFmtId="2" fontId="2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8" fillId="0" borderId="0" xfId="0" applyFont="1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2" fontId="0" fillId="0" borderId="1" xfId="0" applyNumberForma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2" fontId="13" fillId="0" borderId="1" xfId="0" applyNumberFormat="1" applyFont="1" applyFill="1" applyBorder="1" applyAlignment="1">
      <alignment horizontal="center"/>
    </xf>
    <xf numFmtId="0" fontId="13" fillId="0" borderId="0" xfId="0" applyFont="1" applyFill="1"/>
    <xf numFmtId="2" fontId="13" fillId="0" borderId="0" xfId="0" applyNumberFormat="1" applyFont="1" applyFill="1"/>
    <xf numFmtId="14" fontId="5" fillId="0" borderId="1" xfId="0" applyNumberFormat="1" applyFont="1" applyFill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/>
    </xf>
    <xf numFmtId="0" fontId="14" fillId="0" borderId="0" xfId="0" applyFont="1" applyFill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0" xfId="0" applyFont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0" fontId="0" fillId="0" borderId="0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/>
    <xf numFmtId="0" fontId="8" fillId="7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/>
    </xf>
    <xf numFmtId="0" fontId="7" fillId="0" borderId="1" xfId="0" applyFont="1" applyBorder="1" applyAlignment="1">
      <alignment/>
    </xf>
    <xf numFmtId="49" fontId="0" fillId="0" borderId="0" xfId="0" applyNumberFormat="1"/>
    <xf numFmtId="0" fontId="8" fillId="9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/>
    </xf>
    <xf numFmtId="0" fontId="2" fillId="0" borderId="2" xfId="0" applyFont="1" applyBorder="1" applyAlignment="1">
      <alignment/>
    </xf>
    <xf numFmtId="0" fontId="0" fillId="0" borderId="1" xfId="0" applyNumberFormat="1" applyBorder="1" applyAlignment="1">
      <alignment horizontal="center"/>
    </xf>
    <xf numFmtId="0" fontId="15" fillId="9" borderId="0" xfId="0" applyFont="1" applyFill="1" applyAlignment="1">
      <alignment horizontal="left"/>
    </xf>
  </cellXfs>
  <cellStyles count="6">
    <cellStyle name="Normal" xf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10" Type="http://schemas.openxmlformats.org/officeDocument/2006/relationships/worksheet" Target="worksheets/sheet8.xml" /><Relationship Id="rId28" Type="http://schemas.openxmlformats.org/officeDocument/2006/relationships/worksheet" Target="worksheets/sheet26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29" Type="http://schemas.openxmlformats.org/officeDocument/2006/relationships/worksheet" Target="worksheets/sheet27.xml" /><Relationship Id="rId26" Type="http://schemas.openxmlformats.org/officeDocument/2006/relationships/worksheet" Target="worksheets/sheet24.xml" /><Relationship Id="rId31" Type="http://schemas.openxmlformats.org/officeDocument/2006/relationships/worksheet" Target="worksheets/sheet29.xml" /><Relationship Id="rId21" Type="http://schemas.openxmlformats.org/officeDocument/2006/relationships/worksheet" Target="worksheets/sheet19.xml" /><Relationship Id="rId27" Type="http://schemas.openxmlformats.org/officeDocument/2006/relationships/worksheet" Target="worksheets/sheet25.xml" /><Relationship Id="rId8" Type="http://schemas.openxmlformats.org/officeDocument/2006/relationships/worksheet" Target="worksheets/sheet6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6" Type="http://schemas.openxmlformats.org/officeDocument/2006/relationships/worksheet" Target="worksheets/sheet14.xml" /><Relationship Id="rId25" Type="http://schemas.openxmlformats.org/officeDocument/2006/relationships/worksheet" Target="worksheets/sheet23.xml" /><Relationship Id="rId17" Type="http://schemas.openxmlformats.org/officeDocument/2006/relationships/worksheet" Target="worksheets/sheet15.xml" /><Relationship Id="rId35" Type="http://schemas.openxmlformats.org/officeDocument/2006/relationships/sharedStrings" Target="sharedStrings.xml" /><Relationship Id="rId22" Type="http://schemas.openxmlformats.org/officeDocument/2006/relationships/worksheet" Target="worksheets/sheet20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3" Type="http://schemas.openxmlformats.org/officeDocument/2006/relationships/worksheet" Target="worksheets/sheet21.xml" /><Relationship Id="rId20" Type="http://schemas.openxmlformats.org/officeDocument/2006/relationships/worksheet" Target="worksheets/sheet18.xml" /><Relationship Id="rId33" Type="http://schemas.openxmlformats.org/officeDocument/2006/relationships/worksheet" Target="worksheets/sheet31.xml" /><Relationship Id="rId11" Type="http://schemas.openxmlformats.org/officeDocument/2006/relationships/worksheet" Target="worksheets/sheet9.xml" /><Relationship Id="rId34" Type="http://schemas.openxmlformats.org/officeDocument/2006/relationships/worksheet" Target="worksheets/sheet32.xml" /><Relationship Id="rId36" Type="http://schemas.openxmlformats.org/officeDocument/2006/relationships/calcChain" Target="calcChain.xml" /><Relationship Id="rId5" Type="http://schemas.openxmlformats.org/officeDocument/2006/relationships/worksheet" Target="worksheets/sheet3.xml" /><Relationship Id="rId2" Type="http://schemas.openxmlformats.org/officeDocument/2006/relationships/styles" Target="styles.xml" /><Relationship Id="rId32" Type="http://schemas.openxmlformats.org/officeDocument/2006/relationships/worksheet" Target="worksheets/sheet30.xml" /><Relationship Id="rId30" Type="http://schemas.openxmlformats.org/officeDocument/2006/relationships/worksheet" Target="worksheets/sheet28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24" Type="http://schemas.openxmlformats.org/officeDocument/2006/relationships/worksheet" Target="worksheets/sheet2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8e580d2-a4b5-4aae-a08d-daf034c0575c}">
  <sheetPr codeName=""/>
  <dimension ref="A1:U119"/>
  <sheetViews>
    <sheetView workbookViewId="0" topLeftCell="A1">
      <pane xSplit="2" ySplit="8" topLeftCell="C9" activePane="bottomRight" state="frozen"/>
      <selection pane="topLeft" activeCell="U32" sqref="A9:U32"/>
      <selection pane="topRight" activeCell="U32" sqref="A9:U32"/>
      <selection pane="bottomLeft" activeCell="U32" sqref="A9:U32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4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40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61</v>
      </c>
      <c r="B9" s="51">
        <v>26.90</v>
      </c>
      <c r="C9" s="51">
        <v>96.95</v>
      </c>
      <c r="D9" s="51">
        <v>75.08</v>
      </c>
      <c r="E9" s="51">
        <v>4.8499999999999996</v>
      </c>
      <c r="F9" s="51">
        <v>2.54</v>
      </c>
      <c r="G9" s="51">
        <v>57.12</v>
      </c>
      <c r="H9" s="51">
        <v>29.84</v>
      </c>
      <c r="I9" s="51">
        <v>0.45</v>
      </c>
      <c r="J9" s="51">
        <v>1.01</v>
      </c>
      <c r="K9" s="51">
        <v>17.02</v>
      </c>
      <c r="L9" s="51">
        <v>20.76</v>
      </c>
      <c r="M9" s="51">
        <v>45</v>
      </c>
      <c r="N9" s="51">
        <v>24.20</v>
      </c>
      <c r="O9" s="51">
        <v>0</v>
      </c>
      <c r="P9" s="51">
        <v>1.48</v>
      </c>
      <c r="Q9" s="51">
        <v>34.619999999999997</v>
      </c>
      <c r="R9" s="43"/>
      <c r="S9" s="43"/>
      <c r="T9" s="43"/>
      <c r="U9" s="43"/>
    </row>
    <row r="10" spans="1:21" s="11" customFormat="1" ht="15">
      <c r="A10" s="50" t="s">
        <v>62</v>
      </c>
      <c r="B10" s="51">
        <v>16.55</v>
      </c>
      <c r="C10" s="51">
        <v>84</v>
      </c>
      <c r="D10" s="51">
        <v>59.40</v>
      </c>
      <c r="E10" s="51">
        <v>4.22</v>
      </c>
      <c r="F10" s="51">
        <v>1.43</v>
      </c>
      <c r="G10" s="51">
        <v>50.07</v>
      </c>
      <c r="H10" s="51">
        <v>27.63</v>
      </c>
      <c r="I10" s="51">
        <v>0.38</v>
      </c>
      <c r="J10" s="51">
        <v>0.93</v>
      </c>
      <c r="K10" s="51">
        <v>19.920000000000002</v>
      </c>
      <c r="L10" s="51">
        <v>20.010000000000002</v>
      </c>
      <c r="M10" s="51">
        <v>48</v>
      </c>
      <c r="N10" s="51">
        <v>24.20</v>
      </c>
      <c r="O10" s="51">
        <v>0</v>
      </c>
      <c r="P10" s="51">
        <v>1.1499999999999999</v>
      </c>
      <c r="Q10" s="51">
        <v>33.07</v>
      </c>
      <c r="R10" s="43"/>
      <c r="S10" s="43"/>
      <c r="T10" s="43"/>
      <c r="U10" s="43"/>
    </row>
    <row r="11" spans="1:21" s="11" customFormat="1" ht="15">
      <c r="A11" s="50" t="s">
        <v>63</v>
      </c>
      <c r="B11" s="51">
        <v>10.96</v>
      </c>
      <c r="C11" s="51">
        <v>83.46</v>
      </c>
      <c r="D11" s="51">
        <v>54.85</v>
      </c>
      <c r="E11" s="51">
        <v>4.01</v>
      </c>
      <c r="F11" s="51">
        <v>0.42</v>
      </c>
      <c r="G11" s="51">
        <v>38.25</v>
      </c>
      <c r="H11" s="51">
        <v>24.16</v>
      </c>
      <c r="I11" s="51">
        <v>0.33</v>
      </c>
      <c r="J11" s="51">
        <v>0.45</v>
      </c>
      <c r="K11" s="51">
        <v>62.82</v>
      </c>
      <c r="L11" s="51">
        <v>19.09</v>
      </c>
      <c r="M11" s="51">
        <v>50</v>
      </c>
      <c r="N11" s="51">
        <v>24.30</v>
      </c>
      <c r="O11" s="51">
        <v>0</v>
      </c>
      <c r="P11" s="51">
        <v>1</v>
      </c>
      <c r="Q11" s="51">
        <v>32.85</v>
      </c>
      <c r="R11" s="43"/>
      <c r="S11" s="43"/>
      <c r="T11" s="43"/>
      <c r="U11" s="43"/>
    </row>
    <row r="12" spans="1:21" s="11" customFormat="1" ht="15">
      <c r="A12" s="50" t="s">
        <v>64</v>
      </c>
      <c r="B12" s="51">
        <v>7.21</v>
      </c>
      <c r="C12" s="51">
        <v>78.83</v>
      </c>
      <c r="D12" s="51">
        <v>49.29</v>
      </c>
      <c r="E12" s="51">
        <v>3.80</v>
      </c>
      <c r="F12" s="51">
        <v>0.54</v>
      </c>
      <c r="G12" s="51">
        <v>35.090000000000003</v>
      </c>
      <c r="H12" s="51">
        <v>19.239999999999998</v>
      </c>
      <c r="I12" s="51">
        <v>0.28000000000000003</v>
      </c>
      <c r="J12" s="51">
        <v>0.38</v>
      </c>
      <c r="K12" s="51">
        <v>73.08</v>
      </c>
      <c r="L12" s="51">
        <v>18.25</v>
      </c>
      <c r="M12" s="51">
        <v>55</v>
      </c>
      <c r="N12" s="51">
        <v>24.20</v>
      </c>
      <c r="O12" s="51">
        <v>0</v>
      </c>
      <c r="P12" s="51">
        <v>0.85</v>
      </c>
      <c r="Q12" s="51">
        <v>32.32</v>
      </c>
      <c r="R12" s="43"/>
      <c r="S12" s="43"/>
      <c r="T12" s="43"/>
      <c r="U12" s="43"/>
    </row>
    <row r="13" spans="1:21" s="11" customFormat="1" ht="15">
      <c r="A13" s="50" t="s">
        <v>65</v>
      </c>
      <c r="B13" s="51">
        <v>5.90</v>
      </c>
      <c r="C13" s="51">
        <v>73.510000000000005</v>
      </c>
      <c r="D13" s="51">
        <v>45.30</v>
      </c>
      <c r="E13" s="51">
        <v>4.1100000000000003</v>
      </c>
      <c r="F13" s="51">
        <v>0.54</v>
      </c>
      <c r="G13" s="51">
        <v>34.369999999999997</v>
      </c>
      <c r="H13" s="51">
        <v>17.23</v>
      </c>
      <c r="I13" s="51">
        <v>0.26</v>
      </c>
      <c r="J13" s="51">
        <v>0.82</v>
      </c>
      <c r="K13" s="51">
        <v>54.11</v>
      </c>
      <c r="L13" s="51">
        <v>17.57</v>
      </c>
      <c r="M13" s="51">
        <v>56</v>
      </c>
      <c r="N13" s="51">
        <v>24.10</v>
      </c>
      <c r="O13" s="51">
        <v>0</v>
      </c>
      <c r="P13" s="51">
        <v>0.77</v>
      </c>
      <c r="Q13" s="51">
        <v>31.65</v>
      </c>
      <c r="R13" s="43"/>
      <c r="S13" s="43"/>
      <c r="T13" s="43"/>
      <c r="U13" s="43"/>
    </row>
    <row r="14" spans="1:21" s="11" customFormat="1" ht="15">
      <c r="A14" s="50" t="s">
        <v>66</v>
      </c>
      <c r="B14" s="51">
        <v>5.23</v>
      </c>
      <c r="C14" s="51">
        <v>71.47</v>
      </c>
      <c r="D14" s="51">
        <v>43.21</v>
      </c>
      <c r="E14" s="51">
        <v>4.0599999999999996</v>
      </c>
      <c r="F14" s="51">
        <v>1.17</v>
      </c>
      <c r="G14" s="51">
        <v>40.04</v>
      </c>
      <c r="H14" s="51">
        <v>19.53</v>
      </c>
      <c r="I14" s="51">
        <v>0.26</v>
      </c>
      <c r="J14" s="51">
        <v>0.92</v>
      </c>
      <c r="K14" s="51">
        <v>24.90</v>
      </c>
      <c r="L14" s="51">
        <v>17.489999999999998</v>
      </c>
      <c r="M14" s="51">
        <v>55</v>
      </c>
      <c r="N14" s="51">
        <v>24.30</v>
      </c>
      <c r="O14" s="51">
        <v>0</v>
      </c>
      <c r="P14" s="51">
        <v>0.70</v>
      </c>
      <c r="Q14" s="51">
        <v>32.159999999999997</v>
      </c>
      <c r="R14" s="43"/>
      <c r="S14" s="43"/>
      <c r="T14" s="43"/>
      <c r="U14" s="43"/>
    </row>
    <row r="15" spans="1:21" s="11" customFormat="1" ht="15">
      <c r="A15" s="50" t="s">
        <v>67</v>
      </c>
      <c r="B15" s="51">
        <v>6.42</v>
      </c>
      <c r="C15" s="51">
        <v>74.849999999999994</v>
      </c>
      <c r="D15" s="51">
        <v>46.46</v>
      </c>
      <c r="E15" s="51">
        <v>4.4000000000000004</v>
      </c>
      <c r="F15" s="51">
        <v>0.61</v>
      </c>
      <c r="G15" s="51">
        <v>36.78</v>
      </c>
      <c r="H15" s="51">
        <v>19.38</v>
      </c>
      <c r="I15" s="51">
        <v>0.25</v>
      </c>
      <c r="J15" s="51">
        <v>0.91</v>
      </c>
      <c r="K15" s="51">
        <v>23.29</v>
      </c>
      <c r="L15" s="51">
        <v>17.18</v>
      </c>
      <c r="M15" s="51">
        <v>57</v>
      </c>
      <c r="N15" s="51">
        <v>33.799999999999997</v>
      </c>
      <c r="O15" s="51">
        <v>0</v>
      </c>
      <c r="P15" s="51">
        <v>0.69</v>
      </c>
      <c r="Q15" s="51">
        <v>31.57</v>
      </c>
      <c r="R15" s="43"/>
      <c r="S15" s="43"/>
      <c r="T15" s="43"/>
      <c r="U15" s="43"/>
    </row>
    <row r="16" spans="1:21" s="11" customFormat="1" ht="15">
      <c r="A16" s="50" t="s">
        <v>68</v>
      </c>
      <c r="B16" s="51">
        <v>7.90</v>
      </c>
      <c r="C16" s="51">
        <v>76.23</v>
      </c>
      <c r="D16" s="51">
        <v>48.30</v>
      </c>
      <c r="E16" s="51">
        <v>4.3099999999999996</v>
      </c>
      <c r="F16" s="51">
        <v>0.69</v>
      </c>
      <c r="G16" s="51">
        <v>50.83</v>
      </c>
      <c r="H16" s="51">
        <v>21.47</v>
      </c>
      <c r="I16" s="51">
        <v>0.24</v>
      </c>
      <c r="J16" s="51">
        <v>1.27</v>
      </c>
      <c r="K16" s="51">
        <v>20.82</v>
      </c>
      <c r="L16" s="51">
        <v>19.309999999999999</v>
      </c>
      <c r="M16" s="51">
        <v>56</v>
      </c>
      <c r="N16" s="51">
        <v>151.90</v>
      </c>
      <c r="O16" s="51">
        <v>0</v>
      </c>
      <c r="P16" s="51">
        <v>0.75</v>
      </c>
      <c r="Q16" s="51">
        <v>29.70</v>
      </c>
      <c r="R16" s="43"/>
      <c r="S16" s="43"/>
      <c r="T16" s="43"/>
      <c r="U16" s="43"/>
    </row>
    <row r="17" spans="1:21" s="11" customFormat="1" ht="15">
      <c r="A17" s="50" t="s">
        <v>69</v>
      </c>
      <c r="B17" s="51">
        <v>8.64</v>
      </c>
      <c r="C17" s="51">
        <v>80.70</v>
      </c>
      <c r="D17" s="51">
        <v>51.46</v>
      </c>
      <c r="E17" s="51">
        <v>6.18</v>
      </c>
      <c r="F17" s="51">
        <v>0.60</v>
      </c>
      <c r="G17" s="51">
        <v>49.94</v>
      </c>
      <c r="H17" s="51">
        <v>24.72</v>
      </c>
      <c r="I17" s="51">
        <v>0.24</v>
      </c>
      <c r="J17" s="51">
        <v>1.41</v>
      </c>
      <c r="K17" s="51">
        <v>29.38</v>
      </c>
      <c r="L17" s="51">
        <v>23.35</v>
      </c>
      <c r="M17" s="51">
        <v>44</v>
      </c>
      <c r="N17" s="51">
        <v>255.70</v>
      </c>
      <c r="O17" s="51">
        <v>0</v>
      </c>
      <c r="P17" s="51">
        <v>0.82</v>
      </c>
      <c r="Q17" s="51">
        <v>29.33</v>
      </c>
      <c r="R17" s="43"/>
      <c r="S17" s="43"/>
      <c r="T17" s="43"/>
      <c r="U17" s="43"/>
    </row>
    <row r="18" spans="1:21" s="11" customFormat="1" ht="15">
      <c r="A18" s="50" t="s">
        <v>70</v>
      </c>
      <c r="B18" s="51">
        <v>13.10</v>
      </c>
      <c r="C18" s="51">
        <v>90.36</v>
      </c>
      <c r="D18" s="51">
        <v>60.37</v>
      </c>
      <c r="E18" s="51">
        <v>5.55</v>
      </c>
      <c r="F18" s="51">
        <v>0.78</v>
      </c>
      <c r="G18" s="51">
        <v>60.47</v>
      </c>
      <c r="H18" s="51">
        <v>26.20</v>
      </c>
      <c r="I18" s="51">
        <v>0.25</v>
      </c>
      <c r="J18" s="51">
        <v>0.97</v>
      </c>
      <c r="K18" s="51">
        <v>111.44</v>
      </c>
      <c r="L18" s="51">
        <v>26.02</v>
      </c>
      <c r="M18" s="51">
        <v>41</v>
      </c>
      <c r="N18" s="51">
        <v>309.70</v>
      </c>
      <c r="O18" s="51">
        <v>0</v>
      </c>
      <c r="P18" s="51">
        <v>0.88</v>
      </c>
      <c r="Q18" s="51">
        <v>30.37</v>
      </c>
      <c r="R18" s="43"/>
      <c r="S18" s="43"/>
      <c r="T18" s="43"/>
      <c r="U18" s="43"/>
    </row>
    <row r="19" spans="1:21" s="11" customFormat="1" ht="15">
      <c r="A19" s="50" t="s">
        <v>71</v>
      </c>
      <c r="B19" s="51">
        <v>13.20</v>
      </c>
      <c r="C19" s="51">
        <v>90.94</v>
      </c>
      <c r="D19" s="51">
        <v>60.72</v>
      </c>
      <c r="E19" s="51">
        <v>5.35</v>
      </c>
      <c r="F19" s="51">
        <v>1.84</v>
      </c>
      <c r="G19" s="51">
        <v>59.09</v>
      </c>
      <c r="H19" s="51">
        <v>25.98</v>
      </c>
      <c r="I19" s="51">
        <v>0.23</v>
      </c>
      <c r="J19" s="51">
        <v>1.56</v>
      </c>
      <c r="K19" s="51">
        <v>112.37</v>
      </c>
      <c r="L19" s="51">
        <v>25.65</v>
      </c>
      <c r="M19" s="51">
        <v>41</v>
      </c>
      <c r="N19" s="51">
        <v>340.20</v>
      </c>
      <c r="O19" s="51">
        <v>0</v>
      </c>
      <c r="P19" s="51">
        <v>0.87</v>
      </c>
      <c r="Q19" s="51">
        <v>30.48</v>
      </c>
      <c r="R19" s="43"/>
      <c r="S19" s="43"/>
      <c r="T19" s="43"/>
      <c r="U19" s="43"/>
    </row>
    <row r="20" spans="1:21" s="11" customFormat="1" ht="15">
      <c r="A20" s="50" t="s">
        <v>72</v>
      </c>
      <c r="B20" s="51">
        <v>12.99</v>
      </c>
      <c r="C20" s="51">
        <v>87.72</v>
      </c>
      <c r="D20" s="51">
        <v>58.83</v>
      </c>
      <c r="E20" s="51">
        <v>6.04</v>
      </c>
      <c r="F20" s="51">
        <v>3.52</v>
      </c>
      <c r="G20" s="51">
        <v>60.20</v>
      </c>
      <c r="H20" s="51">
        <v>27.97</v>
      </c>
      <c r="I20" s="51">
        <v>0.23</v>
      </c>
      <c r="J20" s="51">
        <v>1.37</v>
      </c>
      <c r="K20" s="51">
        <v>117.12</v>
      </c>
      <c r="L20" s="51">
        <v>26.55</v>
      </c>
      <c r="M20" s="51">
        <v>37</v>
      </c>
      <c r="N20" s="51">
        <v>349.5</v>
      </c>
      <c r="O20" s="51">
        <v>0</v>
      </c>
      <c r="P20" s="51">
        <v>0.84</v>
      </c>
      <c r="Q20" s="51">
        <v>29.91</v>
      </c>
      <c r="R20" s="43"/>
      <c r="S20" s="43"/>
      <c r="T20" s="43"/>
      <c r="U20" s="43"/>
    </row>
    <row r="21" spans="1:21" s="11" customFormat="1" ht="15">
      <c r="A21" s="50" t="s">
        <v>73</v>
      </c>
      <c r="B21" s="51">
        <v>8.83</v>
      </c>
      <c r="C21" s="51">
        <v>83.37</v>
      </c>
      <c r="D21" s="51">
        <v>53.09</v>
      </c>
      <c r="E21" s="51">
        <v>5.41</v>
      </c>
      <c r="F21" s="51">
        <v>1.88</v>
      </c>
      <c r="G21" s="51">
        <v>57.71</v>
      </c>
      <c r="H21" s="51">
        <v>29.66</v>
      </c>
      <c r="I21" s="51">
        <v>0.22</v>
      </c>
      <c r="J21" s="51">
        <v>1.59</v>
      </c>
      <c r="K21" s="51">
        <v>132.97999999999999</v>
      </c>
      <c r="L21" s="51">
        <v>27.15</v>
      </c>
      <c r="M21" s="51">
        <v>33</v>
      </c>
      <c r="N21" s="51">
        <v>348.10</v>
      </c>
      <c r="O21" s="51">
        <v>0</v>
      </c>
      <c r="P21" s="51">
        <v>0.80</v>
      </c>
      <c r="Q21" s="51">
        <v>31.89</v>
      </c>
      <c r="R21" s="43"/>
      <c r="S21" s="43"/>
      <c r="T21" s="43"/>
      <c r="U21" s="43"/>
    </row>
    <row r="22" spans="1:21" s="11" customFormat="1" ht="15">
      <c r="A22" s="50" t="s">
        <v>74</v>
      </c>
      <c r="B22" s="51">
        <v>3.51</v>
      </c>
      <c r="C22" s="51">
        <v>81.14</v>
      </c>
      <c r="D22" s="51">
        <v>47.26</v>
      </c>
      <c r="E22" s="51">
        <v>5.74</v>
      </c>
      <c r="F22" s="51">
        <v>2.83</v>
      </c>
      <c r="G22" s="51">
        <v>50.17</v>
      </c>
      <c r="H22" s="51">
        <v>28.84</v>
      </c>
      <c r="I22" s="51">
        <v>0.21</v>
      </c>
      <c r="J22" s="51">
        <v>0.93</v>
      </c>
      <c r="K22" s="51">
        <v>125.20</v>
      </c>
      <c r="L22" s="51">
        <v>31.12</v>
      </c>
      <c r="M22" s="51">
        <v>31</v>
      </c>
      <c r="N22" s="51">
        <v>321.39999999999998</v>
      </c>
      <c r="O22" s="51">
        <v>0</v>
      </c>
      <c r="P22" s="51">
        <v>0.72</v>
      </c>
      <c r="Q22" s="51">
        <v>32.270000000000003</v>
      </c>
      <c r="R22" s="43"/>
      <c r="S22" s="43"/>
      <c r="T22" s="43"/>
      <c r="U22" s="43"/>
    </row>
    <row r="23" spans="1:21" s="11" customFormat="1" ht="15">
      <c r="A23" s="50" t="s">
        <v>75</v>
      </c>
      <c r="B23" s="51">
        <v>4.12</v>
      </c>
      <c r="C23" s="51">
        <v>81.040000000000006</v>
      </c>
      <c r="D23" s="51">
        <v>48.03</v>
      </c>
      <c r="E23" s="51">
        <v>9.1300000000000008</v>
      </c>
      <c r="F23" s="51">
        <v>6.26</v>
      </c>
      <c r="G23" s="51">
        <v>42.91</v>
      </c>
      <c r="H23" s="51">
        <v>25.40</v>
      </c>
      <c r="I23" s="51">
        <v>0.19</v>
      </c>
      <c r="J23" s="51">
        <v>0.51</v>
      </c>
      <c r="K23" s="51">
        <v>100.19</v>
      </c>
      <c r="L23" s="51">
        <v>30.47</v>
      </c>
      <c r="M23" s="51">
        <v>28</v>
      </c>
      <c r="N23" s="51">
        <v>277.60000000000002</v>
      </c>
      <c r="O23" s="51">
        <v>0</v>
      </c>
      <c r="P23" s="51">
        <v>0.74</v>
      </c>
      <c r="Q23" s="51">
        <v>31.63</v>
      </c>
      <c r="R23" s="43"/>
      <c r="S23" s="43"/>
      <c r="T23" s="43"/>
      <c r="U23" s="43"/>
    </row>
    <row r="24" spans="1:21" s="11" customFormat="1" ht="15">
      <c r="A24" s="50" t="s">
        <v>76</v>
      </c>
      <c r="B24" s="51">
        <v>7.36</v>
      </c>
      <c r="C24" s="51">
        <v>84.57</v>
      </c>
      <c r="D24" s="51">
        <v>52.57</v>
      </c>
      <c r="E24" s="51">
        <v>9.14</v>
      </c>
      <c r="F24" s="51">
        <v>6.74</v>
      </c>
      <c r="G24" s="51">
        <v>45.88</v>
      </c>
      <c r="H24" s="51">
        <v>25.87</v>
      </c>
      <c r="I24" s="51">
        <v>0.21</v>
      </c>
      <c r="J24" s="51">
        <v>0.67</v>
      </c>
      <c r="K24" s="51">
        <v>195.98</v>
      </c>
      <c r="L24" s="51">
        <v>29.14</v>
      </c>
      <c r="M24" s="51">
        <v>31</v>
      </c>
      <c r="N24" s="51">
        <v>185.70</v>
      </c>
      <c r="O24" s="51">
        <v>0</v>
      </c>
      <c r="P24" s="51">
        <v>0.80</v>
      </c>
      <c r="Q24" s="51">
        <v>34.76</v>
      </c>
      <c r="R24" s="43"/>
      <c r="S24" s="43"/>
      <c r="T24" s="43"/>
      <c r="U24" s="43"/>
    </row>
    <row r="25" spans="1:21" s="11" customFormat="1" ht="15">
      <c r="A25" s="50" t="s">
        <v>77</v>
      </c>
      <c r="B25" s="51">
        <v>7.39</v>
      </c>
      <c r="C25" s="51">
        <v>92.79</v>
      </c>
      <c r="D25" s="51">
        <v>55.95</v>
      </c>
      <c r="E25" s="51">
        <v>6.75</v>
      </c>
      <c r="F25" s="51">
        <v>1.49</v>
      </c>
      <c r="G25" s="51">
        <v>53.5</v>
      </c>
      <c r="H25" s="51">
        <v>29</v>
      </c>
      <c r="I25" s="51">
        <v>0.23</v>
      </c>
      <c r="J25" s="51">
        <v>1.44</v>
      </c>
      <c r="K25" s="51">
        <v>19.80</v>
      </c>
      <c r="L25" s="51">
        <v>27.33</v>
      </c>
      <c r="M25" s="51">
        <v>36</v>
      </c>
      <c r="N25" s="51">
        <v>63.30</v>
      </c>
      <c r="O25" s="51">
        <v>0</v>
      </c>
      <c r="P25" s="51">
        <v>0.92</v>
      </c>
      <c r="Q25" s="51">
        <v>35.83</v>
      </c>
      <c r="R25" s="43"/>
      <c r="S25" s="43"/>
      <c r="T25" s="43"/>
      <c r="U25" s="43"/>
    </row>
    <row r="26" spans="1:21" s="11" customFormat="1" ht="15">
      <c r="A26" s="50" t="s">
        <v>78</v>
      </c>
      <c r="B26" s="51">
        <v>6.37</v>
      </c>
      <c r="C26" s="51">
        <v>95.68</v>
      </c>
      <c r="D26" s="51">
        <v>57.67</v>
      </c>
      <c r="E26" s="51">
        <v>6.86</v>
      </c>
      <c r="F26" s="51">
        <v>4.01</v>
      </c>
      <c r="G26" s="51">
        <v>60.62</v>
      </c>
      <c r="H26" s="51">
        <v>29.35</v>
      </c>
      <c r="I26" s="51">
        <v>0.22</v>
      </c>
      <c r="J26" s="51">
        <v>1.01</v>
      </c>
      <c r="K26" s="51">
        <v>22.36</v>
      </c>
      <c r="L26" s="51">
        <v>25.38</v>
      </c>
      <c r="M26" s="51">
        <v>42</v>
      </c>
      <c r="N26" s="51">
        <v>31.40</v>
      </c>
      <c r="O26" s="51">
        <v>0</v>
      </c>
      <c r="P26" s="51">
        <v>1.0900000000000001</v>
      </c>
      <c r="Q26" s="51">
        <v>34.57</v>
      </c>
      <c r="R26" s="43"/>
      <c r="S26" s="43"/>
      <c r="T26" s="43"/>
      <c r="U26" s="43"/>
    </row>
    <row r="27" spans="1:21" s="11" customFormat="1" ht="15">
      <c r="A27" s="50" t="s">
        <v>79</v>
      </c>
      <c r="B27" s="51">
        <v>13.29</v>
      </c>
      <c r="C27" s="51">
        <v>105.75</v>
      </c>
      <c r="D27" s="51">
        <v>69.02</v>
      </c>
      <c r="E27" s="51">
        <v>8.75</v>
      </c>
      <c r="F27" s="51">
        <v>4.0599999999999996</v>
      </c>
      <c r="G27" s="51">
        <v>65.52</v>
      </c>
      <c r="H27" s="51">
        <v>31.86</v>
      </c>
      <c r="I27" s="51">
        <v>0.27</v>
      </c>
      <c r="J27" s="51">
        <v>0.73</v>
      </c>
      <c r="K27" s="51">
        <v>24.90</v>
      </c>
      <c r="L27" s="51">
        <v>23.64</v>
      </c>
      <c r="M27" s="51">
        <v>46</v>
      </c>
      <c r="N27" s="51">
        <v>24.60</v>
      </c>
      <c r="O27" s="51">
        <v>0</v>
      </c>
      <c r="P27" s="51">
        <v>1.43</v>
      </c>
      <c r="Q27" s="51">
        <v>33.340000000000003</v>
      </c>
      <c r="R27" s="43"/>
      <c r="S27" s="43"/>
      <c r="T27" s="43"/>
      <c r="U27" s="43"/>
    </row>
    <row r="28" spans="1:21" s="11" customFormat="1" ht="15">
      <c r="A28" s="50" t="s">
        <v>80</v>
      </c>
      <c r="B28" s="51">
        <v>15.09</v>
      </c>
      <c r="C28" s="51">
        <v>105.44</v>
      </c>
      <c r="D28" s="51">
        <v>70.290000000000006</v>
      </c>
      <c r="E28" s="51">
        <v>5.83</v>
      </c>
      <c r="F28" s="51">
        <v>0.62</v>
      </c>
      <c r="G28" s="51">
        <v>87.61</v>
      </c>
      <c r="H28" s="51">
        <v>37.47</v>
      </c>
      <c r="I28" s="51">
        <v>0.36</v>
      </c>
      <c r="J28" s="51">
        <v>0.22</v>
      </c>
      <c r="K28" s="51">
        <v>78.010000000000005</v>
      </c>
      <c r="L28" s="51">
        <v>22.58</v>
      </c>
      <c r="M28" s="51">
        <v>46</v>
      </c>
      <c r="N28" s="51">
        <v>24.5</v>
      </c>
      <c r="O28" s="51">
        <v>0</v>
      </c>
      <c r="P28" s="51">
        <v>1.72</v>
      </c>
      <c r="Q28" s="51">
        <v>36.43</v>
      </c>
      <c r="R28" s="43"/>
      <c r="S28" s="43"/>
      <c r="T28" s="43"/>
      <c r="U28" s="43"/>
    </row>
    <row r="29" spans="1:21" s="11" customFormat="1" ht="15">
      <c r="A29" s="50" t="s">
        <v>81</v>
      </c>
      <c r="B29" s="51">
        <v>20.78</v>
      </c>
      <c r="C29" s="51">
        <v>115.87</v>
      </c>
      <c r="D29" s="51">
        <v>80.61</v>
      </c>
      <c r="E29" s="51">
        <v>5.78</v>
      </c>
      <c r="F29" s="51">
        <v>0.76</v>
      </c>
      <c r="G29" s="51">
        <v>99.85</v>
      </c>
      <c r="H29" s="51">
        <v>44.53</v>
      </c>
      <c r="I29" s="51">
        <v>0.42</v>
      </c>
      <c r="J29" s="51">
        <v>0.20</v>
      </c>
      <c r="K29" s="51">
        <v>61.75</v>
      </c>
      <c r="L29" s="51">
        <v>21.79</v>
      </c>
      <c r="M29" s="51">
        <v>47</v>
      </c>
      <c r="N29" s="51">
        <v>24.30</v>
      </c>
      <c r="O29" s="51">
        <v>0</v>
      </c>
      <c r="P29" s="51">
        <v>2.2000000000000002</v>
      </c>
      <c r="Q29" s="51">
        <v>36.840000000000003</v>
      </c>
      <c r="R29" s="43"/>
      <c r="S29" s="43"/>
      <c r="T29" s="43"/>
      <c r="U29" s="43"/>
    </row>
    <row r="30" spans="1:21" s="11" customFormat="1" ht="15">
      <c r="A30" s="50" t="s">
        <v>82</v>
      </c>
      <c r="B30" s="51">
        <v>22.31</v>
      </c>
      <c r="C30" s="51">
        <v>118.35</v>
      </c>
      <c r="D30" s="51">
        <v>81.849999999999994</v>
      </c>
      <c r="E30" s="51">
        <v>5.99</v>
      </c>
      <c r="F30" s="51">
        <v>0.74</v>
      </c>
      <c r="G30" s="51">
        <v>98.76</v>
      </c>
      <c r="H30" s="51">
        <v>44.39</v>
      </c>
      <c r="I30" s="51">
        <v>0.46</v>
      </c>
      <c r="J30" s="51">
        <v>0.11</v>
      </c>
      <c r="K30" s="51">
        <v>201.80</v>
      </c>
      <c r="L30" s="51">
        <v>21.41</v>
      </c>
      <c r="M30" s="51">
        <v>50</v>
      </c>
      <c r="N30" s="51">
        <v>24.5</v>
      </c>
      <c r="O30" s="51">
        <v>0</v>
      </c>
      <c r="P30" s="51">
        <v>2.2200000000000002</v>
      </c>
      <c r="Q30" s="51">
        <v>36.07</v>
      </c>
      <c r="R30" s="43"/>
      <c r="S30" s="43"/>
      <c r="T30" s="43"/>
      <c r="U30" s="43"/>
    </row>
    <row r="31" spans="1:21" s="11" customFormat="1" ht="15">
      <c r="A31" s="50" t="s">
        <v>83</v>
      </c>
      <c r="B31" s="51">
        <v>23.18</v>
      </c>
      <c r="C31" s="51">
        <v>114.91</v>
      </c>
      <c r="D31" s="51">
        <v>82</v>
      </c>
      <c r="E31" s="51">
        <v>5.79</v>
      </c>
      <c r="F31" s="51">
        <v>0.61</v>
      </c>
      <c r="G31" s="51">
        <v>91.60</v>
      </c>
      <c r="H31" s="51">
        <v>43.77</v>
      </c>
      <c r="I31" s="51">
        <v>0.5</v>
      </c>
      <c r="J31" s="51">
        <v>0.35</v>
      </c>
      <c r="K31" s="51">
        <v>83.78</v>
      </c>
      <c r="L31" s="51">
        <v>20.94</v>
      </c>
      <c r="M31" s="51">
        <v>49</v>
      </c>
      <c r="N31" s="51">
        <v>24</v>
      </c>
      <c r="O31" s="51">
        <v>0</v>
      </c>
      <c r="P31" s="51">
        <v>2.21</v>
      </c>
      <c r="Q31" s="51">
        <v>36.21</v>
      </c>
      <c r="R31" s="43"/>
      <c r="S31" s="43"/>
      <c r="T31" s="43"/>
      <c r="U31" s="43"/>
    </row>
    <row r="32" spans="1:21" s="11" customFormat="1" ht="15">
      <c r="A32" s="50" t="s">
        <v>84</v>
      </c>
      <c r="B32" s="51">
        <v>20.49</v>
      </c>
      <c r="C32" s="51">
        <v>109.29</v>
      </c>
      <c r="D32" s="51">
        <v>76.739999999999995</v>
      </c>
      <c r="E32" s="51">
        <v>6.08</v>
      </c>
      <c r="F32" s="51">
        <v>0.23</v>
      </c>
      <c r="G32" s="51">
        <v>86</v>
      </c>
      <c r="H32" s="51">
        <v>43.01</v>
      </c>
      <c r="I32" s="51">
        <v>0.51</v>
      </c>
      <c r="J32" s="51">
        <v>0.35</v>
      </c>
      <c r="K32" s="51">
        <v>34.19</v>
      </c>
      <c r="L32" s="51">
        <v>20.59</v>
      </c>
      <c r="M32" s="51">
        <v>51</v>
      </c>
      <c r="N32" s="51">
        <v>24.30</v>
      </c>
      <c r="O32" s="51">
        <v>0</v>
      </c>
      <c r="P32" s="51">
        <v>2.09</v>
      </c>
      <c r="Q32" s="51">
        <v>36.81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3.5099999999999998</v>
      </c>
      <c r="C34" s="28">
        <f t="shared" si="0"/>
        <v>71.469999999999999</v>
      </c>
      <c r="D34" s="28">
        <f t="shared" si="0"/>
        <v>43.210000000000001</v>
      </c>
      <c r="E34" s="28">
        <f t="shared" si="0"/>
        <v>3.7999999999999998</v>
      </c>
      <c r="F34" s="28">
        <f t="shared" si="0"/>
        <v>0.23000000000000001</v>
      </c>
      <c r="G34" s="28">
        <f t="shared" si="0"/>
        <v>34.369999999999997</v>
      </c>
      <c r="H34" s="28">
        <f t="shared" si="0"/>
        <v>17.23</v>
      </c>
      <c r="I34" s="28">
        <f t="shared" si="0"/>
        <v>0.19</v>
      </c>
      <c r="J34" s="28">
        <f t="shared" si="0"/>
        <v>0.11</v>
      </c>
      <c r="K34" s="28">
        <f t="shared" si="0"/>
        <v>17.02</v>
      </c>
      <c r="L34" s="28">
        <f t="shared" si="0"/>
        <v>17.18</v>
      </c>
      <c r="M34" s="28">
        <f t="shared" si="0"/>
        <v>28</v>
      </c>
      <c r="N34" s="28">
        <f t="shared" si="0"/>
        <v>24</v>
      </c>
      <c r="O34" s="28">
        <f t="shared" si="0"/>
        <v>0</v>
      </c>
      <c r="P34" s="28">
        <f t="shared" si="0"/>
        <v>0.68999999999999995</v>
      </c>
      <c r="Q34" s="28">
        <f t="shared" si="0"/>
        <v>29.329999999999998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26.899999999999999</v>
      </c>
      <c r="C35" s="29">
        <f t="shared" si="1"/>
        <v>118.34999999999999</v>
      </c>
      <c r="D35" s="29">
        <f t="shared" si="1"/>
        <v>82</v>
      </c>
      <c r="E35" s="29">
        <f t="shared" si="1"/>
        <v>9.1400000000000006</v>
      </c>
      <c r="F35" s="29">
        <f t="shared" si="1"/>
        <v>6.7400000000000002</v>
      </c>
      <c r="G35" s="29">
        <f t="shared" si="1"/>
        <v>99.849999999999994</v>
      </c>
      <c r="H35" s="29">
        <f t="shared" si="1"/>
        <v>44.530000000000001</v>
      </c>
      <c r="I35" s="29">
        <f t="shared" si="1"/>
        <v>0.51000000000000001</v>
      </c>
      <c r="J35" s="29">
        <f t="shared" si="1"/>
        <v>1.5900000000000001</v>
      </c>
      <c r="K35" s="29">
        <f t="shared" si="1"/>
        <v>201.80000000000001</v>
      </c>
      <c r="L35" s="29">
        <f t="shared" si="1"/>
        <v>31.120000000000001</v>
      </c>
      <c r="M35" s="29">
        <f t="shared" si="1"/>
        <v>57</v>
      </c>
      <c r="N35" s="29">
        <f t="shared" si="1"/>
        <v>349.5</v>
      </c>
      <c r="O35" s="29">
        <f t="shared" si="1"/>
        <v>0</v>
      </c>
      <c r="P35" s="29">
        <f t="shared" si="1"/>
        <v>2.2200000000000002</v>
      </c>
      <c r="Q35" s="29">
        <f t="shared" si="1"/>
        <v>36.840000000000003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11.988333333333335</v>
      </c>
      <c r="C36" s="28">
        <f t="shared" si="2"/>
        <v>90.717499999999987</v>
      </c>
      <c r="D36" s="28">
        <f t="shared" si="2"/>
        <v>59.514583333333327</v>
      </c>
      <c r="E36" s="28">
        <f t="shared" si="2"/>
        <v>5.7554166666666662</v>
      </c>
      <c r="F36" s="28">
        <f t="shared" si="2"/>
        <v>1.8712499999999999</v>
      </c>
      <c r="G36" s="28">
        <f t="shared" si="2"/>
        <v>58.849166666666662</v>
      </c>
      <c r="H36" s="28">
        <f t="shared" si="2"/>
        <v>29.020833333333329</v>
      </c>
      <c r="I36" s="28">
        <f t="shared" si="2"/>
        <v>0.30000000000000004</v>
      </c>
      <c r="J36" s="28">
        <f t="shared" si="2"/>
        <v>0.83791666666666675</v>
      </c>
      <c r="K36" s="28">
        <f t="shared" si="2"/>
        <v>72.800416666666663</v>
      </c>
      <c r="L36" s="28">
        <f t="shared" si="2"/>
        <v>23.032083333333336</v>
      </c>
      <c r="M36" s="28">
        <f t="shared" si="2"/>
        <v>44.791666666666664</v>
      </c>
      <c r="N36" s="28">
        <f t="shared" si="2"/>
        <v>123.32500000000003</v>
      </c>
      <c r="O36" s="28">
        <f t="shared" si="2"/>
        <v>0</v>
      </c>
      <c r="P36" s="28">
        <f t="shared" si="2"/>
        <v>1.1558333333333335</v>
      </c>
      <c r="Q36" s="28">
        <f t="shared" si="2"/>
        <v>33.111666666666672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6.6692517451794897</v>
      </c>
      <c r="C37" s="28">
        <f t="shared" si="3" ref="C37:Q37">STDEV(C9:C32)</f>
        <v>14.128175441448569</v>
      </c>
      <c r="D37" s="28">
        <f t="shared" si="3"/>
        <v>12.40713153240182</v>
      </c>
      <c r="E37" s="28">
        <f t="shared" si="3"/>
        <v>1.5369477917264331</v>
      </c>
      <c r="F37" s="28">
        <f t="shared" si="3"/>
        <v>1.8303796529444492</v>
      </c>
      <c r="G37" s="28">
        <f t="shared" si="3"/>
        <v>19.938148690096725</v>
      </c>
      <c r="H37" s="28">
        <f t="shared" si="3"/>
        <v>8.1581679084944589</v>
      </c>
      <c r="I37" s="28">
        <f t="shared" si="3"/>
        <v>0.099999999999999797</v>
      </c>
      <c r="J37" s="28">
        <f t="shared" si="3"/>
        <v>0.44986934496165842</v>
      </c>
      <c r="K37" s="28">
        <f t="shared" si="3"/>
        <v>54.793176779211969</v>
      </c>
      <c r="L37" s="28">
        <f t="shared" si="3"/>
        <v>4.18945672431727</v>
      </c>
      <c r="M37" s="28">
        <f t="shared" si="3"/>
        <v>8.6324925448118393</v>
      </c>
      <c r="N37" s="28">
        <f t="shared" si="3"/>
        <v>132.93895379001069</v>
      </c>
      <c r="O37" s="28">
        <f t="shared" si="3"/>
        <v>0</v>
      </c>
      <c r="P37" s="28">
        <f t="shared" si="3"/>
        <v>0.5359989995664467</v>
      </c>
      <c r="Q37" s="28">
        <f t="shared" si="3"/>
        <v>2.4015097908112555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202f2ef-2322-404f-9963-be532856da2a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3" width="1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02-01-2023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52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85</v>
      </c>
      <c r="B9" s="51">
        <v>13.73</v>
      </c>
      <c r="C9" s="51">
        <v>100.62</v>
      </c>
      <c r="D9" s="51">
        <v>66.540000000000006</v>
      </c>
      <c r="E9" s="51">
        <v>4.95</v>
      </c>
      <c r="F9" s="51">
        <v>1.70</v>
      </c>
      <c r="G9" s="51">
        <v>83.21</v>
      </c>
      <c r="H9" s="51">
        <v>41.96</v>
      </c>
      <c r="I9" s="51">
        <v>0.46</v>
      </c>
      <c r="J9" s="51">
        <v>0.86</v>
      </c>
      <c r="K9" s="51">
        <v>19.13</v>
      </c>
      <c r="L9" s="51">
        <v>19.62</v>
      </c>
      <c r="M9" s="51">
        <v>52</v>
      </c>
      <c r="N9" s="51">
        <v>24.10</v>
      </c>
      <c r="O9" s="51">
        <v>0</v>
      </c>
      <c r="P9" s="51">
        <v>1.79</v>
      </c>
      <c r="Q9" s="51">
        <v>35.54</v>
      </c>
      <c r="R9" s="43"/>
      <c r="S9" s="43"/>
      <c r="T9" s="43"/>
      <c r="U9" s="43"/>
    </row>
    <row r="10" spans="1:21" s="11" customFormat="1" ht="15">
      <c r="A10" s="50" t="s">
        <v>86</v>
      </c>
      <c r="B10" s="51">
        <v>7.39</v>
      </c>
      <c r="C10" s="51">
        <v>89.93</v>
      </c>
      <c r="D10" s="51">
        <v>55.55</v>
      </c>
      <c r="E10" s="51">
        <v>6.62</v>
      </c>
      <c r="F10" s="51">
        <v>0.96</v>
      </c>
      <c r="G10" s="51">
        <v>77.05</v>
      </c>
      <c r="H10" s="51">
        <v>41.27</v>
      </c>
      <c r="I10" s="51">
        <v>0.37</v>
      </c>
      <c r="J10" s="51">
        <v>0.55000000000000004</v>
      </c>
      <c r="K10" s="51">
        <v>37.770000000000003</v>
      </c>
      <c r="L10" s="51">
        <v>19.41</v>
      </c>
      <c r="M10" s="51">
        <v>53</v>
      </c>
      <c r="N10" s="51">
        <v>24.30</v>
      </c>
      <c r="O10" s="51">
        <v>0</v>
      </c>
      <c r="P10" s="51">
        <v>1.44</v>
      </c>
      <c r="Q10" s="51">
        <v>32.11</v>
      </c>
      <c r="R10" s="43"/>
      <c r="S10" s="43"/>
      <c r="T10" s="43"/>
      <c r="U10" s="43"/>
    </row>
    <row r="11" spans="1:21" s="11" customFormat="1" ht="15">
      <c r="A11" s="50" t="s">
        <v>87</v>
      </c>
      <c r="B11" s="51">
        <v>4.72</v>
      </c>
      <c r="C11" s="51">
        <v>81.27</v>
      </c>
      <c r="D11" s="51">
        <v>48.63</v>
      </c>
      <c r="E11" s="51">
        <v>5.12</v>
      </c>
      <c r="F11" s="51">
        <v>0.73</v>
      </c>
      <c r="G11" s="51">
        <v>63.02</v>
      </c>
      <c r="H11" s="51">
        <v>37.36</v>
      </c>
      <c r="I11" s="51">
        <v>0.35</v>
      </c>
      <c r="J11" s="51">
        <v>0.91</v>
      </c>
      <c r="K11" s="51">
        <v>52.95</v>
      </c>
      <c r="L11" s="51">
        <v>18.52</v>
      </c>
      <c r="M11" s="51">
        <v>57</v>
      </c>
      <c r="N11" s="51">
        <v>24.40</v>
      </c>
      <c r="O11" s="51">
        <v>0</v>
      </c>
      <c r="P11" s="51">
        <v>1.29</v>
      </c>
      <c r="Q11" s="51">
        <v>32.43</v>
      </c>
      <c r="R11" s="43"/>
      <c r="S11" s="43"/>
      <c r="T11" s="43"/>
      <c r="U11" s="43"/>
    </row>
    <row r="12" spans="1:21" s="11" customFormat="1" ht="15">
      <c r="A12" s="50" t="s">
        <v>88</v>
      </c>
      <c r="B12" s="51">
        <v>3.24</v>
      </c>
      <c r="C12" s="51">
        <v>76.77</v>
      </c>
      <c r="D12" s="51">
        <v>44.97</v>
      </c>
      <c r="E12" s="51">
        <v>5.20</v>
      </c>
      <c r="F12" s="51">
        <v>1.46</v>
      </c>
      <c r="G12" s="51">
        <v>58.68</v>
      </c>
      <c r="H12" s="51">
        <v>31.68</v>
      </c>
      <c r="I12" s="51">
        <v>0.33</v>
      </c>
      <c r="J12" s="51">
        <v>0.87</v>
      </c>
      <c r="K12" s="51">
        <v>41.91</v>
      </c>
      <c r="L12" s="51">
        <v>18.07</v>
      </c>
      <c r="M12" s="51">
        <v>59</v>
      </c>
      <c r="N12" s="51">
        <v>24.5</v>
      </c>
      <c r="O12" s="51">
        <v>0</v>
      </c>
      <c r="P12" s="51">
        <v>1.1299999999999999</v>
      </c>
      <c r="Q12" s="51">
        <v>31.89</v>
      </c>
      <c r="R12" s="43"/>
      <c r="S12" s="43"/>
      <c r="T12" s="43"/>
      <c r="U12" s="43"/>
    </row>
    <row r="13" spans="1:21" s="11" customFormat="1" ht="15">
      <c r="A13" s="50" t="s">
        <v>89</v>
      </c>
      <c r="B13" s="51">
        <v>2.2200000000000002</v>
      </c>
      <c r="C13" s="51">
        <v>70.73</v>
      </c>
      <c r="D13" s="51">
        <v>40.409999999999997</v>
      </c>
      <c r="E13" s="51">
        <v>3.84</v>
      </c>
      <c r="F13" s="51">
        <v>2.06</v>
      </c>
      <c r="G13" s="51">
        <v>56.28</v>
      </c>
      <c r="H13" s="51">
        <v>31.03</v>
      </c>
      <c r="I13" s="51">
        <v>0.27</v>
      </c>
      <c r="J13" s="51">
        <v>0.39</v>
      </c>
      <c r="K13" s="51">
        <v>58.13</v>
      </c>
      <c r="L13" s="51">
        <v>17.09</v>
      </c>
      <c r="M13" s="51">
        <v>63</v>
      </c>
      <c r="N13" s="51">
        <v>24.20</v>
      </c>
      <c r="O13" s="51">
        <v>0</v>
      </c>
      <c r="P13" s="51">
        <v>0.98</v>
      </c>
      <c r="Q13" s="51">
        <v>29.89</v>
      </c>
      <c r="R13" s="43"/>
      <c r="S13" s="43"/>
      <c r="T13" s="43"/>
      <c r="U13" s="43"/>
    </row>
    <row r="14" spans="1:21" s="11" customFormat="1" ht="15">
      <c r="A14" s="50" t="s">
        <v>90</v>
      </c>
      <c r="B14" s="51">
        <v>3.16</v>
      </c>
      <c r="C14" s="51">
        <v>68.69</v>
      </c>
      <c r="D14" s="51">
        <v>40.369999999999997</v>
      </c>
      <c r="E14" s="51">
        <v>3.83</v>
      </c>
      <c r="F14" s="51">
        <v>0.43</v>
      </c>
      <c r="G14" s="51">
        <v>51.96</v>
      </c>
      <c r="H14" s="51">
        <v>30.34</v>
      </c>
      <c r="I14" s="51">
        <v>0.25</v>
      </c>
      <c r="J14" s="51">
        <v>0.36</v>
      </c>
      <c r="K14" s="51">
        <v>70.239999999999995</v>
      </c>
      <c r="L14" s="51">
        <v>16.48</v>
      </c>
      <c r="M14" s="51">
        <v>64</v>
      </c>
      <c r="N14" s="51">
        <v>24.10</v>
      </c>
      <c r="O14" s="51">
        <v>0</v>
      </c>
      <c r="P14" s="51">
        <v>0.92</v>
      </c>
      <c r="Q14" s="51">
        <v>28.75</v>
      </c>
      <c r="R14" s="43"/>
      <c r="S14" s="43"/>
      <c r="T14" s="43"/>
      <c r="U14" s="43"/>
    </row>
    <row r="15" spans="1:21" s="11" customFormat="1" ht="15">
      <c r="A15" s="50" t="s">
        <v>91</v>
      </c>
      <c r="B15" s="51">
        <v>5.57</v>
      </c>
      <c r="C15" s="51">
        <v>74.260000000000005</v>
      </c>
      <c r="D15" s="51">
        <v>45.45</v>
      </c>
      <c r="E15" s="51">
        <v>3.63</v>
      </c>
      <c r="F15" s="51">
        <v>0.21</v>
      </c>
      <c r="G15" s="51">
        <v>51.19</v>
      </c>
      <c r="H15" s="51">
        <v>28.35</v>
      </c>
      <c r="I15" s="51">
        <v>0.25</v>
      </c>
      <c r="J15" s="51">
        <v>0.73</v>
      </c>
      <c r="K15" s="51">
        <v>69.09</v>
      </c>
      <c r="L15" s="51">
        <v>16.12</v>
      </c>
      <c r="M15" s="51">
        <v>67</v>
      </c>
      <c r="N15" s="51">
        <v>32.700000000000003</v>
      </c>
      <c r="O15" s="51">
        <v>0</v>
      </c>
      <c r="P15" s="51">
        <v>0.92</v>
      </c>
      <c r="Q15" s="51">
        <v>30.07</v>
      </c>
      <c r="R15" s="43"/>
      <c r="S15" s="43"/>
      <c r="T15" s="43"/>
      <c r="U15" s="43"/>
    </row>
    <row r="16" spans="1:21" s="11" customFormat="1" ht="15">
      <c r="A16" s="50" t="s">
        <v>92</v>
      </c>
      <c r="B16" s="51">
        <v>9.33</v>
      </c>
      <c r="C16" s="51">
        <v>83.16</v>
      </c>
      <c r="D16" s="51">
        <v>53.38</v>
      </c>
      <c r="E16" s="51">
        <v>3.79</v>
      </c>
      <c r="F16" s="51">
        <v>0.24</v>
      </c>
      <c r="G16" s="51">
        <v>57.88</v>
      </c>
      <c r="H16" s="51">
        <v>30.09</v>
      </c>
      <c r="I16" s="51">
        <v>0.24</v>
      </c>
      <c r="J16" s="51">
        <v>0.91</v>
      </c>
      <c r="K16" s="51">
        <v>57.10</v>
      </c>
      <c r="L16" s="51">
        <v>17.87</v>
      </c>
      <c r="M16" s="51">
        <v>65</v>
      </c>
      <c r="N16" s="51">
        <v>128.40</v>
      </c>
      <c r="O16" s="51">
        <v>0</v>
      </c>
      <c r="P16" s="51">
        <v>0.96</v>
      </c>
      <c r="Q16" s="51">
        <v>29.88</v>
      </c>
      <c r="R16" s="43"/>
      <c r="S16" s="43"/>
      <c r="T16" s="43"/>
      <c r="U16" s="43"/>
    </row>
    <row r="17" spans="1:21" s="11" customFormat="1" ht="15">
      <c r="A17" s="50" t="s">
        <v>93</v>
      </c>
      <c r="B17" s="51">
        <v>11.97</v>
      </c>
      <c r="C17" s="51">
        <v>89.91</v>
      </c>
      <c r="D17" s="51">
        <v>59.22</v>
      </c>
      <c r="E17" s="51">
        <v>5.20</v>
      </c>
      <c r="F17" s="51">
        <v>0.94</v>
      </c>
      <c r="G17" s="51">
        <v>61.29</v>
      </c>
      <c r="H17" s="51">
        <v>35.58</v>
      </c>
      <c r="I17" s="51">
        <v>0.24</v>
      </c>
      <c r="J17" s="51">
        <v>0.86</v>
      </c>
      <c r="K17" s="51">
        <v>47.12</v>
      </c>
      <c r="L17" s="51">
        <v>21.51</v>
      </c>
      <c r="M17" s="51">
        <v>56</v>
      </c>
      <c r="N17" s="51">
        <v>228.90</v>
      </c>
      <c r="O17" s="51">
        <v>0</v>
      </c>
      <c r="P17" s="51">
        <v>1.04</v>
      </c>
      <c r="Q17" s="51">
        <v>28.70</v>
      </c>
      <c r="R17" s="43"/>
      <c r="S17" s="43"/>
      <c r="T17" s="43"/>
      <c r="U17" s="43"/>
    </row>
    <row r="18" spans="1:21" s="11" customFormat="1" ht="15">
      <c r="A18" s="50" t="s">
        <v>94</v>
      </c>
      <c r="B18" s="51">
        <v>12.29</v>
      </c>
      <c r="C18" s="51">
        <v>90.95</v>
      </c>
      <c r="D18" s="51">
        <v>60.05</v>
      </c>
      <c r="E18" s="51">
        <v>5.22</v>
      </c>
      <c r="F18" s="51">
        <v>0.24</v>
      </c>
      <c r="G18" s="51">
        <v>64.09</v>
      </c>
      <c r="H18" s="51">
        <v>36.65</v>
      </c>
      <c r="I18" s="51">
        <v>0.26</v>
      </c>
      <c r="J18" s="51">
        <v>1.18</v>
      </c>
      <c r="K18" s="51">
        <v>118.80</v>
      </c>
      <c r="L18" s="51">
        <v>22.24</v>
      </c>
      <c r="M18" s="51">
        <v>54</v>
      </c>
      <c r="N18" s="51">
        <v>293.89999999999998</v>
      </c>
      <c r="O18" s="51">
        <v>0</v>
      </c>
      <c r="P18" s="51">
        <v>1.05</v>
      </c>
      <c r="Q18" s="51">
        <v>29.92</v>
      </c>
      <c r="R18" s="43"/>
      <c r="S18" s="43"/>
      <c r="T18" s="43"/>
      <c r="U18" s="43"/>
    </row>
    <row r="19" spans="1:21" s="11" customFormat="1" ht="15">
      <c r="A19" s="50" t="s">
        <v>95</v>
      </c>
      <c r="B19" s="51">
        <v>9.67</v>
      </c>
      <c r="C19" s="51">
        <v>89.04</v>
      </c>
      <c r="D19" s="51">
        <v>56.89</v>
      </c>
      <c r="E19" s="51">
        <v>14.32</v>
      </c>
      <c r="F19" s="51">
        <v>22.45</v>
      </c>
      <c r="G19" s="51">
        <v>217.71</v>
      </c>
      <c r="H19" s="51">
        <v>39.119999999999997</v>
      </c>
      <c r="I19" s="51">
        <v>0.26</v>
      </c>
      <c r="J19" s="51">
        <v>1.51</v>
      </c>
      <c r="K19" s="51">
        <v>118.11</v>
      </c>
      <c r="L19" s="51">
        <v>24.81</v>
      </c>
      <c r="M19" s="51">
        <v>49</v>
      </c>
      <c r="N19" s="51">
        <v>331.10</v>
      </c>
      <c r="O19" s="51">
        <v>0</v>
      </c>
      <c r="P19" s="51">
        <v>1.02</v>
      </c>
      <c r="Q19" s="51">
        <v>30.20</v>
      </c>
      <c r="R19" s="43"/>
      <c r="S19" s="43"/>
      <c r="T19" s="43"/>
      <c r="U19" s="43"/>
    </row>
    <row r="20" spans="1:21" s="11" customFormat="1" ht="15">
      <c r="A20" s="50" t="s">
        <v>96</v>
      </c>
      <c r="B20" s="51">
        <v>2.86</v>
      </c>
      <c r="C20" s="51">
        <v>70.83</v>
      </c>
      <c r="D20" s="51">
        <v>40.409999999999997</v>
      </c>
      <c r="E20" s="51">
        <v>7.71</v>
      </c>
      <c r="F20" s="51">
        <v>15.12</v>
      </c>
      <c r="G20" s="51">
        <v>173.52</v>
      </c>
      <c r="H20" s="51">
        <v>38.56</v>
      </c>
      <c r="I20" s="51">
        <v>0.19</v>
      </c>
      <c r="J20" s="51">
        <v>0.74</v>
      </c>
      <c r="K20" s="51">
        <v>90.51</v>
      </c>
      <c r="L20" s="51">
        <v>27.93</v>
      </c>
      <c r="M20" s="51">
        <v>39</v>
      </c>
      <c r="N20" s="51">
        <v>338.80</v>
      </c>
      <c r="O20" s="51">
        <v>0</v>
      </c>
      <c r="P20" s="51">
        <v>1.01</v>
      </c>
      <c r="Q20" s="51">
        <v>16.93</v>
      </c>
      <c r="R20" s="43"/>
      <c r="S20" s="43"/>
      <c r="T20" s="43"/>
      <c r="U20" s="43"/>
    </row>
    <row r="21" spans="1:21" s="11" customFormat="1" ht="15">
      <c r="A21" s="50" t="s">
        <v>97</v>
      </c>
      <c r="B21" s="51">
        <v>2.83</v>
      </c>
      <c r="C21" s="51">
        <v>68.099999999999994</v>
      </c>
      <c r="D21" s="51">
        <v>39.85</v>
      </c>
      <c r="E21" s="51">
        <v>10.07</v>
      </c>
      <c r="F21" s="51">
        <v>18.77</v>
      </c>
      <c r="G21" s="51">
        <v>56.76</v>
      </c>
      <c r="H21" s="51">
        <v>36.090000000000003</v>
      </c>
      <c r="I21" s="51">
        <v>0.12</v>
      </c>
      <c r="J21" s="51">
        <v>0.89</v>
      </c>
      <c r="K21" s="51">
        <v>122.80</v>
      </c>
      <c r="L21" s="51">
        <v>28.61</v>
      </c>
      <c r="M21" s="51">
        <v>37</v>
      </c>
      <c r="N21" s="51">
        <v>334.20</v>
      </c>
      <c r="O21" s="51">
        <v>0</v>
      </c>
      <c r="P21" s="51">
        <v>0.98</v>
      </c>
      <c r="Q21" s="51">
        <v>16.68</v>
      </c>
      <c r="R21" s="43"/>
      <c r="S21" s="43"/>
      <c r="T21" s="43"/>
      <c r="U21" s="43"/>
    </row>
    <row r="22" spans="1:21" s="11" customFormat="1" ht="15">
      <c r="A22" s="50" t="s">
        <v>98</v>
      </c>
      <c r="B22" s="51">
        <v>0.5</v>
      </c>
      <c r="C22" s="51">
        <v>62.14</v>
      </c>
      <c r="D22" s="51">
        <v>34.619999999999997</v>
      </c>
      <c r="E22" s="51">
        <v>6.78</v>
      </c>
      <c r="F22" s="51">
        <v>10.02</v>
      </c>
      <c r="G22" s="51">
        <v>76.36</v>
      </c>
      <c r="H22" s="51">
        <v>34.630000000000003</v>
      </c>
      <c r="I22" s="51">
        <v>0.13</v>
      </c>
      <c r="J22" s="51">
        <v>0.67</v>
      </c>
      <c r="K22" s="51">
        <v>305.11</v>
      </c>
      <c r="L22" s="51">
        <v>29.63</v>
      </c>
      <c r="M22" s="51">
        <v>35</v>
      </c>
      <c r="N22" s="51">
        <v>329.10</v>
      </c>
      <c r="O22" s="51">
        <v>0</v>
      </c>
      <c r="P22" s="51">
        <v>0.82</v>
      </c>
      <c r="Q22" s="51">
        <v>22.76</v>
      </c>
      <c r="R22" s="43"/>
      <c r="S22" s="43"/>
      <c r="T22" s="43"/>
      <c r="U22" s="43"/>
    </row>
    <row r="23" spans="1:21" s="11" customFormat="1" ht="15">
      <c r="A23" s="50" t="s">
        <v>99</v>
      </c>
      <c r="B23" s="51">
        <v>3.16</v>
      </c>
      <c r="C23" s="51">
        <v>69.650000000000006</v>
      </c>
      <c r="D23" s="51">
        <v>40.97</v>
      </c>
      <c r="E23" s="51">
        <v>10.06</v>
      </c>
      <c r="F23" s="51">
        <v>25.67</v>
      </c>
      <c r="G23" s="51">
        <v>76.069999999999993</v>
      </c>
      <c r="H23" s="51">
        <v>35.94</v>
      </c>
      <c r="I23" s="51">
        <v>0.13</v>
      </c>
      <c r="J23" s="51">
        <v>0.42</v>
      </c>
      <c r="K23" s="51">
        <v>241.67</v>
      </c>
      <c r="L23" s="51">
        <v>30.35</v>
      </c>
      <c r="M23" s="51">
        <v>32</v>
      </c>
      <c r="N23" s="51">
        <v>279.80</v>
      </c>
      <c r="O23" s="51">
        <v>0</v>
      </c>
      <c r="P23" s="51">
        <v>0.87</v>
      </c>
      <c r="Q23" s="51">
        <v>24.60</v>
      </c>
      <c r="R23" s="43"/>
      <c r="S23" s="43"/>
      <c r="T23" s="43"/>
      <c r="U23" s="43"/>
    </row>
    <row r="24" spans="1:21" s="11" customFormat="1" ht="15">
      <c r="A24" s="50" t="s">
        <v>100</v>
      </c>
      <c r="B24" s="51">
        <v>3.76</v>
      </c>
      <c r="C24" s="51">
        <v>76.91</v>
      </c>
      <c r="D24" s="51">
        <v>45.46</v>
      </c>
      <c r="E24" s="51">
        <v>19.07</v>
      </c>
      <c r="F24" s="51">
        <v>38.69</v>
      </c>
      <c r="G24" s="51">
        <v>70.319999999999993</v>
      </c>
      <c r="H24" s="51">
        <v>35.880000000000003</v>
      </c>
      <c r="I24" s="51">
        <v>0.13</v>
      </c>
      <c r="J24" s="51">
        <v>0.81</v>
      </c>
      <c r="K24" s="51">
        <v>25.32</v>
      </c>
      <c r="L24" s="51">
        <v>30.39</v>
      </c>
      <c r="M24" s="51">
        <v>36</v>
      </c>
      <c r="N24" s="51">
        <v>180.40</v>
      </c>
      <c r="O24" s="51">
        <v>0</v>
      </c>
      <c r="P24" s="51">
        <v>1.03</v>
      </c>
      <c r="Q24" s="51">
        <v>21.38</v>
      </c>
      <c r="R24" s="43"/>
      <c r="S24" s="43"/>
      <c r="T24" s="43"/>
      <c r="U24" s="43"/>
    </row>
    <row r="25" spans="1:21" s="11" customFormat="1" ht="15">
      <c r="A25" s="50" t="s">
        <v>101</v>
      </c>
      <c r="B25" s="51">
        <v>3.84</v>
      </c>
      <c r="C25" s="51">
        <v>80.989999999999995</v>
      </c>
      <c r="D25" s="51">
        <v>46.21</v>
      </c>
      <c r="E25" s="51">
        <v>10.039999999999999</v>
      </c>
      <c r="F25" s="51">
        <v>11.05</v>
      </c>
      <c r="G25" s="51">
        <v>43.74</v>
      </c>
      <c r="H25" s="51">
        <v>36.94</v>
      </c>
      <c r="I25" s="51">
        <v>0.15</v>
      </c>
      <c r="J25" s="51">
        <v>1.34</v>
      </c>
      <c r="K25" s="51">
        <v>17.96</v>
      </c>
      <c r="L25" s="51">
        <v>27.71</v>
      </c>
      <c r="M25" s="51">
        <v>41</v>
      </c>
      <c r="N25" s="51">
        <v>65.099999999999994</v>
      </c>
      <c r="O25" s="51">
        <v>0</v>
      </c>
      <c r="P25" s="51">
        <v>1.07</v>
      </c>
      <c r="Q25" s="51">
        <v>22.98</v>
      </c>
      <c r="R25" s="43"/>
      <c r="S25" s="43"/>
      <c r="T25" s="43"/>
      <c r="U25" s="43"/>
    </row>
    <row r="26" spans="1:21" s="11" customFormat="1" ht="15">
      <c r="A26" s="50" t="s">
        <v>102</v>
      </c>
      <c r="B26" s="51">
        <v>4.66</v>
      </c>
      <c r="C26" s="51">
        <v>101.48</v>
      </c>
      <c r="D26" s="51">
        <v>59.74</v>
      </c>
      <c r="E26" s="51">
        <v>5.28</v>
      </c>
      <c r="F26" s="51">
        <v>5.22</v>
      </c>
      <c r="G26" s="51">
        <v>133.91999999999999</v>
      </c>
      <c r="H26" s="51">
        <v>36.700000000000003</v>
      </c>
      <c r="I26" s="51">
        <v>0.19</v>
      </c>
      <c r="J26" s="51">
        <v>1.18</v>
      </c>
      <c r="K26" s="51">
        <v>24.29</v>
      </c>
      <c r="L26" s="51">
        <v>25.59</v>
      </c>
      <c r="M26" s="51">
        <v>47</v>
      </c>
      <c r="N26" s="51">
        <v>31</v>
      </c>
      <c r="O26" s="51">
        <v>0</v>
      </c>
      <c r="P26" s="51">
        <v>1.35</v>
      </c>
      <c r="Q26" s="51">
        <v>26.51</v>
      </c>
      <c r="R26" s="43"/>
      <c r="S26" s="43"/>
      <c r="T26" s="43"/>
      <c r="U26" s="43"/>
    </row>
    <row r="27" spans="1:21" s="11" customFormat="1" ht="15">
      <c r="A27" s="50" t="s">
        <v>103</v>
      </c>
      <c r="B27" s="51">
        <v>8.3800000000000008</v>
      </c>
      <c r="C27" s="51">
        <v>112.28</v>
      </c>
      <c r="D27" s="51">
        <v>68.69</v>
      </c>
      <c r="E27" s="51">
        <v>5.05</v>
      </c>
      <c r="F27" s="51">
        <v>2.2000000000000002</v>
      </c>
      <c r="G27" s="51">
        <v>131.66999999999999</v>
      </c>
      <c r="H27" s="51">
        <v>38.57</v>
      </c>
      <c r="I27" s="51">
        <v>0.25</v>
      </c>
      <c r="J27" s="51">
        <v>0.57999999999999996</v>
      </c>
      <c r="K27" s="51">
        <v>77.78</v>
      </c>
      <c r="L27" s="51">
        <v>23.97</v>
      </c>
      <c r="M27" s="51">
        <v>53</v>
      </c>
      <c r="N27" s="51">
        <v>24.60</v>
      </c>
      <c r="O27" s="51">
        <v>0</v>
      </c>
      <c r="P27" s="51">
        <v>1.64</v>
      </c>
      <c r="Q27" s="51">
        <v>27.51</v>
      </c>
      <c r="R27" s="43"/>
      <c r="S27" s="43"/>
      <c r="T27" s="43"/>
      <c r="U27" s="43"/>
    </row>
    <row r="28" spans="1:21" s="11" customFormat="1" ht="15">
      <c r="A28" s="50" t="s">
        <v>104</v>
      </c>
      <c r="B28" s="51">
        <v>11.32</v>
      </c>
      <c r="C28" s="51">
        <v>113.61</v>
      </c>
      <c r="D28" s="51">
        <v>70.930000000000007</v>
      </c>
      <c r="E28" s="51">
        <v>6.96</v>
      </c>
      <c r="F28" s="51">
        <v>1.51</v>
      </c>
      <c r="G28" s="51">
        <v>125.27</v>
      </c>
      <c r="H28" s="51">
        <v>47.08</v>
      </c>
      <c r="I28" s="51">
        <v>0.34</v>
      </c>
      <c r="J28" s="51">
        <v>0.34</v>
      </c>
      <c r="K28" s="51">
        <v>72.650000000000006</v>
      </c>
      <c r="L28" s="51">
        <v>22.70</v>
      </c>
      <c r="M28" s="51">
        <v>53</v>
      </c>
      <c r="N28" s="51">
        <v>24.20</v>
      </c>
      <c r="O28" s="51">
        <v>0</v>
      </c>
      <c r="P28" s="51">
        <v>1.85</v>
      </c>
      <c r="Q28" s="51">
        <v>29.48</v>
      </c>
      <c r="R28" s="43"/>
      <c r="S28" s="43"/>
      <c r="T28" s="43"/>
      <c r="U28" s="43"/>
    </row>
    <row r="29" spans="1:21" s="11" customFormat="1" ht="15">
      <c r="A29" s="50" t="s">
        <v>105</v>
      </c>
      <c r="B29" s="51">
        <v>10.82</v>
      </c>
      <c r="C29" s="51">
        <v>107.37</v>
      </c>
      <c r="D29" s="51">
        <v>67.930000000000007</v>
      </c>
      <c r="E29" s="51">
        <v>4.59</v>
      </c>
      <c r="F29" s="51">
        <v>1.43</v>
      </c>
      <c r="G29" s="51">
        <v>118.97</v>
      </c>
      <c r="H29" s="51">
        <v>50.23</v>
      </c>
      <c r="I29" s="51">
        <v>0.40</v>
      </c>
      <c r="J29" s="51">
        <v>0.28999999999999998</v>
      </c>
      <c r="K29" s="51">
        <v>81.290000000000006</v>
      </c>
      <c r="L29" s="51">
        <v>22.02</v>
      </c>
      <c r="M29" s="51">
        <v>56</v>
      </c>
      <c r="N29" s="51">
        <v>24.10</v>
      </c>
      <c r="O29" s="51">
        <v>0</v>
      </c>
      <c r="P29" s="51">
        <v>1.89</v>
      </c>
      <c r="Q29" s="51">
        <v>33.409999999999997</v>
      </c>
      <c r="R29" s="43"/>
      <c r="S29" s="43"/>
      <c r="T29" s="43"/>
      <c r="U29" s="43"/>
    </row>
    <row r="30" spans="1:21" s="11" customFormat="1" ht="15">
      <c r="A30" s="50" t="s">
        <v>106</v>
      </c>
      <c r="B30" s="51">
        <v>6.89</v>
      </c>
      <c r="C30" s="51">
        <v>103.49</v>
      </c>
      <c r="D30" s="51">
        <v>62.64</v>
      </c>
      <c r="E30" s="51">
        <v>4.32</v>
      </c>
      <c r="F30" s="51">
        <v>0.51</v>
      </c>
      <c r="G30" s="51">
        <v>105.73</v>
      </c>
      <c r="H30" s="51">
        <v>50.16</v>
      </c>
      <c r="I30" s="51">
        <v>0.41</v>
      </c>
      <c r="J30" s="51">
        <v>0.34</v>
      </c>
      <c r="K30" s="51">
        <v>90.44</v>
      </c>
      <c r="L30" s="51">
        <v>21.44</v>
      </c>
      <c r="M30" s="51">
        <v>56</v>
      </c>
      <c r="N30" s="51">
        <v>24.10</v>
      </c>
      <c r="O30" s="51">
        <v>0</v>
      </c>
      <c r="P30" s="51">
        <v>1.88</v>
      </c>
      <c r="Q30" s="51">
        <v>33.44</v>
      </c>
      <c r="R30" s="43"/>
      <c r="S30" s="43"/>
      <c r="T30" s="43"/>
      <c r="U30" s="43"/>
    </row>
    <row r="31" spans="1:21" s="11" customFormat="1" ht="15">
      <c r="A31" s="50" t="s">
        <v>107</v>
      </c>
      <c r="B31" s="51">
        <v>4.0599999999999996</v>
      </c>
      <c r="C31" s="51">
        <v>98.14</v>
      </c>
      <c r="D31" s="51">
        <v>57.21</v>
      </c>
      <c r="E31" s="51">
        <v>4.0999999999999996</v>
      </c>
      <c r="F31" s="51">
        <v>1.87</v>
      </c>
      <c r="G31" s="51">
        <v>87.38</v>
      </c>
      <c r="H31" s="51">
        <v>50.10</v>
      </c>
      <c r="I31" s="51">
        <v>0.40</v>
      </c>
      <c r="J31" s="51">
        <v>0.74</v>
      </c>
      <c r="K31" s="51">
        <v>129.54</v>
      </c>
      <c r="L31" s="51">
        <v>21.46</v>
      </c>
      <c r="M31" s="51">
        <v>59</v>
      </c>
      <c r="N31" s="51">
        <v>24.60</v>
      </c>
      <c r="O31" s="51">
        <v>0</v>
      </c>
      <c r="P31" s="51">
        <v>1.74</v>
      </c>
      <c r="Q31" s="51">
        <v>32.29</v>
      </c>
      <c r="R31" s="43"/>
      <c r="S31" s="43"/>
      <c r="T31" s="43"/>
      <c r="U31" s="43"/>
    </row>
    <row r="32" spans="1:21" s="11" customFormat="1" ht="15">
      <c r="A32" s="50" t="s">
        <v>108</v>
      </c>
      <c r="B32" s="51">
        <v>6.43</v>
      </c>
      <c r="C32" s="51">
        <v>94.38</v>
      </c>
      <c r="D32" s="51">
        <v>56.66</v>
      </c>
      <c r="E32" s="51">
        <v>4.32</v>
      </c>
      <c r="F32" s="51">
        <v>1</v>
      </c>
      <c r="G32" s="51">
        <v>71.14</v>
      </c>
      <c r="H32" s="51">
        <v>48.78</v>
      </c>
      <c r="I32" s="51">
        <v>0.39</v>
      </c>
      <c r="J32" s="51">
        <v>0.37</v>
      </c>
      <c r="K32" s="51">
        <v>31.65</v>
      </c>
      <c r="L32" s="51">
        <v>20.010000000000002</v>
      </c>
      <c r="M32" s="51">
        <v>63</v>
      </c>
      <c r="N32" s="51">
        <v>24.40</v>
      </c>
      <c r="O32" s="51">
        <v>0</v>
      </c>
      <c r="P32" s="51">
        <v>1.65</v>
      </c>
      <c r="Q32" s="51">
        <v>33.549999999999997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0.5</v>
      </c>
      <c r="C34" s="28">
        <f t="shared" si="0"/>
        <v>62.140000000000001</v>
      </c>
      <c r="D34" s="28">
        <f t="shared" si="0"/>
        <v>34.619999999999997</v>
      </c>
      <c r="E34" s="28">
        <f t="shared" si="0"/>
        <v>3.6299999999999999</v>
      </c>
      <c r="F34" s="28">
        <f t="shared" si="0"/>
        <v>0.20999999999999999</v>
      </c>
      <c r="G34" s="28">
        <f t="shared" si="0"/>
        <v>43.740000000000002</v>
      </c>
      <c r="H34" s="28">
        <f t="shared" si="0"/>
        <v>28.350000000000001</v>
      </c>
      <c r="I34" s="28">
        <f t="shared" si="0"/>
        <v>0.12</v>
      </c>
      <c r="J34" s="28">
        <f t="shared" si="0"/>
        <v>0.28999999999999998</v>
      </c>
      <c r="K34" s="28">
        <f t="shared" si="0"/>
        <v>17.960000000000001</v>
      </c>
      <c r="L34" s="28">
        <f t="shared" si="0"/>
        <v>16.120000000000001</v>
      </c>
      <c r="M34" s="28">
        <f t="shared" si="0"/>
        <v>32</v>
      </c>
      <c r="N34" s="28">
        <f t="shared" si="0"/>
        <v>24.100000000000001</v>
      </c>
      <c r="O34" s="28">
        <f t="shared" si="0"/>
        <v>0</v>
      </c>
      <c r="P34" s="28">
        <f t="shared" si="0"/>
        <v>0.81999999999999995</v>
      </c>
      <c r="Q34" s="28">
        <f t="shared" si="0"/>
        <v>16.68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13.73</v>
      </c>
      <c r="C35" s="29">
        <f t="shared" si="1"/>
        <v>113.61</v>
      </c>
      <c r="D35" s="29">
        <f t="shared" si="1"/>
        <v>70.930000000000007</v>
      </c>
      <c r="E35" s="29">
        <f t="shared" si="1"/>
        <v>19.07</v>
      </c>
      <c r="F35" s="29">
        <f t="shared" si="1"/>
        <v>38.689999999999998</v>
      </c>
      <c r="G35" s="29">
        <f t="shared" si="1"/>
        <v>217.71000000000001</v>
      </c>
      <c r="H35" s="29">
        <f t="shared" si="1"/>
        <v>50.229999999999997</v>
      </c>
      <c r="I35" s="29">
        <f t="shared" si="1"/>
        <v>0.46000000000000002</v>
      </c>
      <c r="J35" s="29">
        <f t="shared" si="1"/>
        <v>1.51</v>
      </c>
      <c r="K35" s="29">
        <f t="shared" si="1"/>
        <v>305.11000000000001</v>
      </c>
      <c r="L35" s="29">
        <f t="shared" si="1"/>
        <v>30.390000000000001</v>
      </c>
      <c r="M35" s="29">
        <f t="shared" si="1"/>
        <v>67</v>
      </c>
      <c r="N35" s="29">
        <f t="shared" si="1"/>
        <v>338.80000000000001</v>
      </c>
      <c r="O35" s="29">
        <f t="shared" si="1"/>
        <v>0</v>
      </c>
      <c r="P35" s="29">
        <f t="shared" si="1"/>
        <v>1.8899999999999999</v>
      </c>
      <c r="Q35" s="29">
        <f t="shared" si="1"/>
        <v>35.539999999999999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6.3666666666666663</v>
      </c>
      <c r="C36" s="28">
        <f t="shared" si="2"/>
        <v>86.44583333333334</v>
      </c>
      <c r="D36" s="28">
        <f t="shared" si="2"/>
        <v>52.615833333333349</v>
      </c>
      <c r="E36" s="28">
        <f t="shared" si="2"/>
        <v>6.6695833333333328</v>
      </c>
      <c r="F36" s="28">
        <f t="shared" si="2"/>
        <v>6.8533333333333326</v>
      </c>
      <c r="G36" s="28">
        <f t="shared" si="2"/>
        <v>88.050416666666663</v>
      </c>
      <c r="H36" s="28">
        <f t="shared" si="2"/>
        <v>38.462083333333332</v>
      </c>
      <c r="I36" s="28">
        <f t="shared" si="2"/>
        <v>0.27125000000000005</v>
      </c>
      <c r="J36" s="28">
        <f t="shared" si="2"/>
        <v>0.74333333333333329</v>
      </c>
      <c r="K36" s="28">
        <f t="shared" si="2"/>
        <v>83.390000000000001</v>
      </c>
      <c r="L36" s="28">
        <f t="shared" si="2"/>
        <v>22.647916666666664</v>
      </c>
      <c r="M36" s="28">
        <f t="shared" si="2"/>
        <v>51.916666666666664</v>
      </c>
      <c r="N36" s="28">
        <f t="shared" si="2"/>
        <v>119.37499999999999</v>
      </c>
      <c r="O36" s="28">
        <f t="shared" si="2"/>
        <v>0</v>
      </c>
      <c r="P36" s="28">
        <f t="shared" si="2"/>
        <v>1.2633333333333334</v>
      </c>
      <c r="Q36" s="28">
        <f t="shared" si="2"/>
        <v>28.370833333333326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3.739674092596919</v>
      </c>
      <c r="C37" s="28">
        <f t="shared" si="3" ref="C37:Q37">STDEV(C9:C32)</f>
        <v>15.075707760922967</v>
      </c>
      <c r="D37" s="28">
        <f t="shared" si="3"/>
        <v>10.684281797866859</v>
      </c>
      <c r="E37" s="28">
        <f t="shared" si="3"/>
        <v>3.7288551444653626</v>
      </c>
      <c r="F37" s="28">
        <f t="shared" si="3"/>
        <v>10.192024446538607</v>
      </c>
      <c r="G37" s="28">
        <f t="shared" si="3"/>
        <v>42.786290823434733</v>
      </c>
      <c r="H37" s="28">
        <f t="shared" si="3"/>
        <v>6.6042831814346217</v>
      </c>
      <c r="I37" s="28">
        <f t="shared" si="3"/>
        <v>0.10224916285401948</v>
      </c>
      <c r="J37" s="28">
        <f t="shared" si="3"/>
        <v>0.33402247602931384</v>
      </c>
      <c r="K37" s="28">
        <f t="shared" si="3"/>
        <v>67.986309683257716</v>
      </c>
      <c r="L37" s="28">
        <f t="shared" si="3"/>
        <v>4.5486433516577049</v>
      </c>
      <c r="M37" s="28">
        <f t="shared" si="3"/>
        <v>10.324797783751624</v>
      </c>
      <c r="N37" s="28">
        <f t="shared" si="3"/>
        <v>128.84866502320034</v>
      </c>
      <c r="O37" s="28">
        <f t="shared" si="3"/>
        <v>0</v>
      </c>
      <c r="P37" s="28">
        <f t="shared" si="3"/>
        <v>0.36834136655939193</v>
      </c>
      <c r="Q37" s="28">
        <f t="shared" si="3"/>
        <v>5.097395683446952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af7759e-979d-4343-be61-5a81b2f438b2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3.2857142857143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03-01-2023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109</v>
      </c>
      <c r="B9" s="51">
        <v>5.69</v>
      </c>
      <c r="C9" s="51">
        <v>90.40</v>
      </c>
      <c r="D9" s="51">
        <v>54.45</v>
      </c>
      <c r="E9" s="51">
        <v>3.84</v>
      </c>
      <c r="F9" s="51">
        <v>0.93</v>
      </c>
      <c r="G9" s="51">
        <v>75.790000000000006</v>
      </c>
      <c r="H9" s="51">
        <v>44.01</v>
      </c>
      <c r="I9" s="51">
        <v>0.40</v>
      </c>
      <c r="J9" s="51">
        <v>0.57999999999999996</v>
      </c>
      <c r="K9" s="51">
        <v>73.900000000000006</v>
      </c>
      <c r="L9" s="51">
        <v>19.28</v>
      </c>
      <c r="M9" s="51">
        <v>69</v>
      </c>
      <c r="N9" s="51">
        <v>24.30</v>
      </c>
      <c r="O9" s="51">
        <v>0</v>
      </c>
      <c r="P9" s="51">
        <v>1.54</v>
      </c>
      <c r="Q9" s="51">
        <v>34.86</v>
      </c>
      <c r="R9" s="43"/>
      <c r="S9" s="43"/>
      <c r="T9" s="43"/>
      <c r="U9" s="43"/>
    </row>
    <row r="10" spans="1:21" s="11" customFormat="1" ht="15">
      <c r="A10" s="50" t="s">
        <v>110</v>
      </c>
      <c r="B10" s="51">
        <v>2.44</v>
      </c>
      <c r="C10" s="51">
        <v>82.77</v>
      </c>
      <c r="D10" s="51">
        <v>47.63</v>
      </c>
      <c r="E10" s="51">
        <v>4.0599999999999996</v>
      </c>
      <c r="F10" s="51">
        <v>0.96</v>
      </c>
      <c r="G10" s="51">
        <v>80.5</v>
      </c>
      <c r="H10" s="51">
        <v>44.71</v>
      </c>
      <c r="I10" s="51">
        <v>0.35</v>
      </c>
      <c r="J10" s="51">
        <v>0.54</v>
      </c>
      <c r="K10" s="51">
        <v>75.510000000000005</v>
      </c>
      <c r="L10" s="51">
        <v>18.66</v>
      </c>
      <c r="M10" s="51">
        <v>69</v>
      </c>
      <c r="N10" s="51">
        <v>24.40</v>
      </c>
      <c r="O10" s="51">
        <v>0</v>
      </c>
      <c r="P10" s="51">
        <v>1.37</v>
      </c>
      <c r="Q10" s="51">
        <v>33.85</v>
      </c>
      <c r="R10" s="43"/>
      <c r="S10" s="43"/>
      <c r="T10" s="43"/>
      <c r="U10" s="43"/>
    </row>
    <row r="11" spans="1:21" s="11" customFormat="1" ht="15">
      <c r="A11" s="50" t="s">
        <v>111</v>
      </c>
      <c r="B11" s="51">
        <v>3.25</v>
      </c>
      <c r="C11" s="51">
        <v>75.38</v>
      </c>
      <c r="D11" s="51">
        <v>43.32</v>
      </c>
      <c r="E11" s="51">
        <v>3.95</v>
      </c>
      <c r="F11" s="51">
        <v>0.56000000000000005</v>
      </c>
      <c r="G11" s="51">
        <v>77.48</v>
      </c>
      <c r="H11" s="51">
        <v>44.77</v>
      </c>
      <c r="I11" s="51">
        <v>0.31</v>
      </c>
      <c r="J11" s="51">
        <v>0.48</v>
      </c>
      <c r="K11" s="51">
        <v>62.66</v>
      </c>
      <c r="L11" s="51">
        <v>18.149999999999999</v>
      </c>
      <c r="M11" s="51">
        <v>69</v>
      </c>
      <c r="N11" s="51">
        <v>24.30</v>
      </c>
      <c r="O11" s="51">
        <v>0</v>
      </c>
      <c r="P11" s="51">
        <v>1.27</v>
      </c>
      <c r="Q11" s="51">
        <v>31.45</v>
      </c>
      <c r="R11" s="43"/>
      <c r="S11" s="43"/>
      <c r="T11" s="43"/>
      <c r="U11" s="43"/>
    </row>
    <row r="12" spans="1:21" s="11" customFormat="1" ht="15">
      <c r="A12" s="50" t="s">
        <v>112</v>
      </c>
      <c r="B12" s="51">
        <v>4.6100000000000003</v>
      </c>
      <c r="C12" s="51">
        <v>73.81</v>
      </c>
      <c r="D12" s="51">
        <v>44.37</v>
      </c>
      <c r="E12" s="51">
        <v>4.03</v>
      </c>
      <c r="F12" s="51">
        <v>2.86</v>
      </c>
      <c r="G12" s="51">
        <v>75.25</v>
      </c>
      <c r="H12" s="51">
        <v>44.76</v>
      </c>
      <c r="I12" s="51">
        <v>0.30</v>
      </c>
      <c r="J12" s="51">
        <v>0.99</v>
      </c>
      <c r="K12" s="51">
        <v>16.22</v>
      </c>
      <c r="L12" s="51">
        <v>17.559999999999999</v>
      </c>
      <c r="M12" s="51">
        <v>71</v>
      </c>
      <c r="N12" s="51">
        <v>24.30</v>
      </c>
      <c r="O12" s="51">
        <v>0</v>
      </c>
      <c r="P12" s="51">
        <v>1.21</v>
      </c>
      <c r="Q12" s="51">
        <v>33.409999999999997</v>
      </c>
      <c r="R12" s="43"/>
      <c r="S12" s="43"/>
      <c r="T12" s="43"/>
      <c r="U12" s="43"/>
    </row>
    <row r="13" spans="1:21" s="11" customFormat="1" ht="15">
      <c r="A13" s="50" t="s">
        <v>113</v>
      </c>
      <c r="B13" s="51">
        <v>4.34</v>
      </c>
      <c r="C13" s="51">
        <v>74.569999999999993</v>
      </c>
      <c r="D13" s="51">
        <v>44.57</v>
      </c>
      <c r="E13" s="51">
        <v>4.38</v>
      </c>
      <c r="F13" s="51">
        <v>7.48</v>
      </c>
      <c r="G13" s="51">
        <v>75.069999999999993</v>
      </c>
      <c r="H13" s="51">
        <v>45.09</v>
      </c>
      <c r="I13" s="51">
        <v>0.28000000000000003</v>
      </c>
      <c r="J13" s="51">
        <v>0.76</v>
      </c>
      <c r="K13" s="51">
        <v>16.14</v>
      </c>
      <c r="L13" s="51">
        <v>17.38</v>
      </c>
      <c r="M13" s="51">
        <v>73</v>
      </c>
      <c r="N13" s="51">
        <v>24.5</v>
      </c>
      <c r="O13" s="51">
        <v>0</v>
      </c>
      <c r="P13" s="51">
        <v>1.1599999999999999</v>
      </c>
      <c r="Q13" s="51">
        <v>32.86</v>
      </c>
      <c r="R13" s="43"/>
      <c r="S13" s="43"/>
      <c r="T13" s="43"/>
      <c r="U13" s="43"/>
    </row>
    <row r="14" spans="1:21" s="11" customFormat="1" ht="15">
      <c r="A14" s="50" t="s">
        <v>114</v>
      </c>
      <c r="B14" s="51">
        <v>5.01</v>
      </c>
      <c r="C14" s="51">
        <v>74.510000000000005</v>
      </c>
      <c r="D14" s="51">
        <v>45.04</v>
      </c>
      <c r="E14" s="51">
        <v>4.29</v>
      </c>
      <c r="F14" s="51">
        <v>0.18</v>
      </c>
      <c r="G14" s="51">
        <v>76.66</v>
      </c>
      <c r="H14" s="51">
        <v>45.01</v>
      </c>
      <c r="I14" s="51">
        <v>0.26</v>
      </c>
      <c r="J14" s="51">
        <v>0.61</v>
      </c>
      <c r="K14" s="51">
        <v>39.04</v>
      </c>
      <c r="L14" s="51">
        <v>16.91</v>
      </c>
      <c r="M14" s="51">
        <v>74</v>
      </c>
      <c r="N14" s="51">
        <v>24.40</v>
      </c>
      <c r="O14" s="51">
        <v>0</v>
      </c>
      <c r="P14" s="51">
        <v>1.1499999999999999</v>
      </c>
      <c r="Q14" s="51">
        <v>31.37</v>
      </c>
      <c r="R14" s="43"/>
      <c r="S14" s="43"/>
      <c r="T14" s="43"/>
      <c r="U14" s="43"/>
    </row>
    <row r="15" spans="1:21" s="11" customFormat="1" ht="15">
      <c r="A15" s="50" t="s">
        <v>115</v>
      </c>
      <c r="B15" s="51">
        <v>9.1199999999999992</v>
      </c>
      <c r="C15" s="51">
        <v>77.650000000000006</v>
      </c>
      <c r="D15" s="51">
        <v>50.16</v>
      </c>
      <c r="E15" s="51">
        <v>4.68</v>
      </c>
      <c r="F15" s="51">
        <v>0.13</v>
      </c>
      <c r="G15" s="51">
        <v>74.59</v>
      </c>
      <c r="H15" s="51">
        <v>44.26</v>
      </c>
      <c r="I15" s="51">
        <v>0.25</v>
      </c>
      <c r="J15" s="51">
        <v>0.82</v>
      </c>
      <c r="K15" s="51">
        <v>25.17</v>
      </c>
      <c r="L15" s="51">
        <v>16.510000000000002</v>
      </c>
      <c r="M15" s="51">
        <v>74</v>
      </c>
      <c r="N15" s="51">
        <v>31.90</v>
      </c>
      <c r="O15" s="51">
        <v>0</v>
      </c>
      <c r="P15" s="51">
        <v>1.20</v>
      </c>
      <c r="Q15" s="51">
        <v>29.68</v>
      </c>
      <c r="R15" s="43"/>
      <c r="S15" s="43"/>
      <c r="T15" s="43"/>
      <c r="U15" s="43"/>
    </row>
    <row r="16" spans="1:21" s="11" customFormat="1" ht="15">
      <c r="A16" s="50" t="s">
        <v>116</v>
      </c>
      <c r="B16" s="51">
        <v>10.41</v>
      </c>
      <c r="C16" s="51">
        <v>80.55</v>
      </c>
      <c r="D16" s="51">
        <v>52.80</v>
      </c>
      <c r="E16" s="51">
        <v>4.7300000000000004</v>
      </c>
      <c r="F16" s="51">
        <v>0.56999999999999995</v>
      </c>
      <c r="G16" s="51">
        <v>82.11</v>
      </c>
      <c r="H16" s="51">
        <v>43.59</v>
      </c>
      <c r="I16" s="51">
        <v>0.26</v>
      </c>
      <c r="J16" s="51">
        <v>0.52</v>
      </c>
      <c r="K16" s="51">
        <v>67.92</v>
      </c>
      <c r="L16" s="51">
        <v>17.39</v>
      </c>
      <c r="M16" s="51">
        <v>73</v>
      </c>
      <c r="N16" s="51">
        <v>96.90</v>
      </c>
      <c r="O16" s="51">
        <v>0</v>
      </c>
      <c r="P16" s="51">
        <v>1.26</v>
      </c>
      <c r="Q16" s="51">
        <v>31.81</v>
      </c>
      <c r="R16" s="43"/>
      <c r="S16" s="43"/>
      <c r="T16" s="43"/>
      <c r="U16" s="43"/>
    </row>
    <row r="17" spans="1:21" s="11" customFormat="1" ht="15">
      <c r="A17" s="50" t="s">
        <v>117</v>
      </c>
      <c r="B17" s="51">
        <v>10.15</v>
      </c>
      <c r="C17" s="51">
        <v>81.239999999999995</v>
      </c>
      <c r="D17" s="51">
        <v>52.80</v>
      </c>
      <c r="E17" s="51">
        <v>3.76</v>
      </c>
      <c r="F17" s="51">
        <v>0.28000000000000003</v>
      </c>
      <c r="G17" s="51">
        <v>110.65</v>
      </c>
      <c r="H17" s="51">
        <v>51.23</v>
      </c>
      <c r="I17" s="51">
        <v>0.26</v>
      </c>
      <c r="J17" s="51">
        <v>1.1399999999999999</v>
      </c>
      <c r="K17" s="51">
        <v>102.16</v>
      </c>
      <c r="L17" s="51">
        <v>18.79</v>
      </c>
      <c r="M17" s="51">
        <v>71</v>
      </c>
      <c r="N17" s="51">
        <v>157.90</v>
      </c>
      <c r="O17" s="51">
        <v>0</v>
      </c>
      <c r="P17" s="51">
        <v>1.29</v>
      </c>
      <c r="Q17" s="51">
        <v>31.56</v>
      </c>
      <c r="R17" s="43"/>
      <c r="S17" s="43"/>
      <c r="T17" s="43"/>
      <c r="U17" s="43"/>
    </row>
    <row r="18" spans="1:21" s="11" customFormat="1" ht="15">
      <c r="A18" s="50" t="s">
        <v>118</v>
      </c>
      <c r="B18" s="51">
        <v>10.220000000000001</v>
      </c>
      <c r="C18" s="51">
        <v>81.56</v>
      </c>
      <c r="D18" s="51">
        <v>53.21</v>
      </c>
      <c r="E18" s="51">
        <v>3.43</v>
      </c>
      <c r="F18" s="51">
        <v>0.04</v>
      </c>
      <c r="G18" s="51">
        <v>107.72</v>
      </c>
      <c r="H18" s="51">
        <v>51.20</v>
      </c>
      <c r="I18" s="51">
        <v>0.27</v>
      </c>
      <c r="J18" s="51">
        <v>0.88</v>
      </c>
      <c r="K18" s="51">
        <v>99.48</v>
      </c>
      <c r="L18" s="51">
        <v>22.06</v>
      </c>
      <c r="M18" s="51">
        <v>66</v>
      </c>
      <c r="N18" s="51">
        <v>227.60</v>
      </c>
      <c r="O18" s="51">
        <v>0</v>
      </c>
      <c r="P18" s="51">
        <v>1.32</v>
      </c>
      <c r="Q18" s="51">
        <v>30.38</v>
      </c>
      <c r="R18" s="43"/>
      <c r="S18" s="43"/>
      <c r="T18" s="43"/>
      <c r="U18" s="43"/>
    </row>
    <row r="19" spans="1:21" s="11" customFormat="1" ht="15">
      <c r="A19" s="50" t="s">
        <v>119</v>
      </c>
      <c r="B19" s="51">
        <v>9.15</v>
      </c>
      <c r="C19" s="51">
        <v>81.260000000000005</v>
      </c>
      <c r="D19" s="51">
        <v>52.18</v>
      </c>
      <c r="E19" s="51">
        <v>4.1900000000000004</v>
      </c>
      <c r="F19" s="51">
        <v>0.66</v>
      </c>
      <c r="G19" s="51">
        <v>92.31</v>
      </c>
      <c r="H19" s="51">
        <v>52.57</v>
      </c>
      <c r="I19" s="51">
        <v>0.28999999999999998</v>
      </c>
      <c r="J19" s="51">
        <v>0.78</v>
      </c>
      <c r="K19" s="51">
        <v>101.52</v>
      </c>
      <c r="L19" s="51">
        <v>24.27</v>
      </c>
      <c r="M19" s="51">
        <v>62</v>
      </c>
      <c r="N19" s="51">
        <v>278.60000000000002</v>
      </c>
      <c r="O19" s="51">
        <v>0</v>
      </c>
      <c r="P19" s="51">
        <v>1.36</v>
      </c>
      <c r="Q19" s="51">
        <v>33.200000000000003</v>
      </c>
      <c r="R19" s="43"/>
      <c r="S19" s="43"/>
      <c r="T19" s="43"/>
      <c r="U19" s="43"/>
    </row>
    <row r="20" spans="1:21" s="11" customFormat="1" ht="15">
      <c r="A20" s="50" t="s">
        <v>120</v>
      </c>
      <c r="B20" s="51">
        <v>5.64</v>
      </c>
      <c r="C20" s="51">
        <v>82.20</v>
      </c>
      <c r="D20" s="51">
        <v>49.76</v>
      </c>
      <c r="E20" s="51">
        <v>4.21</v>
      </c>
      <c r="F20" s="51">
        <v>2.16</v>
      </c>
      <c r="G20" s="51">
        <v>92</v>
      </c>
      <c r="H20" s="51">
        <v>52.43</v>
      </c>
      <c r="I20" s="51">
        <v>0.28000000000000003</v>
      </c>
      <c r="J20" s="51">
        <v>0.97</v>
      </c>
      <c r="K20" s="51">
        <v>113.67</v>
      </c>
      <c r="L20" s="51">
        <v>25.54</v>
      </c>
      <c r="M20" s="51">
        <v>59</v>
      </c>
      <c r="N20" s="51">
        <v>284.20</v>
      </c>
      <c r="O20" s="51">
        <v>0</v>
      </c>
      <c r="P20" s="51">
        <v>1.37</v>
      </c>
      <c r="Q20" s="51">
        <v>34.04</v>
      </c>
      <c r="R20" s="43"/>
      <c r="S20" s="43"/>
      <c r="T20" s="43"/>
      <c r="U20" s="43"/>
    </row>
    <row r="21" spans="1:21" s="11" customFormat="1" ht="15">
      <c r="A21" s="50" t="s">
        <v>121</v>
      </c>
      <c r="B21" s="51">
        <v>3.33</v>
      </c>
      <c r="C21" s="51">
        <v>83.57</v>
      </c>
      <c r="D21" s="51">
        <v>48.79</v>
      </c>
      <c r="E21" s="51">
        <v>4.5599999999999996</v>
      </c>
      <c r="F21" s="51">
        <v>2.79</v>
      </c>
      <c r="G21" s="51">
        <v>90.34</v>
      </c>
      <c r="H21" s="51">
        <v>51.61</v>
      </c>
      <c r="I21" s="51">
        <v>0.26</v>
      </c>
      <c r="J21" s="51">
        <v>0.72</v>
      </c>
      <c r="K21" s="51">
        <v>355.97</v>
      </c>
      <c r="L21" s="51">
        <v>30.18</v>
      </c>
      <c r="M21" s="51">
        <v>55</v>
      </c>
      <c r="N21" s="51">
        <v>280.10000000000002</v>
      </c>
      <c r="O21" s="51">
        <v>0</v>
      </c>
      <c r="P21" s="51">
        <v>1.32</v>
      </c>
      <c r="Q21" s="51">
        <v>34.17</v>
      </c>
      <c r="R21" s="43"/>
      <c r="S21" s="43"/>
      <c r="T21" s="43"/>
      <c r="U21" s="43"/>
    </row>
    <row r="22" spans="1:21" s="11" customFormat="1" ht="15">
      <c r="A22" s="50" t="s">
        <v>122</v>
      </c>
      <c r="B22" s="51">
        <v>3.55</v>
      </c>
      <c r="C22" s="51">
        <v>84.73</v>
      </c>
      <c r="D22" s="51">
        <v>48.99</v>
      </c>
      <c r="E22" s="51">
        <v>5.61</v>
      </c>
      <c r="F22" s="51">
        <v>4.82</v>
      </c>
      <c r="G22" s="51">
        <v>86.84</v>
      </c>
      <c r="H22" s="51">
        <v>50.39</v>
      </c>
      <c r="I22" s="51">
        <v>0.27</v>
      </c>
      <c r="J22" s="51">
        <v>0.74</v>
      </c>
      <c r="K22" s="51">
        <v>358.86</v>
      </c>
      <c r="L22" s="51">
        <v>29.94</v>
      </c>
      <c r="M22" s="51">
        <v>42</v>
      </c>
      <c r="N22" s="51">
        <v>255.60</v>
      </c>
      <c r="O22" s="51">
        <v>0</v>
      </c>
      <c r="P22" s="51">
        <v>1.28</v>
      </c>
      <c r="Q22" s="51">
        <v>34.29</v>
      </c>
      <c r="R22" s="43"/>
      <c r="S22" s="43"/>
      <c r="T22" s="43"/>
      <c r="U22" s="43"/>
    </row>
    <row r="23" spans="1:21" s="11" customFormat="1" ht="15">
      <c r="A23" s="50" t="s">
        <v>123</v>
      </c>
      <c r="B23" s="51">
        <v>2.61</v>
      </c>
      <c r="C23" s="51">
        <v>89.55</v>
      </c>
      <c r="D23" s="51">
        <v>51.51</v>
      </c>
      <c r="E23" s="51">
        <v>5.08</v>
      </c>
      <c r="F23" s="51">
        <v>2.65</v>
      </c>
      <c r="G23" s="51">
        <v>61.69</v>
      </c>
      <c r="H23" s="51">
        <v>48.89</v>
      </c>
      <c r="I23" s="51">
        <v>0.28000000000000003</v>
      </c>
      <c r="J23" s="51">
        <v>0.63</v>
      </c>
      <c r="K23" s="51">
        <v>354.05</v>
      </c>
      <c r="L23" s="51">
        <v>29.22</v>
      </c>
      <c r="M23" s="51">
        <v>46</v>
      </c>
      <c r="N23" s="51">
        <v>178.60</v>
      </c>
      <c r="O23" s="51">
        <v>0</v>
      </c>
      <c r="P23" s="51">
        <v>1.28</v>
      </c>
      <c r="Q23" s="51">
        <v>38.049999999999997</v>
      </c>
      <c r="R23" s="43"/>
      <c r="S23" s="43"/>
      <c r="T23" s="43"/>
      <c r="U23" s="43"/>
    </row>
    <row r="24" spans="1:21" s="11" customFormat="1" ht="15">
      <c r="A24" s="50" t="s">
        <v>124</v>
      </c>
      <c r="B24" s="51">
        <v>2.76</v>
      </c>
      <c r="C24" s="51">
        <v>92.91</v>
      </c>
      <c r="D24" s="51">
        <v>52.58</v>
      </c>
      <c r="E24" s="51">
        <v>4.8899999999999997</v>
      </c>
      <c r="F24" s="51">
        <v>7.14</v>
      </c>
      <c r="G24" s="51">
        <v>192.40</v>
      </c>
      <c r="H24" s="51">
        <v>46.59</v>
      </c>
      <c r="I24" s="51">
        <v>0.28000000000000003</v>
      </c>
      <c r="J24" s="51">
        <v>0.39</v>
      </c>
      <c r="K24" s="51">
        <v>354.29</v>
      </c>
      <c r="L24" s="51">
        <v>27.85</v>
      </c>
      <c r="M24" s="51">
        <v>46</v>
      </c>
      <c r="N24" s="51">
        <v>125.10</v>
      </c>
      <c r="O24" s="51">
        <v>0</v>
      </c>
      <c r="P24" s="51">
        <v>1.28</v>
      </c>
      <c r="Q24" s="51">
        <v>38.380000000000003</v>
      </c>
      <c r="R24" s="43"/>
      <c r="S24" s="43"/>
      <c r="T24" s="43"/>
      <c r="U24" s="43"/>
    </row>
    <row r="25" spans="1:21" s="11" customFormat="1" ht="15">
      <c r="A25" s="50" t="s">
        <v>125</v>
      </c>
      <c r="B25" s="51">
        <v>5.72</v>
      </c>
      <c r="C25" s="51">
        <v>96.64</v>
      </c>
      <c r="D25" s="51">
        <v>57.92</v>
      </c>
      <c r="E25" s="51">
        <v>6.39</v>
      </c>
      <c r="F25" s="51">
        <v>4.9800000000000004</v>
      </c>
      <c r="G25" s="51">
        <v>160.25</v>
      </c>
      <c r="H25" s="51">
        <v>46.34</v>
      </c>
      <c r="I25" s="51">
        <v>0.28000000000000003</v>
      </c>
      <c r="J25" s="51">
        <v>0.87</v>
      </c>
      <c r="K25" s="51">
        <v>344.87</v>
      </c>
      <c r="L25" s="51">
        <v>26.68</v>
      </c>
      <c r="M25" s="51">
        <v>55</v>
      </c>
      <c r="N25" s="51">
        <v>55.90</v>
      </c>
      <c r="O25" s="51">
        <v>0</v>
      </c>
      <c r="P25" s="51">
        <v>1.39</v>
      </c>
      <c r="Q25" s="51">
        <v>36.11</v>
      </c>
      <c r="R25" s="43"/>
      <c r="S25" s="43"/>
      <c r="T25" s="43"/>
      <c r="U25" s="43"/>
    </row>
    <row r="26" spans="1:21" s="11" customFormat="1" ht="15">
      <c r="A26" s="50" t="s">
        <v>126</v>
      </c>
      <c r="B26" s="51">
        <v>12.54</v>
      </c>
      <c r="C26" s="51">
        <v>106.78</v>
      </c>
      <c r="D26" s="51">
        <v>68.98</v>
      </c>
      <c r="E26" s="51">
        <v>6.86</v>
      </c>
      <c r="F26" s="51">
        <v>3.83</v>
      </c>
      <c r="G26" s="51">
        <v>99.42</v>
      </c>
      <c r="H26" s="51">
        <v>47.61</v>
      </c>
      <c r="I26" s="51">
        <v>0.33</v>
      </c>
      <c r="J26" s="51">
        <v>0.55000000000000004</v>
      </c>
      <c r="K26" s="51">
        <v>68.59</v>
      </c>
      <c r="L26" s="51">
        <v>24.86</v>
      </c>
      <c r="M26" s="51">
        <v>63</v>
      </c>
      <c r="N26" s="51">
        <v>31</v>
      </c>
      <c r="O26" s="51">
        <v>0</v>
      </c>
      <c r="P26" s="51">
        <v>1.59</v>
      </c>
      <c r="Q26" s="51">
        <v>39.01</v>
      </c>
      <c r="R26" s="43"/>
      <c r="S26" s="43"/>
      <c r="T26" s="43"/>
      <c r="U26" s="43"/>
    </row>
    <row r="27" spans="1:21" s="11" customFormat="1" ht="15">
      <c r="A27" s="50" t="s">
        <v>127</v>
      </c>
      <c r="B27" s="51">
        <v>16.559999999999999</v>
      </c>
      <c r="C27" s="51">
        <v>112.32</v>
      </c>
      <c r="D27" s="51">
        <v>75.260000000000005</v>
      </c>
      <c r="E27" s="51">
        <v>4.09</v>
      </c>
      <c r="F27" s="51">
        <v>0.04</v>
      </c>
      <c r="G27" s="51">
        <v>121.49</v>
      </c>
      <c r="H27" s="51">
        <v>50.95</v>
      </c>
      <c r="I27" s="51">
        <v>0.40</v>
      </c>
      <c r="J27" s="51">
        <v>0.32</v>
      </c>
      <c r="K27" s="51">
        <v>64.040000000000006</v>
      </c>
      <c r="L27" s="51">
        <v>23.03</v>
      </c>
      <c r="M27" s="51">
        <v>67</v>
      </c>
      <c r="N27" s="51">
        <v>24.5</v>
      </c>
      <c r="O27" s="51">
        <v>0</v>
      </c>
      <c r="P27" s="51">
        <v>1.85</v>
      </c>
      <c r="Q27" s="51">
        <v>40.61</v>
      </c>
      <c r="R27" s="43"/>
      <c r="S27" s="43"/>
      <c r="T27" s="43"/>
      <c r="U27" s="43"/>
    </row>
    <row r="28" spans="1:21" s="11" customFormat="1" ht="15">
      <c r="A28" s="50" t="s">
        <v>128</v>
      </c>
      <c r="B28" s="51">
        <v>21.96</v>
      </c>
      <c r="C28" s="51">
        <v>114.62</v>
      </c>
      <c r="D28" s="51">
        <v>80.14</v>
      </c>
      <c r="E28" s="51">
        <v>3.70</v>
      </c>
      <c r="F28" s="51">
        <v>0.89</v>
      </c>
      <c r="G28" s="51">
        <v>119.98</v>
      </c>
      <c r="H28" s="51">
        <v>50.81</v>
      </c>
      <c r="I28" s="51">
        <v>0.46</v>
      </c>
      <c r="J28" s="51">
        <v>0.40</v>
      </c>
      <c r="K28" s="51">
        <v>59.28</v>
      </c>
      <c r="L28" s="51">
        <v>22.21</v>
      </c>
      <c r="M28" s="51">
        <v>71</v>
      </c>
      <c r="N28" s="51">
        <v>24.30</v>
      </c>
      <c r="O28" s="51">
        <v>0</v>
      </c>
      <c r="P28" s="51">
        <v>1.99</v>
      </c>
      <c r="Q28" s="51">
        <v>40.46</v>
      </c>
      <c r="R28" s="43"/>
      <c r="S28" s="43"/>
      <c r="T28" s="43"/>
      <c r="U28" s="43"/>
    </row>
    <row r="29" spans="1:21" s="11" customFormat="1" ht="15">
      <c r="A29" s="50" t="s">
        <v>129</v>
      </c>
      <c r="B29" s="51">
        <v>23.42</v>
      </c>
      <c r="C29" s="51">
        <v>113.41</v>
      </c>
      <c r="D29" s="51">
        <v>81.36</v>
      </c>
      <c r="E29" s="51">
        <v>5.35</v>
      </c>
      <c r="F29" s="51">
        <v>0.95</v>
      </c>
      <c r="G29" s="51">
        <v>82.78</v>
      </c>
      <c r="H29" s="51">
        <v>50.36</v>
      </c>
      <c r="I29" s="51">
        <v>0.48</v>
      </c>
      <c r="J29" s="51">
        <v>0.77</v>
      </c>
      <c r="K29" s="51">
        <v>96.47</v>
      </c>
      <c r="L29" s="51">
        <v>21.57</v>
      </c>
      <c r="M29" s="51">
        <v>74</v>
      </c>
      <c r="N29" s="51">
        <v>24.5</v>
      </c>
      <c r="O29" s="51">
        <v>0</v>
      </c>
      <c r="P29" s="51">
        <v>1.99</v>
      </c>
      <c r="Q29" s="51">
        <v>38.450000000000003</v>
      </c>
      <c r="R29" s="43"/>
      <c r="S29" s="43"/>
      <c r="T29" s="43"/>
      <c r="U29" s="43"/>
    </row>
    <row r="30" spans="1:21" s="11" customFormat="1" ht="15">
      <c r="A30" s="50" t="s">
        <v>130</v>
      </c>
      <c r="B30" s="51">
        <v>19.23</v>
      </c>
      <c r="C30" s="51">
        <v>101.72</v>
      </c>
      <c r="D30" s="51">
        <v>71.56</v>
      </c>
      <c r="E30" s="51">
        <v>5.03</v>
      </c>
      <c r="F30" s="51">
        <v>0.74</v>
      </c>
      <c r="G30" s="51">
        <v>197.83</v>
      </c>
      <c r="H30" s="51">
        <v>51.16</v>
      </c>
      <c r="I30" s="51">
        <v>0.48</v>
      </c>
      <c r="J30" s="51">
        <v>0.84</v>
      </c>
      <c r="K30" s="51">
        <v>99.73</v>
      </c>
      <c r="L30" s="51">
        <v>21</v>
      </c>
      <c r="M30" s="51">
        <v>76</v>
      </c>
      <c r="N30" s="51">
        <v>24.5</v>
      </c>
      <c r="O30" s="51">
        <v>0</v>
      </c>
      <c r="P30" s="51">
        <v>1.91</v>
      </c>
      <c r="Q30" s="51">
        <v>40.68</v>
      </c>
      <c r="R30" s="43"/>
      <c r="S30" s="43"/>
      <c r="T30" s="43"/>
      <c r="U30" s="43"/>
    </row>
    <row r="31" spans="1:21" s="11" customFormat="1" ht="15">
      <c r="A31" s="50" t="s">
        <v>131</v>
      </c>
      <c r="B31" s="51">
        <v>16.38</v>
      </c>
      <c r="C31" s="51">
        <v>101.20</v>
      </c>
      <c r="D31" s="51">
        <v>68.989999999999995</v>
      </c>
      <c r="E31" s="51">
        <v>4.8499999999999996</v>
      </c>
      <c r="F31" s="51">
        <v>0.89</v>
      </c>
      <c r="G31" s="51">
        <v>166.20</v>
      </c>
      <c r="H31" s="51">
        <v>51.42</v>
      </c>
      <c r="I31" s="51">
        <v>0.46</v>
      </c>
      <c r="J31" s="51">
        <v>0.71</v>
      </c>
      <c r="K31" s="51">
        <v>104.64</v>
      </c>
      <c r="L31" s="51">
        <v>20.65</v>
      </c>
      <c r="M31" s="51">
        <v>76</v>
      </c>
      <c r="N31" s="51">
        <v>24.5</v>
      </c>
      <c r="O31" s="51">
        <v>0</v>
      </c>
      <c r="P31" s="51">
        <v>1.81</v>
      </c>
      <c r="Q31" s="51">
        <v>40.159999999999997</v>
      </c>
      <c r="R31" s="43"/>
      <c r="S31" s="43"/>
      <c r="T31" s="43"/>
      <c r="U31" s="43"/>
    </row>
    <row r="32" spans="1:21" s="11" customFormat="1" ht="15">
      <c r="A32" s="50" t="s">
        <v>132</v>
      </c>
      <c r="B32" s="51">
        <v>9.77</v>
      </c>
      <c r="C32" s="51">
        <v>94.69</v>
      </c>
      <c r="D32" s="51">
        <v>60.10</v>
      </c>
      <c r="E32" s="51">
        <v>4.51</v>
      </c>
      <c r="F32" s="51">
        <v>0.69</v>
      </c>
      <c r="G32" s="51">
        <v>80.05</v>
      </c>
      <c r="H32" s="51">
        <v>51.05</v>
      </c>
      <c r="I32" s="51">
        <v>0.39</v>
      </c>
      <c r="J32" s="51">
        <v>0.44</v>
      </c>
      <c r="K32" s="51">
        <v>89.23</v>
      </c>
      <c r="L32" s="51">
        <v>20.36</v>
      </c>
      <c r="M32" s="51">
        <v>78</v>
      </c>
      <c r="N32" s="51">
        <v>24.70</v>
      </c>
      <c r="O32" s="51">
        <v>0</v>
      </c>
      <c r="P32" s="51">
        <v>1.62</v>
      </c>
      <c r="Q32" s="51">
        <v>37.270000000000003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2.4399999999999999</v>
      </c>
      <c r="C34" s="28">
        <f t="shared" si="0"/>
        <v>73.810000000000002</v>
      </c>
      <c r="D34" s="28">
        <f t="shared" si="0"/>
        <v>43.32</v>
      </c>
      <c r="E34" s="28">
        <f t="shared" si="0"/>
        <v>3.4300000000000002</v>
      </c>
      <c r="F34" s="28">
        <f t="shared" si="0"/>
        <v>0.040000000000000001</v>
      </c>
      <c r="G34" s="28">
        <f t="shared" si="0"/>
        <v>61.689999999999998</v>
      </c>
      <c r="H34" s="28">
        <f t="shared" si="0"/>
        <v>43.590000000000003</v>
      </c>
      <c r="I34" s="28">
        <f t="shared" si="0"/>
        <v>0.25</v>
      </c>
      <c r="J34" s="28">
        <f t="shared" si="0"/>
        <v>0.32000000000000001</v>
      </c>
      <c r="K34" s="28">
        <f t="shared" si="0"/>
        <v>16.140000000000001</v>
      </c>
      <c r="L34" s="28">
        <f t="shared" si="0"/>
        <v>16.510000000000002</v>
      </c>
      <c r="M34" s="28">
        <f t="shared" si="0"/>
        <v>42</v>
      </c>
      <c r="N34" s="28">
        <f t="shared" si="0"/>
        <v>24.300000000000001</v>
      </c>
      <c r="O34" s="28">
        <f t="shared" si="0"/>
        <v>0</v>
      </c>
      <c r="P34" s="28">
        <f t="shared" si="0"/>
        <v>1.1499999999999999</v>
      </c>
      <c r="Q34" s="28">
        <f t="shared" si="0"/>
        <v>29.68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23.420000000000002</v>
      </c>
      <c r="C35" s="29">
        <f t="shared" si="1"/>
        <v>114.62</v>
      </c>
      <c r="D35" s="29">
        <f t="shared" si="1"/>
        <v>81.359999999999999</v>
      </c>
      <c r="E35" s="29">
        <f t="shared" si="1"/>
        <v>6.8600000000000003</v>
      </c>
      <c r="F35" s="29">
        <f t="shared" si="1"/>
        <v>7.4800000000000004</v>
      </c>
      <c r="G35" s="29">
        <f t="shared" si="1"/>
        <v>197.83000000000001</v>
      </c>
      <c r="H35" s="29">
        <f t="shared" si="1"/>
        <v>52.57</v>
      </c>
      <c r="I35" s="29">
        <f t="shared" si="1"/>
        <v>0.47999999999999998</v>
      </c>
      <c r="J35" s="29">
        <f t="shared" si="1"/>
        <v>1.1399999999999999</v>
      </c>
      <c r="K35" s="29">
        <f t="shared" si="1"/>
        <v>358.86000000000001</v>
      </c>
      <c r="L35" s="29">
        <f t="shared" si="1"/>
        <v>30.18</v>
      </c>
      <c r="M35" s="29">
        <f t="shared" si="1"/>
        <v>78</v>
      </c>
      <c r="N35" s="29">
        <f t="shared" si="1"/>
        <v>284.19999999999999</v>
      </c>
      <c r="O35" s="29">
        <f t="shared" si="1"/>
        <v>0</v>
      </c>
      <c r="P35" s="29">
        <f t="shared" si="1"/>
        <v>1.99</v>
      </c>
      <c r="Q35" s="29">
        <f t="shared" si="1"/>
        <v>40.68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9.0775000000000006</v>
      </c>
      <c r="C36" s="28">
        <f t="shared" si="2"/>
        <v>89.501666666666665</v>
      </c>
      <c r="D36" s="28">
        <f t="shared" si="2"/>
        <v>56.519583333333323</v>
      </c>
      <c r="E36" s="28">
        <f t="shared" si="2"/>
        <v>4.6029166666666663</v>
      </c>
      <c r="F36" s="28">
        <f t="shared" si="2"/>
        <v>1.9675</v>
      </c>
      <c r="G36" s="28">
        <f t="shared" si="2"/>
        <v>103.30833333333334</v>
      </c>
      <c r="H36" s="28">
        <f t="shared" si="2"/>
        <v>48.367083333333341</v>
      </c>
      <c r="I36" s="28">
        <f t="shared" si="2"/>
        <v>0.32833333333333337</v>
      </c>
      <c r="J36" s="28">
        <f t="shared" si="2"/>
        <v>0.68541666666666679</v>
      </c>
      <c r="K36" s="28">
        <f t="shared" si="2"/>
        <v>130.97541666666669</v>
      </c>
      <c r="L36" s="28">
        <f t="shared" si="2"/>
        <v>22.085416666666664</v>
      </c>
      <c r="M36" s="28">
        <f t="shared" si="2"/>
        <v>65.791666666666671</v>
      </c>
      <c r="N36" s="28">
        <f t="shared" si="2"/>
        <v>95.691666666666663</v>
      </c>
      <c r="O36" s="28">
        <f t="shared" si="2"/>
        <v>0</v>
      </c>
      <c r="P36" s="28">
        <f t="shared" si="2"/>
        <v>1.4504166666666667</v>
      </c>
      <c r="Q36" s="28">
        <f t="shared" si="2"/>
        <v>35.254583333333336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6.3163495580224502</v>
      </c>
      <c r="C37" s="28">
        <f t="shared" si="3" ref="C37:Q37">STDEV(C9:C32)</f>
        <v>12.968151511421745</v>
      </c>
      <c r="D37" s="28">
        <f t="shared" si="3"/>
        <v>11.531268823872152</v>
      </c>
      <c r="E37" s="28">
        <f t="shared" si="3"/>
        <v>0.8265932134851538</v>
      </c>
      <c r="F37" s="28">
        <f t="shared" si="3"/>
        <v>2.195648364180939</v>
      </c>
      <c r="G37" s="28">
        <f t="shared" si="3"/>
        <v>38.256888855832692</v>
      </c>
      <c r="H37" s="28">
        <f t="shared" si="3"/>
        <v>3.1900122381756066</v>
      </c>
      <c r="I37" s="28">
        <f t="shared" si="3"/>
        <v>0.078334104220690065</v>
      </c>
      <c r="J37" s="28">
        <f t="shared" si="3"/>
        <v>0.20978206427803464</v>
      </c>
      <c r="K37" s="28">
        <f t="shared" si="3"/>
        <v>119.78630243893812</v>
      </c>
      <c r="L37" s="28">
        <f t="shared" si="3"/>
        <v>4.337615032096191</v>
      </c>
      <c r="M37" s="28">
        <f t="shared" si="3"/>
        <v>10.274405374380613</v>
      </c>
      <c r="N37" s="28">
        <f t="shared" si="3"/>
        <v>99.640370361601441</v>
      </c>
      <c r="O37" s="28">
        <f t="shared" si="3"/>
        <v>0</v>
      </c>
      <c r="P37" s="28">
        <f t="shared" si="3"/>
        <v>0.26980635836557371</v>
      </c>
      <c r="Q37" s="28">
        <f t="shared" si="3"/>
        <v>3.519825809878105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v>24</v>
      </c>
      <c r="F38" s="32">
        <v>24</v>
      </c>
      <c r="G38" s="32">
        <f t="shared" si="4"/>
        <v>24</v>
      </c>
      <c r="H38" s="32">
        <f t="shared" si="4"/>
        <v>24</v>
      </c>
      <c r="I38" s="32"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df0034-682c-489b-9581-19ed4bae5387}">
  <sheetPr codeName=""/>
  <dimension ref="A1:U119"/>
  <sheetViews>
    <sheetView workbookViewId="0" topLeftCell="A1">
      <pane xSplit="2" ySplit="8" topLeftCell="C12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8.4285714285714" style="20" customWidth="1"/>
    <col min="3" max="3" width="10.1428571428571" style="20" customWidth="1"/>
    <col min="4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04-01-2023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133</v>
      </c>
      <c r="B9" s="51">
        <v>8.49</v>
      </c>
      <c r="C9" s="51">
        <v>87.93</v>
      </c>
      <c r="D9" s="51">
        <v>55.34</v>
      </c>
      <c r="E9" s="51">
        <v>4.4800000000000004</v>
      </c>
      <c r="F9" s="51">
        <v>0.55000000000000004</v>
      </c>
      <c r="G9" s="51">
        <v>76.72</v>
      </c>
      <c r="H9" s="51">
        <v>50.62</v>
      </c>
      <c r="I9" s="51">
        <v>0.37</v>
      </c>
      <c r="J9" s="51">
        <v>0.80</v>
      </c>
      <c r="K9" s="51">
        <v>88.35</v>
      </c>
      <c r="L9" s="51">
        <v>20.18</v>
      </c>
      <c r="M9" s="51">
        <v>79</v>
      </c>
      <c r="N9" s="51">
        <v>25</v>
      </c>
      <c r="O9" s="51">
        <v>0</v>
      </c>
      <c r="P9" s="51">
        <v>1.51</v>
      </c>
      <c r="Q9" s="51">
        <v>37.33</v>
      </c>
      <c r="R9" s="43"/>
      <c r="S9" s="43"/>
      <c r="T9" s="43"/>
      <c r="U9" s="43"/>
    </row>
    <row r="10" spans="1:21" s="11" customFormat="1" ht="15">
      <c r="A10" s="50" t="s">
        <v>134</v>
      </c>
      <c r="B10" s="51">
        <v>5.40</v>
      </c>
      <c r="C10" s="51">
        <v>80.17</v>
      </c>
      <c r="D10" s="51">
        <v>48.58</v>
      </c>
      <c r="E10" s="51">
        <v>4.28</v>
      </c>
      <c r="F10" s="51">
        <v>1.1399999999999999</v>
      </c>
      <c r="G10" s="51">
        <v>63.37</v>
      </c>
      <c r="H10" s="51">
        <v>50.22</v>
      </c>
      <c r="I10" s="51">
        <v>0.36</v>
      </c>
      <c r="J10" s="51">
        <v>0.93</v>
      </c>
      <c r="K10" s="51">
        <v>92.34</v>
      </c>
      <c r="L10" s="51">
        <v>20.03</v>
      </c>
      <c r="M10" s="51">
        <v>80</v>
      </c>
      <c r="N10" s="51">
        <v>25.20</v>
      </c>
      <c r="O10" s="51">
        <v>0</v>
      </c>
      <c r="P10" s="51">
        <v>1.36</v>
      </c>
      <c r="Q10" s="51">
        <v>38.28</v>
      </c>
      <c r="R10" s="43"/>
      <c r="S10" s="43"/>
      <c r="T10" s="43"/>
      <c r="U10" s="43"/>
    </row>
    <row r="11" spans="1:21" s="11" customFormat="1" ht="15">
      <c r="A11" s="50" t="s">
        <v>135</v>
      </c>
      <c r="B11" s="51">
        <v>2.5299999999999998</v>
      </c>
      <c r="C11" s="51">
        <v>76.17</v>
      </c>
      <c r="D11" s="51">
        <v>44.06</v>
      </c>
      <c r="E11" s="51">
        <v>4.2699999999999996</v>
      </c>
      <c r="F11" s="51">
        <v>1.39</v>
      </c>
      <c r="G11" s="51">
        <v>80.45</v>
      </c>
      <c r="H11" s="51">
        <v>49.92</v>
      </c>
      <c r="I11" s="51">
        <v>0.31</v>
      </c>
      <c r="J11" s="51">
        <v>0.92</v>
      </c>
      <c r="K11" s="51">
        <v>95.03</v>
      </c>
      <c r="L11" s="51">
        <v>19.55</v>
      </c>
      <c r="M11" s="51">
        <v>81</v>
      </c>
      <c r="N11" s="51">
        <v>25</v>
      </c>
      <c r="O11" s="51">
        <v>0</v>
      </c>
      <c r="P11" s="51">
        <v>1.29</v>
      </c>
      <c r="Q11" s="51">
        <v>36.69</v>
      </c>
      <c r="R11" s="43"/>
      <c r="S11" s="43"/>
      <c r="T11" s="43"/>
      <c r="U11" s="43"/>
    </row>
    <row r="12" spans="1:21" s="11" customFormat="1" ht="15">
      <c r="A12" s="50" t="s">
        <v>136</v>
      </c>
      <c r="B12" s="51">
        <v>3.07</v>
      </c>
      <c r="C12" s="51">
        <v>72.959999999999994</v>
      </c>
      <c r="D12" s="51">
        <v>42.35</v>
      </c>
      <c r="E12" s="51">
        <v>4.59</v>
      </c>
      <c r="F12" s="51">
        <v>0.19</v>
      </c>
      <c r="G12" s="51">
        <v>84.21</v>
      </c>
      <c r="H12" s="51">
        <v>51.53</v>
      </c>
      <c r="I12" s="51">
        <v>0.28000000000000003</v>
      </c>
      <c r="J12" s="51">
        <v>1.24</v>
      </c>
      <c r="K12" s="51">
        <v>97.51</v>
      </c>
      <c r="L12" s="51">
        <v>18.87</v>
      </c>
      <c r="M12" s="51">
        <v>81</v>
      </c>
      <c r="N12" s="51">
        <v>24.60</v>
      </c>
      <c r="O12" s="51">
        <v>0</v>
      </c>
      <c r="P12" s="51">
        <v>1.23</v>
      </c>
      <c r="Q12" s="51">
        <v>34.58</v>
      </c>
      <c r="R12" s="43"/>
      <c r="S12" s="43"/>
      <c r="T12" s="43"/>
      <c r="U12" s="43"/>
    </row>
    <row r="13" spans="1:21" s="11" customFormat="1" ht="15">
      <c r="A13" s="50" t="s">
        <v>137</v>
      </c>
      <c r="B13" s="51">
        <v>3.23</v>
      </c>
      <c r="C13" s="51">
        <v>70.59</v>
      </c>
      <c r="D13" s="51">
        <v>41.54</v>
      </c>
      <c r="E13" s="51">
        <v>4.0199999999999996</v>
      </c>
      <c r="F13" s="51">
        <v>0.34</v>
      </c>
      <c r="G13" s="51">
        <v>81.209999999999994</v>
      </c>
      <c r="H13" s="51">
        <v>51.15</v>
      </c>
      <c r="I13" s="51">
        <v>0.28000000000000003</v>
      </c>
      <c r="J13" s="51">
        <v>0.70</v>
      </c>
      <c r="K13" s="51">
        <v>93.85</v>
      </c>
      <c r="L13" s="51">
        <v>18.34</v>
      </c>
      <c r="M13" s="51">
        <v>81</v>
      </c>
      <c r="N13" s="51">
        <v>24.60</v>
      </c>
      <c r="O13" s="51">
        <v>0</v>
      </c>
      <c r="P13" s="51">
        <v>1.19</v>
      </c>
      <c r="Q13" s="51">
        <v>36.29</v>
      </c>
      <c r="R13" s="43"/>
      <c r="S13" s="43"/>
      <c r="T13" s="43"/>
      <c r="U13" s="43"/>
    </row>
    <row r="14" spans="1:21" s="11" customFormat="1" ht="15">
      <c r="A14" s="50" t="s">
        <v>138</v>
      </c>
      <c r="B14" s="51">
        <v>3.84</v>
      </c>
      <c r="C14" s="51">
        <v>71.92</v>
      </c>
      <c r="D14" s="51">
        <v>42.77</v>
      </c>
      <c r="E14" s="51">
        <v>3.58</v>
      </c>
      <c r="F14" s="51">
        <v>0.55000000000000004</v>
      </c>
      <c r="G14" s="51">
        <v>73.12</v>
      </c>
      <c r="H14" s="51">
        <v>49.41</v>
      </c>
      <c r="I14" s="51">
        <v>0.27</v>
      </c>
      <c r="J14" s="51">
        <v>0.53</v>
      </c>
      <c r="K14" s="51">
        <v>90.35</v>
      </c>
      <c r="L14" s="51">
        <v>18.21</v>
      </c>
      <c r="M14" s="51">
        <v>81</v>
      </c>
      <c r="N14" s="51">
        <v>25</v>
      </c>
      <c r="O14" s="51">
        <v>0</v>
      </c>
      <c r="P14" s="51">
        <v>1.17</v>
      </c>
      <c r="Q14" s="51">
        <v>36.159999999999997</v>
      </c>
      <c r="R14" s="43"/>
      <c r="S14" s="43"/>
      <c r="T14" s="43"/>
      <c r="U14" s="43"/>
    </row>
    <row r="15" spans="1:21" s="11" customFormat="1" ht="15">
      <c r="A15" s="50" t="s">
        <v>139</v>
      </c>
      <c r="B15" s="51">
        <v>6.15</v>
      </c>
      <c r="C15" s="51">
        <v>74.20</v>
      </c>
      <c r="D15" s="51">
        <v>45.88</v>
      </c>
      <c r="E15" s="51">
        <v>3.5</v>
      </c>
      <c r="F15" s="51">
        <v>0.63</v>
      </c>
      <c r="G15" s="51">
        <v>80</v>
      </c>
      <c r="H15" s="51">
        <v>48.12</v>
      </c>
      <c r="I15" s="51">
        <v>0.25</v>
      </c>
      <c r="J15" s="51">
        <v>0.68</v>
      </c>
      <c r="K15" s="51">
        <v>49.52</v>
      </c>
      <c r="L15" s="51">
        <v>18.510000000000002</v>
      </c>
      <c r="M15" s="51">
        <v>81</v>
      </c>
      <c r="N15" s="51">
        <v>27.60</v>
      </c>
      <c r="O15" s="51">
        <v>0</v>
      </c>
      <c r="P15" s="51">
        <v>1.19</v>
      </c>
      <c r="Q15" s="51">
        <v>35.08</v>
      </c>
      <c r="R15" s="43"/>
      <c r="S15" s="43"/>
      <c r="T15" s="43"/>
      <c r="U15" s="43"/>
    </row>
    <row r="16" spans="1:21" s="11" customFormat="1" ht="15">
      <c r="A16" s="50" t="s">
        <v>140</v>
      </c>
      <c r="B16" s="51">
        <v>11.12</v>
      </c>
      <c r="C16" s="51">
        <v>77.150000000000006</v>
      </c>
      <c r="D16" s="51">
        <v>51.49</v>
      </c>
      <c r="E16" s="51">
        <v>3.63</v>
      </c>
      <c r="F16" s="51">
        <v>0.19</v>
      </c>
      <c r="G16" s="51">
        <v>79.489999999999995</v>
      </c>
      <c r="H16" s="51">
        <v>51.81</v>
      </c>
      <c r="I16" s="51">
        <v>0.26</v>
      </c>
      <c r="J16" s="51">
        <v>1.1000000000000001</v>
      </c>
      <c r="K16" s="51">
        <v>14.44</v>
      </c>
      <c r="L16" s="51">
        <v>18.47</v>
      </c>
      <c r="M16" s="51">
        <v>81</v>
      </c>
      <c r="N16" s="51">
        <v>27.60</v>
      </c>
      <c r="O16" s="51">
        <v>0</v>
      </c>
      <c r="P16" s="51">
        <v>1.33</v>
      </c>
      <c r="Q16" s="51">
        <v>33.270000000000003</v>
      </c>
      <c r="R16" s="43"/>
      <c r="S16" s="43"/>
      <c r="T16" s="43"/>
      <c r="U16" s="43"/>
    </row>
    <row r="17" spans="1:21" s="11" customFormat="1" ht="15">
      <c r="A17" s="50" t="s">
        <v>141</v>
      </c>
      <c r="B17" s="51">
        <v>17.350000000000001</v>
      </c>
      <c r="C17" s="51">
        <v>82.84</v>
      </c>
      <c r="D17" s="51">
        <v>59.63</v>
      </c>
      <c r="E17" s="51">
        <v>3.37</v>
      </c>
      <c r="F17" s="51">
        <v>1.35</v>
      </c>
      <c r="G17" s="51">
        <v>95.68</v>
      </c>
      <c r="H17" s="51">
        <v>53.13</v>
      </c>
      <c r="I17" s="51">
        <v>0.27</v>
      </c>
      <c r="J17" s="51">
        <v>1.06</v>
      </c>
      <c r="K17" s="51">
        <v>11.34</v>
      </c>
      <c r="L17" s="51">
        <v>17.829999999999998</v>
      </c>
      <c r="M17" s="51">
        <v>91</v>
      </c>
      <c r="N17" s="51">
        <v>40.90</v>
      </c>
      <c r="O17" s="51">
        <v>0.40</v>
      </c>
      <c r="P17" s="51">
        <v>1.47</v>
      </c>
      <c r="Q17" s="51">
        <v>34.799999999999997</v>
      </c>
      <c r="R17" s="43"/>
      <c r="S17" s="43"/>
      <c r="T17" s="43"/>
      <c r="U17" s="43"/>
    </row>
    <row r="18" spans="1:21" s="11" customFormat="1" ht="15">
      <c r="A18" s="50" t="s">
        <v>142</v>
      </c>
      <c r="B18" s="51">
        <v>28.02</v>
      </c>
      <c r="C18" s="51">
        <v>90.01</v>
      </c>
      <c r="D18" s="51">
        <v>72.150000000000006</v>
      </c>
      <c r="E18" s="51">
        <v>3.54</v>
      </c>
      <c r="F18" s="51">
        <v>0.63</v>
      </c>
      <c r="G18" s="51">
        <v>98.60</v>
      </c>
      <c r="H18" s="51">
        <v>55.34</v>
      </c>
      <c r="I18" s="51">
        <v>0.26</v>
      </c>
      <c r="J18" s="51">
        <v>0.93</v>
      </c>
      <c r="K18" s="51">
        <v>347.56</v>
      </c>
      <c r="L18" s="51">
        <v>17.61</v>
      </c>
      <c r="M18" s="51">
        <v>92</v>
      </c>
      <c r="N18" s="51">
        <v>48</v>
      </c>
      <c r="O18" s="51">
        <v>0.40</v>
      </c>
      <c r="P18" s="51">
        <v>1.75</v>
      </c>
      <c r="Q18" s="51">
        <v>34.270000000000003</v>
      </c>
      <c r="R18" s="43"/>
      <c r="S18" s="43"/>
      <c r="T18" s="43"/>
      <c r="U18" s="43"/>
    </row>
    <row r="19" spans="1:21" s="11" customFormat="1" ht="15">
      <c r="A19" s="50" t="s">
        <v>143</v>
      </c>
      <c r="B19" s="51">
        <v>55.13</v>
      </c>
      <c r="C19" s="51">
        <v>109.65</v>
      </c>
      <c r="D19" s="51">
        <v>104.72</v>
      </c>
      <c r="E19" s="51">
        <v>13.73</v>
      </c>
      <c r="F19" s="51">
        <v>0.74</v>
      </c>
      <c r="G19" s="51">
        <v>117.78</v>
      </c>
      <c r="H19" s="51">
        <v>63.27</v>
      </c>
      <c r="I19" s="51">
        <v>0.27</v>
      </c>
      <c r="J19" s="51">
        <v>0.97</v>
      </c>
      <c r="K19" s="51">
        <v>353.38</v>
      </c>
      <c r="L19" s="51">
        <v>17.54</v>
      </c>
      <c r="M19" s="51">
        <v>93</v>
      </c>
      <c r="N19" s="51">
        <v>69.30</v>
      </c>
      <c r="O19" s="51">
        <v>0.20</v>
      </c>
      <c r="P19" s="51">
        <v>2.63</v>
      </c>
      <c r="Q19" s="51">
        <v>32.659999999999997</v>
      </c>
      <c r="R19" s="43"/>
      <c r="S19" s="43"/>
      <c r="T19" s="43"/>
      <c r="U19" s="43"/>
    </row>
    <row r="20" spans="1:21" s="11" customFormat="1" ht="15">
      <c r="A20" s="50" t="s">
        <v>144</v>
      </c>
      <c r="B20" s="51">
        <v>57.81</v>
      </c>
      <c r="C20" s="51">
        <v>113.39</v>
      </c>
      <c r="D20" s="51">
        <v>108.13</v>
      </c>
      <c r="E20" s="51">
        <v>7.74</v>
      </c>
      <c r="F20" s="51">
        <v>4.46</v>
      </c>
      <c r="G20" s="51">
        <v>135.54</v>
      </c>
      <c r="H20" s="51">
        <v>67.569999999999993</v>
      </c>
      <c r="I20" s="51">
        <v>0.26</v>
      </c>
      <c r="J20" s="51">
        <v>1.46</v>
      </c>
      <c r="K20" s="51">
        <v>117.58</v>
      </c>
      <c r="L20" s="51">
        <v>17.510000000000002</v>
      </c>
      <c r="M20" s="51">
        <v>94</v>
      </c>
      <c r="N20" s="51">
        <v>59</v>
      </c>
      <c r="O20" s="51">
        <v>0.40</v>
      </c>
      <c r="P20" s="51">
        <v>2.60</v>
      </c>
      <c r="Q20" s="51">
        <v>26.06</v>
      </c>
      <c r="R20" s="43"/>
      <c r="S20" s="43"/>
      <c r="T20" s="43"/>
      <c r="U20" s="43"/>
    </row>
    <row r="21" spans="1:21" s="11" customFormat="1" ht="15">
      <c r="A21" s="50" t="s">
        <v>145</v>
      </c>
      <c r="B21" s="51">
        <v>41.53</v>
      </c>
      <c r="C21" s="51">
        <v>98.75</v>
      </c>
      <c r="D21" s="51">
        <v>86.05</v>
      </c>
      <c r="E21" s="51">
        <v>3.03</v>
      </c>
      <c r="F21" s="51">
        <v>4.4800000000000004</v>
      </c>
      <c r="G21" s="51">
        <v>124</v>
      </c>
      <c r="H21" s="51">
        <v>67.37</v>
      </c>
      <c r="I21" s="51">
        <v>0.25</v>
      </c>
      <c r="J21" s="51">
        <v>1.02</v>
      </c>
      <c r="K21" s="51">
        <v>24.33</v>
      </c>
      <c r="L21" s="51">
        <v>17.72</v>
      </c>
      <c r="M21" s="51">
        <v>95</v>
      </c>
      <c r="N21" s="51">
        <v>100.60</v>
      </c>
      <c r="O21" s="51">
        <v>0.20</v>
      </c>
      <c r="P21" s="51">
        <v>2.36</v>
      </c>
      <c r="Q21" s="51">
        <v>26.07</v>
      </c>
      <c r="R21" s="43"/>
      <c r="S21" s="43"/>
      <c r="T21" s="43"/>
      <c r="U21" s="43"/>
    </row>
    <row r="22" spans="1:21" s="11" customFormat="1" ht="15">
      <c r="A22" s="50" t="s">
        <v>146</v>
      </c>
      <c r="B22" s="51">
        <v>35.19</v>
      </c>
      <c r="C22" s="51">
        <v>99.65</v>
      </c>
      <c r="D22" s="51">
        <v>83.21</v>
      </c>
      <c r="E22" s="51">
        <v>5.12</v>
      </c>
      <c r="F22" s="51">
        <v>4.24</v>
      </c>
      <c r="G22" s="51">
        <v>92.97</v>
      </c>
      <c r="H22" s="51">
        <v>65.83</v>
      </c>
      <c r="I22" s="51">
        <v>0.25</v>
      </c>
      <c r="J22" s="51">
        <v>0.93</v>
      </c>
      <c r="K22" s="51">
        <v>14.15</v>
      </c>
      <c r="L22" s="51">
        <v>18.32</v>
      </c>
      <c r="M22" s="51">
        <v>92</v>
      </c>
      <c r="N22" s="51">
        <v>114.40</v>
      </c>
      <c r="O22" s="51">
        <v>0</v>
      </c>
      <c r="P22" s="51">
        <v>2.0299999999999998</v>
      </c>
      <c r="Q22" s="51">
        <v>25.47</v>
      </c>
      <c r="R22" s="43"/>
      <c r="S22" s="43"/>
      <c r="T22" s="43"/>
      <c r="U22" s="43"/>
    </row>
    <row r="23" spans="1:21" s="11" customFormat="1" ht="15">
      <c r="A23" s="50" t="s">
        <v>147</v>
      </c>
      <c r="B23" s="51">
        <v>38.57</v>
      </c>
      <c r="C23" s="51">
        <v>102.63</v>
      </c>
      <c r="D23" s="51">
        <v>87.17</v>
      </c>
      <c r="E23" s="51">
        <v>2.61</v>
      </c>
      <c r="F23" s="51">
        <v>4.32</v>
      </c>
      <c r="G23" s="51">
        <v>96.10</v>
      </c>
      <c r="H23" s="51">
        <v>65.739999999999995</v>
      </c>
      <c r="I23" s="51">
        <v>0.25</v>
      </c>
      <c r="J23" s="51">
        <v>0.72</v>
      </c>
      <c r="K23" s="51">
        <v>112.13</v>
      </c>
      <c r="L23" s="51">
        <v>18.36</v>
      </c>
      <c r="M23" s="51">
        <v>89</v>
      </c>
      <c r="N23" s="51">
        <v>78.20</v>
      </c>
      <c r="O23" s="51">
        <v>0</v>
      </c>
      <c r="P23" s="51">
        <v>2</v>
      </c>
      <c r="Q23" s="51">
        <v>24.73</v>
      </c>
      <c r="R23" s="43"/>
      <c r="S23" s="43"/>
      <c r="T23" s="43"/>
      <c r="U23" s="43"/>
    </row>
    <row r="24" spans="1:21" s="11" customFormat="1" ht="15">
      <c r="A24" s="50" t="s">
        <v>148</v>
      </c>
      <c r="B24" s="51">
        <v>37.72</v>
      </c>
      <c r="C24" s="51">
        <v>108.86</v>
      </c>
      <c r="D24" s="51">
        <v>90.32</v>
      </c>
      <c r="E24" s="51">
        <v>2.86</v>
      </c>
      <c r="F24" s="51">
        <v>5.14</v>
      </c>
      <c r="G24" s="51">
        <v>94.16</v>
      </c>
      <c r="H24" s="51">
        <v>65.010000000000005</v>
      </c>
      <c r="I24" s="51">
        <v>0.21</v>
      </c>
      <c r="J24" s="51">
        <v>1.1100000000000001</v>
      </c>
      <c r="K24" s="51">
        <v>20.36</v>
      </c>
      <c r="L24" s="51">
        <v>18.760000000000002</v>
      </c>
      <c r="M24" s="51">
        <v>87</v>
      </c>
      <c r="N24" s="51">
        <v>53</v>
      </c>
      <c r="O24" s="51">
        <v>0</v>
      </c>
      <c r="P24" s="51">
        <v>1.99</v>
      </c>
      <c r="Q24" s="51">
        <v>25.96</v>
      </c>
      <c r="R24" s="43"/>
      <c r="S24" s="43"/>
      <c r="T24" s="43"/>
      <c r="U24" s="43"/>
    </row>
    <row r="25" spans="1:21" s="11" customFormat="1" ht="15">
      <c r="A25" s="50" t="s">
        <v>149</v>
      </c>
      <c r="B25" s="51">
        <v>40.65</v>
      </c>
      <c r="C25" s="51">
        <v>100.64</v>
      </c>
      <c r="D25" s="51">
        <v>86.43</v>
      </c>
      <c r="E25" s="51">
        <v>2.71</v>
      </c>
      <c r="F25" s="51">
        <v>5.19</v>
      </c>
      <c r="G25" s="51">
        <v>89.40</v>
      </c>
      <c r="H25" s="51">
        <v>61.92</v>
      </c>
      <c r="I25" s="51">
        <v>0.23</v>
      </c>
      <c r="J25" s="51">
        <v>0.73</v>
      </c>
      <c r="K25" s="51">
        <v>46.20</v>
      </c>
      <c r="L25" s="51">
        <v>19.02</v>
      </c>
      <c r="M25" s="51">
        <v>88</v>
      </c>
      <c r="N25" s="51">
        <v>48</v>
      </c>
      <c r="O25" s="51">
        <v>0.40</v>
      </c>
      <c r="P25" s="51">
        <v>2.0299999999999998</v>
      </c>
      <c r="Q25" s="51">
        <v>28.79</v>
      </c>
      <c r="R25" s="43"/>
      <c r="S25" s="43"/>
      <c r="T25" s="43"/>
      <c r="U25" s="43"/>
    </row>
    <row r="26" spans="1:21" s="11" customFormat="1" ht="15">
      <c r="A26" s="50" t="s">
        <v>150</v>
      </c>
      <c r="B26" s="51">
        <v>35.74</v>
      </c>
      <c r="C26" s="51">
        <v>92.36</v>
      </c>
      <c r="D26" s="51">
        <v>78.03</v>
      </c>
      <c r="E26" s="51">
        <v>2.06</v>
      </c>
      <c r="F26" s="51">
        <v>5.27</v>
      </c>
      <c r="G26" s="51">
        <v>88.61</v>
      </c>
      <c r="H26" s="51">
        <v>59.96</v>
      </c>
      <c r="I26" s="51">
        <v>0.23</v>
      </c>
      <c r="J26" s="51">
        <v>0.88</v>
      </c>
      <c r="K26" s="51">
        <v>124.17</v>
      </c>
      <c r="L26" s="51">
        <v>18.53</v>
      </c>
      <c r="M26" s="51">
        <v>87</v>
      </c>
      <c r="N26" s="51">
        <v>29.5</v>
      </c>
      <c r="O26" s="51">
        <v>0</v>
      </c>
      <c r="P26" s="51">
        <v>1.97</v>
      </c>
      <c r="Q26" s="51">
        <v>27.19</v>
      </c>
      <c r="R26" s="43"/>
      <c r="S26" s="43"/>
      <c r="T26" s="43"/>
      <c r="U26" s="43"/>
    </row>
    <row r="27" spans="1:21" s="11" customFormat="1" ht="15">
      <c r="A27" s="50" t="s">
        <v>151</v>
      </c>
      <c r="B27" s="51">
        <v>31.48</v>
      </c>
      <c r="C27" s="51">
        <v>95.11</v>
      </c>
      <c r="D27" s="51">
        <v>77.739999999999995</v>
      </c>
      <c r="E27" s="51">
        <v>2.64</v>
      </c>
      <c r="F27" s="51">
        <v>4.41</v>
      </c>
      <c r="G27" s="51">
        <v>84.17</v>
      </c>
      <c r="H27" s="51">
        <v>59.22</v>
      </c>
      <c r="I27" s="51">
        <v>0.26</v>
      </c>
      <c r="J27" s="51">
        <v>0.21</v>
      </c>
      <c r="K27" s="51">
        <v>107.10</v>
      </c>
      <c r="L27" s="51">
        <v>18.57</v>
      </c>
      <c r="M27" s="51">
        <v>89</v>
      </c>
      <c r="N27" s="51">
        <v>25.80</v>
      </c>
      <c r="O27" s="51">
        <v>0</v>
      </c>
      <c r="P27" s="51">
        <v>2.02</v>
      </c>
      <c r="Q27" s="51">
        <v>29.04</v>
      </c>
      <c r="R27" s="43"/>
      <c r="S27" s="43"/>
      <c r="T27" s="43"/>
      <c r="U27" s="43"/>
    </row>
    <row r="28" spans="1:21" s="11" customFormat="1" ht="15">
      <c r="A28" s="50" t="s">
        <v>152</v>
      </c>
      <c r="B28" s="51">
        <v>42.42</v>
      </c>
      <c r="C28" s="51">
        <v>100.12</v>
      </c>
      <c r="D28" s="51">
        <v>89.27</v>
      </c>
      <c r="E28" s="51">
        <v>2.64</v>
      </c>
      <c r="F28" s="51">
        <v>4.45</v>
      </c>
      <c r="G28" s="51">
        <v>82.88</v>
      </c>
      <c r="H28" s="51">
        <v>57.30</v>
      </c>
      <c r="I28" s="51">
        <v>0.32</v>
      </c>
      <c r="J28" s="51">
        <v>0.60</v>
      </c>
      <c r="K28" s="51">
        <v>358.48</v>
      </c>
      <c r="L28" s="51">
        <v>18.66</v>
      </c>
      <c r="M28" s="51">
        <v>88</v>
      </c>
      <c r="N28" s="51">
        <v>25.70</v>
      </c>
      <c r="O28" s="51">
        <v>0</v>
      </c>
      <c r="P28" s="51">
        <v>2.27</v>
      </c>
      <c r="Q28" s="51">
        <v>33.770000000000003</v>
      </c>
      <c r="R28" s="43"/>
      <c r="S28" s="43"/>
      <c r="T28" s="43"/>
      <c r="U28" s="43"/>
    </row>
    <row r="29" spans="1:21" s="11" customFormat="1" ht="15">
      <c r="A29" s="50" t="s">
        <v>153</v>
      </c>
      <c r="B29" s="51">
        <v>50.32</v>
      </c>
      <c r="C29" s="51">
        <v>102.79</v>
      </c>
      <c r="D29" s="51">
        <v>97.08</v>
      </c>
      <c r="E29" s="51">
        <v>4.68</v>
      </c>
      <c r="F29" s="51">
        <v>4.1399999999999997</v>
      </c>
      <c r="G29" s="51">
        <v>82.12</v>
      </c>
      <c r="H29" s="51">
        <v>56.78</v>
      </c>
      <c r="I29" s="51">
        <v>0.37</v>
      </c>
      <c r="J29" s="51">
        <v>0.64</v>
      </c>
      <c r="K29" s="51">
        <v>354.82</v>
      </c>
      <c r="L29" s="51">
        <v>18.73</v>
      </c>
      <c r="M29" s="51">
        <v>89</v>
      </c>
      <c r="N29" s="51">
        <v>25.30</v>
      </c>
      <c r="O29" s="51">
        <v>0</v>
      </c>
      <c r="P29" s="51">
        <v>2.4900000000000002</v>
      </c>
      <c r="Q29" s="51">
        <v>34.33</v>
      </c>
      <c r="R29" s="43"/>
      <c r="S29" s="43"/>
      <c r="T29" s="43"/>
      <c r="U29" s="43"/>
    </row>
    <row r="30" spans="1:21" s="11" customFormat="1" ht="15">
      <c r="A30" s="50" t="s">
        <v>154</v>
      </c>
      <c r="B30" s="51">
        <v>52.78</v>
      </c>
      <c r="C30" s="51">
        <v>103.65</v>
      </c>
      <c r="D30" s="51">
        <v>99.53</v>
      </c>
      <c r="E30" s="51">
        <v>5.49</v>
      </c>
      <c r="F30" s="51">
        <v>4.3899999999999997</v>
      </c>
      <c r="G30" s="51">
        <v>98.48</v>
      </c>
      <c r="H30" s="51">
        <v>59.24</v>
      </c>
      <c r="I30" s="51">
        <v>0.44</v>
      </c>
      <c r="J30" s="51">
        <v>1.23</v>
      </c>
      <c r="K30" s="51">
        <v>358.95</v>
      </c>
      <c r="L30" s="51">
        <v>18.46</v>
      </c>
      <c r="M30" s="51">
        <v>87</v>
      </c>
      <c r="N30" s="51">
        <v>25.30</v>
      </c>
      <c r="O30" s="51">
        <v>0</v>
      </c>
      <c r="P30" s="51">
        <v>2.5499999999999998</v>
      </c>
      <c r="Q30" s="51">
        <v>34.590000000000003</v>
      </c>
      <c r="R30" s="43"/>
      <c r="S30" s="43"/>
      <c r="T30" s="43"/>
      <c r="U30" s="43"/>
    </row>
    <row r="31" spans="1:21" s="11" customFormat="1" ht="15">
      <c r="A31" s="50" t="s">
        <v>155</v>
      </c>
      <c r="B31" s="51">
        <v>47.17</v>
      </c>
      <c r="C31" s="51">
        <v>100.08</v>
      </c>
      <c r="D31" s="51">
        <v>91.54</v>
      </c>
      <c r="E31" s="51">
        <v>5.05</v>
      </c>
      <c r="F31" s="51">
        <v>4.2699999999999996</v>
      </c>
      <c r="G31" s="51">
        <v>111.33</v>
      </c>
      <c r="H31" s="51">
        <v>67.41</v>
      </c>
      <c r="I31" s="51">
        <v>0.43</v>
      </c>
      <c r="J31" s="51">
        <v>1.20</v>
      </c>
      <c r="K31" s="51">
        <v>82.5</v>
      </c>
      <c r="L31" s="51">
        <v>18.239999999999998</v>
      </c>
      <c r="M31" s="51">
        <v>83</v>
      </c>
      <c r="N31" s="51">
        <v>25.30</v>
      </c>
      <c r="O31" s="51">
        <v>0</v>
      </c>
      <c r="P31" s="51">
        <v>2.44</v>
      </c>
      <c r="Q31" s="51">
        <v>35.979999999999997</v>
      </c>
      <c r="R31" s="43"/>
      <c r="S31" s="43"/>
      <c r="T31" s="43"/>
      <c r="U31" s="43"/>
    </row>
    <row r="32" spans="1:21" s="11" customFormat="1" ht="15">
      <c r="A32" s="50" t="s">
        <v>156</v>
      </c>
      <c r="B32" s="51">
        <v>39.340000000000003</v>
      </c>
      <c r="C32" s="51">
        <v>97.46</v>
      </c>
      <c r="D32" s="51">
        <v>85.33</v>
      </c>
      <c r="E32" s="51">
        <v>5.01</v>
      </c>
      <c r="F32" s="51">
        <v>4.18</v>
      </c>
      <c r="G32" s="51">
        <v>110.06</v>
      </c>
      <c r="H32" s="51">
        <v>66.67</v>
      </c>
      <c r="I32" s="51">
        <v>0.39</v>
      </c>
      <c r="J32" s="51">
        <v>0.56999999999999995</v>
      </c>
      <c r="K32" s="51">
        <v>90.64</v>
      </c>
      <c r="L32" s="51">
        <v>17.62</v>
      </c>
      <c r="M32" s="51">
        <v>83</v>
      </c>
      <c r="N32" s="51">
        <v>25</v>
      </c>
      <c r="O32" s="51">
        <v>0</v>
      </c>
      <c r="P32" s="51">
        <v>2.29</v>
      </c>
      <c r="Q32" s="51">
        <v>36.340000000000003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2.5299999999999998</v>
      </c>
      <c r="C34" s="28">
        <f t="shared" si="0"/>
        <v>70.590000000000003</v>
      </c>
      <c r="D34" s="28">
        <f t="shared" si="0"/>
        <v>41.539999999999999</v>
      </c>
      <c r="E34" s="28">
        <f t="shared" si="0"/>
        <v>2.0600000000000001</v>
      </c>
      <c r="F34" s="28">
        <f t="shared" si="0"/>
        <v>0.19</v>
      </c>
      <c r="G34" s="28">
        <f t="shared" si="0"/>
        <v>63.369999999999997</v>
      </c>
      <c r="H34" s="28">
        <f t="shared" si="0"/>
        <v>48.119999999999997</v>
      </c>
      <c r="I34" s="28">
        <f t="shared" si="0"/>
        <v>0.20999999999999999</v>
      </c>
      <c r="J34" s="28">
        <f t="shared" si="0"/>
        <v>0.20999999999999999</v>
      </c>
      <c r="K34" s="28">
        <f t="shared" si="0"/>
        <v>11.34</v>
      </c>
      <c r="L34" s="28">
        <f t="shared" si="0"/>
        <v>17.510000000000002</v>
      </c>
      <c r="M34" s="28">
        <f t="shared" si="0"/>
        <v>79</v>
      </c>
      <c r="N34" s="28">
        <f t="shared" si="0"/>
        <v>24.600000000000001</v>
      </c>
      <c r="O34" s="28">
        <f t="shared" si="0"/>
        <v>0</v>
      </c>
      <c r="P34" s="28">
        <f t="shared" si="0"/>
        <v>1.1699999999999999</v>
      </c>
      <c r="Q34" s="28">
        <f t="shared" si="0"/>
        <v>24.73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57.810000000000002</v>
      </c>
      <c r="C35" s="29">
        <f t="shared" si="1"/>
        <v>113.39</v>
      </c>
      <c r="D35" s="29">
        <f t="shared" si="1"/>
        <v>108.13</v>
      </c>
      <c r="E35" s="29">
        <f t="shared" si="1"/>
        <v>13.73</v>
      </c>
      <c r="F35" s="29">
        <f t="shared" si="1"/>
        <v>5.2699999999999996</v>
      </c>
      <c r="G35" s="29">
        <f t="shared" si="1"/>
        <v>135.53999999999999</v>
      </c>
      <c r="H35" s="29">
        <f t="shared" si="1"/>
        <v>67.569999999999993</v>
      </c>
      <c r="I35" s="29">
        <f t="shared" si="1"/>
        <v>0.44</v>
      </c>
      <c r="J35" s="29">
        <f t="shared" si="1"/>
        <v>1.46</v>
      </c>
      <c r="K35" s="29">
        <f t="shared" si="1"/>
        <v>358.94999999999999</v>
      </c>
      <c r="L35" s="29">
        <f t="shared" si="1"/>
        <v>20.18</v>
      </c>
      <c r="M35" s="29">
        <f t="shared" si="1"/>
        <v>95</v>
      </c>
      <c r="N35" s="29">
        <f t="shared" si="1"/>
        <v>114.40000000000001</v>
      </c>
      <c r="O35" s="29">
        <f t="shared" si="1"/>
        <v>0.40000000000000002</v>
      </c>
      <c r="P35" s="29">
        <f t="shared" si="1"/>
        <v>2.6299999999999999</v>
      </c>
      <c r="Q35" s="29">
        <f t="shared" si="1"/>
        <v>38.280000000000001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28.960416666666664</v>
      </c>
      <c r="C36" s="28">
        <f t="shared" si="2"/>
        <v>92.045000000000002</v>
      </c>
      <c r="D36" s="28">
        <f t="shared" si="2"/>
        <v>73.680833333333325</v>
      </c>
      <c r="E36" s="28">
        <f t="shared" si="2"/>
        <v>4.3595833333333323</v>
      </c>
      <c r="F36" s="28">
        <f t="shared" si="2"/>
        <v>2.776666666666666</v>
      </c>
      <c r="G36" s="28">
        <f t="shared" si="2"/>
        <v>92.518749999999997</v>
      </c>
      <c r="H36" s="28">
        <f t="shared" si="2"/>
        <v>58.105833333333329</v>
      </c>
      <c r="I36" s="28">
        <f t="shared" si="2"/>
        <v>0.29458333333333336</v>
      </c>
      <c r="J36" s="28">
        <f t="shared" si="2"/>
        <v>0.88166666666666682</v>
      </c>
      <c r="K36" s="28">
        <f t="shared" si="2"/>
        <v>131.04499999999999</v>
      </c>
      <c r="L36" s="28">
        <f t="shared" si="2"/>
        <v>18.485000000000003</v>
      </c>
      <c r="M36" s="28">
        <f t="shared" si="2"/>
        <v>86.333333333333329</v>
      </c>
      <c r="N36" s="28">
        <f t="shared" si="2"/>
        <v>41.579166666666659</v>
      </c>
      <c r="O36" s="28">
        <f t="shared" si="2"/>
        <v>0.083333333333333329</v>
      </c>
      <c r="P36" s="28">
        <f t="shared" si="2"/>
        <v>1.8816666666666668</v>
      </c>
      <c r="Q36" s="28">
        <f t="shared" si="2"/>
        <v>32.405416666666675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19.026814140590634</v>
      </c>
      <c r="C37" s="28">
        <f t="shared" si="3" ref="C37:Q37">STDEV(C9:C32)</f>
        <v>13.22781128170301</v>
      </c>
      <c r="D37" s="28">
        <f t="shared" si="3"/>
        <v>22.109568048140694</v>
      </c>
      <c r="E37" s="28">
        <f t="shared" si="3"/>
        <v>2.3481565001667519</v>
      </c>
      <c r="F37" s="28">
        <f t="shared" si="3"/>
        <v>1.9918260502595995</v>
      </c>
      <c r="G37" s="28">
        <f t="shared" si="3"/>
        <v>17.042368765878095</v>
      </c>
      <c r="H37" s="28">
        <f t="shared" si="3"/>
        <v>6.8357932122453695</v>
      </c>
      <c r="I37" s="28">
        <f t="shared" si="3"/>
        <v>0.064469687293410266</v>
      </c>
      <c r="J37" s="28">
        <f t="shared" si="3"/>
        <v>0.27910831101090872</v>
      </c>
      <c r="K37" s="28">
        <f t="shared" si="3"/>
        <v>122.12965156465627</v>
      </c>
      <c r="L37" s="28">
        <f t="shared" si="3"/>
        <v>0.70947010232070873</v>
      </c>
      <c r="M37" s="28">
        <f t="shared" si="3"/>
        <v>5.0188052160949068</v>
      </c>
      <c r="N37" s="28">
        <f t="shared" si="3"/>
        <v>25.698874601762263</v>
      </c>
      <c r="O37" s="28">
        <f t="shared" si="3"/>
        <v>0.15510632164580773</v>
      </c>
      <c r="P37" s="28">
        <f t="shared" si="3"/>
        <v>0.51019746106322539</v>
      </c>
      <c r="Q37" s="28">
        <f t="shared" si="3"/>
        <v>4.410285388741249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v>24</v>
      </c>
      <c r="G38" s="32">
        <v>24</v>
      </c>
      <c r="H38" s="32">
        <v>24</v>
      </c>
      <c r="I38" s="32"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09f2baa-8a0d-4522-9953-aff153cee9c2}">
  <sheetPr codeName=""/>
  <dimension ref="A1:U119"/>
  <sheetViews>
    <sheetView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05-01-2023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157</v>
      </c>
      <c r="B9" s="51">
        <v>30.11</v>
      </c>
      <c r="C9" s="51">
        <v>89.65</v>
      </c>
      <c r="D9" s="51">
        <v>73.62</v>
      </c>
      <c r="E9" s="51">
        <v>4.0599999999999996</v>
      </c>
      <c r="F9" s="51">
        <v>4.0199999999999996</v>
      </c>
      <c r="G9" s="51">
        <v>102.31</v>
      </c>
      <c r="H9" s="51">
        <v>64.25</v>
      </c>
      <c r="I9" s="51">
        <v>0.34</v>
      </c>
      <c r="J9" s="51">
        <v>0.62</v>
      </c>
      <c r="K9" s="51">
        <v>123.89</v>
      </c>
      <c r="L9" s="51">
        <v>17.690000000000001</v>
      </c>
      <c r="M9" s="51">
        <v>84</v>
      </c>
      <c r="N9" s="51">
        <v>25.30</v>
      </c>
      <c r="O9" s="51">
        <v>0</v>
      </c>
      <c r="P9" s="51">
        <v>2.06</v>
      </c>
      <c r="Q9" s="51">
        <v>35.21</v>
      </c>
      <c r="R9" s="43"/>
      <c r="S9" s="43"/>
      <c r="T9" s="43"/>
      <c r="U9" s="43"/>
    </row>
    <row r="10" spans="1:21" s="11" customFormat="1" ht="15">
      <c r="A10" s="50" t="s">
        <v>158</v>
      </c>
      <c r="B10" s="51">
        <v>24.22</v>
      </c>
      <c r="C10" s="51">
        <v>81.459999999999994</v>
      </c>
      <c r="D10" s="51">
        <v>64.38</v>
      </c>
      <c r="E10" s="51">
        <v>3.89</v>
      </c>
      <c r="F10" s="51">
        <v>4.21</v>
      </c>
      <c r="G10" s="51">
        <v>89.41</v>
      </c>
      <c r="H10" s="51">
        <v>63.35</v>
      </c>
      <c r="I10" s="51">
        <v>0.31</v>
      </c>
      <c r="J10" s="51">
        <v>0.33</v>
      </c>
      <c r="K10" s="51">
        <v>73.540000000000006</v>
      </c>
      <c r="L10" s="51">
        <v>17.46</v>
      </c>
      <c r="M10" s="51">
        <v>84</v>
      </c>
      <c r="N10" s="51">
        <v>25.30</v>
      </c>
      <c r="O10" s="51">
        <v>0</v>
      </c>
      <c r="P10" s="51">
        <v>1.83</v>
      </c>
      <c r="Q10" s="51">
        <v>34.46</v>
      </c>
      <c r="R10" s="43"/>
      <c r="S10" s="43"/>
      <c r="T10" s="43"/>
      <c r="U10" s="43"/>
    </row>
    <row r="11" spans="1:21" s="11" customFormat="1" ht="15">
      <c r="A11" s="50" t="s">
        <v>159</v>
      </c>
      <c r="B11" s="51">
        <v>18.079999999999998</v>
      </c>
      <c r="C11" s="51">
        <v>76.64</v>
      </c>
      <c r="D11" s="51">
        <v>56.80</v>
      </c>
      <c r="E11" s="51">
        <v>4.22</v>
      </c>
      <c r="F11" s="51">
        <v>4.16</v>
      </c>
      <c r="G11" s="51">
        <v>78.569999999999993</v>
      </c>
      <c r="H11" s="51">
        <v>59.11</v>
      </c>
      <c r="I11" s="51">
        <v>0.30</v>
      </c>
      <c r="J11" s="51">
        <v>0.68</v>
      </c>
      <c r="K11" s="51">
        <v>73.62</v>
      </c>
      <c r="L11" s="51">
        <v>16.86</v>
      </c>
      <c r="M11" s="51">
        <v>86</v>
      </c>
      <c r="N11" s="51">
        <v>25</v>
      </c>
      <c r="O11" s="51">
        <v>0</v>
      </c>
      <c r="P11" s="51">
        <v>1.70</v>
      </c>
      <c r="Q11" s="51">
        <v>36.32</v>
      </c>
      <c r="R11" s="43"/>
      <c r="S11" s="43"/>
      <c r="T11" s="43"/>
      <c r="U11" s="43"/>
    </row>
    <row r="12" spans="1:21" s="11" customFormat="1" ht="15">
      <c r="A12" s="50" t="s">
        <v>160</v>
      </c>
      <c r="B12" s="51">
        <v>12.77</v>
      </c>
      <c r="C12" s="51">
        <v>71.73</v>
      </c>
      <c r="D12" s="51">
        <v>49.83</v>
      </c>
      <c r="E12" s="51">
        <v>3.91</v>
      </c>
      <c r="F12" s="51">
        <v>4.0199999999999996</v>
      </c>
      <c r="G12" s="51">
        <v>70.040000000000006</v>
      </c>
      <c r="H12" s="51">
        <v>55.73</v>
      </c>
      <c r="I12" s="51">
        <v>0.26</v>
      </c>
      <c r="J12" s="51">
        <v>1.32</v>
      </c>
      <c r="K12" s="51">
        <v>31.60</v>
      </c>
      <c r="L12" s="51">
        <v>16.82</v>
      </c>
      <c r="M12" s="51">
        <v>84</v>
      </c>
      <c r="N12" s="51">
        <v>25</v>
      </c>
      <c r="O12" s="51">
        <v>0</v>
      </c>
      <c r="P12" s="51">
        <v>1.54</v>
      </c>
      <c r="Q12" s="51">
        <v>34.60</v>
      </c>
      <c r="R12" s="43"/>
      <c r="S12" s="43"/>
      <c r="T12" s="43"/>
      <c r="U12" s="43"/>
    </row>
    <row r="13" spans="1:21" s="11" customFormat="1" ht="15">
      <c r="A13" s="50" t="s">
        <v>161</v>
      </c>
      <c r="B13" s="51">
        <v>10.35</v>
      </c>
      <c r="C13" s="51">
        <v>71.64</v>
      </c>
      <c r="D13" s="51">
        <v>47.73</v>
      </c>
      <c r="E13" s="51">
        <v>3.55</v>
      </c>
      <c r="F13" s="51">
        <v>4.25</v>
      </c>
      <c r="G13" s="51">
        <v>78.72</v>
      </c>
      <c r="H13" s="51">
        <v>55.35</v>
      </c>
      <c r="I13" s="51">
        <v>0.22</v>
      </c>
      <c r="J13" s="51">
        <v>0.97</v>
      </c>
      <c r="K13" s="51">
        <v>43.80</v>
      </c>
      <c r="L13" s="51">
        <v>16.70</v>
      </c>
      <c r="M13" s="51">
        <v>85</v>
      </c>
      <c r="N13" s="51">
        <v>25.30</v>
      </c>
      <c r="O13" s="51">
        <v>0</v>
      </c>
      <c r="P13" s="51">
        <v>1.68</v>
      </c>
      <c r="Q13" s="51">
        <v>33.36</v>
      </c>
      <c r="R13" s="43"/>
      <c r="S13" s="43"/>
      <c r="T13" s="43"/>
      <c r="U13" s="43"/>
    </row>
    <row r="14" spans="1:21" s="11" customFormat="1" ht="15">
      <c r="A14" s="50" t="s">
        <v>162</v>
      </c>
      <c r="B14" s="51">
        <v>10.34</v>
      </c>
      <c r="C14" s="51">
        <v>70.069999999999993</v>
      </c>
      <c r="D14" s="51">
        <v>46.75</v>
      </c>
      <c r="E14" s="51">
        <v>3.42</v>
      </c>
      <c r="F14" s="51">
        <v>4.1500000000000004</v>
      </c>
      <c r="G14" s="51">
        <v>79.83</v>
      </c>
      <c r="H14" s="51">
        <v>56.87</v>
      </c>
      <c r="I14" s="51">
        <v>0.22</v>
      </c>
      <c r="J14" s="51">
        <v>1.1399999999999999</v>
      </c>
      <c r="K14" s="51">
        <v>28.97</v>
      </c>
      <c r="L14" s="51">
        <v>16.010000000000002</v>
      </c>
      <c r="M14" s="51">
        <v>87</v>
      </c>
      <c r="N14" s="51">
        <v>25</v>
      </c>
      <c r="O14" s="51">
        <v>0</v>
      </c>
      <c r="P14" s="51">
        <v>1.67</v>
      </c>
      <c r="Q14" s="51">
        <v>33.74</v>
      </c>
      <c r="R14" s="43"/>
      <c r="S14" s="43"/>
      <c r="T14" s="43"/>
      <c r="U14" s="43"/>
    </row>
    <row r="15" spans="1:21" s="11" customFormat="1" ht="15">
      <c r="A15" s="50" t="s">
        <v>163</v>
      </c>
      <c r="B15" s="51">
        <v>12.34</v>
      </c>
      <c r="C15" s="51">
        <v>70.510000000000005</v>
      </c>
      <c r="D15" s="51">
        <v>48.81</v>
      </c>
      <c r="E15" s="51">
        <v>3.04</v>
      </c>
      <c r="F15" s="51">
        <v>4.05</v>
      </c>
      <c r="G15" s="51">
        <v>79.819999999999993</v>
      </c>
      <c r="H15" s="51">
        <v>56.47</v>
      </c>
      <c r="I15" s="51">
        <v>0.21</v>
      </c>
      <c r="J15" s="51">
        <v>0.81</v>
      </c>
      <c r="K15" s="51">
        <v>30.17</v>
      </c>
      <c r="L15" s="51">
        <v>16.07</v>
      </c>
      <c r="M15" s="51">
        <v>87</v>
      </c>
      <c r="N15" s="51">
        <v>31.40</v>
      </c>
      <c r="O15" s="51">
        <v>0</v>
      </c>
      <c r="P15" s="51">
        <v>1.56</v>
      </c>
      <c r="Q15" s="51">
        <v>34.25</v>
      </c>
      <c r="R15" s="43"/>
      <c r="S15" s="43"/>
      <c r="T15" s="43"/>
      <c r="U15" s="43"/>
    </row>
    <row r="16" spans="1:21" s="11" customFormat="1" ht="15">
      <c r="A16" s="50" t="s">
        <v>164</v>
      </c>
      <c r="B16" s="51">
        <v>16.12</v>
      </c>
      <c r="C16" s="51">
        <v>72.20</v>
      </c>
      <c r="D16" s="51">
        <v>52.77</v>
      </c>
      <c r="E16" s="51">
        <v>3.24</v>
      </c>
      <c r="F16" s="51">
        <v>4.1500000000000004</v>
      </c>
      <c r="G16" s="51">
        <v>82.51</v>
      </c>
      <c r="H16" s="51">
        <v>57.61</v>
      </c>
      <c r="I16" s="51">
        <v>0.19</v>
      </c>
      <c r="J16" s="51">
        <v>1.0900000000000001</v>
      </c>
      <c r="K16" s="51">
        <v>24.44</v>
      </c>
      <c r="L16" s="51">
        <v>16.489999999999998</v>
      </c>
      <c r="M16" s="51">
        <v>85</v>
      </c>
      <c r="N16" s="51">
        <v>106.30</v>
      </c>
      <c r="O16" s="51">
        <v>0</v>
      </c>
      <c r="P16" s="51">
        <v>1.5</v>
      </c>
      <c r="Q16" s="51">
        <v>33.21</v>
      </c>
      <c r="R16" s="43"/>
      <c r="S16" s="43"/>
      <c r="T16" s="43"/>
      <c r="U16" s="43"/>
    </row>
    <row r="17" spans="1:21" s="11" customFormat="1" ht="15">
      <c r="A17" s="50" t="s">
        <v>165</v>
      </c>
      <c r="B17" s="51">
        <v>20.52</v>
      </c>
      <c r="C17" s="51">
        <v>75.37</v>
      </c>
      <c r="D17" s="51">
        <v>57.93</v>
      </c>
      <c r="E17" s="51">
        <v>3.66</v>
      </c>
      <c r="F17" s="51">
        <v>4.25</v>
      </c>
      <c r="G17" s="51">
        <v>87.48</v>
      </c>
      <c r="H17" s="51">
        <v>57.5</v>
      </c>
      <c r="I17" s="51">
        <v>0.21</v>
      </c>
      <c r="J17" s="51">
        <v>0.98</v>
      </c>
      <c r="K17" s="51">
        <v>36.340000000000003</v>
      </c>
      <c r="L17" s="51">
        <v>18.14</v>
      </c>
      <c r="M17" s="51">
        <v>81</v>
      </c>
      <c r="N17" s="51">
        <v>232.40</v>
      </c>
      <c r="O17" s="51">
        <v>0</v>
      </c>
      <c r="P17" s="51">
        <v>1.53</v>
      </c>
      <c r="Q17" s="51">
        <v>32.450000000000003</v>
      </c>
      <c r="R17" s="43"/>
      <c r="S17" s="43"/>
      <c r="T17" s="43"/>
      <c r="U17" s="43"/>
    </row>
    <row r="18" spans="1:21" s="11" customFormat="1" ht="15">
      <c r="A18" s="50" t="s">
        <v>166</v>
      </c>
      <c r="B18" s="51">
        <v>21.03</v>
      </c>
      <c r="C18" s="51">
        <v>78.98</v>
      </c>
      <c r="D18" s="51">
        <v>60.26</v>
      </c>
      <c r="E18" s="51">
        <v>3.75</v>
      </c>
      <c r="F18" s="51">
        <v>4.24</v>
      </c>
      <c r="G18" s="51">
        <v>86.92</v>
      </c>
      <c r="H18" s="51">
        <v>58.46</v>
      </c>
      <c r="I18" s="51">
        <v>0.21</v>
      </c>
      <c r="J18" s="51">
        <v>1.06</v>
      </c>
      <c r="K18" s="51">
        <v>113.72</v>
      </c>
      <c r="L18" s="51">
        <v>19.079999999999998</v>
      </c>
      <c r="M18" s="51">
        <v>75</v>
      </c>
      <c r="N18" s="51">
        <v>374.60</v>
      </c>
      <c r="O18" s="51">
        <v>0</v>
      </c>
      <c r="P18" s="51">
        <v>1.54</v>
      </c>
      <c r="Q18" s="51">
        <v>37.75</v>
      </c>
      <c r="R18" s="43"/>
      <c r="S18" s="43"/>
      <c r="T18" s="43"/>
      <c r="U18" s="43"/>
    </row>
    <row r="19" spans="1:21" s="11" customFormat="1" ht="15">
      <c r="A19" s="50" t="s">
        <v>167</v>
      </c>
      <c r="B19" s="51">
        <v>22.23</v>
      </c>
      <c r="C19" s="51">
        <v>88.88</v>
      </c>
      <c r="D19" s="51">
        <v>65.66</v>
      </c>
      <c r="E19" s="51">
        <v>4.8899999999999997</v>
      </c>
      <c r="F19" s="51">
        <v>4.58</v>
      </c>
      <c r="G19" s="51">
        <v>84.75</v>
      </c>
      <c r="H19" s="51">
        <v>57.65</v>
      </c>
      <c r="I19" s="51">
        <v>0.22</v>
      </c>
      <c r="J19" s="51">
        <v>1.20</v>
      </c>
      <c r="K19" s="51">
        <v>84.39</v>
      </c>
      <c r="L19" s="51">
        <v>22.37</v>
      </c>
      <c r="M19" s="51">
        <v>69</v>
      </c>
      <c r="N19" s="51">
        <v>446.10</v>
      </c>
      <c r="O19" s="51">
        <v>0</v>
      </c>
      <c r="P19" s="51">
        <v>1.60</v>
      </c>
      <c r="Q19" s="51">
        <v>38.049999999999997</v>
      </c>
      <c r="R19" s="43"/>
      <c r="S19" s="43"/>
      <c r="T19" s="43"/>
      <c r="U19" s="43"/>
    </row>
    <row r="20" spans="1:21" s="11" customFormat="1" ht="15">
      <c r="A20" s="50" t="s">
        <v>168</v>
      </c>
      <c r="B20" s="51">
        <v>17.309999999999999</v>
      </c>
      <c r="C20" s="51">
        <v>88.91</v>
      </c>
      <c r="D20" s="51">
        <v>62.94</v>
      </c>
      <c r="E20" s="58" t="s">
        <v>12</v>
      </c>
      <c r="F20" s="51">
        <v>3.92</v>
      </c>
      <c r="G20" s="58" t="s">
        <v>12</v>
      </c>
      <c r="H20" s="58" t="s">
        <v>12</v>
      </c>
      <c r="I20" s="51">
        <v>0.21</v>
      </c>
      <c r="J20" s="51">
        <v>1.25</v>
      </c>
      <c r="K20" s="51">
        <v>136.84</v>
      </c>
      <c r="L20" s="51">
        <v>22.20</v>
      </c>
      <c r="M20" s="51">
        <v>67</v>
      </c>
      <c r="N20" s="51">
        <v>508.10</v>
      </c>
      <c r="O20" s="51">
        <v>0</v>
      </c>
      <c r="P20" s="51">
        <v>1.53</v>
      </c>
      <c r="Q20" s="51">
        <v>30.07</v>
      </c>
      <c r="R20" s="43"/>
      <c r="S20" s="43"/>
      <c r="T20" s="43"/>
      <c r="U20" s="43"/>
    </row>
    <row r="21" spans="1:21" s="11" customFormat="1" ht="15">
      <c r="A21" s="50" t="s">
        <v>169</v>
      </c>
      <c r="B21" s="51">
        <v>8.9600000000000009</v>
      </c>
      <c r="C21" s="51">
        <v>89.15</v>
      </c>
      <c r="D21" s="51">
        <v>52.84</v>
      </c>
      <c r="E21" s="51">
        <v>4.80</v>
      </c>
      <c r="F21" s="51">
        <v>4.43</v>
      </c>
      <c r="G21" s="58" t="s">
        <v>12</v>
      </c>
      <c r="H21" s="58" t="s">
        <v>12</v>
      </c>
      <c r="I21" s="51">
        <v>0.15</v>
      </c>
      <c r="J21" s="51">
        <v>0.90</v>
      </c>
      <c r="K21" s="51">
        <v>90.01</v>
      </c>
      <c r="L21" s="51">
        <v>25.23</v>
      </c>
      <c r="M21" s="51">
        <v>63</v>
      </c>
      <c r="N21" s="51">
        <v>515.5</v>
      </c>
      <c r="O21" s="51">
        <v>0</v>
      </c>
      <c r="P21" s="53" t="s">
        <v>8</v>
      </c>
      <c r="Q21" s="51">
        <v>29.23</v>
      </c>
      <c r="R21" s="43"/>
      <c r="S21" s="43"/>
      <c r="T21" s="43"/>
      <c r="U21" s="43"/>
    </row>
    <row r="22" spans="1:21" s="11" customFormat="1" ht="15">
      <c r="A22" s="50" t="s">
        <v>170</v>
      </c>
      <c r="B22" s="51">
        <v>5.17</v>
      </c>
      <c r="C22" s="51">
        <v>85.69</v>
      </c>
      <c r="D22" s="51">
        <v>51.05</v>
      </c>
      <c r="E22" s="51">
        <v>6.06</v>
      </c>
      <c r="F22" s="51">
        <v>3.51</v>
      </c>
      <c r="G22" s="51">
        <v>106.36</v>
      </c>
      <c r="H22" s="51">
        <v>45.77</v>
      </c>
      <c r="I22" s="51">
        <v>0.16</v>
      </c>
      <c r="J22" s="51">
        <v>0.68</v>
      </c>
      <c r="K22" s="51">
        <v>76.680000000000007</v>
      </c>
      <c r="L22" s="51">
        <v>25.03</v>
      </c>
      <c r="M22" s="51">
        <v>59</v>
      </c>
      <c r="N22" s="51">
        <v>454.20</v>
      </c>
      <c r="O22" s="51">
        <v>0</v>
      </c>
      <c r="P22" s="53" t="s">
        <v>8</v>
      </c>
      <c r="Q22" s="51">
        <v>31.83</v>
      </c>
      <c r="R22" s="43"/>
      <c r="S22" s="43"/>
      <c r="T22" s="43"/>
      <c r="U22" s="43"/>
    </row>
    <row r="23" spans="1:21" s="11" customFormat="1" ht="15">
      <c r="A23" s="50" t="s">
        <v>171</v>
      </c>
      <c r="B23" s="51">
        <v>6.15</v>
      </c>
      <c r="C23" s="51">
        <v>75.849999999999994</v>
      </c>
      <c r="D23" s="51">
        <v>45.44</v>
      </c>
      <c r="E23" s="51">
        <v>9.99</v>
      </c>
      <c r="F23" s="51">
        <v>10.39</v>
      </c>
      <c r="G23" s="51">
        <v>106.36</v>
      </c>
      <c r="H23" s="51">
        <v>50.28</v>
      </c>
      <c r="I23" s="51">
        <v>0.15</v>
      </c>
      <c r="J23" s="51">
        <v>0.98</v>
      </c>
      <c r="K23" s="51">
        <v>129.55000000000001</v>
      </c>
      <c r="L23" s="51">
        <v>26.16</v>
      </c>
      <c r="M23" s="51">
        <v>60</v>
      </c>
      <c r="N23" s="51">
        <v>359.10</v>
      </c>
      <c r="O23" s="51">
        <v>0</v>
      </c>
      <c r="P23" s="53" t="s">
        <v>8</v>
      </c>
      <c r="Q23" s="51">
        <v>34.28</v>
      </c>
      <c r="R23" s="43"/>
      <c r="S23" s="43"/>
      <c r="T23" s="43"/>
      <c r="U23" s="43"/>
    </row>
    <row r="24" spans="1:21" s="11" customFormat="1" ht="15">
      <c r="A24" s="50" t="s">
        <v>172</v>
      </c>
      <c r="B24" s="51">
        <v>8.86</v>
      </c>
      <c r="C24" s="51">
        <v>89.35</v>
      </c>
      <c r="D24" s="51">
        <v>55.82</v>
      </c>
      <c r="E24" s="51">
        <v>11.88</v>
      </c>
      <c r="F24" s="51">
        <v>17.329999999999998</v>
      </c>
      <c r="G24" s="51">
        <v>106.31</v>
      </c>
      <c r="H24" s="51">
        <v>50.28</v>
      </c>
      <c r="I24" s="51">
        <v>0.14000000000000001</v>
      </c>
      <c r="J24" s="51">
        <v>0.84</v>
      </c>
      <c r="K24" s="51">
        <v>58.08</v>
      </c>
      <c r="L24" s="51">
        <v>25.60</v>
      </c>
      <c r="M24" s="51">
        <v>60</v>
      </c>
      <c r="N24" s="51">
        <v>225.70</v>
      </c>
      <c r="O24" s="51">
        <v>0</v>
      </c>
      <c r="P24" s="53" t="s">
        <v>8</v>
      </c>
      <c r="Q24" s="51">
        <v>30.01</v>
      </c>
      <c r="R24" s="43"/>
      <c r="S24" s="43"/>
      <c r="T24" s="43"/>
      <c r="U24" s="43"/>
    </row>
    <row r="25" spans="1:21" s="11" customFormat="1" ht="15">
      <c r="A25" s="50" t="s">
        <v>173</v>
      </c>
      <c r="B25" s="51">
        <v>8.61</v>
      </c>
      <c r="C25" s="51">
        <v>98.83</v>
      </c>
      <c r="D25" s="51">
        <v>61.26</v>
      </c>
      <c r="E25" s="51">
        <v>14.35</v>
      </c>
      <c r="F25" s="51">
        <v>5.0999999999999996</v>
      </c>
      <c r="G25" s="51">
        <v>98.99</v>
      </c>
      <c r="H25" s="51">
        <v>54.18</v>
      </c>
      <c r="I25" s="51">
        <v>0.16</v>
      </c>
      <c r="J25" s="51">
        <v>1.37</v>
      </c>
      <c r="K25" s="51">
        <v>351.58</v>
      </c>
      <c r="L25" s="51">
        <v>24.5</v>
      </c>
      <c r="M25" s="51">
        <v>64</v>
      </c>
      <c r="N25" s="51">
        <v>89.20</v>
      </c>
      <c r="O25" s="51">
        <v>0</v>
      </c>
      <c r="P25" s="53" t="s">
        <v>8</v>
      </c>
      <c r="Q25" s="51">
        <v>32.369999999999997</v>
      </c>
      <c r="R25" s="43"/>
      <c r="S25" s="43"/>
      <c r="T25" s="43"/>
      <c r="U25" s="43"/>
    </row>
    <row r="26" spans="1:21" s="11" customFormat="1" ht="15">
      <c r="A26" s="50" t="s">
        <v>174</v>
      </c>
      <c r="B26" s="51">
        <v>7.04</v>
      </c>
      <c r="C26" s="51">
        <v>98.05</v>
      </c>
      <c r="D26" s="51">
        <v>59.76</v>
      </c>
      <c r="E26" s="51">
        <v>4.24</v>
      </c>
      <c r="F26" s="51">
        <v>1.93</v>
      </c>
      <c r="G26" s="51">
        <v>102.83</v>
      </c>
      <c r="H26" s="51">
        <v>56.32</v>
      </c>
      <c r="I26" s="51">
        <v>0.17</v>
      </c>
      <c r="J26" s="51">
        <v>1.1599999999999999</v>
      </c>
      <c r="K26" s="51">
        <v>350.69</v>
      </c>
      <c r="L26" s="51">
        <v>22.53</v>
      </c>
      <c r="M26" s="51">
        <v>69</v>
      </c>
      <c r="N26" s="51">
        <v>38.60</v>
      </c>
      <c r="O26" s="51">
        <v>0</v>
      </c>
      <c r="P26" s="53" t="s">
        <v>8</v>
      </c>
      <c r="Q26" s="51">
        <v>33.89</v>
      </c>
      <c r="R26" s="43"/>
      <c r="S26" s="43"/>
      <c r="T26" s="43"/>
      <c r="U26" s="43"/>
    </row>
    <row r="27" spans="1:21" s="11" customFormat="1" ht="15">
      <c r="A27" s="50" t="s">
        <v>175</v>
      </c>
      <c r="B27" s="51">
        <v>9.8699999999999992</v>
      </c>
      <c r="C27" s="51">
        <v>97.46</v>
      </c>
      <c r="D27" s="51">
        <v>61.63</v>
      </c>
      <c r="E27" s="51">
        <v>3.13</v>
      </c>
      <c r="F27" s="51">
        <v>0.64</v>
      </c>
      <c r="G27" s="51">
        <v>109.87</v>
      </c>
      <c r="H27" s="51">
        <v>59.78</v>
      </c>
      <c r="I27" s="51">
        <v>0.23</v>
      </c>
      <c r="J27" s="51">
        <v>1.44</v>
      </c>
      <c r="K27" s="51">
        <v>20.16</v>
      </c>
      <c r="L27" s="51">
        <v>21.47</v>
      </c>
      <c r="M27" s="51">
        <v>70</v>
      </c>
      <c r="N27" s="51">
        <v>24.70</v>
      </c>
      <c r="O27" s="51">
        <v>0</v>
      </c>
      <c r="P27" s="53" t="s">
        <v>8</v>
      </c>
      <c r="Q27" s="51">
        <v>34.299999999999997</v>
      </c>
      <c r="R27" s="43"/>
      <c r="S27" s="43"/>
      <c r="T27" s="43"/>
      <c r="U27" s="43"/>
    </row>
    <row r="28" spans="1:21" s="11" customFormat="1" ht="15">
      <c r="A28" s="50" t="s">
        <v>176</v>
      </c>
      <c r="B28" s="51">
        <v>14.03</v>
      </c>
      <c r="C28" s="51">
        <v>100.5</v>
      </c>
      <c r="D28" s="51">
        <v>66.72</v>
      </c>
      <c r="E28" s="51">
        <v>4.05</v>
      </c>
      <c r="F28" s="51">
        <v>0.40</v>
      </c>
      <c r="G28" s="51">
        <v>119.01</v>
      </c>
      <c r="H28" s="51">
        <v>65.42</v>
      </c>
      <c r="I28" s="51">
        <v>0.28999999999999998</v>
      </c>
      <c r="J28" s="51">
        <v>1.22</v>
      </c>
      <c r="K28" s="51">
        <v>21.72</v>
      </c>
      <c r="L28" s="51">
        <v>21.01</v>
      </c>
      <c r="M28" s="51">
        <v>70</v>
      </c>
      <c r="N28" s="51">
        <v>25</v>
      </c>
      <c r="O28" s="51">
        <v>0</v>
      </c>
      <c r="P28" s="53" t="s">
        <v>8</v>
      </c>
      <c r="Q28" s="51">
        <v>35.29</v>
      </c>
      <c r="R28" s="43"/>
      <c r="S28" s="43"/>
      <c r="T28" s="43"/>
      <c r="U28" s="43"/>
    </row>
    <row r="29" spans="1:21" s="11" customFormat="1" ht="15">
      <c r="A29" s="50" t="s">
        <v>177</v>
      </c>
      <c r="B29" s="51">
        <v>17.45</v>
      </c>
      <c r="C29" s="51">
        <v>104.53</v>
      </c>
      <c r="D29" s="51">
        <v>71.680000000000007</v>
      </c>
      <c r="E29" s="51">
        <v>2.94</v>
      </c>
      <c r="F29" s="51">
        <v>0.14000000000000001</v>
      </c>
      <c r="G29" s="51">
        <v>123.30</v>
      </c>
      <c r="H29" s="51">
        <v>66.680000000000007</v>
      </c>
      <c r="I29" s="51">
        <v>0.34</v>
      </c>
      <c r="J29" s="51">
        <v>0.85</v>
      </c>
      <c r="K29" s="51">
        <v>24.49</v>
      </c>
      <c r="L29" s="51">
        <v>20.97</v>
      </c>
      <c r="M29" s="51">
        <v>69</v>
      </c>
      <c r="N29" s="51">
        <v>25.20</v>
      </c>
      <c r="O29" s="51">
        <v>0</v>
      </c>
      <c r="P29" s="53" t="s">
        <v>8</v>
      </c>
      <c r="Q29" s="51">
        <v>38.65</v>
      </c>
      <c r="R29" s="43"/>
      <c r="S29" s="43"/>
      <c r="T29" s="43"/>
      <c r="U29" s="43"/>
    </row>
    <row r="30" spans="1:21" s="11" customFormat="1" ht="15">
      <c r="A30" s="50" t="s">
        <v>178</v>
      </c>
      <c r="B30" s="51">
        <v>19.11</v>
      </c>
      <c r="C30" s="51">
        <v>104.51</v>
      </c>
      <c r="D30" s="51">
        <v>72.540000000000006</v>
      </c>
      <c r="E30" s="51">
        <v>4.08</v>
      </c>
      <c r="F30" s="51">
        <v>1.08</v>
      </c>
      <c r="G30" s="51">
        <v>124.5</v>
      </c>
      <c r="H30" s="51">
        <v>66.680000000000007</v>
      </c>
      <c r="I30" s="51">
        <v>0.35</v>
      </c>
      <c r="J30" s="51">
        <v>0.93</v>
      </c>
      <c r="K30" s="51">
        <v>23.90</v>
      </c>
      <c r="L30" s="51">
        <v>20.66</v>
      </c>
      <c r="M30" s="51">
        <v>70</v>
      </c>
      <c r="N30" s="51">
        <v>25</v>
      </c>
      <c r="O30" s="51">
        <v>0</v>
      </c>
      <c r="P30" s="53" t="s">
        <v>8</v>
      </c>
      <c r="Q30" s="51">
        <v>39.840000000000003</v>
      </c>
      <c r="R30" s="43"/>
      <c r="S30" s="43"/>
      <c r="T30" s="43"/>
      <c r="U30" s="43"/>
    </row>
    <row r="31" spans="1:21" s="11" customFormat="1" ht="15">
      <c r="A31" s="50" t="s">
        <v>179</v>
      </c>
      <c r="B31" s="51">
        <v>18.100000000000001</v>
      </c>
      <c r="C31" s="51">
        <v>96.52</v>
      </c>
      <c r="D31" s="51">
        <v>67.78</v>
      </c>
      <c r="E31" s="51">
        <v>3.28</v>
      </c>
      <c r="F31" s="51">
        <v>0.42</v>
      </c>
      <c r="G31" s="51">
        <v>124.5</v>
      </c>
      <c r="H31" s="51">
        <v>65.80</v>
      </c>
      <c r="I31" s="51">
        <v>0.35</v>
      </c>
      <c r="J31" s="51">
        <v>0.95</v>
      </c>
      <c r="K31" s="51">
        <v>77.97</v>
      </c>
      <c r="L31" s="51">
        <v>20.09</v>
      </c>
      <c r="M31" s="51">
        <v>73</v>
      </c>
      <c r="N31" s="51">
        <v>25</v>
      </c>
      <c r="O31" s="51">
        <v>0</v>
      </c>
      <c r="P31" s="53" t="s">
        <v>8</v>
      </c>
      <c r="Q31" s="51">
        <v>37.770000000000003</v>
      </c>
      <c r="R31" s="43"/>
      <c r="S31" s="43"/>
      <c r="T31" s="43"/>
      <c r="U31" s="43"/>
    </row>
    <row r="32" spans="1:21" s="11" customFormat="1" ht="15">
      <c r="A32" s="50" t="s">
        <v>180</v>
      </c>
      <c r="B32" s="51">
        <v>17.04</v>
      </c>
      <c r="C32" s="51">
        <v>91.57</v>
      </c>
      <c r="D32" s="51">
        <v>64.05</v>
      </c>
      <c r="E32" s="51">
        <v>3.07</v>
      </c>
      <c r="F32" s="51">
        <v>0.04</v>
      </c>
      <c r="G32" s="51">
        <v>118.47</v>
      </c>
      <c r="H32" s="51">
        <v>65.80</v>
      </c>
      <c r="I32" s="51">
        <v>0.34</v>
      </c>
      <c r="J32" s="51">
        <v>0.35</v>
      </c>
      <c r="K32" s="51">
        <v>57.44</v>
      </c>
      <c r="L32" s="51">
        <v>19.14</v>
      </c>
      <c r="M32" s="51">
        <v>76</v>
      </c>
      <c r="N32" s="51">
        <v>24.90</v>
      </c>
      <c r="O32" s="51">
        <v>0</v>
      </c>
      <c r="P32" s="53" t="s">
        <v>8</v>
      </c>
      <c r="Q32" s="51">
        <v>41.87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5.1699999999999999</v>
      </c>
      <c r="C34" s="28">
        <f t="shared" si="0"/>
        <v>70.069999999999993</v>
      </c>
      <c r="D34" s="28">
        <f t="shared" si="0"/>
        <v>45.439999999999998</v>
      </c>
      <c r="E34" s="28">
        <f t="shared" si="0"/>
        <v>2.9399999999999999</v>
      </c>
      <c r="F34" s="28">
        <f t="shared" si="0"/>
        <v>0.040000000000000001</v>
      </c>
      <c r="G34" s="28">
        <f t="shared" si="0"/>
        <v>70.040000000000006</v>
      </c>
      <c r="H34" s="28">
        <f t="shared" si="0"/>
        <v>45.770000000000003</v>
      </c>
      <c r="I34" s="28">
        <f t="shared" si="0"/>
        <v>0.14000000000000001</v>
      </c>
      <c r="J34" s="28">
        <f t="shared" si="0"/>
        <v>0.33000000000000002</v>
      </c>
      <c r="K34" s="28">
        <f t="shared" si="0"/>
        <v>20.16</v>
      </c>
      <c r="L34" s="28">
        <f t="shared" si="0"/>
        <v>16.010000000000002</v>
      </c>
      <c r="M34" s="28">
        <f t="shared" si="0"/>
        <v>59</v>
      </c>
      <c r="N34" s="28">
        <f t="shared" si="0"/>
        <v>24.699999999999999</v>
      </c>
      <c r="O34" s="28">
        <f t="shared" si="0"/>
        <v>0</v>
      </c>
      <c r="P34" s="28">
        <f t="shared" si="0"/>
        <v>1.5</v>
      </c>
      <c r="Q34" s="28">
        <f t="shared" si="0"/>
        <v>29.23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30.109999999999999</v>
      </c>
      <c r="C35" s="29">
        <f t="shared" si="1"/>
        <v>104.53</v>
      </c>
      <c r="D35" s="29">
        <f t="shared" si="1"/>
        <v>73.620000000000005</v>
      </c>
      <c r="E35" s="29">
        <f t="shared" si="1"/>
        <v>14.35</v>
      </c>
      <c r="F35" s="29">
        <f t="shared" si="1"/>
        <v>17.329999999999998</v>
      </c>
      <c r="G35" s="29">
        <f t="shared" si="1"/>
        <v>124.5</v>
      </c>
      <c r="H35" s="29">
        <f t="shared" si="1"/>
        <v>66.680000000000007</v>
      </c>
      <c r="I35" s="29">
        <f t="shared" si="1"/>
        <v>0.34999999999999998</v>
      </c>
      <c r="J35" s="29">
        <f t="shared" si="1"/>
        <v>1.4399999999999999</v>
      </c>
      <c r="K35" s="29">
        <f t="shared" si="1"/>
        <v>351.57999999999998</v>
      </c>
      <c r="L35" s="29">
        <f t="shared" si="1"/>
        <v>26.16</v>
      </c>
      <c r="M35" s="29">
        <f t="shared" si="1"/>
        <v>87</v>
      </c>
      <c r="N35" s="29">
        <f t="shared" si="1"/>
        <v>515.5</v>
      </c>
      <c r="O35" s="29">
        <f t="shared" si="1"/>
        <v>0</v>
      </c>
      <c r="P35" s="29">
        <f t="shared" si="1"/>
        <v>2.0600000000000001</v>
      </c>
      <c r="Q35" s="29">
        <f t="shared" si="1"/>
        <v>41.869999999999997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14.825416666666669</v>
      </c>
      <c r="C36" s="28">
        <f t="shared" si="2"/>
        <v>86.168749999999989</v>
      </c>
      <c r="D36" s="28">
        <f t="shared" si="2"/>
        <v>59.085416666666667</v>
      </c>
      <c r="E36" s="28">
        <f t="shared" si="2"/>
        <v>4.9347826086956506</v>
      </c>
      <c r="F36" s="28">
        <f t="shared" si="2"/>
        <v>3.9754166666666677</v>
      </c>
      <c r="G36" s="28">
        <f t="shared" si="2"/>
        <v>98.220909090909061</v>
      </c>
      <c r="H36" s="28">
        <f t="shared" si="2"/>
        <v>58.606363636363632</v>
      </c>
      <c r="I36" s="28">
        <f t="shared" si="2"/>
        <v>0.23874999999999999</v>
      </c>
      <c r="J36" s="28">
        <f t="shared" si="2"/>
        <v>0.96333333333333337</v>
      </c>
      <c r="K36" s="28">
        <f t="shared" si="2"/>
        <v>86.816250000000011</v>
      </c>
      <c r="L36" s="28">
        <f t="shared" si="2"/>
        <v>20.345000000000002</v>
      </c>
      <c r="M36" s="28">
        <f t="shared" si="2"/>
        <v>74.041666666666671</v>
      </c>
      <c r="N36" s="28">
        <f t="shared" si="2"/>
        <v>153.41249999999997</v>
      </c>
      <c r="O36" s="28">
        <f t="shared" si="2"/>
        <v>0</v>
      </c>
      <c r="P36" s="28">
        <f t="shared" si="2"/>
        <v>1.6450000000000002</v>
      </c>
      <c r="Q36" s="28">
        <f t="shared" si="2"/>
        <v>34.699999999999996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6.3259541154686252</v>
      </c>
      <c r="C37" s="28">
        <f t="shared" si="3" ref="C37:Q37">STDEV(C9:C32)</f>
        <v>11.41551282913629</v>
      </c>
      <c r="D37" s="28">
        <f t="shared" si="3"/>
        <v>8.4127703027402205</v>
      </c>
      <c r="E37" s="28">
        <f t="shared" si="3"/>
        <v>2.9870445557215302</v>
      </c>
      <c r="F37" s="28">
        <f t="shared" si="3"/>
        <v>3.6190522169865615</v>
      </c>
      <c r="G37" s="28">
        <f t="shared" si="3"/>
        <v>17.197685865668305</v>
      </c>
      <c r="H37" s="28">
        <f t="shared" si="3"/>
        <v>5.749251334660098</v>
      </c>
      <c r="I37" s="28">
        <f t="shared" si="3"/>
        <v>0.07128098105995434</v>
      </c>
      <c r="J37" s="28">
        <f t="shared" si="3"/>
        <v>0.28985253622078788</v>
      </c>
      <c r="K37" s="28">
        <f t="shared" si="3"/>
        <v>89.152703722199362</v>
      </c>
      <c r="L37" s="28">
        <f t="shared" si="3"/>
        <v>3.3110920305516216</v>
      </c>
      <c r="M37" s="28">
        <f t="shared" si="3"/>
        <v>9.5301770897669709</v>
      </c>
      <c r="N37" s="28">
        <f t="shared" si="3"/>
        <v>182.71563868362563</v>
      </c>
      <c r="O37" s="28">
        <f t="shared" si="3"/>
        <v>0</v>
      </c>
      <c r="P37" s="28">
        <f t="shared" si="3"/>
        <v>0.16239682038983175</v>
      </c>
      <c r="Q37" s="28">
        <f t="shared" si="3"/>
        <v>3.1269904965025699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>COUNT(E9:E32)+1</f>
        <v>24</v>
      </c>
      <c r="F38" s="32">
        <f t="shared" si="4"/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COUNT(P9:P32)+12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89d5f9-dbe6-46cd-9f54-4a343e8bbea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3.5714285714286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06-01-2023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181</v>
      </c>
      <c r="B9" s="51">
        <v>15.01</v>
      </c>
      <c r="C9" s="51">
        <v>89.84</v>
      </c>
      <c r="D9" s="51">
        <v>61.08</v>
      </c>
      <c r="E9" s="51">
        <v>2.87</v>
      </c>
      <c r="F9" s="51">
        <v>0.10</v>
      </c>
      <c r="G9" s="51">
        <v>109.84</v>
      </c>
      <c r="H9" s="51">
        <v>64.17</v>
      </c>
      <c r="I9" s="51">
        <v>0.33</v>
      </c>
      <c r="J9" s="51">
        <v>0.79</v>
      </c>
      <c r="K9" s="51">
        <v>76.75</v>
      </c>
      <c r="L9" s="51">
        <v>18.5</v>
      </c>
      <c r="M9" s="51">
        <v>77</v>
      </c>
      <c r="N9" s="51">
        <v>24.80</v>
      </c>
      <c r="O9" s="51">
        <v>0</v>
      </c>
      <c r="P9" s="53" t="s">
        <v>8</v>
      </c>
      <c r="Q9" s="51">
        <v>41.23</v>
      </c>
      <c r="R9" s="43"/>
      <c r="S9" s="43"/>
      <c r="T9" s="43"/>
      <c r="U9" s="43"/>
    </row>
    <row r="10" spans="1:21" s="11" customFormat="1" ht="15">
      <c r="A10" s="50" t="s">
        <v>182</v>
      </c>
      <c r="B10" s="51">
        <v>13.39</v>
      </c>
      <c r="C10" s="51">
        <v>84.26</v>
      </c>
      <c r="D10" s="51">
        <v>55.96</v>
      </c>
      <c r="E10" s="51">
        <v>2.87</v>
      </c>
      <c r="F10" s="51">
        <v>0.54</v>
      </c>
      <c r="G10" s="51">
        <v>104.83</v>
      </c>
      <c r="H10" s="51">
        <v>58.18</v>
      </c>
      <c r="I10" s="51">
        <v>0.28999999999999998</v>
      </c>
      <c r="J10" s="51">
        <v>1.1599999999999999</v>
      </c>
      <c r="K10" s="51">
        <v>27.98</v>
      </c>
      <c r="L10" s="51">
        <v>18.37</v>
      </c>
      <c r="M10" s="51">
        <v>75</v>
      </c>
      <c r="N10" s="51">
        <v>24.90</v>
      </c>
      <c r="O10" s="51">
        <v>0</v>
      </c>
      <c r="P10" s="53" t="s">
        <v>8</v>
      </c>
      <c r="Q10" s="51">
        <v>39.83</v>
      </c>
      <c r="R10" s="43"/>
      <c r="S10" s="43"/>
      <c r="T10" s="43"/>
      <c r="U10" s="43"/>
    </row>
    <row r="11" spans="1:21" s="11" customFormat="1" ht="15">
      <c r="A11" s="50" t="s">
        <v>183</v>
      </c>
      <c r="B11" s="51">
        <v>9.8000000000000007</v>
      </c>
      <c r="C11" s="51">
        <v>81.319999999999993</v>
      </c>
      <c r="D11" s="51">
        <v>52.74</v>
      </c>
      <c r="E11" s="51">
        <v>2.97</v>
      </c>
      <c r="F11" s="51">
        <v>0.34</v>
      </c>
      <c r="G11" s="51">
        <v>97.16</v>
      </c>
      <c r="H11" s="51">
        <v>56.42</v>
      </c>
      <c r="I11" s="51">
        <v>0.26</v>
      </c>
      <c r="J11" s="51">
        <v>1.1000000000000001</v>
      </c>
      <c r="K11" s="51">
        <v>46.76</v>
      </c>
      <c r="L11" s="51">
        <v>17.899999999999999</v>
      </c>
      <c r="M11" s="51">
        <v>70</v>
      </c>
      <c r="N11" s="51">
        <v>25</v>
      </c>
      <c r="O11" s="51">
        <v>0</v>
      </c>
      <c r="P11" s="53" t="s">
        <v>8</v>
      </c>
      <c r="Q11" s="51">
        <v>39.21</v>
      </c>
      <c r="R11" s="43"/>
      <c r="S11" s="43"/>
      <c r="T11" s="43"/>
      <c r="U11" s="43"/>
    </row>
    <row r="12" spans="1:21" s="11" customFormat="1" ht="15">
      <c r="A12" s="50" t="s">
        <v>184</v>
      </c>
      <c r="B12" s="51">
        <v>6.69</v>
      </c>
      <c r="C12" s="51">
        <v>76.39</v>
      </c>
      <c r="D12" s="51">
        <v>47.52</v>
      </c>
      <c r="E12" s="51">
        <v>2.78</v>
      </c>
      <c r="F12" s="51">
        <v>0.28999999999999998</v>
      </c>
      <c r="G12" s="51">
        <v>91.73</v>
      </c>
      <c r="H12" s="51">
        <v>53.89</v>
      </c>
      <c r="I12" s="51">
        <v>0.24</v>
      </c>
      <c r="J12" s="51">
        <v>0.65</v>
      </c>
      <c r="K12" s="51">
        <v>50.04</v>
      </c>
      <c r="L12" s="51">
        <v>17.57</v>
      </c>
      <c r="M12" s="51">
        <v>72</v>
      </c>
      <c r="N12" s="51">
        <v>25.30</v>
      </c>
      <c r="O12" s="51">
        <v>0</v>
      </c>
      <c r="P12" s="53" t="s">
        <v>8</v>
      </c>
      <c r="Q12" s="51">
        <v>39.590000000000003</v>
      </c>
      <c r="R12" s="43"/>
      <c r="S12" s="43"/>
      <c r="T12" s="43"/>
      <c r="U12" s="43"/>
    </row>
    <row r="13" spans="1:21" s="11" customFormat="1" ht="15">
      <c r="A13" s="50" t="s">
        <v>185</v>
      </c>
      <c r="B13" s="51">
        <v>6.69</v>
      </c>
      <c r="C13" s="51">
        <v>72.80</v>
      </c>
      <c r="D13" s="51">
        <v>44.91</v>
      </c>
      <c r="E13" s="51">
        <v>3.02</v>
      </c>
      <c r="F13" s="51">
        <v>0.28000000000000003</v>
      </c>
      <c r="G13" s="51">
        <v>83.61</v>
      </c>
      <c r="H13" s="51">
        <v>51.97</v>
      </c>
      <c r="I13" s="51">
        <v>0.21</v>
      </c>
      <c r="J13" s="51">
        <v>0.53</v>
      </c>
      <c r="K13" s="51">
        <v>58.13</v>
      </c>
      <c r="L13" s="51">
        <v>16.739999999999998</v>
      </c>
      <c r="M13" s="51">
        <v>69</v>
      </c>
      <c r="N13" s="51">
        <v>24.70</v>
      </c>
      <c r="O13" s="51">
        <v>0</v>
      </c>
      <c r="P13" s="53" t="s">
        <v>8</v>
      </c>
      <c r="Q13" s="51">
        <v>39.619999999999997</v>
      </c>
      <c r="R13" s="43"/>
      <c r="S13" s="43"/>
      <c r="T13" s="43"/>
      <c r="U13" s="43"/>
    </row>
    <row r="14" spans="1:21" s="11" customFormat="1" ht="15">
      <c r="A14" s="50" t="s">
        <v>186</v>
      </c>
      <c r="B14" s="51">
        <v>10.63</v>
      </c>
      <c r="C14" s="51">
        <v>74.41</v>
      </c>
      <c r="D14" s="51">
        <v>49.29</v>
      </c>
      <c r="E14" s="51">
        <v>3.21</v>
      </c>
      <c r="F14" s="51">
        <v>0.15</v>
      </c>
      <c r="G14" s="51">
        <v>75.900000000000006</v>
      </c>
      <c r="H14" s="51">
        <v>45.89</v>
      </c>
      <c r="I14" s="51">
        <v>0.19</v>
      </c>
      <c r="J14" s="51">
        <v>0.76</v>
      </c>
      <c r="K14" s="51">
        <v>50.70</v>
      </c>
      <c r="L14" s="51">
        <v>16.29</v>
      </c>
      <c r="M14" s="51">
        <v>71</v>
      </c>
      <c r="N14" s="51">
        <v>24.90</v>
      </c>
      <c r="O14" s="51">
        <v>0</v>
      </c>
      <c r="P14" s="53" t="s">
        <v>8</v>
      </c>
      <c r="Q14" s="51">
        <v>37.19</v>
      </c>
      <c r="R14" s="43"/>
      <c r="S14" s="43"/>
      <c r="T14" s="43"/>
      <c r="U14" s="43"/>
    </row>
    <row r="15" spans="1:21" s="11" customFormat="1" ht="15">
      <c r="A15" s="50" t="s">
        <v>187</v>
      </c>
      <c r="B15" s="51">
        <v>12.42</v>
      </c>
      <c r="C15" s="51">
        <v>75.540000000000006</v>
      </c>
      <c r="D15" s="51">
        <v>51.65</v>
      </c>
      <c r="E15" s="51">
        <v>3.46</v>
      </c>
      <c r="F15" s="51">
        <v>0.04</v>
      </c>
      <c r="G15" s="51">
        <v>78.47</v>
      </c>
      <c r="H15" s="51">
        <v>45.08</v>
      </c>
      <c r="I15" s="51">
        <v>0.20</v>
      </c>
      <c r="J15" s="51">
        <v>0.36</v>
      </c>
      <c r="K15" s="51">
        <v>73.150000000000006</v>
      </c>
      <c r="L15" s="51">
        <v>15.71</v>
      </c>
      <c r="M15" s="51">
        <v>72</v>
      </c>
      <c r="N15" s="51">
        <v>37.700000000000003</v>
      </c>
      <c r="O15" s="51">
        <v>0</v>
      </c>
      <c r="P15" s="53" t="s">
        <v>8</v>
      </c>
      <c r="Q15" s="51">
        <v>40.04</v>
      </c>
      <c r="R15" s="43"/>
      <c r="S15" s="43"/>
      <c r="T15" s="43"/>
      <c r="U15" s="43"/>
    </row>
    <row r="16" spans="1:21" s="11" customFormat="1" ht="15">
      <c r="A16" s="50" t="s">
        <v>188</v>
      </c>
      <c r="B16" s="51">
        <v>14.73</v>
      </c>
      <c r="C16" s="51">
        <v>80.36</v>
      </c>
      <c r="D16" s="51">
        <v>56.15</v>
      </c>
      <c r="E16" s="51">
        <v>3.52</v>
      </c>
      <c r="F16" s="51">
        <v>0.070000000000000007</v>
      </c>
      <c r="G16" s="51">
        <v>78.47</v>
      </c>
      <c r="H16" s="51">
        <v>46.15</v>
      </c>
      <c r="I16" s="51">
        <v>0.20</v>
      </c>
      <c r="J16" s="51">
        <v>0.55000000000000004</v>
      </c>
      <c r="K16" s="51">
        <v>68.55</v>
      </c>
      <c r="L16" s="51">
        <v>16.600000000000001</v>
      </c>
      <c r="M16" s="51">
        <v>71</v>
      </c>
      <c r="N16" s="51">
        <v>100.80</v>
      </c>
      <c r="O16" s="51">
        <v>0</v>
      </c>
      <c r="P16" s="53" t="s">
        <v>8</v>
      </c>
      <c r="Q16" s="51">
        <v>39.97</v>
      </c>
      <c r="R16" s="43"/>
      <c r="S16" s="43"/>
      <c r="T16" s="43"/>
      <c r="U16" s="43"/>
    </row>
    <row r="17" spans="1:21" s="11" customFormat="1" ht="15">
      <c r="A17" s="50" t="s">
        <v>189</v>
      </c>
      <c r="B17" s="51">
        <v>19.03</v>
      </c>
      <c r="C17" s="51">
        <v>85.5</v>
      </c>
      <c r="D17" s="51">
        <v>62.44</v>
      </c>
      <c r="E17" s="51">
        <v>3.75</v>
      </c>
      <c r="F17" s="51">
        <v>0.28999999999999998</v>
      </c>
      <c r="G17" s="51">
        <v>80.53</v>
      </c>
      <c r="H17" s="51">
        <v>47.75</v>
      </c>
      <c r="I17" s="51">
        <v>0.20</v>
      </c>
      <c r="J17" s="51">
        <v>0.56999999999999995</v>
      </c>
      <c r="K17" s="51">
        <v>77.790000000000006</v>
      </c>
      <c r="L17" s="51">
        <v>17.5</v>
      </c>
      <c r="M17" s="51">
        <v>61</v>
      </c>
      <c r="N17" s="51">
        <v>145.80000000000001</v>
      </c>
      <c r="O17" s="51">
        <v>0</v>
      </c>
      <c r="P17" s="53" t="s">
        <v>8</v>
      </c>
      <c r="Q17" s="51">
        <v>39.119999999999997</v>
      </c>
      <c r="R17" s="43"/>
      <c r="S17" s="43"/>
      <c r="T17" s="43"/>
      <c r="U17" s="43"/>
    </row>
    <row r="18" spans="1:21" s="11" customFormat="1" ht="15">
      <c r="A18" s="50" t="s">
        <v>190</v>
      </c>
      <c r="B18" s="51">
        <v>19.940000000000001</v>
      </c>
      <c r="C18" s="51">
        <v>85.97</v>
      </c>
      <c r="D18" s="51">
        <v>63.41</v>
      </c>
      <c r="E18" s="51">
        <v>4.2699999999999996</v>
      </c>
      <c r="F18" s="51">
        <v>0.27</v>
      </c>
      <c r="G18" s="51">
        <v>80.63</v>
      </c>
      <c r="H18" s="51">
        <v>47.75</v>
      </c>
      <c r="I18" s="51">
        <v>0.22</v>
      </c>
      <c r="J18" s="51">
        <v>0.87</v>
      </c>
      <c r="K18" s="51">
        <v>99.13</v>
      </c>
      <c r="L18" s="51">
        <v>20.43</v>
      </c>
      <c r="M18" s="51">
        <v>58</v>
      </c>
      <c r="N18" s="51">
        <v>449.10</v>
      </c>
      <c r="O18" s="51">
        <v>0</v>
      </c>
      <c r="P18" s="53" t="s">
        <v>8</v>
      </c>
      <c r="Q18" s="51">
        <v>37.81</v>
      </c>
      <c r="R18" s="43"/>
      <c r="S18" s="43"/>
      <c r="T18" s="43"/>
      <c r="U18" s="43"/>
    </row>
    <row r="19" spans="1:21" s="11" customFormat="1" ht="15">
      <c r="A19" s="50" t="s">
        <v>191</v>
      </c>
      <c r="B19" s="51">
        <v>22.72</v>
      </c>
      <c r="C19" s="51">
        <v>90.55</v>
      </c>
      <c r="D19" s="51">
        <v>68.08</v>
      </c>
      <c r="E19" s="51">
        <v>4.26</v>
      </c>
      <c r="F19" s="51">
        <v>0.30</v>
      </c>
      <c r="G19" s="51">
        <v>80.73</v>
      </c>
      <c r="H19" s="51">
        <v>45.89</v>
      </c>
      <c r="I19" s="51">
        <v>0.23</v>
      </c>
      <c r="J19" s="51">
        <v>1.69</v>
      </c>
      <c r="K19" s="51">
        <v>115.87</v>
      </c>
      <c r="L19" s="51">
        <v>22.73</v>
      </c>
      <c r="M19" s="51">
        <v>45</v>
      </c>
      <c r="N19" s="51">
        <v>591.70000000000005</v>
      </c>
      <c r="O19" s="51">
        <v>0</v>
      </c>
      <c r="P19" s="53" t="s">
        <v>8</v>
      </c>
      <c r="Q19" s="51">
        <v>39.479999999999997</v>
      </c>
      <c r="R19" s="43"/>
      <c r="S19" s="43"/>
      <c r="T19" s="43"/>
      <c r="U19" s="43"/>
    </row>
    <row r="20" spans="1:21" s="11" customFormat="1" ht="15">
      <c r="A20" s="50" t="s">
        <v>192</v>
      </c>
      <c r="B20" s="51">
        <v>22.31</v>
      </c>
      <c r="C20" s="51">
        <v>90.92</v>
      </c>
      <c r="D20" s="51">
        <v>68.069999999999993</v>
      </c>
      <c r="E20" s="51">
        <v>4.3600000000000003</v>
      </c>
      <c r="F20" s="51">
        <v>0.63</v>
      </c>
      <c r="G20" s="51">
        <v>80.73</v>
      </c>
      <c r="H20" s="51">
        <v>45</v>
      </c>
      <c r="I20" s="51">
        <v>0.22</v>
      </c>
      <c r="J20" s="51">
        <v>1.40</v>
      </c>
      <c r="K20" s="51">
        <v>124.70</v>
      </c>
      <c r="L20" s="51">
        <v>25.10</v>
      </c>
      <c r="M20" s="51">
        <v>38</v>
      </c>
      <c r="N20" s="51">
        <v>668.80</v>
      </c>
      <c r="O20" s="51">
        <v>0</v>
      </c>
      <c r="P20" s="53" t="s">
        <v>8</v>
      </c>
      <c r="Q20" s="51">
        <v>40.049999999999997</v>
      </c>
      <c r="R20" s="43"/>
      <c r="S20" s="43"/>
      <c r="T20" s="43"/>
      <c r="U20" s="43"/>
    </row>
    <row r="21" spans="1:21" s="11" customFormat="1" ht="15">
      <c r="A21" s="50" t="s">
        <v>193</v>
      </c>
      <c r="B21" s="51">
        <v>16.73</v>
      </c>
      <c r="C21" s="51">
        <v>86.63</v>
      </c>
      <c r="D21" s="51">
        <v>61.22</v>
      </c>
      <c r="E21" s="51">
        <v>4.82</v>
      </c>
      <c r="F21" s="51">
        <v>1.79</v>
      </c>
      <c r="G21" s="51">
        <v>72.14</v>
      </c>
      <c r="H21" s="51">
        <v>42.60</v>
      </c>
      <c r="I21" s="51">
        <v>0.20</v>
      </c>
      <c r="J21" s="51">
        <v>0.87</v>
      </c>
      <c r="K21" s="51">
        <v>96.30</v>
      </c>
      <c r="L21" s="51">
        <v>26.21</v>
      </c>
      <c r="M21" s="51">
        <v>34</v>
      </c>
      <c r="N21" s="51">
        <v>695.20</v>
      </c>
      <c r="O21" s="51">
        <v>0</v>
      </c>
      <c r="P21" s="53" t="s">
        <v>8</v>
      </c>
      <c r="Q21" s="51">
        <v>38.340000000000003</v>
      </c>
      <c r="R21" s="43"/>
      <c r="S21" s="43"/>
      <c r="T21" s="43"/>
      <c r="U21" s="43"/>
    </row>
    <row r="22" spans="1:21" s="11" customFormat="1" ht="15">
      <c r="A22" s="50" t="s">
        <v>194</v>
      </c>
      <c r="B22" s="51">
        <v>12.60</v>
      </c>
      <c r="C22" s="51">
        <v>81.36</v>
      </c>
      <c r="D22" s="51">
        <v>55</v>
      </c>
      <c r="E22" s="51">
        <v>4.53</v>
      </c>
      <c r="F22" s="51">
        <v>0.78</v>
      </c>
      <c r="G22" s="51">
        <v>66.39</v>
      </c>
      <c r="H22" s="51">
        <v>39.409999999999997</v>
      </c>
      <c r="I22" s="51">
        <v>0.20</v>
      </c>
      <c r="J22" s="51">
        <v>1.03</v>
      </c>
      <c r="K22" s="51">
        <v>108.96</v>
      </c>
      <c r="L22" s="51">
        <v>27.68</v>
      </c>
      <c r="M22" s="51">
        <v>37</v>
      </c>
      <c r="N22" s="51">
        <v>621.60</v>
      </c>
      <c r="O22" s="51">
        <v>0</v>
      </c>
      <c r="P22" s="53" t="s">
        <v>8</v>
      </c>
      <c r="Q22" s="51">
        <v>38.97</v>
      </c>
      <c r="R22" s="43"/>
      <c r="S22" s="43"/>
      <c r="T22" s="43"/>
      <c r="U22" s="43"/>
    </row>
    <row r="23" spans="1:21" s="11" customFormat="1" ht="15">
      <c r="A23" s="50" t="s">
        <v>195</v>
      </c>
      <c r="B23" s="51">
        <v>7.90</v>
      </c>
      <c r="C23" s="51">
        <v>82.15</v>
      </c>
      <c r="D23" s="51">
        <v>50.95</v>
      </c>
      <c r="E23" s="51">
        <v>4.2699999999999996</v>
      </c>
      <c r="F23" s="51">
        <v>0.59</v>
      </c>
      <c r="G23" s="51">
        <v>62.27</v>
      </c>
      <c r="H23" s="51">
        <v>36.950000000000003</v>
      </c>
      <c r="I23" s="51">
        <v>0.19</v>
      </c>
      <c r="J23" s="51">
        <v>0.70</v>
      </c>
      <c r="K23" s="51">
        <v>359.82</v>
      </c>
      <c r="L23" s="51">
        <v>27.25</v>
      </c>
      <c r="M23" s="51">
        <v>34</v>
      </c>
      <c r="N23" s="51">
        <v>515.10</v>
      </c>
      <c r="O23" s="51">
        <v>0</v>
      </c>
      <c r="P23" s="53" t="s">
        <v>8</v>
      </c>
      <c r="Q23" s="51">
        <v>40.74</v>
      </c>
      <c r="R23" s="43"/>
      <c r="S23" s="43"/>
      <c r="T23" s="43"/>
      <c r="U23" s="43"/>
    </row>
    <row r="24" spans="1:21" s="11" customFormat="1" ht="15">
      <c r="A24" s="50" t="s">
        <v>196</v>
      </c>
      <c r="B24" s="51">
        <v>9.5399999999999991</v>
      </c>
      <c r="C24" s="51">
        <v>87.07</v>
      </c>
      <c r="D24" s="51">
        <v>55.26</v>
      </c>
      <c r="E24" s="51">
        <v>13.39</v>
      </c>
      <c r="F24" s="51">
        <v>3.72</v>
      </c>
      <c r="G24" s="51">
        <v>64.58</v>
      </c>
      <c r="H24" s="51">
        <v>35.729999999999997</v>
      </c>
      <c r="I24" s="51">
        <v>0.20</v>
      </c>
      <c r="J24" s="51">
        <v>1.06</v>
      </c>
      <c r="K24" s="51">
        <v>72.83</v>
      </c>
      <c r="L24" s="51">
        <v>26.70</v>
      </c>
      <c r="M24" s="51">
        <v>34</v>
      </c>
      <c r="N24" s="51">
        <v>310.5</v>
      </c>
      <c r="O24" s="51">
        <v>0</v>
      </c>
      <c r="P24" s="53" t="s">
        <v>8</v>
      </c>
      <c r="Q24" s="51">
        <v>40.94</v>
      </c>
      <c r="R24" s="43"/>
      <c r="S24" s="43"/>
      <c r="T24" s="43"/>
      <c r="U24" s="43"/>
    </row>
    <row r="25" spans="1:21" s="11" customFormat="1" ht="15">
      <c r="A25" s="50" t="s">
        <v>197</v>
      </c>
      <c r="B25" s="51">
        <v>10.85</v>
      </c>
      <c r="C25" s="51">
        <v>89.48</v>
      </c>
      <c r="D25" s="51">
        <v>58.08</v>
      </c>
      <c r="E25" s="51">
        <v>7.76</v>
      </c>
      <c r="F25" s="51">
        <v>4.18</v>
      </c>
      <c r="G25" s="51">
        <v>71.36</v>
      </c>
      <c r="H25" s="51">
        <v>35.71</v>
      </c>
      <c r="I25" s="51">
        <v>0.20</v>
      </c>
      <c r="J25" s="51">
        <v>1.34</v>
      </c>
      <c r="K25" s="51">
        <v>30.84</v>
      </c>
      <c r="L25" s="51">
        <v>25.33</v>
      </c>
      <c r="M25" s="51">
        <v>51</v>
      </c>
      <c r="N25" s="51">
        <v>106.90</v>
      </c>
      <c r="O25" s="51">
        <v>0</v>
      </c>
      <c r="P25" s="51">
        <v>0.88</v>
      </c>
      <c r="Q25" s="51">
        <v>37.770000000000003</v>
      </c>
      <c r="R25" s="43"/>
      <c r="S25" s="43"/>
      <c r="T25" s="43"/>
      <c r="U25" s="43"/>
    </row>
    <row r="26" spans="1:21" s="11" customFormat="1" ht="15">
      <c r="A26" s="50" t="s">
        <v>198</v>
      </c>
      <c r="B26" s="51">
        <v>10.029999999999999</v>
      </c>
      <c r="C26" s="51">
        <v>93.47</v>
      </c>
      <c r="D26" s="51">
        <v>59.63</v>
      </c>
      <c r="E26" s="51">
        <v>4.43</v>
      </c>
      <c r="F26" s="51">
        <v>0.81</v>
      </c>
      <c r="G26" s="51">
        <v>71.36</v>
      </c>
      <c r="H26" s="51">
        <v>35.58</v>
      </c>
      <c r="I26" s="51">
        <v>0.23</v>
      </c>
      <c r="J26" s="51">
        <v>1.06</v>
      </c>
      <c r="K26" s="51">
        <v>38.36</v>
      </c>
      <c r="L26" s="51">
        <v>22.96</v>
      </c>
      <c r="M26" s="51">
        <v>52</v>
      </c>
      <c r="N26" s="51">
        <v>43</v>
      </c>
      <c r="O26" s="51">
        <v>0</v>
      </c>
      <c r="P26" s="51">
        <v>1.04</v>
      </c>
      <c r="Q26" s="51">
        <v>39.61</v>
      </c>
      <c r="R26" s="43"/>
      <c r="S26" s="43"/>
      <c r="T26" s="43"/>
      <c r="U26" s="43"/>
    </row>
    <row r="27" spans="1:21" s="11" customFormat="1" ht="15">
      <c r="A27" s="50" t="s">
        <v>199</v>
      </c>
      <c r="B27" s="51">
        <v>25.19</v>
      </c>
      <c r="C27" s="51">
        <v>109.83</v>
      </c>
      <c r="D27" s="51">
        <v>80.819999999999993</v>
      </c>
      <c r="E27" s="51">
        <v>4.22</v>
      </c>
      <c r="F27" s="51">
        <v>0.070000000000000007</v>
      </c>
      <c r="G27" s="51">
        <v>88.03</v>
      </c>
      <c r="H27" s="51">
        <v>41.92</v>
      </c>
      <c r="I27" s="51">
        <v>0.28000000000000003</v>
      </c>
      <c r="J27" s="51">
        <v>0.42</v>
      </c>
      <c r="K27" s="51">
        <v>91.47</v>
      </c>
      <c r="L27" s="51">
        <v>20.95</v>
      </c>
      <c r="M27" s="51">
        <v>51</v>
      </c>
      <c r="N27" s="51">
        <v>24.80</v>
      </c>
      <c r="O27" s="51">
        <v>0</v>
      </c>
      <c r="P27" s="51">
        <v>1.51</v>
      </c>
      <c r="Q27" s="51">
        <v>40.51</v>
      </c>
      <c r="R27" s="43"/>
      <c r="S27" s="43"/>
      <c r="T27" s="43"/>
      <c r="U27" s="43"/>
    </row>
    <row r="28" spans="1:21" s="11" customFormat="1" ht="15">
      <c r="A28" s="50" t="s">
        <v>200</v>
      </c>
      <c r="B28" s="51">
        <v>30.99</v>
      </c>
      <c r="C28" s="51">
        <v>110.25</v>
      </c>
      <c r="D28" s="51">
        <v>84.66</v>
      </c>
      <c r="E28" s="51">
        <v>3.57</v>
      </c>
      <c r="F28" s="51">
        <v>0.12</v>
      </c>
      <c r="G28" s="51">
        <v>98.13</v>
      </c>
      <c r="H28" s="51">
        <v>44.46</v>
      </c>
      <c r="I28" s="51">
        <v>0.36</v>
      </c>
      <c r="J28" s="51">
        <v>0.30</v>
      </c>
      <c r="K28" s="51">
        <v>223.71</v>
      </c>
      <c r="L28" s="51">
        <v>19.829999999999998</v>
      </c>
      <c r="M28" s="51">
        <v>59</v>
      </c>
      <c r="N28" s="51">
        <v>24.90</v>
      </c>
      <c r="O28" s="51">
        <v>0</v>
      </c>
      <c r="P28" s="51">
        <v>1.71</v>
      </c>
      <c r="Q28" s="51">
        <v>41.09</v>
      </c>
      <c r="R28" s="43"/>
      <c r="S28" s="43"/>
      <c r="T28" s="43"/>
      <c r="U28" s="43"/>
    </row>
    <row r="29" spans="1:21" s="11" customFormat="1" ht="15">
      <c r="A29" s="50" t="s">
        <v>201</v>
      </c>
      <c r="B29" s="51">
        <v>38.79</v>
      </c>
      <c r="C29" s="51">
        <v>111.92</v>
      </c>
      <c r="D29" s="51">
        <v>92.87</v>
      </c>
      <c r="E29" s="51">
        <v>5.82</v>
      </c>
      <c r="F29" s="51">
        <v>0.24</v>
      </c>
      <c r="G29" s="51">
        <v>105.17</v>
      </c>
      <c r="H29" s="51">
        <v>46.74</v>
      </c>
      <c r="I29" s="51">
        <v>0.51</v>
      </c>
      <c r="J29" s="51">
        <v>0.38</v>
      </c>
      <c r="K29" s="51">
        <v>276.57</v>
      </c>
      <c r="L29" s="51">
        <v>18.489999999999998</v>
      </c>
      <c r="M29" s="51">
        <v>61</v>
      </c>
      <c r="N29" s="51">
        <v>24.80</v>
      </c>
      <c r="O29" s="51">
        <v>0</v>
      </c>
      <c r="P29" s="51">
        <v>2</v>
      </c>
      <c r="Q29" s="51">
        <v>44.91</v>
      </c>
      <c r="R29" s="43"/>
      <c r="S29" s="43"/>
      <c r="T29" s="43"/>
      <c r="U29" s="43"/>
    </row>
    <row r="30" spans="1:21" s="11" customFormat="1" ht="15">
      <c r="A30" s="50" t="s">
        <v>202</v>
      </c>
      <c r="B30" s="51">
        <v>82.01</v>
      </c>
      <c r="C30" s="51">
        <v>137.09</v>
      </c>
      <c r="D30" s="51">
        <v>141.41999999999999</v>
      </c>
      <c r="E30" s="51">
        <v>5.82</v>
      </c>
      <c r="F30" s="51">
        <v>0.33</v>
      </c>
      <c r="G30" s="51">
        <v>131.55000000000001</v>
      </c>
      <c r="H30" s="51">
        <v>54.52</v>
      </c>
      <c r="I30" s="51">
        <v>0.72</v>
      </c>
      <c r="J30" s="51">
        <v>0.15</v>
      </c>
      <c r="K30" s="51">
        <v>343.15</v>
      </c>
      <c r="L30" s="51">
        <v>16.91</v>
      </c>
      <c r="M30" s="51">
        <v>73</v>
      </c>
      <c r="N30" s="51">
        <v>24.90</v>
      </c>
      <c r="O30" s="51">
        <v>0</v>
      </c>
      <c r="P30" s="51">
        <v>2.5299999999999998</v>
      </c>
      <c r="Q30" s="51">
        <v>47.29</v>
      </c>
      <c r="R30" s="43"/>
      <c r="S30" s="43"/>
      <c r="T30" s="43"/>
      <c r="U30" s="43"/>
    </row>
    <row r="31" spans="1:21" s="11" customFormat="1" ht="15">
      <c r="A31" s="50" t="s">
        <v>203</v>
      </c>
      <c r="B31" s="51">
        <v>102.82</v>
      </c>
      <c r="C31" s="51">
        <v>149.16</v>
      </c>
      <c r="D31" s="51">
        <v>164.77</v>
      </c>
      <c r="E31" s="51">
        <v>6.06</v>
      </c>
      <c r="F31" s="51">
        <v>0.14000000000000001</v>
      </c>
      <c r="G31" s="51">
        <v>133.43</v>
      </c>
      <c r="H31" s="51">
        <v>57.94</v>
      </c>
      <c r="I31" s="51">
        <v>0.99</v>
      </c>
      <c r="J31" s="51">
        <v>0.16</v>
      </c>
      <c r="K31" s="51">
        <v>107.83</v>
      </c>
      <c r="L31" s="51">
        <v>16.059999999999999</v>
      </c>
      <c r="M31" s="51">
        <v>73</v>
      </c>
      <c r="N31" s="51">
        <v>24.60</v>
      </c>
      <c r="O31" s="51">
        <v>0</v>
      </c>
      <c r="P31" s="51">
        <v>2.73</v>
      </c>
      <c r="Q31" s="51">
        <v>48.11</v>
      </c>
      <c r="R31" s="43"/>
      <c r="S31" s="43"/>
      <c r="T31" s="43"/>
      <c r="U31" s="43"/>
    </row>
    <row r="32" spans="1:21" s="11" customFormat="1" ht="15">
      <c r="A32" s="57" t="s">
        <v>204</v>
      </c>
      <c r="B32" s="11">
        <v>116.93</v>
      </c>
      <c r="C32" s="11">
        <v>153.91</v>
      </c>
      <c r="D32" s="11">
        <v>178.54</v>
      </c>
      <c r="E32" s="11">
        <v>6.13</v>
      </c>
      <c r="F32" s="11">
        <v>0.16</v>
      </c>
      <c r="G32" s="11">
        <v>208.02</v>
      </c>
      <c r="H32" s="11">
        <v>63.61</v>
      </c>
      <c r="I32" s="11">
        <v>1.05</v>
      </c>
      <c r="J32" s="11">
        <v>0.20</v>
      </c>
      <c r="K32" s="11">
        <v>154.65</v>
      </c>
      <c r="L32" s="11">
        <v>15.11</v>
      </c>
      <c r="M32" s="11">
        <v>67</v>
      </c>
      <c r="N32" s="11">
        <v>24.60</v>
      </c>
      <c r="O32" s="11">
        <v>0</v>
      </c>
      <c r="P32" s="11">
        <v>2.82</v>
      </c>
      <c r="Q32" s="11">
        <v>47.65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6.6900000000000004</v>
      </c>
      <c r="C34" s="28">
        <f t="shared" si="0"/>
        <v>72.799999999999997</v>
      </c>
      <c r="D34" s="28">
        <f t="shared" si="0"/>
        <v>44.909999999999997</v>
      </c>
      <c r="E34" s="28">
        <f t="shared" si="0"/>
        <v>2.7799999999999998</v>
      </c>
      <c r="F34" s="28">
        <f t="shared" si="0"/>
        <v>0.040000000000000001</v>
      </c>
      <c r="G34" s="28">
        <f t="shared" si="0"/>
        <v>62.270000000000003</v>
      </c>
      <c r="H34" s="28">
        <f t="shared" si="0"/>
        <v>35.579999999999998</v>
      </c>
      <c r="I34" s="28">
        <f t="shared" si="0"/>
        <v>0.19</v>
      </c>
      <c r="J34" s="28">
        <f t="shared" si="0"/>
        <v>0.14999999999999999</v>
      </c>
      <c r="K34" s="28">
        <f t="shared" si="0"/>
        <v>27.98</v>
      </c>
      <c r="L34" s="28">
        <f t="shared" si="0"/>
        <v>15.109999999999999</v>
      </c>
      <c r="M34" s="28">
        <f t="shared" si="0"/>
        <v>34</v>
      </c>
      <c r="N34" s="28">
        <f t="shared" si="0"/>
        <v>24.600000000000001</v>
      </c>
      <c r="O34" s="28">
        <f t="shared" si="0"/>
        <v>0</v>
      </c>
      <c r="P34" s="28">
        <f t="shared" si="0"/>
        <v>0.88</v>
      </c>
      <c r="Q34" s="28">
        <f t="shared" si="0"/>
        <v>37.189999999999998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116.93000000000001</v>
      </c>
      <c r="C35" s="29">
        <f t="shared" si="1"/>
        <v>153.91</v>
      </c>
      <c r="D35" s="29">
        <f t="shared" si="1"/>
        <v>178.53999999999999</v>
      </c>
      <c r="E35" s="29">
        <f t="shared" si="1"/>
        <v>13.390000000000001</v>
      </c>
      <c r="F35" s="29">
        <f t="shared" si="1"/>
        <v>4.1799999999999997</v>
      </c>
      <c r="G35" s="29">
        <f t="shared" si="1"/>
        <v>208.02000000000001</v>
      </c>
      <c r="H35" s="29">
        <f t="shared" si="1"/>
        <v>64.170000000000002</v>
      </c>
      <c r="I35" s="29">
        <f t="shared" si="1"/>
        <v>1.05</v>
      </c>
      <c r="J35" s="29">
        <f t="shared" si="1"/>
        <v>1.6899999999999999</v>
      </c>
      <c r="K35" s="29">
        <f t="shared" si="1"/>
        <v>359.81999999999999</v>
      </c>
      <c r="L35" s="29">
        <f t="shared" si="1"/>
        <v>27.68</v>
      </c>
      <c r="M35" s="29">
        <f t="shared" si="1"/>
        <v>77</v>
      </c>
      <c r="N35" s="29">
        <f t="shared" si="1"/>
        <v>695.20000000000005</v>
      </c>
      <c r="O35" s="29">
        <f t="shared" si="1"/>
        <v>0</v>
      </c>
      <c r="P35" s="29">
        <f t="shared" si="1"/>
        <v>2.8199999999999998</v>
      </c>
      <c r="Q35" s="29">
        <f t="shared" si="1"/>
        <v>48.109999999999999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26.572500000000002</v>
      </c>
      <c r="C36" s="28">
        <f t="shared" si="2"/>
        <v>95.007499999999979</v>
      </c>
      <c r="D36" s="28">
        <f t="shared" si="2"/>
        <v>73.521666666666661</v>
      </c>
      <c r="E36" s="28">
        <f t="shared" si="2"/>
        <v>4.673333333333332</v>
      </c>
      <c r="F36" s="28">
        <f t="shared" si="2"/>
        <v>0.67625000000000002</v>
      </c>
      <c r="G36" s="28">
        <f t="shared" si="2"/>
        <v>92.294166666666669</v>
      </c>
      <c r="H36" s="28">
        <f t="shared" si="2"/>
        <v>47.637916666666662</v>
      </c>
      <c r="I36" s="28">
        <f t="shared" si="2"/>
        <v>0.33000000000000007</v>
      </c>
      <c r="J36" s="28">
        <f t="shared" si="2"/>
        <v>0.75416666666666654</v>
      </c>
      <c r="K36" s="28">
        <f t="shared" si="2"/>
        <v>115.58499999999999</v>
      </c>
      <c r="L36" s="28">
        <f t="shared" si="2"/>
        <v>20.28833333333333</v>
      </c>
      <c r="M36" s="28">
        <f t="shared" si="2"/>
        <v>58.541666666666664</v>
      </c>
      <c r="N36" s="28">
        <f t="shared" si="2"/>
        <v>191.01666666666665</v>
      </c>
      <c r="O36" s="28">
        <f t="shared" si="2"/>
        <v>0</v>
      </c>
      <c r="P36" s="28">
        <f t="shared" si="2"/>
        <v>1.9025000000000001</v>
      </c>
      <c r="Q36" s="28">
        <f t="shared" si="2"/>
        <v>40.794583333333335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30.059288552140906</v>
      </c>
      <c r="C37" s="28">
        <f t="shared" si="3" ref="C37:Q37">STDEV(C9:C32)</f>
        <v>22.673927039472222</v>
      </c>
      <c r="D37" s="28">
        <f t="shared" si="3"/>
        <v>36.312204519988171</v>
      </c>
      <c r="E37" s="28">
        <f t="shared" si="3"/>
        <v>2.2440310519952376</v>
      </c>
      <c r="F37" s="28">
        <f t="shared" si="3"/>
        <v>1.0761356488763898</v>
      </c>
      <c r="G37" s="28">
        <f t="shared" si="3"/>
        <v>31.084875662089011</v>
      </c>
      <c r="H37" s="28">
        <f t="shared" si="3"/>
        <v>8.41907253962904</v>
      </c>
      <c r="I37" s="28">
        <f t="shared" si="3"/>
        <v>0.24429134423791027</v>
      </c>
      <c r="J37" s="28">
        <f t="shared" si="3"/>
        <v>0.41649590703836492</v>
      </c>
      <c r="K37" s="28">
        <f t="shared" si="3"/>
        <v>92.81189026150173</v>
      </c>
      <c r="L37" s="28">
        <f t="shared" si="3"/>
        <v>4.1275581439737561</v>
      </c>
      <c r="M37" s="28">
        <f t="shared" si="3"/>
        <v>14.832335905237478</v>
      </c>
      <c r="N37" s="28">
        <f t="shared" si="3"/>
        <v>247.45232596035225</v>
      </c>
      <c r="O37" s="28">
        <f t="shared" si="3"/>
        <v>0</v>
      </c>
      <c r="P37" s="28">
        <f t="shared" si="3"/>
        <v>0.74740981300182852</v>
      </c>
      <c r="Q37" s="28">
        <f t="shared" si="3"/>
        <v>3.053404342649388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COUNT(P9:P32)+16</f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9c111d3-ce42-465f-9bd1-f03842a26a8b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5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07-01-2023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205</v>
      </c>
      <c r="B9" s="51">
        <v>108.55</v>
      </c>
      <c r="C9" s="51">
        <v>145.71</v>
      </c>
      <c r="D9" s="51">
        <v>167.46</v>
      </c>
      <c r="E9" s="51">
        <v>5.21</v>
      </c>
      <c r="F9" s="51">
        <v>0.24</v>
      </c>
      <c r="G9" s="51">
        <v>208.02</v>
      </c>
      <c r="H9" s="51">
        <v>63.61</v>
      </c>
      <c r="I9" s="51">
        <v>1.04</v>
      </c>
      <c r="J9" s="51">
        <v>0.33</v>
      </c>
      <c r="K9" s="51">
        <v>89.20</v>
      </c>
      <c r="L9" s="51">
        <v>15.74</v>
      </c>
      <c r="M9" s="51">
        <v>46</v>
      </c>
      <c r="N9" s="51">
        <v>24.20</v>
      </c>
      <c r="O9" s="51">
        <v>0</v>
      </c>
      <c r="P9" s="51">
        <v>2.61</v>
      </c>
      <c r="Q9" s="51">
        <v>47.06</v>
      </c>
      <c r="R9" s="43"/>
      <c r="S9" s="43"/>
      <c r="T9" s="43"/>
      <c r="U9" s="43"/>
    </row>
    <row r="10" spans="1:21" s="11" customFormat="1" ht="15">
      <c r="A10" s="50" t="s">
        <v>206</v>
      </c>
      <c r="B10" s="51">
        <v>78.42</v>
      </c>
      <c r="C10" s="51">
        <v>124.37</v>
      </c>
      <c r="D10" s="51">
        <v>131.52000000000001</v>
      </c>
      <c r="E10" s="51">
        <v>4.5</v>
      </c>
      <c r="F10" s="51">
        <v>0.04</v>
      </c>
      <c r="G10" s="51">
        <v>52.03</v>
      </c>
      <c r="H10" s="51">
        <v>51.31</v>
      </c>
      <c r="I10" s="51">
        <v>0.77</v>
      </c>
      <c r="J10" s="51">
        <v>0.44</v>
      </c>
      <c r="K10" s="51">
        <v>34.869999999999997</v>
      </c>
      <c r="L10" s="51">
        <v>15.53</v>
      </c>
      <c r="M10" s="51">
        <v>50</v>
      </c>
      <c r="N10" s="51">
        <v>24.30</v>
      </c>
      <c r="O10" s="51">
        <v>0</v>
      </c>
      <c r="P10" s="51">
        <v>2.0499999999999998</v>
      </c>
      <c r="Q10" s="51">
        <v>44.65</v>
      </c>
      <c r="R10" s="43"/>
      <c r="S10" s="43"/>
      <c r="T10" s="43"/>
      <c r="U10" s="43"/>
    </row>
    <row r="11" spans="1:21" s="11" customFormat="1" ht="15">
      <c r="A11" s="50" t="s">
        <v>207</v>
      </c>
      <c r="B11" s="51">
        <v>51.91</v>
      </c>
      <c r="C11" s="51">
        <v>107.65</v>
      </c>
      <c r="D11" s="51">
        <v>101.04</v>
      </c>
      <c r="E11" s="51">
        <v>4.01</v>
      </c>
      <c r="F11" s="51">
        <v>0.09</v>
      </c>
      <c r="G11" s="51">
        <v>50.41</v>
      </c>
      <c r="H11" s="51">
        <v>39.799999999999997</v>
      </c>
      <c r="I11" s="51">
        <v>0.56999999999999995</v>
      </c>
      <c r="J11" s="51">
        <v>0.62</v>
      </c>
      <c r="K11" s="51">
        <v>81.97</v>
      </c>
      <c r="L11" s="51">
        <v>14.88</v>
      </c>
      <c r="M11" s="51">
        <v>52</v>
      </c>
      <c r="N11" s="51">
        <v>24.40</v>
      </c>
      <c r="O11" s="51">
        <v>0</v>
      </c>
      <c r="P11" s="51">
        <v>1.66</v>
      </c>
      <c r="Q11" s="51">
        <v>40.47</v>
      </c>
      <c r="R11" s="43"/>
      <c r="S11" s="43"/>
      <c r="T11" s="43"/>
      <c r="U11" s="43"/>
    </row>
    <row r="12" spans="1:21" s="11" customFormat="1" ht="15">
      <c r="A12" s="50" t="s">
        <v>208</v>
      </c>
      <c r="B12" s="51">
        <v>36.17</v>
      </c>
      <c r="C12" s="51">
        <v>97.56</v>
      </c>
      <c r="D12" s="51">
        <v>82.85</v>
      </c>
      <c r="E12" s="51">
        <v>4.13</v>
      </c>
      <c r="F12" s="51">
        <v>0.08</v>
      </c>
      <c r="G12" s="51">
        <v>50.41</v>
      </c>
      <c r="H12" s="51">
        <v>34.11</v>
      </c>
      <c r="I12" s="51">
        <v>0.44</v>
      </c>
      <c r="J12" s="51">
        <v>0.41</v>
      </c>
      <c r="K12" s="51">
        <v>80.39</v>
      </c>
      <c r="L12" s="51">
        <v>14.16</v>
      </c>
      <c r="M12" s="51">
        <v>55</v>
      </c>
      <c r="N12" s="51">
        <v>24.40</v>
      </c>
      <c r="O12" s="51">
        <v>0</v>
      </c>
      <c r="P12" s="51">
        <v>1.33</v>
      </c>
      <c r="Q12" s="51">
        <v>37.340000000000003</v>
      </c>
      <c r="R12" s="43"/>
      <c r="S12" s="43"/>
      <c r="T12" s="43"/>
      <c r="U12" s="43"/>
    </row>
    <row r="13" spans="1:21" s="11" customFormat="1" ht="15">
      <c r="A13" s="50" t="s">
        <v>209</v>
      </c>
      <c r="B13" s="51">
        <v>25.14</v>
      </c>
      <c r="C13" s="51">
        <v>84.71</v>
      </c>
      <c r="D13" s="51">
        <v>66.91</v>
      </c>
      <c r="E13" s="51">
        <v>4.1900000000000004</v>
      </c>
      <c r="F13" s="51">
        <v>0.41</v>
      </c>
      <c r="G13" s="51">
        <v>52.69</v>
      </c>
      <c r="H13" s="51">
        <v>32.549999999999997</v>
      </c>
      <c r="I13" s="51">
        <v>0.37</v>
      </c>
      <c r="J13" s="51">
        <v>0.39</v>
      </c>
      <c r="K13" s="51">
        <v>55.87</v>
      </c>
      <c r="L13" s="51">
        <v>13.58</v>
      </c>
      <c r="M13" s="51">
        <v>56</v>
      </c>
      <c r="N13" s="51">
        <v>24.20</v>
      </c>
      <c r="O13" s="51">
        <v>0</v>
      </c>
      <c r="P13" s="51">
        <v>1.08</v>
      </c>
      <c r="Q13" s="51">
        <v>36.799999999999997</v>
      </c>
      <c r="R13" s="43"/>
      <c r="S13" s="43"/>
      <c r="T13" s="43"/>
      <c r="U13" s="43"/>
    </row>
    <row r="14" spans="1:21" s="11" customFormat="1" ht="15">
      <c r="A14" s="50" t="s">
        <v>210</v>
      </c>
      <c r="B14" s="51">
        <v>19.72</v>
      </c>
      <c r="C14" s="51">
        <v>82.62</v>
      </c>
      <c r="D14" s="51">
        <v>61.41</v>
      </c>
      <c r="E14" s="51">
        <v>4.2699999999999996</v>
      </c>
      <c r="F14" s="51">
        <v>0.14000000000000001</v>
      </c>
      <c r="G14" s="51">
        <v>52.69</v>
      </c>
      <c r="H14" s="51">
        <v>28.68</v>
      </c>
      <c r="I14" s="51">
        <v>0.28999999999999998</v>
      </c>
      <c r="J14" s="51">
        <v>0.38</v>
      </c>
      <c r="K14" s="51">
        <v>67.30</v>
      </c>
      <c r="L14" s="51">
        <v>13.34</v>
      </c>
      <c r="M14" s="51">
        <v>55</v>
      </c>
      <c r="N14" s="51">
        <v>24.30</v>
      </c>
      <c r="O14" s="51">
        <v>0</v>
      </c>
      <c r="P14" s="51">
        <v>0.90</v>
      </c>
      <c r="Q14" s="51">
        <v>35.86</v>
      </c>
      <c r="R14" s="43"/>
      <c r="S14" s="43"/>
      <c r="T14" s="43"/>
      <c r="U14" s="43"/>
    </row>
    <row r="15" spans="1:21" s="11" customFormat="1" ht="15">
      <c r="A15" s="50" t="s">
        <v>211</v>
      </c>
      <c r="B15" s="51">
        <v>19.489999999999998</v>
      </c>
      <c r="C15" s="51">
        <v>82.04</v>
      </c>
      <c r="D15" s="51">
        <v>60.91</v>
      </c>
      <c r="E15" s="51">
        <v>4.3099999999999996</v>
      </c>
      <c r="F15" s="51">
        <v>0.12</v>
      </c>
      <c r="G15" s="51">
        <v>47.12</v>
      </c>
      <c r="H15" s="51">
        <v>25.79</v>
      </c>
      <c r="I15" s="51">
        <v>0.25</v>
      </c>
      <c r="J15" s="51">
        <v>0.45</v>
      </c>
      <c r="K15" s="51">
        <v>78.08</v>
      </c>
      <c r="L15" s="51">
        <v>12.66</v>
      </c>
      <c r="M15" s="51">
        <v>58</v>
      </c>
      <c r="N15" s="51">
        <v>40.60</v>
      </c>
      <c r="O15" s="51">
        <v>0</v>
      </c>
      <c r="P15" s="51">
        <v>0.79</v>
      </c>
      <c r="Q15" s="51">
        <v>33.10</v>
      </c>
      <c r="R15" s="43"/>
      <c r="S15" s="43"/>
      <c r="T15" s="43"/>
      <c r="U15" s="43"/>
    </row>
    <row r="16" spans="1:21" s="11" customFormat="1" ht="15">
      <c r="A16" s="50" t="s">
        <v>212</v>
      </c>
      <c r="B16" s="51">
        <v>28.38</v>
      </c>
      <c r="C16" s="51">
        <v>88.91</v>
      </c>
      <c r="D16" s="51">
        <v>71.83</v>
      </c>
      <c r="E16" s="51">
        <v>4.78</v>
      </c>
      <c r="F16" s="51">
        <v>0.06</v>
      </c>
      <c r="G16" s="51">
        <v>64.39</v>
      </c>
      <c r="H16" s="51">
        <v>27.97</v>
      </c>
      <c r="I16" s="51">
        <v>0.23</v>
      </c>
      <c r="J16" s="51">
        <v>0.87</v>
      </c>
      <c r="K16" s="51">
        <v>61.35</v>
      </c>
      <c r="L16" s="51">
        <v>14.94</v>
      </c>
      <c r="M16" s="51">
        <v>57</v>
      </c>
      <c r="N16" s="51">
        <v>225.80</v>
      </c>
      <c r="O16" s="51">
        <v>0</v>
      </c>
      <c r="P16" s="51">
        <v>0.87</v>
      </c>
      <c r="Q16" s="51">
        <v>34.590000000000003</v>
      </c>
      <c r="R16" s="43"/>
      <c r="S16" s="43"/>
      <c r="T16" s="43"/>
      <c r="U16" s="43"/>
    </row>
    <row r="17" spans="1:21" s="11" customFormat="1" ht="15">
      <c r="A17" s="50" t="s">
        <v>213</v>
      </c>
      <c r="B17" s="51">
        <v>29.57</v>
      </c>
      <c r="C17" s="51">
        <v>91.88</v>
      </c>
      <c r="D17" s="51">
        <v>74.09</v>
      </c>
      <c r="E17" s="51">
        <v>4.12</v>
      </c>
      <c r="F17" s="51">
        <v>0.73</v>
      </c>
      <c r="G17" s="51">
        <v>64.39</v>
      </c>
      <c r="H17" s="51">
        <v>29.64</v>
      </c>
      <c r="I17" s="51">
        <v>0.23</v>
      </c>
      <c r="J17" s="51">
        <v>1.22</v>
      </c>
      <c r="K17" s="51">
        <v>68.150000000000006</v>
      </c>
      <c r="L17" s="51">
        <v>19.600000000000001</v>
      </c>
      <c r="M17" s="51">
        <v>44</v>
      </c>
      <c r="N17" s="51">
        <v>470.20</v>
      </c>
      <c r="O17" s="51">
        <v>0</v>
      </c>
      <c r="P17" s="51">
        <v>0.88</v>
      </c>
      <c r="Q17" s="51">
        <v>34.71</v>
      </c>
      <c r="R17" s="43"/>
      <c r="S17" s="43"/>
      <c r="T17" s="43"/>
      <c r="U17" s="43"/>
    </row>
    <row r="18" spans="1:21" s="11" customFormat="1" ht="15">
      <c r="A18" s="50" t="s">
        <v>214</v>
      </c>
      <c r="B18" s="51">
        <v>26.71</v>
      </c>
      <c r="C18" s="51">
        <v>98.56</v>
      </c>
      <c r="D18" s="51">
        <v>73.88</v>
      </c>
      <c r="E18" s="51">
        <v>29.55</v>
      </c>
      <c r="F18" s="51">
        <v>0.76</v>
      </c>
      <c r="G18" s="51">
        <v>132.86000000000001</v>
      </c>
      <c r="H18" s="51">
        <v>29.64</v>
      </c>
      <c r="I18" s="51">
        <v>0.22</v>
      </c>
      <c r="J18" s="51">
        <v>1.0900000000000001</v>
      </c>
      <c r="K18" s="51">
        <v>37.96</v>
      </c>
      <c r="L18" s="51">
        <v>22.75</v>
      </c>
      <c r="M18" s="51">
        <v>40</v>
      </c>
      <c r="N18" s="51">
        <v>645.90</v>
      </c>
      <c r="O18" s="51">
        <v>0</v>
      </c>
      <c r="P18" s="51">
        <v>0.89</v>
      </c>
      <c r="Q18" s="51">
        <v>33.840000000000003</v>
      </c>
      <c r="R18" s="43"/>
      <c r="S18" s="43"/>
      <c r="T18" s="43"/>
      <c r="U18" s="43"/>
    </row>
    <row r="19" spans="1:21" s="11" customFormat="1" ht="15">
      <c r="A19" s="50" t="s">
        <v>215</v>
      </c>
      <c r="B19" s="51">
        <v>26.82</v>
      </c>
      <c r="C19" s="51">
        <v>107.28</v>
      </c>
      <c r="D19" s="51">
        <v>80.709999999999994</v>
      </c>
      <c r="E19" s="51">
        <v>28.28</v>
      </c>
      <c r="F19" s="51">
        <v>2.11</v>
      </c>
      <c r="G19" s="51">
        <v>132.86000000000001</v>
      </c>
      <c r="H19" s="51">
        <v>29.24</v>
      </c>
      <c r="I19" s="51">
        <v>0.20</v>
      </c>
      <c r="J19" s="51">
        <v>0.83</v>
      </c>
      <c r="K19" s="51">
        <v>95.62</v>
      </c>
      <c r="L19" s="51">
        <v>24.12</v>
      </c>
      <c r="M19" s="51">
        <v>30</v>
      </c>
      <c r="N19" s="51">
        <v>759.80</v>
      </c>
      <c r="O19" s="51">
        <v>0</v>
      </c>
      <c r="P19" s="51">
        <v>0.91</v>
      </c>
      <c r="Q19" s="51">
        <v>26.85</v>
      </c>
      <c r="R19" s="43"/>
      <c r="S19" s="43"/>
      <c r="T19" s="43"/>
      <c r="U19" s="43"/>
    </row>
    <row r="20" spans="1:21" s="11" customFormat="1" ht="15">
      <c r="A20" s="50" t="s">
        <v>216</v>
      </c>
      <c r="B20" s="51">
        <v>21.39</v>
      </c>
      <c r="C20" s="51">
        <v>100.41</v>
      </c>
      <c r="D20" s="51">
        <v>72.569999999999993</v>
      </c>
      <c r="E20" s="51">
        <v>12.58</v>
      </c>
      <c r="F20" s="51">
        <v>1.51</v>
      </c>
      <c r="G20" s="51">
        <v>98.13</v>
      </c>
      <c r="H20" s="51">
        <v>29.06</v>
      </c>
      <c r="I20" s="51">
        <v>0.15</v>
      </c>
      <c r="J20" s="51">
        <v>0.95</v>
      </c>
      <c r="K20" s="51">
        <v>146.94</v>
      </c>
      <c r="L20" s="51">
        <v>24.43</v>
      </c>
      <c r="M20" s="51">
        <v>30</v>
      </c>
      <c r="N20" s="51">
        <v>802</v>
      </c>
      <c r="O20" s="51">
        <v>0</v>
      </c>
      <c r="P20" s="51">
        <v>0.77</v>
      </c>
      <c r="Q20" s="51">
        <v>25.20</v>
      </c>
      <c r="R20" s="43"/>
      <c r="S20" s="43"/>
      <c r="T20" s="43"/>
      <c r="U20" s="43"/>
    </row>
    <row r="21" spans="1:21" s="11" customFormat="1" ht="15">
      <c r="A21" s="50" t="s">
        <v>217</v>
      </c>
      <c r="B21" s="51">
        <v>13.95</v>
      </c>
      <c r="C21" s="51">
        <v>96.99</v>
      </c>
      <c r="D21" s="51">
        <v>64.25</v>
      </c>
      <c r="E21" s="51">
        <v>15.97</v>
      </c>
      <c r="F21" s="51">
        <v>1.98</v>
      </c>
      <c r="G21" s="51">
        <v>48.86</v>
      </c>
      <c r="H21" s="51">
        <v>27.22</v>
      </c>
      <c r="I21" s="51">
        <v>0.12</v>
      </c>
      <c r="J21" s="51">
        <v>0.81</v>
      </c>
      <c r="K21" s="51">
        <v>359.53</v>
      </c>
      <c r="L21" s="51">
        <v>28.51</v>
      </c>
      <c r="M21" s="51">
        <v>23</v>
      </c>
      <c r="N21" s="51">
        <v>788.40</v>
      </c>
      <c r="O21" s="51">
        <v>0</v>
      </c>
      <c r="P21" s="51">
        <v>0.72</v>
      </c>
      <c r="Q21" s="51">
        <v>25.27</v>
      </c>
      <c r="R21" s="43"/>
      <c r="S21" s="43"/>
      <c r="T21" s="43"/>
      <c r="U21" s="43"/>
    </row>
    <row r="22" spans="1:21" s="11" customFormat="1" ht="15">
      <c r="A22" s="50" t="s">
        <v>218</v>
      </c>
      <c r="B22" s="51">
        <v>16.22</v>
      </c>
      <c r="C22" s="51">
        <v>100.15</v>
      </c>
      <c r="D22" s="51">
        <v>68.13</v>
      </c>
      <c r="E22" s="51">
        <v>16.41</v>
      </c>
      <c r="F22" s="51">
        <v>2.85</v>
      </c>
      <c r="G22" s="51">
        <v>45.84</v>
      </c>
      <c r="H22" s="51">
        <v>27.22</v>
      </c>
      <c r="I22" s="51">
        <v>0.12</v>
      </c>
      <c r="J22" s="51">
        <v>0.65</v>
      </c>
      <c r="K22" s="51">
        <v>139.13999999999999</v>
      </c>
      <c r="L22" s="51">
        <v>28.55</v>
      </c>
      <c r="M22" s="51">
        <v>19</v>
      </c>
      <c r="N22" s="51">
        <v>716.10</v>
      </c>
      <c r="O22" s="51">
        <v>0</v>
      </c>
      <c r="P22" s="51">
        <v>0.75</v>
      </c>
      <c r="Q22" s="51">
        <v>23.11</v>
      </c>
      <c r="R22" s="43"/>
      <c r="S22" s="43"/>
      <c r="T22" s="43"/>
      <c r="U22" s="43"/>
    </row>
    <row r="23" spans="1:21" s="11" customFormat="1" ht="15">
      <c r="A23" s="50" t="s">
        <v>219</v>
      </c>
      <c r="B23" s="51">
        <v>18.57</v>
      </c>
      <c r="C23" s="51">
        <v>99.65</v>
      </c>
      <c r="D23" s="51">
        <v>68.790000000000006</v>
      </c>
      <c r="E23" s="51">
        <v>15.58</v>
      </c>
      <c r="F23" s="51">
        <v>1.79</v>
      </c>
      <c r="G23" s="51">
        <v>56.65</v>
      </c>
      <c r="H23" s="51">
        <v>25.79</v>
      </c>
      <c r="I23" s="51">
        <v>0.15</v>
      </c>
      <c r="J23" s="51">
        <v>0.59</v>
      </c>
      <c r="K23" s="51">
        <v>74.05</v>
      </c>
      <c r="L23" s="51">
        <v>27.91</v>
      </c>
      <c r="M23" s="51">
        <v>19</v>
      </c>
      <c r="N23" s="51">
        <v>563.90</v>
      </c>
      <c r="O23" s="51">
        <v>0</v>
      </c>
      <c r="P23" s="51">
        <v>0.82</v>
      </c>
      <c r="Q23" s="51">
        <v>26.73</v>
      </c>
      <c r="R23" s="43"/>
      <c r="S23" s="43"/>
      <c r="T23" s="43"/>
      <c r="U23" s="43"/>
    </row>
    <row r="24" spans="1:21" s="11" customFormat="1" ht="15">
      <c r="A24" s="50" t="s">
        <v>220</v>
      </c>
      <c r="B24" s="51">
        <v>18.420000000000002</v>
      </c>
      <c r="C24" s="51">
        <v>106.76</v>
      </c>
      <c r="D24" s="51">
        <v>72.66</v>
      </c>
      <c r="E24" s="51">
        <v>14.47</v>
      </c>
      <c r="F24" s="51">
        <v>1.17</v>
      </c>
      <c r="G24" s="51">
        <v>68.400000000000006</v>
      </c>
      <c r="H24" s="51">
        <v>26.69</v>
      </c>
      <c r="I24" s="51">
        <v>0.17</v>
      </c>
      <c r="J24" s="51">
        <v>0.73</v>
      </c>
      <c r="K24" s="51">
        <v>359.07</v>
      </c>
      <c r="L24" s="51">
        <v>27.36</v>
      </c>
      <c r="M24" s="51">
        <v>22</v>
      </c>
      <c r="N24" s="51">
        <v>355.90</v>
      </c>
      <c r="O24" s="51">
        <v>0</v>
      </c>
      <c r="P24" s="51">
        <v>0.92</v>
      </c>
      <c r="Q24" s="51">
        <v>28.73</v>
      </c>
      <c r="R24" s="43"/>
      <c r="S24" s="43"/>
      <c r="T24" s="43"/>
      <c r="U24" s="43"/>
    </row>
    <row r="25" spans="1:21" s="11" customFormat="1" ht="15">
      <c r="A25" s="50" t="s">
        <v>221</v>
      </c>
      <c r="B25" s="51">
        <v>16.97</v>
      </c>
      <c r="C25" s="51">
        <v>108.86</v>
      </c>
      <c r="D25" s="51">
        <v>73.62</v>
      </c>
      <c r="E25" s="51">
        <v>18.12</v>
      </c>
      <c r="F25" s="51">
        <v>1.08</v>
      </c>
      <c r="G25" s="51">
        <v>68.400000000000006</v>
      </c>
      <c r="H25" s="51">
        <v>28.93</v>
      </c>
      <c r="I25" s="51">
        <v>0.15</v>
      </c>
      <c r="J25" s="51">
        <v>0.83</v>
      </c>
      <c r="K25" s="51">
        <v>339.11</v>
      </c>
      <c r="L25" s="51">
        <v>24.55</v>
      </c>
      <c r="M25" s="51">
        <v>24</v>
      </c>
      <c r="N25" s="51">
        <v>95.90</v>
      </c>
      <c r="O25" s="51">
        <v>0</v>
      </c>
      <c r="P25" s="51">
        <v>0.91</v>
      </c>
      <c r="Q25" s="51">
        <v>27.24</v>
      </c>
      <c r="R25" s="43"/>
      <c r="S25" s="43"/>
      <c r="T25" s="43"/>
      <c r="U25" s="43"/>
    </row>
    <row r="26" spans="1:21" s="11" customFormat="1" ht="15">
      <c r="A26" s="50" t="s">
        <v>222</v>
      </c>
      <c r="B26" s="51">
        <v>33.130000000000003</v>
      </c>
      <c r="C26" s="51">
        <v>111.33</v>
      </c>
      <c r="D26" s="51">
        <v>86.65</v>
      </c>
      <c r="E26" s="51">
        <v>11.66</v>
      </c>
      <c r="F26" s="51">
        <v>0.49</v>
      </c>
      <c r="G26" s="51">
        <v>63.01</v>
      </c>
      <c r="H26" s="51">
        <v>28.93</v>
      </c>
      <c r="I26" s="51">
        <v>0.15</v>
      </c>
      <c r="J26" s="51">
        <v>0.46</v>
      </c>
      <c r="K26" s="51">
        <v>353.21</v>
      </c>
      <c r="L26" s="51">
        <v>22.34</v>
      </c>
      <c r="M26" s="51">
        <v>36</v>
      </c>
      <c r="N26" s="51">
        <v>42.80</v>
      </c>
      <c r="O26" s="51">
        <v>0</v>
      </c>
      <c r="P26" s="51">
        <v>1.1000000000000001</v>
      </c>
      <c r="Q26" s="51">
        <v>24.66</v>
      </c>
      <c r="R26" s="43"/>
      <c r="S26" s="43"/>
      <c r="T26" s="43"/>
      <c r="U26" s="43"/>
    </row>
    <row r="27" spans="1:21" s="11" customFormat="1" ht="15">
      <c r="A27" s="50" t="s">
        <v>223</v>
      </c>
      <c r="B27" s="51">
        <v>56</v>
      </c>
      <c r="C27" s="51">
        <v>122.28</v>
      </c>
      <c r="D27" s="51">
        <v>112.39</v>
      </c>
      <c r="E27" s="51">
        <v>6.42</v>
      </c>
      <c r="F27" s="51">
        <v>0.28000000000000003</v>
      </c>
      <c r="G27" s="51">
        <v>100.79</v>
      </c>
      <c r="H27" s="51">
        <v>33.54</v>
      </c>
      <c r="I27" s="51">
        <v>0.23</v>
      </c>
      <c r="J27" s="51">
        <v>0.12</v>
      </c>
      <c r="K27" s="51">
        <v>323.26</v>
      </c>
      <c r="L27" s="51">
        <v>18.809999999999999</v>
      </c>
      <c r="M27" s="51">
        <v>42</v>
      </c>
      <c r="N27" s="51">
        <v>24.70</v>
      </c>
      <c r="O27" s="51">
        <v>0</v>
      </c>
      <c r="P27" s="51">
        <v>1.47</v>
      </c>
      <c r="Q27" s="51">
        <v>32.93</v>
      </c>
      <c r="R27" s="43"/>
      <c r="S27" s="43"/>
      <c r="T27" s="43"/>
      <c r="U27" s="43"/>
    </row>
    <row r="28" spans="1:21" s="11" customFormat="1" ht="15">
      <c r="A28" s="50" t="s">
        <v>224</v>
      </c>
      <c r="B28" s="51">
        <v>102.45</v>
      </c>
      <c r="C28" s="51">
        <v>151.27000000000001</v>
      </c>
      <c r="D28" s="51">
        <v>165.64</v>
      </c>
      <c r="E28" s="51">
        <v>5.82</v>
      </c>
      <c r="F28" s="51">
        <v>0.21</v>
      </c>
      <c r="G28" s="51">
        <v>173.12</v>
      </c>
      <c r="H28" s="51">
        <v>46.63</v>
      </c>
      <c r="I28" s="51">
        <v>0.52</v>
      </c>
      <c r="J28" s="51">
        <v>0.19</v>
      </c>
      <c r="K28" s="51">
        <v>295.47000000000003</v>
      </c>
      <c r="L28" s="51">
        <v>16.920000000000002</v>
      </c>
      <c r="M28" s="51">
        <v>49</v>
      </c>
      <c r="N28" s="51">
        <v>24.5</v>
      </c>
      <c r="O28" s="51">
        <v>0</v>
      </c>
      <c r="P28" s="51">
        <v>2.1800000000000002</v>
      </c>
      <c r="Q28" s="51">
        <v>37.549999999999997</v>
      </c>
      <c r="R28" s="43"/>
      <c r="S28" s="43"/>
      <c r="T28" s="43"/>
      <c r="U28" s="43"/>
    </row>
    <row r="29" spans="1:21" s="11" customFormat="1" ht="15">
      <c r="A29" s="50" t="s">
        <v>225</v>
      </c>
      <c r="B29" s="51">
        <v>117.33</v>
      </c>
      <c r="C29" s="51">
        <v>153.19</v>
      </c>
      <c r="D29" s="51">
        <v>177.89</v>
      </c>
      <c r="E29" s="51">
        <v>6.04</v>
      </c>
      <c r="F29" s="51">
        <v>0.24</v>
      </c>
      <c r="G29" s="51">
        <v>173.12</v>
      </c>
      <c r="H29" s="51">
        <v>58.02</v>
      </c>
      <c r="I29" s="51">
        <v>0.79</v>
      </c>
      <c r="J29" s="51">
        <v>0.13</v>
      </c>
      <c r="K29" s="51">
        <v>304.69</v>
      </c>
      <c r="L29" s="51">
        <v>17.11</v>
      </c>
      <c r="M29" s="51">
        <v>49</v>
      </c>
      <c r="N29" s="51">
        <v>24.5</v>
      </c>
      <c r="O29" s="51">
        <v>0</v>
      </c>
      <c r="P29" s="51">
        <v>2.67</v>
      </c>
      <c r="Q29" s="51">
        <v>37.22</v>
      </c>
      <c r="R29" s="43"/>
      <c r="S29" s="43"/>
      <c r="T29" s="43"/>
      <c r="U29" s="43"/>
    </row>
    <row r="30" spans="1:21" s="11" customFormat="1" ht="15">
      <c r="A30" s="50" t="s">
        <v>226</v>
      </c>
      <c r="B30" s="51">
        <v>164.88</v>
      </c>
      <c r="C30" s="51">
        <v>177.44</v>
      </c>
      <c r="D30" s="51">
        <v>230.15</v>
      </c>
      <c r="E30" s="51">
        <v>6.48</v>
      </c>
      <c r="F30" s="51">
        <v>0.26</v>
      </c>
      <c r="G30" s="51">
        <v>155.41</v>
      </c>
      <c r="H30" s="51">
        <v>68.459999999999994</v>
      </c>
      <c r="I30" s="51">
        <v>0.98</v>
      </c>
      <c r="J30" s="51">
        <v>0.08</v>
      </c>
      <c r="K30" s="51">
        <v>333.53</v>
      </c>
      <c r="L30" s="51">
        <v>15.34</v>
      </c>
      <c r="M30" s="51">
        <v>58</v>
      </c>
      <c r="N30" s="51">
        <v>24.70</v>
      </c>
      <c r="O30" s="51">
        <v>0</v>
      </c>
      <c r="P30" s="51">
        <v>3.20</v>
      </c>
      <c r="Q30" s="51">
        <v>43.12</v>
      </c>
      <c r="R30" s="43"/>
      <c r="S30" s="43"/>
      <c r="T30" s="43"/>
      <c r="U30" s="43"/>
    </row>
    <row r="31" spans="1:21" s="11" customFormat="1" ht="15">
      <c r="A31" s="50" t="s">
        <v>227</v>
      </c>
      <c r="B31" s="51">
        <v>189.76</v>
      </c>
      <c r="C31" s="51">
        <v>194.23</v>
      </c>
      <c r="D31" s="51">
        <v>259.37</v>
      </c>
      <c r="E31" s="51">
        <v>6.83</v>
      </c>
      <c r="F31" s="51">
        <v>0.17</v>
      </c>
      <c r="G31" s="51">
        <v>211</v>
      </c>
      <c r="H31" s="51">
        <v>74.91</v>
      </c>
      <c r="I31" s="51">
        <v>1.19</v>
      </c>
      <c r="J31" s="51">
        <v>0.18</v>
      </c>
      <c r="K31" s="51">
        <v>292.32</v>
      </c>
      <c r="L31" s="51">
        <v>14.34</v>
      </c>
      <c r="M31" s="51">
        <v>62</v>
      </c>
      <c r="N31" s="51">
        <v>24.5</v>
      </c>
      <c r="O31" s="51">
        <v>0</v>
      </c>
      <c r="P31" s="51">
        <v>3.37</v>
      </c>
      <c r="Q31" s="51">
        <v>47.22</v>
      </c>
      <c r="R31" s="43"/>
      <c r="S31" s="43"/>
      <c r="T31" s="43"/>
      <c r="U31" s="43"/>
    </row>
    <row r="32" spans="1:21" s="11" customFormat="1" ht="15">
      <c r="A32" s="50" t="s">
        <v>228</v>
      </c>
      <c r="B32" s="51">
        <v>186.44</v>
      </c>
      <c r="C32" s="51">
        <v>189.89</v>
      </c>
      <c r="D32" s="51">
        <v>254.31</v>
      </c>
      <c r="E32" s="51">
        <v>6.52</v>
      </c>
      <c r="F32" s="51">
        <v>0.08</v>
      </c>
      <c r="G32" s="51">
        <v>211</v>
      </c>
      <c r="H32" s="51">
        <v>76.5</v>
      </c>
      <c r="I32" s="51">
        <v>1.19</v>
      </c>
      <c r="J32" s="51">
        <v>0.17</v>
      </c>
      <c r="K32" s="51">
        <v>303.33</v>
      </c>
      <c r="L32" s="51">
        <v>13.79</v>
      </c>
      <c r="M32" s="51">
        <v>68</v>
      </c>
      <c r="N32" s="51">
        <v>24.60</v>
      </c>
      <c r="O32" s="51">
        <v>0</v>
      </c>
      <c r="P32" s="51">
        <v>3.29</v>
      </c>
      <c r="Q32" s="51">
        <v>47.09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13.949999999999999</v>
      </c>
      <c r="C34" s="28">
        <f t="shared" si="0"/>
        <v>82.040000000000006</v>
      </c>
      <c r="D34" s="28">
        <f t="shared" si="0"/>
        <v>60.909999999999997</v>
      </c>
      <c r="E34" s="28">
        <f t="shared" si="0"/>
        <v>4.0099999999999998</v>
      </c>
      <c r="F34" s="28">
        <f t="shared" si="0"/>
        <v>0.040000000000000001</v>
      </c>
      <c r="G34" s="28">
        <f t="shared" si="0"/>
        <v>45.840000000000003</v>
      </c>
      <c r="H34" s="28">
        <f t="shared" si="0"/>
        <v>25.789999999999999</v>
      </c>
      <c r="I34" s="28">
        <f t="shared" si="0"/>
        <v>0.12</v>
      </c>
      <c r="J34" s="28">
        <f t="shared" si="0"/>
        <v>0.080000000000000002</v>
      </c>
      <c r="K34" s="28">
        <f t="shared" si="0"/>
        <v>34.869999999999997</v>
      </c>
      <c r="L34" s="28">
        <f t="shared" si="0"/>
        <v>12.66</v>
      </c>
      <c r="M34" s="28">
        <f t="shared" si="0"/>
        <v>19</v>
      </c>
      <c r="N34" s="28">
        <f t="shared" si="0"/>
        <v>24.199999999999999</v>
      </c>
      <c r="O34" s="28">
        <f t="shared" si="0"/>
        <v>0</v>
      </c>
      <c r="P34" s="28">
        <f t="shared" si="0"/>
        <v>0.71999999999999997</v>
      </c>
      <c r="Q34" s="28">
        <f t="shared" si="0"/>
        <v>23.109999999999999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189.75999999999999</v>
      </c>
      <c r="C35" s="29">
        <f t="shared" si="1"/>
        <v>194.22999999999999</v>
      </c>
      <c r="D35" s="29">
        <f t="shared" si="1"/>
        <v>259.37</v>
      </c>
      <c r="E35" s="29">
        <f t="shared" si="1"/>
        <v>29.550000000000001</v>
      </c>
      <c r="F35" s="29">
        <f t="shared" si="1"/>
        <v>2.8500000000000001</v>
      </c>
      <c r="G35" s="29">
        <f t="shared" si="1"/>
        <v>211</v>
      </c>
      <c r="H35" s="29">
        <f t="shared" si="1"/>
        <v>76.5</v>
      </c>
      <c r="I35" s="29">
        <f t="shared" si="1"/>
        <v>1.1899999999999999</v>
      </c>
      <c r="J35" s="29">
        <f t="shared" si="1"/>
        <v>1.22</v>
      </c>
      <c r="K35" s="29">
        <f t="shared" si="1"/>
        <v>359.52999999999997</v>
      </c>
      <c r="L35" s="29">
        <f t="shared" si="1"/>
        <v>28.550000000000001</v>
      </c>
      <c r="M35" s="29">
        <f t="shared" si="1"/>
        <v>68</v>
      </c>
      <c r="N35" s="29">
        <f t="shared" si="1"/>
        <v>802</v>
      </c>
      <c r="O35" s="29">
        <f t="shared" si="1"/>
        <v>0</v>
      </c>
      <c r="P35" s="29">
        <f t="shared" si="1"/>
        <v>3.3700000000000001</v>
      </c>
      <c r="Q35" s="29">
        <f t="shared" si="1"/>
        <v>47.219999999999999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58.599583333333335</v>
      </c>
      <c r="C36" s="28">
        <f t="shared" si="2"/>
        <v>117.65583333333335</v>
      </c>
      <c r="D36" s="28">
        <f t="shared" si="2"/>
        <v>111.62625000000001</v>
      </c>
      <c r="E36" s="28">
        <f t="shared" si="2"/>
        <v>10.010416666666666</v>
      </c>
      <c r="F36" s="28">
        <f t="shared" si="2"/>
        <v>0.70374999999999999</v>
      </c>
      <c r="G36" s="28">
        <f t="shared" si="2"/>
        <v>99.233333333333348</v>
      </c>
      <c r="H36" s="28">
        <f t="shared" si="2"/>
        <v>39.343333333333327</v>
      </c>
      <c r="I36" s="28">
        <f t="shared" si="2"/>
        <v>0.43833333333333341</v>
      </c>
      <c r="J36" s="28">
        <f t="shared" si="2"/>
        <v>0.53833333333333344</v>
      </c>
      <c r="K36" s="28">
        <f t="shared" si="2"/>
        <v>182.26708333333337</v>
      </c>
      <c r="L36" s="28">
        <f t="shared" si="2"/>
        <v>19.21916666666667</v>
      </c>
      <c r="M36" s="28">
        <f t="shared" si="2"/>
        <v>43.5</v>
      </c>
      <c r="N36" s="28">
        <f t="shared" si="2"/>
        <v>241.69166666666663</v>
      </c>
      <c r="O36" s="28">
        <f t="shared" si="2"/>
        <v>0</v>
      </c>
      <c r="P36" s="28">
        <f t="shared" si="2"/>
        <v>1.5058333333333334</v>
      </c>
      <c r="Q36" s="28">
        <f t="shared" si="2"/>
        <v>34.639166666666661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56.09486177191404</v>
      </c>
      <c r="C37" s="28">
        <f t="shared" si="3" ref="C37:Q37">STDEV(C9:C32)</f>
        <v>33.324024616883641</v>
      </c>
      <c r="D37" s="28">
        <f t="shared" si="3"/>
        <v>63.089685494230082</v>
      </c>
      <c r="E37" s="28">
        <f t="shared" si="3"/>
        <v>7.4728205949913962</v>
      </c>
      <c r="F37" s="28">
        <f t="shared" si="3"/>
        <v>0.79512543445782125</v>
      </c>
      <c r="G37" s="28">
        <f t="shared" si="3"/>
        <v>58.993296057349966</v>
      </c>
      <c r="H37" s="28">
        <f t="shared" si="3"/>
        <v>16.697184002794863</v>
      </c>
      <c r="I37" s="28">
        <f t="shared" si="3"/>
        <v>0.35796121561428679</v>
      </c>
      <c r="J37" s="28">
        <f t="shared" si="3"/>
        <v>0.32428740160632147</v>
      </c>
      <c r="K37" s="28">
        <f t="shared" si="3"/>
        <v>127.77381964540056</v>
      </c>
      <c r="L37" s="28">
        <f t="shared" si="3"/>
        <v>5.4898997509392027</v>
      </c>
      <c r="M37" s="28">
        <f t="shared" si="3"/>
        <v>14.811863635202226</v>
      </c>
      <c r="N37" s="28">
        <f t="shared" si="3"/>
        <v>302.64570463866141</v>
      </c>
      <c r="O37" s="28">
        <f t="shared" si="3"/>
        <v>0</v>
      </c>
      <c r="P37" s="28">
        <f t="shared" si="3"/>
        <v>0.89840881885537016</v>
      </c>
      <c r="Q37" s="28">
        <f t="shared" si="3"/>
        <v>7.6058283810719205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bb66d5-f1cc-49e0-ab71-463c813d9291}">
  <sheetPr codeName=""/>
  <dimension ref="A1:U119"/>
  <sheetViews>
    <sheetView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08-01-2023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229</v>
      </c>
      <c r="B9" s="51">
        <v>165.97</v>
      </c>
      <c r="C9" s="51">
        <v>172.84</v>
      </c>
      <c r="D9" s="51">
        <v>228.48</v>
      </c>
      <c r="E9" s="51">
        <v>6.35</v>
      </c>
      <c r="F9" s="51">
        <v>0.10</v>
      </c>
      <c r="G9" s="51">
        <v>143.72999999999999</v>
      </c>
      <c r="H9" s="51">
        <v>76.5</v>
      </c>
      <c r="I9" s="51">
        <v>1.07</v>
      </c>
      <c r="J9" s="51">
        <v>0.18</v>
      </c>
      <c r="K9" s="51">
        <v>350.26</v>
      </c>
      <c r="L9" s="51">
        <v>13.04</v>
      </c>
      <c r="M9" s="51">
        <v>76</v>
      </c>
      <c r="N9" s="51">
        <v>24.40</v>
      </c>
      <c r="O9" s="51">
        <v>0</v>
      </c>
      <c r="P9" s="51">
        <v>2.91</v>
      </c>
      <c r="Q9" s="51">
        <v>42.80</v>
      </c>
      <c r="R9" s="43"/>
      <c r="S9" s="43"/>
      <c r="T9" s="43"/>
      <c r="U9" s="43"/>
    </row>
    <row r="10" spans="1:21" s="11" customFormat="1" ht="15">
      <c r="A10" s="50" t="s">
        <v>230</v>
      </c>
      <c r="B10" s="51">
        <v>160.75</v>
      </c>
      <c r="C10" s="51">
        <v>165.42</v>
      </c>
      <c r="D10" s="51">
        <v>220.20</v>
      </c>
      <c r="E10" s="51">
        <v>7.27</v>
      </c>
      <c r="F10" s="51">
        <v>0.17</v>
      </c>
      <c r="G10" s="51">
        <v>143.72999999999999</v>
      </c>
      <c r="H10" s="51">
        <v>75.42</v>
      </c>
      <c r="I10" s="51">
        <v>0.96</v>
      </c>
      <c r="J10" s="51">
        <v>0.48</v>
      </c>
      <c r="K10" s="51">
        <v>119.13</v>
      </c>
      <c r="L10" s="51">
        <v>14.75</v>
      </c>
      <c r="M10" s="51">
        <v>69</v>
      </c>
      <c r="N10" s="51">
        <v>24.30</v>
      </c>
      <c r="O10" s="51">
        <v>0</v>
      </c>
      <c r="P10" s="51">
        <v>2.62</v>
      </c>
      <c r="Q10" s="51">
        <v>43.81</v>
      </c>
      <c r="R10" s="43"/>
      <c r="S10" s="43"/>
      <c r="T10" s="43"/>
      <c r="U10" s="43"/>
    </row>
    <row r="11" spans="1:21" s="11" customFormat="1" ht="15">
      <c r="A11" s="50" t="s">
        <v>231</v>
      </c>
      <c r="B11" s="51">
        <v>135.72999999999999</v>
      </c>
      <c r="C11" s="51">
        <v>149.44</v>
      </c>
      <c r="D11" s="51">
        <v>191.32</v>
      </c>
      <c r="E11" s="51">
        <v>6.87</v>
      </c>
      <c r="F11" s="51">
        <v>0.35</v>
      </c>
      <c r="G11" s="51">
        <v>145.07</v>
      </c>
      <c r="H11" s="51">
        <v>76</v>
      </c>
      <c r="I11" s="51">
        <v>0.89</v>
      </c>
      <c r="J11" s="51">
        <v>0.27</v>
      </c>
      <c r="K11" s="51">
        <v>98.32</v>
      </c>
      <c r="L11" s="51">
        <v>14.54</v>
      </c>
      <c r="M11" s="51">
        <v>52</v>
      </c>
      <c r="N11" s="51">
        <v>24.30</v>
      </c>
      <c r="O11" s="51">
        <v>0</v>
      </c>
      <c r="P11" s="51">
        <v>2.59</v>
      </c>
      <c r="Q11" s="51">
        <v>43.43</v>
      </c>
      <c r="R11" s="43"/>
      <c r="S11" s="43"/>
      <c r="T11" s="43"/>
      <c r="U11" s="43"/>
    </row>
    <row r="12" spans="1:21" s="11" customFormat="1" ht="15">
      <c r="A12" s="50" t="s">
        <v>232</v>
      </c>
      <c r="B12" s="51">
        <v>101.18</v>
      </c>
      <c r="C12" s="51">
        <v>131.71</v>
      </c>
      <c r="D12" s="51">
        <v>153.82</v>
      </c>
      <c r="E12" s="51">
        <v>6.08</v>
      </c>
      <c r="F12" s="51">
        <v>0.89</v>
      </c>
      <c r="G12" s="51">
        <v>145.07</v>
      </c>
      <c r="H12" s="51">
        <v>76</v>
      </c>
      <c r="I12" s="51">
        <v>0.75</v>
      </c>
      <c r="J12" s="51">
        <v>0.35</v>
      </c>
      <c r="K12" s="51">
        <v>234.15</v>
      </c>
      <c r="L12" s="51">
        <v>14.25</v>
      </c>
      <c r="M12" s="51">
        <v>46</v>
      </c>
      <c r="N12" s="51">
        <v>24.30</v>
      </c>
      <c r="O12" s="51">
        <v>0</v>
      </c>
      <c r="P12" s="51">
        <v>2.2200000000000002</v>
      </c>
      <c r="Q12" s="51">
        <v>40.19</v>
      </c>
      <c r="R12" s="43"/>
      <c r="S12" s="43"/>
      <c r="T12" s="43"/>
      <c r="U12" s="43"/>
    </row>
    <row r="13" spans="1:21" s="11" customFormat="1" ht="15">
      <c r="A13" s="50" t="s">
        <v>233</v>
      </c>
      <c r="B13" s="51">
        <v>71.42</v>
      </c>
      <c r="C13" s="51">
        <v>113.42</v>
      </c>
      <c r="D13" s="51">
        <v>119.87</v>
      </c>
      <c r="E13" s="51">
        <v>4.84</v>
      </c>
      <c r="F13" s="51">
        <v>0.25</v>
      </c>
      <c r="G13" s="51">
        <v>65.72</v>
      </c>
      <c r="H13" s="51">
        <v>63.23</v>
      </c>
      <c r="I13" s="51">
        <v>0.60</v>
      </c>
      <c r="J13" s="51">
        <v>0.36</v>
      </c>
      <c r="K13" s="51">
        <v>336.34</v>
      </c>
      <c r="L13" s="51">
        <v>13.16</v>
      </c>
      <c r="M13" s="51">
        <v>80</v>
      </c>
      <c r="N13" s="51">
        <v>24.90</v>
      </c>
      <c r="O13" s="51">
        <v>0</v>
      </c>
      <c r="P13" s="51">
        <v>1.74</v>
      </c>
      <c r="Q13" s="51">
        <v>35.42</v>
      </c>
      <c r="R13" s="43"/>
      <c r="S13" s="43"/>
      <c r="T13" s="43"/>
      <c r="U13" s="43"/>
    </row>
    <row r="14" spans="1:21" s="11" customFormat="1" ht="15">
      <c r="A14" s="50" t="s">
        <v>234</v>
      </c>
      <c r="B14" s="51">
        <v>66.819999999999993</v>
      </c>
      <c r="C14" s="51">
        <v>104.94</v>
      </c>
      <c r="D14" s="51">
        <v>111.49</v>
      </c>
      <c r="E14" s="51">
        <v>4.2300000000000004</v>
      </c>
      <c r="F14" s="51">
        <v>0.09</v>
      </c>
      <c r="G14" s="51">
        <v>75.56</v>
      </c>
      <c r="H14" s="51">
        <v>47.64</v>
      </c>
      <c r="I14" s="51">
        <v>0.48</v>
      </c>
      <c r="J14" s="51">
        <v>0.15</v>
      </c>
      <c r="K14" s="51">
        <v>353.88</v>
      </c>
      <c r="L14" s="51">
        <v>10.65</v>
      </c>
      <c r="M14" s="51">
        <v>80</v>
      </c>
      <c r="N14" s="51">
        <v>24.5</v>
      </c>
      <c r="O14" s="51">
        <v>0</v>
      </c>
      <c r="P14" s="51">
        <v>1.60</v>
      </c>
      <c r="Q14" s="51">
        <v>36.75</v>
      </c>
      <c r="R14" s="43"/>
      <c r="S14" s="43"/>
      <c r="T14" s="43"/>
      <c r="U14" s="43"/>
    </row>
    <row r="15" spans="1:21" s="11" customFormat="1" ht="15">
      <c r="A15" s="50" t="s">
        <v>235</v>
      </c>
      <c r="B15" s="51">
        <v>71.80</v>
      </c>
      <c r="C15" s="51">
        <v>113.03</v>
      </c>
      <c r="D15" s="51">
        <v>119.82</v>
      </c>
      <c r="E15" s="51">
        <v>4.33</v>
      </c>
      <c r="F15" s="51">
        <v>0.10</v>
      </c>
      <c r="G15" s="51">
        <v>95.47</v>
      </c>
      <c r="H15" s="51">
        <v>47.39</v>
      </c>
      <c r="I15" s="51">
        <v>0.44</v>
      </c>
      <c r="J15" s="51">
        <v>0.30</v>
      </c>
      <c r="K15" s="51">
        <v>112.51</v>
      </c>
      <c r="L15" s="51">
        <v>12.05</v>
      </c>
      <c r="M15" s="51">
        <v>59</v>
      </c>
      <c r="N15" s="51">
        <v>38.90</v>
      </c>
      <c r="O15" s="51">
        <v>0</v>
      </c>
      <c r="P15" s="51">
        <v>1.58</v>
      </c>
      <c r="Q15" s="51">
        <v>36.96</v>
      </c>
      <c r="R15" s="43"/>
      <c r="S15" s="43"/>
      <c r="T15" s="43"/>
      <c r="U15" s="43"/>
    </row>
    <row r="16" spans="1:21" s="11" customFormat="1" ht="15">
      <c r="A16" s="50" t="s">
        <v>236</v>
      </c>
      <c r="B16" s="51">
        <v>67.91</v>
      </c>
      <c r="C16" s="51">
        <v>113.45</v>
      </c>
      <c r="D16" s="51">
        <v>116.67</v>
      </c>
      <c r="E16" s="51">
        <v>3.85</v>
      </c>
      <c r="F16" s="51">
        <v>0.24</v>
      </c>
      <c r="G16" s="51">
        <v>75.78</v>
      </c>
      <c r="H16" s="51">
        <v>47.39</v>
      </c>
      <c r="I16" s="51">
        <v>0.38</v>
      </c>
      <c r="J16" s="51">
        <v>1.18</v>
      </c>
      <c r="K16" s="51">
        <v>118.43</v>
      </c>
      <c r="L16" s="51">
        <v>14.68</v>
      </c>
      <c r="M16" s="51">
        <v>52</v>
      </c>
      <c r="N16" s="51">
        <v>227.70</v>
      </c>
      <c r="O16" s="51">
        <v>0</v>
      </c>
      <c r="P16" s="51">
        <v>1.31</v>
      </c>
      <c r="Q16" s="51">
        <v>33.840000000000003</v>
      </c>
      <c r="R16" s="43"/>
      <c r="S16" s="43"/>
      <c r="T16" s="43"/>
      <c r="U16" s="43"/>
    </row>
    <row r="17" spans="1:21" s="11" customFormat="1" ht="15">
      <c r="A17" s="50" t="s">
        <v>237</v>
      </c>
      <c r="B17" s="51">
        <v>54.38</v>
      </c>
      <c r="C17" s="51">
        <v>107.12</v>
      </c>
      <c r="D17" s="51">
        <v>102.73</v>
      </c>
      <c r="E17" s="51">
        <v>4.82</v>
      </c>
      <c r="F17" s="51">
        <v>0.43</v>
      </c>
      <c r="G17" s="51">
        <v>68.39</v>
      </c>
      <c r="H17" s="51">
        <v>41.85</v>
      </c>
      <c r="I17" s="51">
        <v>0.32</v>
      </c>
      <c r="J17" s="51">
        <v>1.47</v>
      </c>
      <c r="K17" s="51">
        <v>134.18</v>
      </c>
      <c r="L17" s="51">
        <v>18.940000000000001</v>
      </c>
      <c r="M17" s="51">
        <v>39</v>
      </c>
      <c r="N17" s="51">
        <v>472.30</v>
      </c>
      <c r="O17" s="51">
        <v>0</v>
      </c>
      <c r="P17" s="51">
        <v>1.1399999999999999</v>
      </c>
      <c r="Q17" s="51">
        <v>33.92</v>
      </c>
      <c r="R17" s="43"/>
      <c r="S17" s="43"/>
      <c r="T17" s="43"/>
      <c r="U17" s="43"/>
    </row>
    <row r="18" spans="1:21" s="11" customFormat="1" ht="15">
      <c r="A18" s="50" t="s">
        <v>238</v>
      </c>
      <c r="B18" s="51">
        <v>41.48</v>
      </c>
      <c r="C18" s="51">
        <v>98.27</v>
      </c>
      <c r="D18" s="51">
        <v>87.49</v>
      </c>
      <c r="E18" s="51">
        <v>4.71</v>
      </c>
      <c r="F18" s="51">
        <v>0.28000000000000003</v>
      </c>
      <c r="G18" s="51">
        <v>39.51</v>
      </c>
      <c r="H18" s="51">
        <v>37.31</v>
      </c>
      <c r="I18" s="51">
        <v>0.28000000000000003</v>
      </c>
      <c r="J18" s="51">
        <v>1.18</v>
      </c>
      <c r="K18" s="51">
        <v>128.47</v>
      </c>
      <c r="L18" s="51">
        <v>22.67</v>
      </c>
      <c r="M18" s="51">
        <v>33</v>
      </c>
      <c r="N18" s="51">
        <v>645.70000000000005</v>
      </c>
      <c r="O18" s="51">
        <v>0</v>
      </c>
      <c r="P18" s="51">
        <v>0.98</v>
      </c>
      <c r="Q18" s="51">
        <v>34.54</v>
      </c>
      <c r="R18" s="43"/>
      <c r="S18" s="43"/>
      <c r="T18" s="43"/>
      <c r="U18" s="43"/>
    </row>
    <row r="19" spans="1:21" s="11" customFormat="1" ht="15">
      <c r="A19" s="50" t="s">
        <v>239</v>
      </c>
      <c r="B19" s="51">
        <v>30.24</v>
      </c>
      <c r="C19" s="51">
        <v>96.60</v>
      </c>
      <c r="D19" s="51">
        <v>77.56</v>
      </c>
      <c r="E19" s="51">
        <v>4.68</v>
      </c>
      <c r="F19" s="51">
        <v>0.45</v>
      </c>
      <c r="G19" s="51">
        <v>42.85</v>
      </c>
      <c r="H19" s="51">
        <v>31.36</v>
      </c>
      <c r="I19" s="51">
        <v>0.25</v>
      </c>
      <c r="J19" s="51">
        <v>1.70</v>
      </c>
      <c r="K19" s="51">
        <v>135.93</v>
      </c>
      <c r="L19" s="51">
        <v>23.67</v>
      </c>
      <c r="M19" s="51">
        <v>24</v>
      </c>
      <c r="N19" s="51">
        <v>763.30</v>
      </c>
      <c r="O19" s="51">
        <v>0</v>
      </c>
      <c r="P19" s="51">
        <v>0.85</v>
      </c>
      <c r="Q19" s="51">
        <v>33.799999999999997</v>
      </c>
      <c r="R19" s="43"/>
      <c r="S19" s="43"/>
      <c r="T19" s="43"/>
      <c r="U19" s="43"/>
    </row>
    <row r="20" spans="1:21" s="11" customFormat="1" ht="15">
      <c r="A20" s="50" t="s">
        <v>240</v>
      </c>
      <c r="B20" s="51">
        <v>22.43</v>
      </c>
      <c r="C20" s="51">
        <v>90.18</v>
      </c>
      <c r="D20" s="51">
        <v>67.48</v>
      </c>
      <c r="E20" s="51">
        <v>5</v>
      </c>
      <c r="F20" s="51">
        <v>0.57999999999999996</v>
      </c>
      <c r="G20" s="51">
        <v>42.85</v>
      </c>
      <c r="H20" s="51">
        <v>27.33</v>
      </c>
      <c r="I20" s="51">
        <v>0.23</v>
      </c>
      <c r="J20" s="51">
        <v>0.87</v>
      </c>
      <c r="K20" s="51">
        <v>356.83</v>
      </c>
      <c r="L20" s="51">
        <v>29.88</v>
      </c>
      <c r="M20" s="51">
        <v>17</v>
      </c>
      <c r="N20" s="51">
        <v>797.60</v>
      </c>
      <c r="O20" s="51">
        <v>0</v>
      </c>
      <c r="P20" s="51">
        <v>0.75</v>
      </c>
      <c r="Q20" s="51">
        <v>31.91</v>
      </c>
      <c r="R20" s="43"/>
      <c r="S20" s="43"/>
      <c r="T20" s="43"/>
      <c r="U20" s="43"/>
    </row>
    <row r="21" spans="1:21" s="11" customFormat="1" ht="15">
      <c r="A21" s="50" t="s">
        <v>241</v>
      </c>
      <c r="B21" s="51">
        <v>18.84</v>
      </c>
      <c r="C21" s="51">
        <v>92.24</v>
      </c>
      <c r="D21" s="51">
        <v>64.959999999999994</v>
      </c>
      <c r="E21" s="51">
        <v>5.91</v>
      </c>
      <c r="F21" s="51">
        <v>0.80</v>
      </c>
      <c r="G21" s="51">
        <v>40.76</v>
      </c>
      <c r="H21" s="51">
        <v>25.43</v>
      </c>
      <c r="I21" s="51">
        <v>0.24</v>
      </c>
      <c r="J21" s="51">
        <v>1.05</v>
      </c>
      <c r="K21" s="51">
        <v>73.02</v>
      </c>
      <c r="L21" s="51">
        <v>29.06</v>
      </c>
      <c r="M21" s="51">
        <v>16</v>
      </c>
      <c r="N21" s="51">
        <v>779.80</v>
      </c>
      <c r="O21" s="51">
        <v>0</v>
      </c>
      <c r="P21" s="51">
        <v>0.74</v>
      </c>
      <c r="Q21" s="51">
        <v>35.58</v>
      </c>
      <c r="R21" s="43"/>
      <c r="S21" s="43"/>
      <c r="T21" s="43"/>
      <c r="U21" s="43"/>
    </row>
    <row r="22" spans="1:21" s="11" customFormat="1" ht="15">
      <c r="A22" s="50" t="s">
        <v>242</v>
      </c>
      <c r="B22" s="51">
        <v>16.04</v>
      </c>
      <c r="C22" s="51">
        <v>93.61</v>
      </c>
      <c r="D22" s="51">
        <v>64.27</v>
      </c>
      <c r="E22" s="51">
        <v>8.14</v>
      </c>
      <c r="F22" s="51">
        <v>1.80</v>
      </c>
      <c r="G22" s="51">
        <v>40.76</v>
      </c>
      <c r="H22" s="51">
        <v>21.93</v>
      </c>
      <c r="I22" s="51">
        <v>0.22</v>
      </c>
      <c r="J22" s="51">
        <v>0.69</v>
      </c>
      <c r="K22" s="51">
        <v>117.91</v>
      </c>
      <c r="L22" s="51">
        <v>28.36</v>
      </c>
      <c r="M22" s="51">
        <v>13</v>
      </c>
      <c r="N22" s="51">
        <v>731.40</v>
      </c>
      <c r="O22" s="51">
        <v>0</v>
      </c>
      <c r="P22" s="51">
        <v>0.75</v>
      </c>
      <c r="Q22" s="51">
        <v>36.549999999999997</v>
      </c>
      <c r="R22" s="43"/>
      <c r="S22" s="43"/>
      <c r="T22" s="43"/>
      <c r="U22" s="43"/>
    </row>
    <row r="23" spans="1:21" s="11" customFormat="1" ht="15">
      <c r="A23" s="50" t="s">
        <v>243</v>
      </c>
      <c r="B23" s="51">
        <v>15.76</v>
      </c>
      <c r="C23" s="51">
        <v>89.61</v>
      </c>
      <c r="D23" s="51">
        <v>61.64</v>
      </c>
      <c r="E23" s="51">
        <v>15.77</v>
      </c>
      <c r="F23" s="51">
        <v>4.34</v>
      </c>
      <c r="G23" s="51">
        <v>30.92</v>
      </c>
      <c r="H23" s="51">
        <v>21.07</v>
      </c>
      <c r="I23" s="51">
        <v>0.22</v>
      </c>
      <c r="J23" s="51">
        <v>1.05</v>
      </c>
      <c r="K23" s="51">
        <v>97.97</v>
      </c>
      <c r="L23" s="51">
        <v>29.5</v>
      </c>
      <c r="M23" s="51">
        <v>13</v>
      </c>
      <c r="N23" s="51">
        <v>599.79999999999995</v>
      </c>
      <c r="O23" s="51">
        <v>0</v>
      </c>
      <c r="P23" s="51">
        <v>0.71</v>
      </c>
      <c r="Q23" s="51">
        <v>34.85</v>
      </c>
      <c r="R23" s="43"/>
      <c r="S23" s="43"/>
      <c r="T23" s="43"/>
      <c r="U23" s="43"/>
    </row>
    <row r="24" spans="1:21" s="11" customFormat="1" ht="15">
      <c r="A24" s="50" t="s">
        <v>244</v>
      </c>
      <c r="B24" s="51">
        <v>13.68</v>
      </c>
      <c r="C24" s="51">
        <v>90.27</v>
      </c>
      <c r="D24" s="51">
        <v>59.88</v>
      </c>
      <c r="E24" s="51">
        <v>10.45</v>
      </c>
      <c r="F24" s="51">
        <v>3.07</v>
      </c>
      <c r="G24" s="51">
        <v>55.88</v>
      </c>
      <c r="H24" s="51">
        <v>21.07</v>
      </c>
      <c r="I24" s="51">
        <v>0.22</v>
      </c>
      <c r="J24" s="51">
        <v>1.0900000000000001</v>
      </c>
      <c r="K24" s="51">
        <v>21.13</v>
      </c>
      <c r="L24" s="51">
        <v>27.66</v>
      </c>
      <c r="M24" s="51">
        <v>14</v>
      </c>
      <c r="N24" s="51">
        <v>404.70</v>
      </c>
      <c r="O24" s="51">
        <v>0</v>
      </c>
      <c r="P24" s="51">
        <v>0.76</v>
      </c>
      <c r="Q24" s="51">
        <v>34.51</v>
      </c>
      <c r="R24" s="43"/>
      <c r="S24" s="43"/>
      <c r="T24" s="43"/>
      <c r="U24" s="43"/>
    </row>
    <row r="25" spans="1:21" s="11" customFormat="1" ht="15">
      <c r="A25" s="50" t="s">
        <v>245</v>
      </c>
      <c r="B25" s="51">
        <v>9.93</v>
      </c>
      <c r="C25" s="51">
        <v>96.39</v>
      </c>
      <c r="D25" s="51">
        <v>58.99</v>
      </c>
      <c r="E25" s="51">
        <v>8.65</v>
      </c>
      <c r="F25" s="51">
        <v>1.1100000000000001</v>
      </c>
      <c r="G25" s="51">
        <v>55.88</v>
      </c>
      <c r="H25" s="51">
        <v>22.29</v>
      </c>
      <c r="I25" s="51">
        <v>0.22</v>
      </c>
      <c r="J25" s="51">
        <v>1.31</v>
      </c>
      <c r="K25" s="51">
        <v>23.92</v>
      </c>
      <c r="L25" s="51">
        <v>25.24</v>
      </c>
      <c r="M25" s="51">
        <v>20</v>
      </c>
      <c r="N25" s="51">
        <v>104.30</v>
      </c>
      <c r="O25" s="51">
        <v>0</v>
      </c>
      <c r="P25" s="51">
        <v>0.87</v>
      </c>
      <c r="Q25" s="51">
        <v>35.06</v>
      </c>
      <c r="R25" s="43"/>
      <c r="S25" s="43"/>
      <c r="T25" s="43"/>
      <c r="U25" s="43"/>
    </row>
    <row r="26" spans="1:21" s="11" customFormat="1" ht="15">
      <c r="A26" s="50" t="s">
        <v>246</v>
      </c>
      <c r="B26" s="51">
        <v>11.70</v>
      </c>
      <c r="C26" s="51">
        <v>104.32</v>
      </c>
      <c r="D26" s="51">
        <v>66.959999999999994</v>
      </c>
      <c r="E26" s="51">
        <v>7.28</v>
      </c>
      <c r="F26" s="51">
        <v>0.98</v>
      </c>
      <c r="G26" s="51">
        <v>73.37</v>
      </c>
      <c r="H26" s="51">
        <v>28.42</v>
      </c>
      <c r="I26" s="51">
        <v>0.22</v>
      </c>
      <c r="J26" s="51">
        <v>0.97</v>
      </c>
      <c r="K26" s="51">
        <v>31.51</v>
      </c>
      <c r="L26" s="51">
        <v>23.18</v>
      </c>
      <c r="M26" s="51">
        <v>31</v>
      </c>
      <c r="N26" s="51">
        <v>41.70</v>
      </c>
      <c r="O26" s="51">
        <v>0</v>
      </c>
      <c r="P26" s="51">
        <v>1.1000000000000001</v>
      </c>
      <c r="Q26" s="51">
        <v>34.049999999999997</v>
      </c>
      <c r="R26" s="43"/>
      <c r="S26" s="43"/>
      <c r="T26" s="43"/>
      <c r="U26" s="43"/>
    </row>
    <row r="27" spans="1:21" s="11" customFormat="1" ht="15">
      <c r="A27" s="50" t="s">
        <v>247</v>
      </c>
      <c r="B27" s="51">
        <v>19.61</v>
      </c>
      <c r="C27" s="51">
        <v>108.81</v>
      </c>
      <c r="D27" s="51">
        <v>75.78</v>
      </c>
      <c r="E27" s="51">
        <v>5.63</v>
      </c>
      <c r="F27" s="51">
        <v>0.55000000000000004</v>
      </c>
      <c r="G27" s="51">
        <v>99.12</v>
      </c>
      <c r="H27" s="51">
        <v>35.82</v>
      </c>
      <c r="I27" s="51">
        <v>0.28000000000000003</v>
      </c>
      <c r="J27" s="51">
        <v>0.18</v>
      </c>
      <c r="K27" s="51">
        <v>78.55</v>
      </c>
      <c r="L27" s="51">
        <v>20.18</v>
      </c>
      <c r="M27" s="51">
        <v>28</v>
      </c>
      <c r="N27" s="51">
        <v>24.5</v>
      </c>
      <c r="O27" s="51">
        <v>0</v>
      </c>
      <c r="P27" s="51">
        <v>1.31</v>
      </c>
      <c r="Q27" s="51">
        <v>33.58</v>
      </c>
      <c r="R27" s="43"/>
      <c r="S27" s="43"/>
      <c r="T27" s="43"/>
      <c r="U27" s="43"/>
    </row>
    <row r="28" spans="1:21" s="11" customFormat="1" ht="15">
      <c r="A28" s="50" t="s">
        <v>248</v>
      </c>
      <c r="B28" s="51">
        <v>36.450000000000003</v>
      </c>
      <c r="C28" s="51">
        <v>117.37</v>
      </c>
      <c r="D28" s="51">
        <v>94.01</v>
      </c>
      <c r="E28" s="51">
        <v>5.71</v>
      </c>
      <c r="F28" s="51">
        <v>1.54</v>
      </c>
      <c r="G28" s="51">
        <v>99.12</v>
      </c>
      <c r="H28" s="51">
        <v>39.92</v>
      </c>
      <c r="I28" s="51">
        <v>0.34</v>
      </c>
      <c r="J28" s="51">
        <v>0.13</v>
      </c>
      <c r="K28" s="51">
        <v>251.78</v>
      </c>
      <c r="L28" s="51">
        <v>19.399999999999999</v>
      </c>
      <c r="M28" s="51">
        <v>40</v>
      </c>
      <c r="N28" s="51">
        <v>24.70</v>
      </c>
      <c r="O28" s="51">
        <v>0</v>
      </c>
      <c r="P28" s="51">
        <v>1.71</v>
      </c>
      <c r="Q28" s="51">
        <v>37.880000000000003</v>
      </c>
      <c r="R28" s="43"/>
      <c r="S28" s="43"/>
      <c r="T28" s="43"/>
      <c r="U28" s="43"/>
    </row>
    <row r="29" spans="1:21" s="11" customFormat="1" ht="15">
      <c r="A29" s="50" t="s">
        <v>249</v>
      </c>
      <c r="B29" s="51">
        <v>74.489999999999995</v>
      </c>
      <c r="C29" s="51">
        <v>145.34</v>
      </c>
      <c r="D29" s="51">
        <v>139.94999999999999</v>
      </c>
      <c r="E29" s="51">
        <v>5.76</v>
      </c>
      <c r="F29" s="51">
        <v>0.33</v>
      </c>
      <c r="G29" s="51">
        <v>168.38</v>
      </c>
      <c r="H29" s="51">
        <v>51.01</v>
      </c>
      <c r="I29" s="51">
        <v>0.47</v>
      </c>
      <c r="J29" s="51">
        <v>0.08</v>
      </c>
      <c r="K29" s="51">
        <v>297.39999999999998</v>
      </c>
      <c r="L29" s="51">
        <v>16.93</v>
      </c>
      <c r="M29" s="51">
        <v>51</v>
      </c>
      <c r="N29" s="51">
        <v>24.80</v>
      </c>
      <c r="O29" s="51">
        <v>0</v>
      </c>
      <c r="P29" s="51">
        <v>2.21</v>
      </c>
      <c r="Q29" s="51">
        <v>40</v>
      </c>
      <c r="R29" s="43"/>
      <c r="S29" s="43"/>
      <c r="T29" s="43"/>
      <c r="U29" s="43"/>
    </row>
    <row r="30" spans="1:21" s="11" customFormat="1" ht="15">
      <c r="A30" s="50" t="s">
        <v>250</v>
      </c>
      <c r="B30" s="51">
        <v>126.53</v>
      </c>
      <c r="C30" s="51">
        <v>176.88</v>
      </c>
      <c r="D30" s="51">
        <v>199.08</v>
      </c>
      <c r="E30" s="51">
        <v>5.94</v>
      </c>
      <c r="F30" s="51">
        <v>0.27</v>
      </c>
      <c r="G30" s="51">
        <v>179.84</v>
      </c>
      <c r="H30" s="51">
        <v>68.72</v>
      </c>
      <c r="I30" s="51">
        <v>0.69</v>
      </c>
      <c r="J30" s="51">
        <v>0.070000000000000007</v>
      </c>
      <c r="K30" s="51">
        <v>333.48</v>
      </c>
      <c r="L30" s="51">
        <v>15.59</v>
      </c>
      <c r="M30" s="51">
        <v>63</v>
      </c>
      <c r="N30" s="51">
        <v>24.60</v>
      </c>
      <c r="O30" s="51">
        <v>0</v>
      </c>
      <c r="P30" s="51">
        <v>2.74</v>
      </c>
      <c r="Q30" s="51">
        <v>42.09</v>
      </c>
      <c r="R30" s="43"/>
      <c r="S30" s="43"/>
      <c r="T30" s="43"/>
      <c r="U30" s="43"/>
    </row>
    <row r="31" spans="1:21" s="11" customFormat="1" ht="15">
      <c r="A31" s="50" t="s">
        <v>251</v>
      </c>
      <c r="B31" s="51">
        <v>180.05</v>
      </c>
      <c r="C31" s="51">
        <v>202.51</v>
      </c>
      <c r="D31" s="51">
        <v>256.14999999999998</v>
      </c>
      <c r="E31" s="51">
        <v>6.71</v>
      </c>
      <c r="F31" s="51">
        <v>0.26</v>
      </c>
      <c r="G31" s="51">
        <v>238.79</v>
      </c>
      <c r="H31" s="51">
        <v>90.02</v>
      </c>
      <c r="I31" s="51">
        <v>0.98</v>
      </c>
      <c r="J31" s="51">
        <v>0.11</v>
      </c>
      <c r="K31" s="51">
        <v>359.96</v>
      </c>
      <c r="L31" s="51">
        <v>14.75</v>
      </c>
      <c r="M31" s="51">
        <v>70</v>
      </c>
      <c r="N31" s="51">
        <v>24.5</v>
      </c>
      <c r="O31" s="51">
        <v>0</v>
      </c>
      <c r="P31" s="51">
        <v>3.58</v>
      </c>
      <c r="Q31" s="51">
        <v>47.15</v>
      </c>
      <c r="R31" s="43"/>
      <c r="S31" s="43"/>
      <c r="T31" s="43"/>
      <c r="U31" s="43"/>
    </row>
    <row r="32" spans="1:21" s="11" customFormat="1" ht="15">
      <c r="A32" s="50" t="s">
        <v>252</v>
      </c>
      <c r="B32" s="51">
        <v>204.06</v>
      </c>
      <c r="C32" s="51">
        <v>215.17</v>
      </c>
      <c r="D32" s="51">
        <v>281.73</v>
      </c>
      <c r="E32" s="51">
        <v>7.02</v>
      </c>
      <c r="F32" s="51">
        <v>1.17</v>
      </c>
      <c r="G32" s="51">
        <v>238.79</v>
      </c>
      <c r="H32" s="51">
        <v>117.96</v>
      </c>
      <c r="I32" s="51">
        <v>1.30</v>
      </c>
      <c r="J32" s="51">
        <v>0.22</v>
      </c>
      <c r="K32" s="51">
        <v>309.66000000000003</v>
      </c>
      <c r="L32" s="51">
        <v>14.69</v>
      </c>
      <c r="M32" s="51">
        <v>67</v>
      </c>
      <c r="N32" s="51">
        <v>24.80</v>
      </c>
      <c r="O32" s="51">
        <v>0</v>
      </c>
      <c r="P32" s="51">
        <v>4.28</v>
      </c>
      <c r="Q32" s="51">
        <v>50.81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9.9299999999999997</v>
      </c>
      <c r="C34" s="28">
        <f t="shared" si="0"/>
        <v>89.609999999999999</v>
      </c>
      <c r="D34" s="28">
        <f t="shared" si="0"/>
        <v>58.990000000000002</v>
      </c>
      <c r="E34" s="28">
        <f t="shared" si="0"/>
        <v>3.8500000000000001</v>
      </c>
      <c r="F34" s="28">
        <f t="shared" si="0"/>
        <v>0.089999999999999997</v>
      </c>
      <c r="G34" s="28">
        <f t="shared" si="0"/>
        <v>30.920000000000002</v>
      </c>
      <c r="H34" s="28">
        <f t="shared" si="0"/>
        <v>21.07</v>
      </c>
      <c r="I34" s="28">
        <f t="shared" si="0"/>
        <v>0.22</v>
      </c>
      <c r="J34" s="28">
        <f t="shared" si="0"/>
        <v>0.070000000000000007</v>
      </c>
      <c r="K34" s="28">
        <f t="shared" si="0"/>
        <v>21.129999999999999</v>
      </c>
      <c r="L34" s="28">
        <f t="shared" si="0"/>
        <v>10.65</v>
      </c>
      <c r="M34" s="28">
        <f t="shared" si="0"/>
        <v>13</v>
      </c>
      <c r="N34" s="28">
        <f t="shared" si="0"/>
        <v>24.300000000000001</v>
      </c>
      <c r="O34" s="28">
        <f t="shared" si="0"/>
        <v>0</v>
      </c>
      <c r="P34" s="28">
        <f t="shared" si="0"/>
        <v>0.70999999999999996</v>
      </c>
      <c r="Q34" s="28">
        <f t="shared" si="0"/>
        <v>31.91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204.06</v>
      </c>
      <c r="C35" s="29">
        <f t="shared" si="1"/>
        <v>215.16999999999999</v>
      </c>
      <c r="D35" s="29">
        <f t="shared" si="1"/>
        <v>281.73000000000002</v>
      </c>
      <c r="E35" s="29">
        <f t="shared" si="1"/>
        <v>15.77</v>
      </c>
      <c r="F35" s="29">
        <f t="shared" si="1"/>
        <v>4.3399999999999999</v>
      </c>
      <c r="G35" s="29">
        <f t="shared" si="1"/>
        <v>238.78999999999999</v>
      </c>
      <c r="H35" s="29">
        <f t="shared" si="1"/>
        <v>117.95999999999999</v>
      </c>
      <c r="I35" s="29">
        <f t="shared" si="1"/>
        <v>1.3</v>
      </c>
      <c r="J35" s="29">
        <f t="shared" si="1"/>
        <v>1.7</v>
      </c>
      <c r="K35" s="29">
        <f t="shared" si="1"/>
        <v>359.95999999999998</v>
      </c>
      <c r="L35" s="29">
        <f t="shared" si="1"/>
        <v>29.879999999999999</v>
      </c>
      <c r="M35" s="29">
        <f t="shared" si="1"/>
        <v>80</v>
      </c>
      <c r="N35" s="29">
        <f t="shared" si="1"/>
        <v>797.60000000000002</v>
      </c>
      <c r="O35" s="29">
        <f t="shared" si="1"/>
        <v>0</v>
      </c>
      <c r="P35" s="29">
        <f t="shared" si="1"/>
        <v>4.2800000000000002</v>
      </c>
      <c r="Q35" s="29">
        <f t="shared" si="1"/>
        <v>50.810000000000002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71.552083333333329</v>
      </c>
      <c r="C36" s="28">
        <f t="shared" si="2"/>
        <v>124.53916666666665</v>
      </c>
      <c r="D36" s="28">
        <f t="shared" si="2"/>
        <v>125.84708333333334</v>
      </c>
      <c r="E36" s="28">
        <f t="shared" si="2"/>
        <v>6.5</v>
      </c>
      <c r="F36" s="28">
        <f t="shared" si="2"/>
        <v>0.83958333333333324</v>
      </c>
      <c r="G36" s="28">
        <f t="shared" si="2"/>
        <v>100.22250000000001</v>
      </c>
      <c r="H36" s="28">
        <f t="shared" si="2"/>
        <v>49.628333333333337</v>
      </c>
      <c r="I36" s="28">
        <f t="shared" si="2"/>
        <v>0.50208333333333333</v>
      </c>
      <c r="J36" s="28">
        <f t="shared" si="2"/>
        <v>0.64333333333333342</v>
      </c>
      <c r="K36" s="28">
        <f t="shared" si="2"/>
        <v>186.44666666666669</v>
      </c>
      <c r="L36" s="28">
        <f t="shared" si="2"/>
        <v>19.450833333333335</v>
      </c>
      <c r="M36" s="28">
        <f t="shared" si="2"/>
        <v>43.875</v>
      </c>
      <c r="N36" s="28">
        <f t="shared" si="2"/>
        <v>245.90833333333333</v>
      </c>
      <c r="O36" s="28">
        <f t="shared" si="2"/>
        <v>0</v>
      </c>
      <c r="P36" s="28">
        <f t="shared" si="2"/>
        <v>1.7104166666666669</v>
      </c>
      <c r="Q36" s="28">
        <f t="shared" si="2"/>
        <v>37.895000000000003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60.150308682511763</v>
      </c>
      <c r="C37" s="28">
        <f t="shared" si="3" ref="C37:Q37">STDEV(C9:C32)</f>
        <v>37.156207968248246</v>
      </c>
      <c r="D37" s="28">
        <f t="shared" si="3"/>
        <v>68.169524076835927</v>
      </c>
      <c r="E37" s="28">
        <f t="shared" si="3"/>
        <v>2.5066710992868626</v>
      </c>
      <c r="F37" s="28">
        <f t="shared" si="3"/>
        <v>1.0129958975266371</v>
      </c>
      <c r="G37" s="28">
        <f t="shared" si="3"/>
        <v>61.653421305679792</v>
      </c>
      <c r="H37" s="28">
        <f t="shared" si="3"/>
        <v>25.668043347231624</v>
      </c>
      <c r="I37" s="28">
        <f t="shared" si="3"/>
        <v>0.32548264051307302</v>
      </c>
      <c r="J37" s="28">
        <f t="shared" si="3"/>
        <v>0.51105744309708223</v>
      </c>
      <c r="K37" s="28">
        <f t="shared" si="3"/>
        <v>121.21620542638271</v>
      </c>
      <c r="L37" s="28">
        <f t="shared" si="3"/>
        <v>6.2560641305694036</v>
      </c>
      <c r="M37" s="28">
        <f t="shared" si="3"/>
        <v>22.946653634974279</v>
      </c>
      <c r="N37" s="28">
        <f t="shared" si="3"/>
        <v>305.54822848044176</v>
      </c>
      <c r="O37" s="28">
        <f t="shared" si="3"/>
        <v>0</v>
      </c>
      <c r="P37" s="28">
        <f t="shared" si="3"/>
        <v>0.987462620829888</v>
      </c>
      <c r="Q37" s="28">
        <f t="shared" si="3"/>
        <v>4.8596376676527759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v>24</v>
      </c>
      <c r="H38" s="32"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850a8d-e960-4120-a060-04185f7d21dd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09-01-2023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253</v>
      </c>
      <c r="B9" s="51">
        <v>207.96</v>
      </c>
      <c r="C9" s="51">
        <v>208.10</v>
      </c>
      <c r="D9" s="51">
        <v>281.38</v>
      </c>
      <c r="E9" s="51">
        <v>6.25</v>
      </c>
      <c r="F9" s="51">
        <v>0.26</v>
      </c>
      <c r="G9" s="51">
        <v>203.59</v>
      </c>
      <c r="H9" s="51">
        <v>117.96</v>
      </c>
      <c r="I9" s="51">
        <v>1.34</v>
      </c>
      <c r="J9" s="51">
        <v>0.11</v>
      </c>
      <c r="K9" s="51">
        <v>330.12</v>
      </c>
      <c r="L9" s="51">
        <v>13.43</v>
      </c>
      <c r="M9" s="51">
        <v>78</v>
      </c>
      <c r="N9" s="51">
        <v>24.60</v>
      </c>
      <c r="O9" s="51">
        <v>0</v>
      </c>
      <c r="P9" s="51">
        <v>4.5</v>
      </c>
      <c r="Q9" s="51">
        <v>50.12</v>
      </c>
      <c r="R9" s="43"/>
      <c r="S9" s="43"/>
      <c r="T9" s="43"/>
      <c r="U9" s="43"/>
    </row>
    <row r="10" spans="1:21" s="11" customFormat="1" ht="15">
      <c r="A10" s="50" t="s">
        <v>254</v>
      </c>
      <c r="B10" s="51">
        <v>207.26</v>
      </c>
      <c r="C10" s="51">
        <v>205.83</v>
      </c>
      <c r="D10" s="51">
        <v>279.80</v>
      </c>
      <c r="E10" s="51">
        <v>6.41</v>
      </c>
      <c r="F10" s="51">
        <v>0.18</v>
      </c>
      <c r="G10" s="51">
        <v>203.59</v>
      </c>
      <c r="H10" s="51">
        <v>111.25</v>
      </c>
      <c r="I10" s="51">
        <v>1.42</v>
      </c>
      <c r="J10" s="51">
        <v>0.12</v>
      </c>
      <c r="K10" s="51">
        <v>341.44</v>
      </c>
      <c r="L10" s="51">
        <v>13.18</v>
      </c>
      <c r="M10" s="51">
        <v>77</v>
      </c>
      <c r="N10" s="51">
        <v>24.40</v>
      </c>
      <c r="O10" s="51">
        <v>0</v>
      </c>
      <c r="P10" s="51">
        <v>4.33</v>
      </c>
      <c r="Q10" s="51">
        <v>48.14</v>
      </c>
      <c r="R10" s="43"/>
      <c r="S10" s="43"/>
      <c r="T10" s="43"/>
      <c r="U10" s="43"/>
    </row>
    <row r="11" spans="1:21" s="11" customFormat="1" ht="15">
      <c r="A11" s="50" t="s">
        <v>255</v>
      </c>
      <c r="B11" s="51">
        <v>191.61</v>
      </c>
      <c r="C11" s="51">
        <v>190.05</v>
      </c>
      <c r="D11" s="51">
        <v>258.55</v>
      </c>
      <c r="E11" s="51">
        <v>6.40</v>
      </c>
      <c r="F11" s="51">
        <v>1.48</v>
      </c>
      <c r="G11" s="51">
        <v>209.25</v>
      </c>
      <c r="H11" s="51">
        <v>109.29</v>
      </c>
      <c r="I11" s="51">
        <v>1.41</v>
      </c>
      <c r="J11" s="51">
        <v>0.41</v>
      </c>
      <c r="K11" s="51">
        <v>72.64</v>
      </c>
      <c r="L11" s="51">
        <v>13.98</v>
      </c>
      <c r="M11" s="51">
        <v>63</v>
      </c>
      <c r="N11" s="51">
        <v>24.20</v>
      </c>
      <c r="O11" s="51">
        <v>0</v>
      </c>
      <c r="P11" s="51">
        <v>4.26</v>
      </c>
      <c r="Q11" s="51">
        <v>47.59</v>
      </c>
      <c r="R11" s="43"/>
      <c r="S11" s="43"/>
      <c r="T11" s="43"/>
      <c r="U11" s="43"/>
    </row>
    <row r="12" spans="1:21" s="11" customFormat="1" ht="15">
      <c r="A12" s="50" t="s">
        <v>256</v>
      </c>
      <c r="B12" s="51">
        <v>144.04</v>
      </c>
      <c r="C12" s="51">
        <v>163.08000000000001</v>
      </c>
      <c r="D12" s="51">
        <v>205.51</v>
      </c>
      <c r="E12" s="51">
        <v>7.02</v>
      </c>
      <c r="F12" s="51">
        <v>2.11</v>
      </c>
      <c r="G12" s="51">
        <v>209.25</v>
      </c>
      <c r="H12" s="51">
        <v>109.29</v>
      </c>
      <c r="I12" s="51">
        <v>1.24</v>
      </c>
      <c r="J12" s="51">
        <v>0.44</v>
      </c>
      <c r="K12" s="51">
        <v>105.09</v>
      </c>
      <c r="L12" s="51">
        <v>14.63</v>
      </c>
      <c r="M12" s="51">
        <v>53</v>
      </c>
      <c r="N12" s="51">
        <v>24.5</v>
      </c>
      <c r="O12" s="51">
        <v>0</v>
      </c>
      <c r="P12" s="51">
        <v>3.63</v>
      </c>
      <c r="Q12" s="51">
        <v>45.86</v>
      </c>
      <c r="R12" s="43"/>
      <c r="S12" s="43"/>
      <c r="T12" s="43"/>
      <c r="U12" s="43"/>
    </row>
    <row r="13" spans="1:21" s="11" customFormat="1" ht="15">
      <c r="A13" s="50" t="s">
        <v>257</v>
      </c>
      <c r="B13" s="51">
        <v>102.31</v>
      </c>
      <c r="C13" s="51">
        <v>140.18</v>
      </c>
      <c r="D13" s="51">
        <v>159.40</v>
      </c>
      <c r="E13" s="51">
        <v>5.82</v>
      </c>
      <c r="F13" s="51">
        <v>0.12</v>
      </c>
      <c r="G13" s="51">
        <v>182.74</v>
      </c>
      <c r="H13" s="51">
        <v>97.77</v>
      </c>
      <c r="I13" s="51">
        <v>0.95</v>
      </c>
      <c r="J13" s="51">
        <v>0.28000000000000003</v>
      </c>
      <c r="K13" s="51">
        <v>285.33</v>
      </c>
      <c r="L13" s="51">
        <v>13.68</v>
      </c>
      <c r="M13" s="51">
        <v>71</v>
      </c>
      <c r="N13" s="51">
        <v>24.90</v>
      </c>
      <c r="O13" s="51">
        <v>0</v>
      </c>
      <c r="P13" s="51">
        <v>3.12</v>
      </c>
      <c r="Q13" s="51">
        <v>42.27</v>
      </c>
      <c r="R13" s="43"/>
      <c r="S13" s="43"/>
      <c r="T13" s="43"/>
      <c r="U13" s="43"/>
    </row>
    <row r="14" spans="1:21" s="11" customFormat="1" ht="15">
      <c r="A14" s="50" t="s">
        <v>258</v>
      </c>
      <c r="B14" s="51">
        <v>86.43</v>
      </c>
      <c r="C14" s="51">
        <v>128.01</v>
      </c>
      <c r="D14" s="51">
        <v>139.94999999999999</v>
      </c>
      <c r="E14" s="51">
        <v>5.62</v>
      </c>
      <c r="F14" s="51">
        <v>0.39</v>
      </c>
      <c r="G14" s="51">
        <v>144.72</v>
      </c>
      <c r="H14" s="51">
        <v>96.73</v>
      </c>
      <c r="I14" s="51">
        <v>0.73</v>
      </c>
      <c r="J14" s="51">
        <v>0.18</v>
      </c>
      <c r="K14" s="51">
        <v>358.99</v>
      </c>
      <c r="L14" s="51">
        <v>11.58</v>
      </c>
      <c r="M14" s="51">
        <v>77</v>
      </c>
      <c r="N14" s="51">
        <v>24.60</v>
      </c>
      <c r="O14" s="51">
        <v>0</v>
      </c>
      <c r="P14" s="51">
        <v>2.72</v>
      </c>
      <c r="Q14" s="51">
        <v>37.49</v>
      </c>
      <c r="R14" s="43"/>
      <c r="S14" s="43"/>
      <c r="T14" s="43"/>
      <c r="U14" s="43"/>
    </row>
    <row r="15" spans="1:21" s="11" customFormat="1" ht="15">
      <c r="A15" s="50" t="s">
        <v>259</v>
      </c>
      <c r="B15" s="51">
        <v>73.23</v>
      </c>
      <c r="C15" s="51">
        <v>114.12</v>
      </c>
      <c r="D15" s="51">
        <v>121.70</v>
      </c>
      <c r="E15" s="51">
        <v>5.26</v>
      </c>
      <c r="F15" s="51">
        <v>0.23</v>
      </c>
      <c r="G15" s="51">
        <v>120.5</v>
      </c>
      <c r="H15" s="51">
        <v>79.64</v>
      </c>
      <c r="I15" s="51">
        <v>0.59</v>
      </c>
      <c r="J15" s="51">
        <v>0.15</v>
      </c>
      <c r="K15" s="51">
        <v>340.20</v>
      </c>
      <c r="L15" s="51">
        <v>10.67</v>
      </c>
      <c r="M15" s="51">
        <v>82</v>
      </c>
      <c r="N15" s="51">
        <v>38.90</v>
      </c>
      <c r="O15" s="51">
        <v>0</v>
      </c>
      <c r="P15" s="51">
        <v>2.27</v>
      </c>
      <c r="Q15" s="51">
        <v>36.57</v>
      </c>
      <c r="R15" s="43"/>
      <c r="S15" s="43"/>
      <c r="T15" s="43"/>
      <c r="U15" s="43"/>
    </row>
    <row r="16" spans="1:21" s="11" customFormat="1" ht="15">
      <c r="A16" s="50" t="s">
        <v>260</v>
      </c>
      <c r="B16" s="51">
        <v>87.75</v>
      </c>
      <c r="C16" s="51">
        <v>127.83</v>
      </c>
      <c r="D16" s="51">
        <v>140.91</v>
      </c>
      <c r="E16" s="51">
        <v>5.28</v>
      </c>
      <c r="F16" s="51">
        <v>0.41</v>
      </c>
      <c r="G16" s="51">
        <v>130.47</v>
      </c>
      <c r="H16" s="51">
        <v>67.459999999999994</v>
      </c>
      <c r="I16" s="51">
        <v>0.44</v>
      </c>
      <c r="J16" s="51">
        <v>0.18</v>
      </c>
      <c r="K16" s="51">
        <v>144.62</v>
      </c>
      <c r="L16" s="51">
        <v>14.61</v>
      </c>
      <c r="M16" s="51">
        <v>82</v>
      </c>
      <c r="N16" s="51">
        <v>196</v>
      </c>
      <c r="O16" s="51">
        <v>0</v>
      </c>
      <c r="P16" s="51">
        <v>2.15</v>
      </c>
      <c r="Q16" s="51">
        <v>36.92</v>
      </c>
      <c r="R16" s="43"/>
      <c r="S16" s="43"/>
      <c r="T16" s="43"/>
      <c r="U16" s="43"/>
    </row>
    <row r="17" spans="1:21" s="11" customFormat="1" ht="15">
      <c r="A17" s="50" t="s">
        <v>261</v>
      </c>
      <c r="B17" s="51">
        <v>88.96</v>
      </c>
      <c r="C17" s="51">
        <v>134.03</v>
      </c>
      <c r="D17" s="51">
        <v>145.07</v>
      </c>
      <c r="E17" s="51">
        <v>7</v>
      </c>
      <c r="F17" s="51">
        <v>0.44</v>
      </c>
      <c r="G17" s="51">
        <v>161.19999999999999</v>
      </c>
      <c r="H17" s="51">
        <v>75.959999999999994</v>
      </c>
      <c r="I17" s="51">
        <v>0.40</v>
      </c>
      <c r="J17" s="51">
        <v>0.67</v>
      </c>
      <c r="K17" s="51">
        <v>359.86</v>
      </c>
      <c r="L17" s="51">
        <v>23.11</v>
      </c>
      <c r="M17" s="51">
        <v>51</v>
      </c>
      <c r="N17" s="51">
        <v>431.60</v>
      </c>
      <c r="O17" s="51">
        <v>0</v>
      </c>
      <c r="P17" s="51">
        <v>2.17</v>
      </c>
      <c r="Q17" s="51">
        <v>35.5</v>
      </c>
      <c r="R17" s="43"/>
      <c r="S17" s="43"/>
      <c r="T17" s="43"/>
      <c r="U17" s="43"/>
    </row>
    <row r="18" spans="1:21" s="11" customFormat="1" ht="15">
      <c r="A18" s="50" t="s">
        <v>262</v>
      </c>
      <c r="B18" s="51">
        <v>80.819999999999993</v>
      </c>
      <c r="C18" s="51">
        <v>132.72999999999999</v>
      </c>
      <c r="D18" s="51">
        <v>137.94</v>
      </c>
      <c r="E18" s="51">
        <v>7.77</v>
      </c>
      <c r="F18" s="51">
        <v>0.5</v>
      </c>
      <c r="G18" s="51">
        <v>161.19999999999999</v>
      </c>
      <c r="H18" s="51">
        <v>75.959999999999994</v>
      </c>
      <c r="I18" s="51">
        <v>0.36</v>
      </c>
      <c r="J18" s="51">
        <v>0.84</v>
      </c>
      <c r="K18" s="51">
        <v>54.28</v>
      </c>
      <c r="L18" s="51">
        <v>25.36</v>
      </c>
      <c r="M18" s="51">
        <v>28</v>
      </c>
      <c r="N18" s="51">
        <v>607.20000000000005</v>
      </c>
      <c r="O18" s="51">
        <v>0</v>
      </c>
      <c r="P18" s="51">
        <v>2.15</v>
      </c>
      <c r="Q18" s="51">
        <v>36.520000000000003</v>
      </c>
      <c r="R18" s="43"/>
      <c r="S18" s="43"/>
      <c r="T18" s="43"/>
      <c r="U18" s="43"/>
    </row>
    <row r="19" spans="1:21" s="11" customFormat="1" ht="15">
      <c r="A19" s="50" t="s">
        <v>263</v>
      </c>
      <c r="B19" s="51">
        <v>68.56</v>
      </c>
      <c r="C19" s="51">
        <v>131.5</v>
      </c>
      <c r="D19" s="51">
        <v>127.52</v>
      </c>
      <c r="E19" s="51">
        <v>6.94</v>
      </c>
      <c r="F19" s="51">
        <v>0.54</v>
      </c>
      <c r="G19" s="51">
        <v>141.44999999999999</v>
      </c>
      <c r="H19" s="51">
        <v>69.319999999999993</v>
      </c>
      <c r="I19" s="51">
        <v>0.34</v>
      </c>
      <c r="J19" s="51">
        <v>0.96</v>
      </c>
      <c r="K19" s="51">
        <v>83.68</v>
      </c>
      <c r="L19" s="51">
        <v>29.41</v>
      </c>
      <c r="M19" s="51">
        <v>21</v>
      </c>
      <c r="N19" s="51">
        <v>734</v>
      </c>
      <c r="O19" s="51">
        <v>0</v>
      </c>
      <c r="P19" s="51">
        <v>1.91</v>
      </c>
      <c r="Q19" s="51">
        <v>36.76</v>
      </c>
      <c r="R19" s="43"/>
      <c r="S19" s="43"/>
      <c r="T19" s="43"/>
      <c r="U19" s="43"/>
    </row>
    <row r="20" spans="1:21" s="11" customFormat="1" ht="15">
      <c r="A20" s="50" t="s">
        <v>264</v>
      </c>
      <c r="B20" s="51">
        <v>54.03</v>
      </c>
      <c r="C20" s="51">
        <v>130.66999999999999</v>
      </c>
      <c r="D20" s="51">
        <v>115.44</v>
      </c>
      <c r="E20" s="51">
        <v>7.03</v>
      </c>
      <c r="F20" s="51">
        <v>0.43</v>
      </c>
      <c r="G20" s="51">
        <v>94.90</v>
      </c>
      <c r="H20" s="51">
        <v>60</v>
      </c>
      <c r="I20" s="51">
        <v>0.30</v>
      </c>
      <c r="J20" s="51">
        <v>0.66</v>
      </c>
      <c r="K20" s="51">
        <v>137.91</v>
      </c>
      <c r="L20" s="51">
        <v>30.98</v>
      </c>
      <c r="M20" s="51">
        <v>21</v>
      </c>
      <c r="N20" s="51">
        <v>757.90</v>
      </c>
      <c r="O20" s="51">
        <v>0</v>
      </c>
      <c r="P20" s="51">
        <v>1.70</v>
      </c>
      <c r="Q20" s="51">
        <v>35.54</v>
      </c>
      <c r="R20" s="43"/>
      <c r="S20" s="43"/>
      <c r="T20" s="43"/>
      <c r="U20" s="43"/>
    </row>
    <row r="21" spans="1:21" s="11" customFormat="1" ht="15">
      <c r="A21" s="50" t="s">
        <v>265</v>
      </c>
      <c r="B21" s="51">
        <v>46.36</v>
      </c>
      <c r="C21" s="51">
        <v>122.96</v>
      </c>
      <c r="D21" s="51">
        <v>105.04</v>
      </c>
      <c r="E21" s="51">
        <v>10.77</v>
      </c>
      <c r="F21" s="51">
        <v>1.81</v>
      </c>
      <c r="G21" s="51">
        <v>69.739999999999995</v>
      </c>
      <c r="H21" s="51">
        <v>44.18</v>
      </c>
      <c r="I21" s="51">
        <v>0.30</v>
      </c>
      <c r="J21" s="51">
        <v>1</v>
      </c>
      <c r="K21" s="51">
        <v>135.94999999999999</v>
      </c>
      <c r="L21" s="51">
        <v>27.83</v>
      </c>
      <c r="M21" s="51">
        <v>20</v>
      </c>
      <c r="N21" s="51">
        <v>631</v>
      </c>
      <c r="O21" s="51">
        <v>0</v>
      </c>
      <c r="P21" s="51">
        <v>1.57</v>
      </c>
      <c r="Q21" s="51">
        <v>34.520000000000003</v>
      </c>
      <c r="R21" s="43"/>
      <c r="S21" s="43"/>
      <c r="T21" s="43"/>
      <c r="U21" s="43"/>
    </row>
    <row r="22" spans="1:21" s="11" customFormat="1" ht="15">
      <c r="A22" s="50" t="s">
        <v>266</v>
      </c>
      <c r="B22" s="51">
        <v>37.47</v>
      </c>
      <c r="C22" s="51">
        <v>113.10</v>
      </c>
      <c r="D22" s="51">
        <v>91.59</v>
      </c>
      <c r="E22" s="51">
        <v>9</v>
      </c>
      <c r="F22" s="51">
        <v>0.63</v>
      </c>
      <c r="G22" s="51">
        <v>52.69</v>
      </c>
      <c r="H22" s="51">
        <v>32.68</v>
      </c>
      <c r="I22" s="51">
        <v>0.31</v>
      </c>
      <c r="J22" s="51">
        <v>0.64</v>
      </c>
      <c r="K22" s="51">
        <v>244.75</v>
      </c>
      <c r="L22" s="51">
        <v>31.43</v>
      </c>
      <c r="M22" s="51">
        <v>19</v>
      </c>
      <c r="N22" s="51">
        <v>554.60</v>
      </c>
      <c r="O22" s="51">
        <v>0</v>
      </c>
      <c r="P22" s="51">
        <v>1.33</v>
      </c>
      <c r="Q22" s="51">
        <v>38.799999999999997</v>
      </c>
      <c r="R22" s="43"/>
      <c r="S22" s="43"/>
      <c r="T22" s="43"/>
      <c r="U22" s="43"/>
    </row>
    <row r="23" spans="1:21" s="11" customFormat="1" ht="15">
      <c r="A23" s="50" t="s">
        <v>267</v>
      </c>
      <c r="B23" s="51">
        <v>28.19</v>
      </c>
      <c r="C23" s="51">
        <v>114.26</v>
      </c>
      <c r="D23" s="51">
        <v>85.67</v>
      </c>
      <c r="E23" s="51">
        <v>23.23</v>
      </c>
      <c r="F23" s="51">
        <v>4.22</v>
      </c>
      <c r="G23" s="51">
        <v>52.97</v>
      </c>
      <c r="H23" s="51">
        <v>28.31</v>
      </c>
      <c r="I23" s="51">
        <v>0.28999999999999998</v>
      </c>
      <c r="J23" s="51">
        <v>0.72</v>
      </c>
      <c r="K23" s="51">
        <v>125.64</v>
      </c>
      <c r="L23" s="51">
        <v>30.47</v>
      </c>
      <c r="M23" s="51">
        <v>18</v>
      </c>
      <c r="N23" s="51">
        <v>449.20</v>
      </c>
      <c r="O23" s="51">
        <v>0</v>
      </c>
      <c r="P23" s="51">
        <v>1.24</v>
      </c>
      <c r="Q23" s="51">
        <v>39.28</v>
      </c>
      <c r="R23" s="43"/>
      <c r="S23" s="43"/>
      <c r="T23" s="43"/>
      <c r="U23" s="43"/>
    </row>
    <row r="24" spans="1:21" s="11" customFormat="1" ht="15">
      <c r="A24" s="50" t="s">
        <v>268</v>
      </c>
      <c r="B24" s="51">
        <v>20.03</v>
      </c>
      <c r="C24" s="51">
        <v>106.26</v>
      </c>
      <c r="D24" s="51">
        <v>74.70</v>
      </c>
      <c r="E24" s="51">
        <v>22.21</v>
      </c>
      <c r="F24" s="51">
        <v>4.9800000000000004</v>
      </c>
      <c r="G24" s="51">
        <v>52.97</v>
      </c>
      <c r="H24" s="51">
        <v>27.93</v>
      </c>
      <c r="I24" s="51">
        <v>0.25</v>
      </c>
      <c r="J24" s="51">
        <v>0.73</v>
      </c>
      <c r="K24" s="51">
        <v>140.09</v>
      </c>
      <c r="L24" s="51">
        <v>28.70</v>
      </c>
      <c r="M24" s="51">
        <v>19</v>
      </c>
      <c r="N24" s="51">
        <v>271.10000000000002</v>
      </c>
      <c r="O24" s="51">
        <v>0</v>
      </c>
      <c r="P24" s="51">
        <v>1.04</v>
      </c>
      <c r="Q24" s="51">
        <v>36.76</v>
      </c>
      <c r="R24" s="43"/>
      <c r="S24" s="43"/>
      <c r="T24" s="43"/>
      <c r="U24" s="43"/>
    </row>
    <row r="25" spans="1:21" s="11" customFormat="1" ht="15">
      <c r="A25" s="50" t="s">
        <v>269</v>
      </c>
      <c r="B25" s="51">
        <v>21.73</v>
      </c>
      <c r="C25" s="51">
        <v>107.84</v>
      </c>
      <c r="D25" s="51">
        <v>76.63</v>
      </c>
      <c r="E25" s="51">
        <v>27.67</v>
      </c>
      <c r="F25" s="51">
        <v>6.30</v>
      </c>
      <c r="G25" s="51">
        <v>50.13</v>
      </c>
      <c r="H25" s="51">
        <v>27.93</v>
      </c>
      <c r="I25" s="51">
        <v>0.24</v>
      </c>
      <c r="J25" s="51">
        <v>0.73</v>
      </c>
      <c r="K25" s="51">
        <v>120.95</v>
      </c>
      <c r="L25" s="51">
        <v>26.90</v>
      </c>
      <c r="M25" s="51">
        <v>28</v>
      </c>
      <c r="N25" s="51">
        <v>3.10</v>
      </c>
      <c r="O25" s="51">
        <v>0</v>
      </c>
      <c r="P25" s="51">
        <v>1.06</v>
      </c>
      <c r="Q25" s="51">
        <v>38.32</v>
      </c>
      <c r="R25" s="43"/>
      <c r="S25" s="43"/>
      <c r="T25" s="43"/>
      <c r="U25" s="43"/>
    </row>
    <row r="26" spans="1:21" s="11" customFormat="1" ht="15">
      <c r="A26" s="50" t="s">
        <v>270</v>
      </c>
      <c r="B26" s="51">
        <v>32.97</v>
      </c>
      <c r="C26" s="51">
        <v>122.66</v>
      </c>
      <c r="D26" s="51">
        <v>94.13</v>
      </c>
      <c r="E26" s="51">
        <v>9.2799999999999994</v>
      </c>
      <c r="F26" s="51">
        <v>0.32</v>
      </c>
      <c r="G26" s="51">
        <v>88.35</v>
      </c>
      <c r="H26" s="51">
        <v>38.56</v>
      </c>
      <c r="I26" s="51">
        <v>0.30</v>
      </c>
      <c r="J26" s="51">
        <v>0.38</v>
      </c>
      <c r="K26" s="51">
        <v>24.35</v>
      </c>
      <c r="L26" s="51">
        <v>25.30</v>
      </c>
      <c r="M26" s="51">
        <v>31</v>
      </c>
      <c r="N26" s="53" t="s">
        <v>8</v>
      </c>
      <c r="O26" s="51">
        <v>0</v>
      </c>
      <c r="P26" s="51">
        <v>1.44</v>
      </c>
      <c r="Q26" s="51">
        <v>40.85</v>
      </c>
      <c r="R26" s="43"/>
      <c r="S26" s="43"/>
      <c r="T26" s="43"/>
      <c r="U26" s="43"/>
    </row>
    <row r="27" spans="1:21" s="11" customFormat="1" ht="15">
      <c r="A27" s="50" t="s">
        <v>271</v>
      </c>
      <c r="B27" s="51">
        <v>42.89</v>
      </c>
      <c r="C27" s="51">
        <v>135.68</v>
      </c>
      <c r="D27" s="51">
        <v>108.98</v>
      </c>
      <c r="E27" s="51">
        <v>10.68</v>
      </c>
      <c r="F27" s="51">
        <v>2.06</v>
      </c>
      <c r="G27" s="51">
        <v>112.15</v>
      </c>
      <c r="H27" s="51">
        <v>43.62</v>
      </c>
      <c r="I27" s="51">
        <v>0.38</v>
      </c>
      <c r="J27" s="51">
        <v>0.37</v>
      </c>
      <c r="K27" s="51">
        <v>93.32</v>
      </c>
      <c r="L27" s="51">
        <v>22.47</v>
      </c>
      <c r="M27" s="51">
        <v>37</v>
      </c>
      <c r="N27" s="53" t="s">
        <v>8</v>
      </c>
      <c r="O27" s="51">
        <v>0</v>
      </c>
      <c r="P27" s="51">
        <v>1.78</v>
      </c>
      <c r="Q27" s="51">
        <v>41</v>
      </c>
      <c r="R27" s="43"/>
      <c r="S27" s="43"/>
      <c r="T27" s="43"/>
      <c r="U27" s="43"/>
    </row>
    <row r="28" spans="1:21" s="11" customFormat="1" ht="15">
      <c r="A28" s="50" t="s">
        <v>272</v>
      </c>
      <c r="B28" s="51">
        <v>54.12</v>
      </c>
      <c r="C28" s="51">
        <v>135.74</v>
      </c>
      <c r="D28" s="51">
        <v>116.62</v>
      </c>
      <c r="E28" s="51">
        <v>10.67</v>
      </c>
      <c r="F28" s="51">
        <v>0.46</v>
      </c>
      <c r="G28" s="51">
        <v>128.94999999999999</v>
      </c>
      <c r="H28" s="51">
        <v>57.05</v>
      </c>
      <c r="I28" s="51">
        <v>0.56000000000000005</v>
      </c>
      <c r="J28" s="51">
        <v>0.34</v>
      </c>
      <c r="K28" s="51">
        <v>293.18</v>
      </c>
      <c r="L28" s="51">
        <v>21.66</v>
      </c>
      <c r="M28" s="51">
        <v>43</v>
      </c>
      <c r="N28" s="53" t="s">
        <v>8</v>
      </c>
      <c r="O28" s="51">
        <v>0</v>
      </c>
      <c r="P28" s="51">
        <v>1.99</v>
      </c>
      <c r="Q28" s="51">
        <v>39.28</v>
      </c>
      <c r="R28" s="43"/>
      <c r="S28" s="43"/>
      <c r="T28" s="43"/>
      <c r="U28" s="43"/>
    </row>
    <row r="29" spans="1:21" s="11" customFormat="1" ht="15">
      <c r="A29" s="50" t="s">
        <v>273</v>
      </c>
      <c r="B29" s="51">
        <v>87.41</v>
      </c>
      <c r="C29" s="51">
        <v>149.52000000000001</v>
      </c>
      <c r="D29" s="51">
        <v>152.61000000000001</v>
      </c>
      <c r="E29" s="51">
        <v>7.62</v>
      </c>
      <c r="F29" s="51">
        <v>0.18</v>
      </c>
      <c r="G29" s="51">
        <v>218.29</v>
      </c>
      <c r="H29" s="51">
        <v>66.260000000000005</v>
      </c>
      <c r="I29" s="51">
        <v>0.79</v>
      </c>
      <c r="J29" s="51">
        <v>0.14000000000000001</v>
      </c>
      <c r="K29" s="51">
        <v>328.96</v>
      </c>
      <c r="L29" s="51">
        <v>18.78</v>
      </c>
      <c r="M29" s="51">
        <v>51</v>
      </c>
      <c r="N29" s="53" t="s">
        <v>8</v>
      </c>
      <c r="O29" s="51">
        <v>0</v>
      </c>
      <c r="P29" s="51">
        <v>2.77</v>
      </c>
      <c r="Q29" s="51">
        <v>44.03</v>
      </c>
      <c r="R29" s="43"/>
      <c r="S29" s="43"/>
      <c r="T29" s="43"/>
      <c r="U29" s="43"/>
    </row>
    <row r="30" spans="1:21" s="11" customFormat="1" ht="15">
      <c r="A30" s="50" t="s">
        <v>274</v>
      </c>
      <c r="B30" s="51">
        <v>160.82</v>
      </c>
      <c r="C30" s="51">
        <v>194.44</v>
      </c>
      <c r="D30" s="51">
        <v>236.28</v>
      </c>
      <c r="E30" s="51">
        <v>8.5500000000000007</v>
      </c>
      <c r="F30" s="51">
        <v>0.03</v>
      </c>
      <c r="G30" s="51">
        <v>218.29</v>
      </c>
      <c r="H30" s="51">
        <v>79.260000000000005</v>
      </c>
      <c r="I30" s="51">
        <v>1.08</v>
      </c>
      <c r="J30" s="51">
        <v>0.15</v>
      </c>
      <c r="K30" s="51">
        <v>324.60000000000002</v>
      </c>
      <c r="L30" s="51">
        <v>17.989999999999998</v>
      </c>
      <c r="M30" s="51">
        <v>57</v>
      </c>
      <c r="N30" s="53" t="s">
        <v>8</v>
      </c>
      <c r="O30" s="51">
        <v>0</v>
      </c>
      <c r="P30" s="51">
        <v>3.5</v>
      </c>
      <c r="Q30" s="51">
        <v>48.16</v>
      </c>
      <c r="R30" s="43"/>
      <c r="S30" s="43"/>
      <c r="T30" s="43"/>
      <c r="U30" s="43"/>
    </row>
    <row r="31" spans="1:21" s="11" customFormat="1" ht="15">
      <c r="A31" s="50" t="s">
        <v>275</v>
      </c>
      <c r="B31" s="51">
        <v>200.86</v>
      </c>
      <c r="C31" s="51">
        <v>213.57</v>
      </c>
      <c r="D31" s="51">
        <v>278.94</v>
      </c>
      <c r="E31" s="51">
        <v>8.40</v>
      </c>
      <c r="F31" s="51">
        <v>0.19</v>
      </c>
      <c r="G31" s="51">
        <v>235.76</v>
      </c>
      <c r="H31" s="51">
        <v>87.76</v>
      </c>
      <c r="I31" s="51">
        <v>1.27</v>
      </c>
      <c r="J31" s="51">
        <v>0.15</v>
      </c>
      <c r="K31" s="51">
        <v>359.97</v>
      </c>
      <c r="L31" s="51">
        <v>16.34</v>
      </c>
      <c r="M31" s="51">
        <v>64</v>
      </c>
      <c r="N31" s="53" t="s">
        <v>8</v>
      </c>
      <c r="O31" s="51">
        <v>0</v>
      </c>
      <c r="P31" s="51">
        <v>3.93</v>
      </c>
      <c r="Q31" s="51">
        <v>49.16</v>
      </c>
      <c r="R31" s="43"/>
      <c r="S31" s="43"/>
      <c r="T31" s="43"/>
      <c r="U31" s="43"/>
    </row>
    <row r="32" spans="1:21" s="11" customFormat="1" ht="15">
      <c r="A32" s="50" t="s">
        <v>276</v>
      </c>
      <c r="B32" s="51">
        <v>232.21</v>
      </c>
      <c r="C32" s="51">
        <v>226.22</v>
      </c>
      <c r="D32" s="51">
        <v>310.80</v>
      </c>
      <c r="E32" s="51">
        <v>8.3699999999999992</v>
      </c>
      <c r="F32" s="51">
        <v>0.17</v>
      </c>
      <c r="G32" s="51">
        <v>235.76</v>
      </c>
      <c r="H32" s="51">
        <v>94.56</v>
      </c>
      <c r="I32" s="51">
        <v>1.39</v>
      </c>
      <c r="J32" s="51">
        <v>0.13</v>
      </c>
      <c r="K32" s="51">
        <v>320.08</v>
      </c>
      <c r="L32" s="51">
        <v>15.27</v>
      </c>
      <c r="M32" s="51">
        <v>72</v>
      </c>
      <c r="N32" s="53" t="s">
        <v>8</v>
      </c>
      <c r="O32" s="51">
        <v>0</v>
      </c>
      <c r="P32" s="51">
        <v>4.08</v>
      </c>
      <c r="Q32" s="51">
        <v>52.66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20.030000000000001</v>
      </c>
      <c r="C34" s="28">
        <f t="shared" si="0"/>
        <v>106.26000000000001</v>
      </c>
      <c r="D34" s="28">
        <f t="shared" si="0"/>
        <v>74.700000000000003</v>
      </c>
      <c r="E34" s="28">
        <f t="shared" si="0"/>
        <v>5.2599999999999998</v>
      </c>
      <c r="F34" s="28">
        <f t="shared" si="0"/>
        <v>0.029999999999999999</v>
      </c>
      <c r="G34" s="28">
        <f t="shared" si="0"/>
        <v>50.130000000000003</v>
      </c>
      <c r="H34" s="28">
        <f t="shared" si="0"/>
        <v>27.93</v>
      </c>
      <c r="I34" s="28">
        <f t="shared" si="0"/>
        <v>0.23999999999999999</v>
      </c>
      <c r="J34" s="28">
        <f t="shared" si="0"/>
        <v>0.11</v>
      </c>
      <c r="K34" s="28">
        <f t="shared" si="0"/>
        <v>24.350000000000001</v>
      </c>
      <c r="L34" s="28">
        <f t="shared" si="0"/>
        <v>10.67</v>
      </c>
      <c r="M34" s="28">
        <f t="shared" si="0"/>
        <v>18</v>
      </c>
      <c r="N34" s="28">
        <f t="shared" si="0"/>
        <v>3.1000000000000001</v>
      </c>
      <c r="O34" s="28">
        <f t="shared" si="0"/>
        <v>0</v>
      </c>
      <c r="P34" s="28">
        <f t="shared" si="0"/>
        <v>1.04</v>
      </c>
      <c r="Q34" s="28">
        <f t="shared" si="0"/>
        <v>34.520000000000003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232.21000000000001</v>
      </c>
      <c r="C35" s="29">
        <f t="shared" si="1"/>
        <v>226.22</v>
      </c>
      <c r="D35" s="29">
        <f t="shared" si="1"/>
        <v>310.80000000000001</v>
      </c>
      <c r="E35" s="29">
        <f t="shared" si="1"/>
        <v>27.670000000000002</v>
      </c>
      <c r="F35" s="29">
        <f t="shared" si="1"/>
        <v>6.2999999999999998</v>
      </c>
      <c r="G35" s="29">
        <f t="shared" si="1"/>
        <v>235.75999999999999</v>
      </c>
      <c r="H35" s="29">
        <f t="shared" si="1"/>
        <v>117.95999999999999</v>
      </c>
      <c r="I35" s="29">
        <f t="shared" si="1"/>
        <v>1.4199999999999999</v>
      </c>
      <c r="J35" s="29">
        <f t="shared" si="1"/>
        <v>1</v>
      </c>
      <c r="K35" s="29">
        <f t="shared" si="1"/>
        <v>359.97000000000003</v>
      </c>
      <c r="L35" s="29">
        <f t="shared" si="1"/>
        <v>31.43</v>
      </c>
      <c r="M35" s="29">
        <f t="shared" si="1"/>
        <v>82</v>
      </c>
      <c r="N35" s="29">
        <f t="shared" si="1"/>
        <v>757.89999999999998</v>
      </c>
      <c r="O35" s="29">
        <f t="shared" si="1"/>
        <v>0</v>
      </c>
      <c r="P35" s="29">
        <f t="shared" si="1"/>
        <v>4.5</v>
      </c>
      <c r="Q35" s="29">
        <f t="shared" si="1"/>
        <v>52.659999999999997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98.250833333333333</v>
      </c>
      <c r="C36" s="28">
        <f t="shared" si="2"/>
        <v>147.84916666666666</v>
      </c>
      <c r="D36" s="28">
        <f t="shared" si="2"/>
        <v>160.21500000000003</v>
      </c>
      <c r="E36" s="28">
        <f t="shared" si="2"/>
        <v>9.7187500000000018</v>
      </c>
      <c r="F36" s="28">
        <f t="shared" si="2"/>
        <v>1.1850000000000003</v>
      </c>
      <c r="G36" s="28">
        <f t="shared" si="2"/>
        <v>144.95458333333332</v>
      </c>
      <c r="H36" s="28">
        <f t="shared" si="2"/>
        <v>70.780416666666667</v>
      </c>
      <c r="I36" s="28">
        <f t="shared" si="2"/>
        <v>0.69499999999999995</v>
      </c>
      <c r="J36" s="28">
        <f t="shared" si="2"/>
        <v>0.43666666666666676</v>
      </c>
      <c r="K36" s="28">
        <f t="shared" si="2"/>
        <v>213.58333333333334</v>
      </c>
      <c r="L36" s="28">
        <f t="shared" si="2"/>
        <v>20.740000000000002</v>
      </c>
      <c r="M36" s="28">
        <f t="shared" si="2"/>
        <v>48.458333333333336</v>
      </c>
      <c r="N36" s="28">
        <f t="shared" si="2"/>
        <v>283.63529411764711</v>
      </c>
      <c r="O36" s="28">
        <f t="shared" si="2"/>
        <v>0</v>
      </c>
      <c r="P36" s="28">
        <f t="shared" si="2"/>
        <v>2.5266666666666668</v>
      </c>
      <c r="Q36" s="28">
        <f t="shared" si="2"/>
        <v>41.337499999999991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67.211822777056852</v>
      </c>
      <c r="C37" s="28">
        <f t="shared" si="3" ref="C37:Q37">STDEV(C9:C32)</f>
        <v>37.199325369837155</v>
      </c>
      <c r="D37" s="28">
        <f t="shared" si="3"/>
        <v>73.98223406008853</v>
      </c>
      <c r="E37" s="28">
        <f t="shared" si="3"/>
        <v>5.9446909544128737</v>
      </c>
      <c r="F37" s="28">
        <f t="shared" si="3"/>
        <v>1.6807917389031923</v>
      </c>
      <c r="G37" s="28">
        <f t="shared" si="3"/>
        <v>63.346189753927398</v>
      </c>
      <c r="H37" s="28">
        <f t="shared" si="3"/>
        <v>28.771041672996024</v>
      </c>
      <c r="I37" s="28">
        <f t="shared" si="3"/>
        <v>0.44189316041028665</v>
      </c>
      <c r="J37" s="28">
        <f t="shared" si="3"/>
        <v>0.29203434382108956</v>
      </c>
      <c r="K37" s="28">
        <f t="shared" si="3"/>
        <v>118.27525970367178</v>
      </c>
      <c r="L37" s="28">
        <f t="shared" si="3"/>
        <v>6.9756732572063838</v>
      </c>
      <c r="M37" s="28">
        <f t="shared" si="3"/>
        <v>23.459454692996463</v>
      </c>
      <c r="N37" s="28">
        <f t="shared" si="3"/>
        <v>287.77970728748505</v>
      </c>
      <c r="O37" s="28">
        <f t="shared" si="3"/>
        <v>0</v>
      </c>
      <c r="P37" s="28">
        <f t="shared" si="3"/>
        <v>1.1243729331292274</v>
      </c>
      <c r="Q37" s="28">
        <f t="shared" si="3"/>
        <v>5.4680862640694405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COUNT(N9:N32)+7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b13e946-6082-4db7-92a0-20acb8827d5a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10-01-2023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277</v>
      </c>
      <c r="B9" s="51">
        <v>230.76</v>
      </c>
      <c r="C9" s="51">
        <v>223.81</v>
      </c>
      <c r="D9" s="51">
        <v>308.57</v>
      </c>
      <c r="E9" s="51">
        <v>7.74</v>
      </c>
      <c r="F9" s="51">
        <v>0.09</v>
      </c>
      <c r="G9" s="51">
        <v>219.87</v>
      </c>
      <c r="H9" s="51">
        <v>94.56</v>
      </c>
      <c r="I9" s="51">
        <v>1.40</v>
      </c>
      <c r="J9" s="51">
        <v>0.10</v>
      </c>
      <c r="K9" s="51">
        <v>296.47000000000003</v>
      </c>
      <c r="L9" s="51">
        <v>14.74</v>
      </c>
      <c r="M9" s="51">
        <v>77</v>
      </c>
      <c r="N9" s="53" t="s">
        <v>8</v>
      </c>
      <c r="O9" s="51">
        <v>0</v>
      </c>
      <c r="P9" s="51">
        <v>3.92</v>
      </c>
      <c r="Q9" s="51">
        <v>53.81</v>
      </c>
      <c r="R9" s="43"/>
      <c r="S9" s="43"/>
      <c r="T9" s="43"/>
      <c r="U9" s="43"/>
    </row>
    <row r="10" spans="1:21" s="11" customFormat="1" ht="15">
      <c r="A10" s="50" t="s">
        <v>278</v>
      </c>
      <c r="B10" s="51">
        <v>212.63</v>
      </c>
      <c r="C10" s="51">
        <v>208.53</v>
      </c>
      <c r="D10" s="51">
        <v>285.60000000000002</v>
      </c>
      <c r="E10" s="51">
        <v>7.38</v>
      </c>
      <c r="F10" s="51">
        <v>0.24</v>
      </c>
      <c r="G10" s="51">
        <v>219.87</v>
      </c>
      <c r="H10" s="51">
        <v>93.24</v>
      </c>
      <c r="I10" s="51">
        <v>1.34</v>
      </c>
      <c r="J10" s="51">
        <v>0.10</v>
      </c>
      <c r="K10" s="51">
        <v>345.56</v>
      </c>
      <c r="L10" s="51">
        <v>14.48</v>
      </c>
      <c r="M10" s="51">
        <v>82</v>
      </c>
      <c r="N10" s="53" t="s">
        <v>8</v>
      </c>
      <c r="O10" s="51">
        <v>0</v>
      </c>
      <c r="P10" s="51">
        <v>3.55</v>
      </c>
      <c r="Q10" s="51">
        <v>51.89</v>
      </c>
      <c r="R10" s="43"/>
      <c r="S10" s="43"/>
      <c r="T10" s="43"/>
      <c r="U10" s="43"/>
    </row>
    <row r="11" spans="1:21" s="11" customFormat="1" ht="15">
      <c r="A11" s="50" t="s">
        <v>279</v>
      </c>
      <c r="B11" s="51">
        <v>190.22</v>
      </c>
      <c r="C11" s="51">
        <v>188.11</v>
      </c>
      <c r="D11" s="51">
        <v>256.36</v>
      </c>
      <c r="E11" s="51">
        <v>7.62</v>
      </c>
      <c r="F11" s="51">
        <v>0.12</v>
      </c>
      <c r="G11" s="51">
        <v>167.45</v>
      </c>
      <c r="H11" s="51">
        <v>89.43</v>
      </c>
      <c r="I11" s="51">
        <v>1.33</v>
      </c>
      <c r="J11" s="51">
        <v>0.14000000000000001</v>
      </c>
      <c r="K11" s="51">
        <v>329.58</v>
      </c>
      <c r="L11" s="51">
        <v>14.40</v>
      </c>
      <c r="M11" s="51">
        <v>82</v>
      </c>
      <c r="N11" s="53" t="s">
        <v>8</v>
      </c>
      <c r="O11" s="51">
        <v>0</v>
      </c>
      <c r="P11" s="51">
        <v>3.54</v>
      </c>
      <c r="Q11" s="51">
        <v>47.44</v>
      </c>
      <c r="R11" s="43"/>
      <c r="S11" s="43"/>
      <c r="T11" s="43"/>
      <c r="U11" s="43"/>
    </row>
    <row r="12" spans="1:21" s="11" customFormat="1" ht="15">
      <c r="A12" s="50" t="s">
        <v>280</v>
      </c>
      <c r="B12" s="51">
        <v>171.99</v>
      </c>
      <c r="C12" s="51">
        <v>170.19</v>
      </c>
      <c r="D12" s="51">
        <v>231.85</v>
      </c>
      <c r="E12" s="51">
        <v>6.88</v>
      </c>
      <c r="F12" s="51">
        <v>0.31</v>
      </c>
      <c r="G12" s="51">
        <v>162.66</v>
      </c>
      <c r="H12" s="51">
        <v>89.43</v>
      </c>
      <c r="I12" s="51">
        <v>1.32</v>
      </c>
      <c r="J12" s="51">
        <v>0.14000000000000001</v>
      </c>
      <c r="K12" s="51">
        <v>307.66000000000003</v>
      </c>
      <c r="L12" s="51">
        <v>13.41</v>
      </c>
      <c r="M12" s="51">
        <v>83</v>
      </c>
      <c r="N12" s="53" t="s">
        <v>8</v>
      </c>
      <c r="O12" s="51">
        <v>0</v>
      </c>
      <c r="P12" s="51">
        <v>3.27</v>
      </c>
      <c r="Q12" s="51">
        <v>45.92</v>
      </c>
      <c r="R12" s="43"/>
      <c r="S12" s="43"/>
      <c r="T12" s="43"/>
      <c r="U12" s="43"/>
    </row>
    <row r="13" spans="1:21" s="11" customFormat="1" ht="15">
      <c r="A13" s="50" t="s">
        <v>281</v>
      </c>
      <c r="B13" s="51">
        <v>136.85</v>
      </c>
      <c r="C13" s="51">
        <v>146.52000000000001</v>
      </c>
      <c r="D13" s="51">
        <v>190.61</v>
      </c>
      <c r="E13" s="51">
        <v>5.31</v>
      </c>
      <c r="F13" s="51">
        <v>0.02</v>
      </c>
      <c r="G13" s="51">
        <v>115.70</v>
      </c>
      <c r="H13" s="51">
        <v>73.56</v>
      </c>
      <c r="I13" s="51">
        <v>1.1399999999999999</v>
      </c>
      <c r="J13" s="51">
        <v>0.23</v>
      </c>
      <c r="K13" s="51">
        <v>340.41</v>
      </c>
      <c r="L13" s="51">
        <v>12.92</v>
      </c>
      <c r="M13" s="51">
        <v>85</v>
      </c>
      <c r="N13" s="53" t="s">
        <v>8</v>
      </c>
      <c r="O13" s="51">
        <v>0</v>
      </c>
      <c r="P13" s="51">
        <v>2.78</v>
      </c>
      <c r="Q13" s="51">
        <v>44.96</v>
      </c>
      <c r="R13" s="43"/>
      <c r="S13" s="43"/>
      <c r="T13" s="43"/>
      <c r="U13" s="43"/>
    </row>
    <row r="14" spans="1:21" s="11" customFormat="1" ht="15">
      <c r="A14" s="50" t="s">
        <v>282</v>
      </c>
      <c r="B14" s="51">
        <v>127.17</v>
      </c>
      <c r="C14" s="51">
        <v>141.04</v>
      </c>
      <c r="D14" s="51">
        <v>179.82</v>
      </c>
      <c r="E14" s="51">
        <v>5.15</v>
      </c>
      <c r="F14" s="51">
        <v>0.12</v>
      </c>
      <c r="G14" s="51">
        <v>106.48</v>
      </c>
      <c r="H14" s="51">
        <v>66.45</v>
      </c>
      <c r="I14" s="51">
        <v>0.95</v>
      </c>
      <c r="J14" s="51">
        <v>0.17</v>
      </c>
      <c r="K14" s="51">
        <v>343.96</v>
      </c>
      <c r="L14" s="51">
        <v>12.96</v>
      </c>
      <c r="M14" s="51">
        <v>88</v>
      </c>
      <c r="N14" s="53" t="s">
        <v>8</v>
      </c>
      <c r="O14" s="51">
        <v>0</v>
      </c>
      <c r="P14" s="51">
        <v>2.44</v>
      </c>
      <c r="Q14" s="51">
        <v>43.02</v>
      </c>
      <c r="R14" s="43"/>
      <c r="S14" s="43"/>
      <c r="T14" s="43"/>
      <c r="U14" s="43"/>
    </row>
    <row r="15" spans="1:21" s="11" customFormat="1" ht="15">
      <c r="A15" s="50" t="s">
        <v>283</v>
      </c>
      <c r="B15" s="51">
        <v>113.14</v>
      </c>
      <c r="C15" s="51">
        <v>131.97</v>
      </c>
      <c r="D15" s="51">
        <v>163.57</v>
      </c>
      <c r="E15" s="51">
        <v>4.72</v>
      </c>
      <c r="F15" s="51">
        <v>0.12</v>
      </c>
      <c r="G15" s="51">
        <v>106.48</v>
      </c>
      <c r="H15" s="51">
        <v>58.07</v>
      </c>
      <c r="I15" s="51">
        <v>0.81</v>
      </c>
      <c r="J15" s="51">
        <v>0.16</v>
      </c>
      <c r="K15" s="51">
        <v>342.40</v>
      </c>
      <c r="L15" s="51">
        <v>12.30</v>
      </c>
      <c r="M15" s="51">
        <v>89</v>
      </c>
      <c r="N15" s="53" t="s">
        <v>8</v>
      </c>
      <c r="O15" s="51">
        <v>0</v>
      </c>
      <c r="P15" s="51">
        <v>2.15</v>
      </c>
      <c r="Q15" s="51">
        <v>39.53</v>
      </c>
      <c r="R15" s="43"/>
      <c r="S15" s="43"/>
      <c r="T15" s="43"/>
      <c r="U15" s="43"/>
    </row>
    <row r="16" spans="1:21" s="11" customFormat="1" ht="15">
      <c r="A16" s="50" t="s">
        <v>284</v>
      </c>
      <c r="B16" s="51">
        <v>107.23</v>
      </c>
      <c r="C16" s="51">
        <v>130.15</v>
      </c>
      <c r="D16" s="51">
        <v>156.66999999999999</v>
      </c>
      <c r="E16" s="51">
        <v>4.55</v>
      </c>
      <c r="F16" s="51">
        <v>0.40</v>
      </c>
      <c r="G16" s="51">
        <v>111.09</v>
      </c>
      <c r="H16" s="51">
        <v>58.22</v>
      </c>
      <c r="I16" s="51">
        <v>0.67</v>
      </c>
      <c r="J16" s="51">
        <v>0.24</v>
      </c>
      <c r="K16" s="51">
        <v>301.07</v>
      </c>
      <c r="L16" s="51">
        <v>15.91</v>
      </c>
      <c r="M16" s="51">
        <v>87</v>
      </c>
      <c r="N16" s="51">
        <v>67.5</v>
      </c>
      <c r="O16" s="51">
        <v>0</v>
      </c>
      <c r="P16" s="51">
        <v>2.16</v>
      </c>
      <c r="Q16" s="51">
        <v>41.61</v>
      </c>
      <c r="R16" s="43"/>
      <c r="S16" s="43"/>
      <c r="T16" s="43"/>
      <c r="U16" s="43"/>
    </row>
    <row r="17" spans="1:21" s="11" customFormat="1" ht="15">
      <c r="A17" s="50" t="s">
        <v>285</v>
      </c>
      <c r="B17" s="51">
        <v>106.21</v>
      </c>
      <c r="C17" s="51">
        <v>156.72999999999999</v>
      </c>
      <c r="D17" s="51">
        <v>170.91</v>
      </c>
      <c r="E17" s="51">
        <v>5.34</v>
      </c>
      <c r="F17" s="51">
        <v>0.20</v>
      </c>
      <c r="G17" s="51">
        <v>137.25</v>
      </c>
      <c r="H17" s="51">
        <v>63.66</v>
      </c>
      <c r="I17" s="51">
        <v>0.54</v>
      </c>
      <c r="J17" s="51">
        <v>0.63</v>
      </c>
      <c r="K17" s="51">
        <v>170.95</v>
      </c>
      <c r="L17" s="51">
        <v>22.52</v>
      </c>
      <c r="M17" s="51">
        <v>60</v>
      </c>
      <c r="N17" s="51">
        <v>263.30</v>
      </c>
      <c r="O17" s="51">
        <v>0</v>
      </c>
      <c r="P17" s="51">
        <v>2.2200000000000002</v>
      </c>
      <c r="Q17" s="51">
        <v>41.51</v>
      </c>
      <c r="R17" s="43"/>
      <c r="S17" s="43"/>
      <c r="T17" s="43"/>
      <c r="U17" s="43"/>
    </row>
    <row r="18" spans="1:21" s="11" customFormat="1" ht="15">
      <c r="A18" s="50" t="s">
        <v>286</v>
      </c>
      <c r="B18" s="51">
        <v>99.55</v>
      </c>
      <c r="C18" s="51">
        <v>151.33000000000001</v>
      </c>
      <c r="D18" s="51">
        <v>163.35</v>
      </c>
      <c r="E18" s="51">
        <v>5.16</v>
      </c>
      <c r="F18" s="51">
        <v>0.71</v>
      </c>
      <c r="G18" s="51">
        <v>137.97</v>
      </c>
      <c r="H18" s="51">
        <v>67.23</v>
      </c>
      <c r="I18" s="51">
        <v>0.52</v>
      </c>
      <c r="J18" s="51">
        <v>0.67</v>
      </c>
      <c r="K18" s="51">
        <v>186.92</v>
      </c>
      <c r="L18" s="51">
        <v>23.94</v>
      </c>
      <c r="M18" s="51">
        <v>49</v>
      </c>
      <c r="N18" s="51">
        <v>449.70</v>
      </c>
      <c r="O18" s="51">
        <v>0</v>
      </c>
      <c r="P18" s="51">
        <v>2.2000000000000002</v>
      </c>
      <c r="Q18" s="51">
        <v>40.29</v>
      </c>
      <c r="R18" s="43"/>
      <c r="S18" s="43"/>
      <c r="T18" s="43"/>
      <c r="U18" s="43"/>
    </row>
    <row r="19" spans="1:21" s="11" customFormat="1" ht="15">
      <c r="A19" s="50" t="s">
        <v>287</v>
      </c>
      <c r="B19" s="51">
        <v>72.98</v>
      </c>
      <c r="C19" s="51">
        <v>138.74</v>
      </c>
      <c r="D19" s="51">
        <v>135.09</v>
      </c>
      <c r="E19" s="51">
        <v>16.86</v>
      </c>
      <c r="F19" s="51">
        <v>2.4300000000000002</v>
      </c>
      <c r="G19" s="51">
        <v>137.97</v>
      </c>
      <c r="H19" s="51">
        <v>67.23</v>
      </c>
      <c r="I19" s="51">
        <v>0.51</v>
      </c>
      <c r="J19" s="51">
        <v>0.49</v>
      </c>
      <c r="K19" s="51">
        <v>158.13</v>
      </c>
      <c r="L19" s="51">
        <v>27.40</v>
      </c>
      <c r="M19" s="51">
        <v>33</v>
      </c>
      <c r="N19" s="51">
        <v>543.20000000000005</v>
      </c>
      <c r="O19" s="51">
        <v>0</v>
      </c>
      <c r="P19" s="51">
        <v>2.0099999999999998</v>
      </c>
      <c r="Q19" s="51">
        <v>40.119999999999997</v>
      </c>
      <c r="R19" s="43"/>
      <c r="S19" s="43"/>
      <c r="T19" s="43"/>
      <c r="U19" s="43"/>
    </row>
    <row r="20" spans="1:21" s="11" customFormat="1" ht="15">
      <c r="A20" s="50" t="s">
        <v>288</v>
      </c>
      <c r="B20" s="51">
        <v>5.01</v>
      </c>
      <c r="C20" s="51">
        <v>126.43</v>
      </c>
      <c r="D20" s="51">
        <v>73.790000000000006</v>
      </c>
      <c r="E20" s="51">
        <v>5.71</v>
      </c>
      <c r="F20" s="51">
        <v>4.51</v>
      </c>
      <c r="G20" s="58" t="s">
        <v>12</v>
      </c>
      <c r="H20" s="58" t="s">
        <v>12</v>
      </c>
      <c r="I20" s="51">
        <v>0.23</v>
      </c>
      <c r="J20" s="51">
        <v>0.86</v>
      </c>
      <c r="K20" s="51">
        <v>136.06</v>
      </c>
      <c r="L20" s="51">
        <v>29.18</v>
      </c>
      <c r="M20" s="51">
        <v>25</v>
      </c>
      <c r="N20" s="51">
        <v>602.20000000000005</v>
      </c>
      <c r="O20" s="51">
        <v>0</v>
      </c>
      <c r="P20" s="51">
        <v>1.42</v>
      </c>
      <c r="Q20" s="51">
        <v>25.85</v>
      </c>
      <c r="R20" s="43"/>
      <c r="S20" s="43"/>
      <c r="T20" s="43"/>
      <c r="U20" s="43"/>
    </row>
    <row r="21" spans="1:21" s="11" customFormat="1" ht="15">
      <c r="A21" s="50" t="s">
        <v>289</v>
      </c>
      <c r="B21" s="51">
        <v>3.23</v>
      </c>
      <c r="C21" s="51">
        <v>97.49</v>
      </c>
      <c r="D21" s="51">
        <v>55.83</v>
      </c>
      <c r="E21" s="51">
        <v>11.89</v>
      </c>
      <c r="F21" s="51">
        <v>10.09</v>
      </c>
      <c r="G21" s="51">
        <v>92.42</v>
      </c>
      <c r="H21" s="51">
        <v>35.51</v>
      </c>
      <c r="I21" s="51">
        <v>0.20</v>
      </c>
      <c r="J21" s="51">
        <v>0.45</v>
      </c>
      <c r="K21" s="51">
        <v>100.60</v>
      </c>
      <c r="L21" s="51">
        <v>31.87</v>
      </c>
      <c r="M21" s="51">
        <v>21</v>
      </c>
      <c r="N21" s="51">
        <v>597.10</v>
      </c>
      <c r="O21" s="51">
        <v>0</v>
      </c>
      <c r="P21" s="51">
        <v>1.05</v>
      </c>
      <c r="Q21" s="51">
        <v>26.08</v>
      </c>
      <c r="R21" s="43"/>
      <c r="S21" s="43"/>
      <c r="T21" s="43"/>
      <c r="U21" s="43"/>
    </row>
    <row r="22" spans="1:21" s="11" customFormat="1" ht="15">
      <c r="A22" s="50" t="s">
        <v>290</v>
      </c>
      <c r="B22" s="51">
        <v>4.26</v>
      </c>
      <c r="C22" s="51">
        <v>102.91</v>
      </c>
      <c r="D22" s="51">
        <v>60.21</v>
      </c>
      <c r="E22" s="51">
        <v>15.57</v>
      </c>
      <c r="F22" s="51">
        <v>8.48</v>
      </c>
      <c r="G22" s="51">
        <v>92.42</v>
      </c>
      <c r="H22" s="51">
        <v>35.51</v>
      </c>
      <c r="I22" s="51">
        <v>0.20</v>
      </c>
      <c r="J22" s="51">
        <v>0.80</v>
      </c>
      <c r="K22" s="51">
        <v>350.52</v>
      </c>
      <c r="L22" s="51">
        <v>32.42</v>
      </c>
      <c r="M22" s="51">
        <v>17</v>
      </c>
      <c r="N22" s="51">
        <v>547.40</v>
      </c>
      <c r="O22" s="51">
        <v>0</v>
      </c>
      <c r="P22" s="51">
        <v>1.08</v>
      </c>
      <c r="Q22" s="51">
        <v>25.61</v>
      </c>
      <c r="R22" s="43"/>
      <c r="S22" s="43"/>
      <c r="T22" s="43"/>
      <c r="U22" s="43"/>
    </row>
    <row r="23" spans="1:21" s="11" customFormat="1" ht="15">
      <c r="A23" s="50" t="s">
        <v>291</v>
      </c>
      <c r="B23" s="51">
        <v>3.96</v>
      </c>
      <c r="C23" s="51">
        <v>101.04</v>
      </c>
      <c r="D23" s="51">
        <v>58.94</v>
      </c>
      <c r="E23" s="51">
        <v>8.06</v>
      </c>
      <c r="F23" s="51">
        <v>3.42</v>
      </c>
      <c r="G23" s="51">
        <v>86.75</v>
      </c>
      <c r="H23" s="51">
        <v>36.46</v>
      </c>
      <c r="I23" s="51">
        <v>0.22</v>
      </c>
      <c r="J23" s="51">
        <v>0.42</v>
      </c>
      <c r="K23" s="51">
        <v>211.23</v>
      </c>
      <c r="L23" s="51">
        <v>31.71</v>
      </c>
      <c r="M23" s="51">
        <v>18</v>
      </c>
      <c r="N23" s="51">
        <v>359.70</v>
      </c>
      <c r="O23" s="51">
        <v>0</v>
      </c>
      <c r="P23" s="51">
        <v>1.0900000000000001</v>
      </c>
      <c r="Q23" s="51">
        <v>31.10</v>
      </c>
      <c r="R23" s="43"/>
      <c r="S23" s="43"/>
      <c r="T23" s="43"/>
      <c r="U23" s="43"/>
    </row>
    <row r="24" spans="1:21" s="11" customFormat="1" ht="15">
      <c r="A24" s="50" t="s">
        <v>292</v>
      </c>
      <c r="B24" s="51">
        <v>2.38</v>
      </c>
      <c r="C24" s="51">
        <v>101.59</v>
      </c>
      <c r="D24" s="51">
        <v>57.97</v>
      </c>
      <c r="E24" s="51">
        <v>28.09</v>
      </c>
      <c r="F24" s="51">
        <v>20.02</v>
      </c>
      <c r="G24" s="51">
        <v>86.75</v>
      </c>
      <c r="H24" s="51">
        <v>37.19</v>
      </c>
      <c r="I24" s="51">
        <v>0.21</v>
      </c>
      <c r="J24" s="51">
        <v>0.71</v>
      </c>
      <c r="K24" s="51">
        <v>150.08000000000001</v>
      </c>
      <c r="L24" s="51">
        <v>29.70</v>
      </c>
      <c r="M24" s="51">
        <v>23</v>
      </c>
      <c r="N24" s="51">
        <v>166.90</v>
      </c>
      <c r="O24" s="51">
        <v>0</v>
      </c>
      <c r="P24" s="51">
        <v>1.06</v>
      </c>
      <c r="Q24" s="51">
        <v>34.56</v>
      </c>
      <c r="R24" s="43"/>
      <c r="S24" s="43"/>
      <c r="T24" s="43"/>
      <c r="U24" s="43"/>
    </row>
    <row r="25" spans="1:21" s="11" customFormat="1" ht="15">
      <c r="A25" s="50" t="s">
        <v>293</v>
      </c>
      <c r="B25" s="51">
        <v>2.38</v>
      </c>
      <c r="C25" s="51">
        <v>126.30</v>
      </c>
      <c r="D25" s="51">
        <v>71.02</v>
      </c>
      <c r="E25" s="51">
        <v>49.16</v>
      </c>
      <c r="F25" s="51">
        <v>34.700000000000003</v>
      </c>
      <c r="G25" s="51">
        <v>80.95</v>
      </c>
      <c r="H25" s="51">
        <v>37.630000000000003</v>
      </c>
      <c r="I25" s="51">
        <v>0.19</v>
      </c>
      <c r="J25" s="51">
        <v>0.39</v>
      </c>
      <c r="K25" s="51">
        <v>167.97</v>
      </c>
      <c r="L25" s="51">
        <v>27.68</v>
      </c>
      <c r="M25" s="51">
        <v>31</v>
      </c>
      <c r="N25" s="51">
        <v>0.40</v>
      </c>
      <c r="O25" s="51">
        <v>0</v>
      </c>
      <c r="P25" s="51">
        <v>1.1299999999999999</v>
      </c>
      <c r="Q25" s="51">
        <v>34.92</v>
      </c>
      <c r="R25" s="43"/>
      <c r="S25" s="43"/>
      <c r="T25" s="43"/>
      <c r="U25" s="43"/>
    </row>
    <row r="26" spans="1:21" s="11" customFormat="1" ht="15">
      <c r="A26" s="50" t="s">
        <v>294</v>
      </c>
      <c r="B26" s="51">
        <v>7.81</v>
      </c>
      <c r="C26" s="51">
        <v>136.32</v>
      </c>
      <c r="D26" s="51">
        <v>78.45</v>
      </c>
      <c r="E26" s="51">
        <v>30.42</v>
      </c>
      <c r="F26" s="51">
        <v>9.25</v>
      </c>
      <c r="G26" s="51">
        <v>196.35</v>
      </c>
      <c r="H26" s="51">
        <v>54.07</v>
      </c>
      <c r="I26" s="51">
        <v>0.32</v>
      </c>
      <c r="J26" s="51">
        <v>0.11</v>
      </c>
      <c r="K26" s="51">
        <v>151.21</v>
      </c>
      <c r="L26" s="51">
        <v>25.13</v>
      </c>
      <c r="M26" s="51">
        <v>44</v>
      </c>
      <c r="N26" s="53" t="s">
        <v>8</v>
      </c>
      <c r="O26" s="51">
        <v>0</v>
      </c>
      <c r="P26" s="51">
        <v>1.25</v>
      </c>
      <c r="Q26" s="51">
        <v>34.29</v>
      </c>
      <c r="R26" s="43"/>
      <c r="S26" s="43"/>
      <c r="T26" s="43"/>
      <c r="U26" s="43"/>
    </row>
    <row r="27" spans="1:21" s="11" customFormat="1" ht="15">
      <c r="A27" s="50" t="s">
        <v>295</v>
      </c>
      <c r="B27" s="51">
        <v>39.549999999999997</v>
      </c>
      <c r="C27" s="51">
        <v>165.83</v>
      </c>
      <c r="D27" s="51">
        <v>123.24</v>
      </c>
      <c r="E27" s="51">
        <v>6.10</v>
      </c>
      <c r="F27" s="51">
        <v>0.13</v>
      </c>
      <c r="G27" s="51">
        <v>209.97</v>
      </c>
      <c r="H27" s="51">
        <v>66.150000000000006</v>
      </c>
      <c r="I27" s="51">
        <v>0.44</v>
      </c>
      <c r="J27" s="51">
        <v>0.13</v>
      </c>
      <c r="K27" s="51">
        <v>141.57</v>
      </c>
      <c r="L27" s="51">
        <v>21.51</v>
      </c>
      <c r="M27" s="51">
        <v>57</v>
      </c>
      <c r="N27" s="53" t="s">
        <v>8</v>
      </c>
      <c r="O27" s="51">
        <v>0</v>
      </c>
      <c r="P27" s="51">
        <v>1.96</v>
      </c>
      <c r="Q27" s="51">
        <v>40.24</v>
      </c>
      <c r="R27" s="43"/>
      <c r="S27" s="43"/>
      <c r="T27" s="43"/>
      <c r="U27" s="43"/>
    </row>
    <row r="28" spans="1:21" s="11" customFormat="1" ht="15">
      <c r="A28" s="50" t="s">
        <v>296</v>
      </c>
      <c r="B28" s="51">
        <v>79.97</v>
      </c>
      <c r="C28" s="51">
        <v>188.81</v>
      </c>
      <c r="D28" s="51">
        <v>168.32</v>
      </c>
      <c r="E28" s="51">
        <v>6</v>
      </c>
      <c r="F28" s="51">
        <v>0.12</v>
      </c>
      <c r="G28" s="51">
        <v>209.97</v>
      </c>
      <c r="H28" s="51">
        <v>82.79</v>
      </c>
      <c r="I28" s="51">
        <v>0.81</v>
      </c>
      <c r="J28" s="51">
        <v>0.08</v>
      </c>
      <c r="K28" s="51">
        <v>311.52</v>
      </c>
      <c r="L28" s="51">
        <v>19.93</v>
      </c>
      <c r="M28" s="51">
        <v>60</v>
      </c>
      <c r="N28" s="53" t="s">
        <v>8</v>
      </c>
      <c r="O28" s="51">
        <v>0</v>
      </c>
      <c r="P28" s="51">
        <v>2.77</v>
      </c>
      <c r="Q28" s="51">
        <v>41.18</v>
      </c>
      <c r="R28" s="43"/>
      <c r="S28" s="43"/>
      <c r="T28" s="43"/>
      <c r="U28" s="43"/>
    </row>
    <row r="29" spans="1:21" s="11" customFormat="1" ht="15">
      <c r="A29" s="50" t="s">
        <v>297</v>
      </c>
      <c r="B29" s="51">
        <v>133.82</v>
      </c>
      <c r="C29" s="51">
        <v>209.67</v>
      </c>
      <c r="D29" s="51">
        <v>223.03</v>
      </c>
      <c r="E29" s="51">
        <v>6.36</v>
      </c>
      <c r="F29" s="51">
        <v>0.20</v>
      </c>
      <c r="G29" s="59" t="s">
        <v>15</v>
      </c>
      <c r="H29" s="51">
        <v>107.65</v>
      </c>
      <c r="I29" s="51">
        <v>1.27</v>
      </c>
      <c r="J29" s="51">
        <v>0.09</v>
      </c>
      <c r="K29" s="51">
        <v>314.31</v>
      </c>
      <c r="L29" s="51">
        <v>19.05</v>
      </c>
      <c r="M29" s="51">
        <v>67</v>
      </c>
      <c r="N29" s="53" t="s">
        <v>8</v>
      </c>
      <c r="O29" s="51">
        <v>0</v>
      </c>
      <c r="P29" s="51">
        <v>3.82</v>
      </c>
      <c r="Q29" s="51">
        <v>45.88</v>
      </c>
      <c r="R29" s="43"/>
      <c r="S29" s="43"/>
      <c r="T29" s="43"/>
      <c r="U29" s="43"/>
    </row>
    <row r="30" spans="1:21" s="11" customFormat="1" ht="15">
      <c r="A30" s="50" t="s">
        <v>298</v>
      </c>
      <c r="B30" s="51">
        <v>185.41</v>
      </c>
      <c r="C30" s="51">
        <v>242.20</v>
      </c>
      <c r="D30" s="51">
        <v>282.35000000000002</v>
      </c>
      <c r="E30" s="51">
        <v>7.08</v>
      </c>
      <c r="F30" s="51">
        <v>0.22</v>
      </c>
      <c r="G30" s="59" t="s">
        <v>15</v>
      </c>
      <c r="H30" s="51">
        <v>121.92</v>
      </c>
      <c r="I30" s="51">
        <v>1.66</v>
      </c>
      <c r="J30" s="51">
        <v>0.10</v>
      </c>
      <c r="K30" s="51">
        <v>307.32</v>
      </c>
      <c r="L30" s="51">
        <v>18.09</v>
      </c>
      <c r="M30" s="51">
        <v>69</v>
      </c>
      <c r="N30" s="53" t="s">
        <v>8</v>
      </c>
      <c r="O30" s="51">
        <v>0</v>
      </c>
      <c r="P30" s="51">
        <v>4.7300000000000004</v>
      </c>
      <c r="Q30" s="51">
        <v>54.22</v>
      </c>
      <c r="R30" s="43"/>
      <c r="S30" s="43"/>
      <c r="T30" s="43"/>
      <c r="U30" s="43"/>
    </row>
    <row r="31" spans="1:21" s="11" customFormat="1" ht="15">
      <c r="A31" s="50" t="s">
        <v>299</v>
      </c>
      <c r="B31" s="51">
        <v>213.66</v>
      </c>
      <c r="C31" s="51">
        <v>254.58</v>
      </c>
      <c r="D31" s="51">
        <v>311.83999999999997</v>
      </c>
      <c r="E31" s="51">
        <v>7.53</v>
      </c>
      <c r="F31" s="51">
        <v>0.16</v>
      </c>
      <c r="G31" s="59" t="s">
        <v>15</v>
      </c>
      <c r="H31" s="51">
        <v>125.29</v>
      </c>
      <c r="I31" s="51">
        <v>1.85</v>
      </c>
      <c r="J31" s="51">
        <v>0.18</v>
      </c>
      <c r="K31" s="51">
        <v>331.56</v>
      </c>
      <c r="L31" s="51">
        <v>17.420000000000002</v>
      </c>
      <c r="M31" s="51">
        <v>76</v>
      </c>
      <c r="N31" s="53" t="s">
        <v>8</v>
      </c>
      <c r="O31" s="51">
        <v>0</v>
      </c>
      <c r="P31" s="51">
        <v>5.37</v>
      </c>
      <c r="Q31" s="51">
        <v>55.23</v>
      </c>
      <c r="R31" s="43"/>
      <c r="S31" s="43"/>
      <c r="T31" s="43"/>
      <c r="U31" s="43"/>
    </row>
    <row r="32" spans="1:21" s="11" customFormat="1" ht="15">
      <c r="A32" s="50" t="s">
        <v>300</v>
      </c>
      <c r="B32" s="51">
        <v>241.39</v>
      </c>
      <c r="C32" s="51">
        <v>260.86</v>
      </c>
      <c r="D32" s="51">
        <v>337.16</v>
      </c>
      <c r="E32" s="51">
        <v>8.1300000000000008</v>
      </c>
      <c r="F32" s="51">
        <v>0.09</v>
      </c>
      <c r="G32" s="51">
        <v>241.31</v>
      </c>
      <c r="H32" s="51">
        <v>128.69999999999999</v>
      </c>
      <c r="I32" s="51">
        <v>2</v>
      </c>
      <c r="J32" s="51">
        <v>0.12</v>
      </c>
      <c r="K32" s="51">
        <v>358.38</v>
      </c>
      <c r="L32" s="51">
        <v>16.73</v>
      </c>
      <c r="M32" s="51">
        <v>75</v>
      </c>
      <c r="N32" s="53" t="s">
        <v>8</v>
      </c>
      <c r="O32" s="51">
        <v>0</v>
      </c>
      <c r="P32" s="51">
        <v>5.58</v>
      </c>
      <c r="Q32" s="51">
        <v>55.76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2.3799999999999999</v>
      </c>
      <c r="C34" s="28">
        <f t="shared" si="0"/>
        <v>97.489999999999995</v>
      </c>
      <c r="D34" s="28">
        <f t="shared" si="0"/>
        <v>55.829999999999998</v>
      </c>
      <c r="E34" s="28">
        <f t="shared" si="0"/>
        <v>4.5499999999999998</v>
      </c>
      <c r="F34" s="28">
        <f t="shared" si="0"/>
        <v>0.02</v>
      </c>
      <c r="G34" s="28">
        <f t="shared" si="0"/>
        <v>80.950000000000003</v>
      </c>
      <c r="H34" s="28">
        <f t="shared" si="0"/>
        <v>35.509999999999998</v>
      </c>
      <c r="I34" s="28">
        <f t="shared" si="0"/>
        <v>0.19</v>
      </c>
      <c r="J34" s="28">
        <f t="shared" si="0"/>
        <v>0.080000000000000002</v>
      </c>
      <c r="K34" s="28">
        <f t="shared" si="0"/>
        <v>100.59999999999999</v>
      </c>
      <c r="L34" s="28">
        <f t="shared" si="0"/>
        <v>12.300000000000001</v>
      </c>
      <c r="M34" s="28">
        <f t="shared" si="0"/>
        <v>17</v>
      </c>
      <c r="N34" s="28">
        <f t="shared" si="0"/>
        <v>0.40000000000000002</v>
      </c>
      <c r="O34" s="28">
        <f t="shared" si="0"/>
        <v>0</v>
      </c>
      <c r="P34" s="28">
        <f t="shared" si="0"/>
        <v>1.05</v>
      </c>
      <c r="Q34" s="28">
        <f t="shared" si="0"/>
        <v>25.609999999999999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241.38999999999999</v>
      </c>
      <c r="C35" s="29">
        <f t="shared" si="1"/>
        <v>260.86000000000001</v>
      </c>
      <c r="D35" s="29">
        <f t="shared" si="1"/>
        <v>337.16000000000003</v>
      </c>
      <c r="E35" s="29">
        <f t="shared" si="1"/>
        <v>49.159999999999997</v>
      </c>
      <c r="F35" s="29">
        <f t="shared" si="1"/>
        <v>34.700000000000003</v>
      </c>
      <c r="G35" s="29">
        <f t="shared" si="1"/>
        <v>241.31</v>
      </c>
      <c r="H35" s="29">
        <f t="shared" si="1"/>
        <v>128.69999999999999</v>
      </c>
      <c r="I35" s="29">
        <f t="shared" si="1"/>
        <v>2</v>
      </c>
      <c r="J35" s="29">
        <f t="shared" si="1"/>
        <v>0.85999999999999999</v>
      </c>
      <c r="K35" s="29">
        <f t="shared" si="1"/>
        <v>358.38</v>
      </c>
      <c r="L35" s="29">
        <f t="shared" si="1"/>
        <v>32.420000000000002</v>
      </c>
      <c r="M35" s="29">
        <f t="shared" si="1"/>
        <v>89</v>
      </c>
      <c r="N35" s="29">
        <f t="shared" si="1"/>
        <v>602.20000000000005</v>
      </c>
      <c r="O35" s="29">
        <f t="shared" si="1"/>
        <v>0</v>
      </c>
      <c r="P35" s="29">
        <f t="shared" si="1"/>
        <v>5.5800000000000001</v>
      </c>
      <c r="Q35" s="29">
        <f t="shared" si="1"/>
        <v>55.759999999999998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103.81500000000001</v>
      </c>
      <c r="C36" s="28">
        <f t="shared" si="2"/>
        <v>162.54791666666668</v>
      </c>
      <c r="D36" s="28">
        <f t="shared" si="2"/>
        <v>172.68958333333333</v>
      </c>
      <c r="E36" s="28">
        <f t="shared" si="2"/>
        <v>11.117083333333333</v>
      </c>
      <c r="F36" s="28">
        <f t="shared" si="2"/>
        <v>4.0062500000000005</v>
      </c>
      <c r="G36" s="28">
        <f t="shared" si="2"/>
        <v>145.98399999999998</v>
      </c>
      <c r="H36" s="28">
        <f t="shared" si="2"/>
        <v>73.476086956521755</v>
      </c>
      <c r="I36" s="28">
        <f t="shared" si="2"/>
        <v>0.83875</v>
      </c>
      <c r="J36" s="28">
        <f t="shared" si="2"/>
        <v>0.31291666666666662</v>
      </c>
      <c r="K36" s="28">
        <f t="shared" si="2"/>
        <v>256.47666666666663</v>
      </c>
      <c r="L36" s="28">
        <f t="shared" si="2"/>
        <v>21.058333333333334</v>
      </c>
      <c r="M36" s="28">
        <f t="shared" si="2"/>
        <v>58.25</v>
      </c>
      <c r="N36" s="28">
        <f t="shared" si="2"/>
        <v>359.74000000000001</v>
      </c>
      <c r="O36" s="28">
        <f t="shared" si="2"/>
        <v>0</v>
      </c>
      <c r="P36" s="28">
        <f t="shared" si="2"/>
        <v>2.6062500000000002</v>
      </c>
      <c r="Q36" s="28">
        <f t="shared" si="2"/>
        <v>41.459166666666668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82.247238938723513</v>
      </c>
      <c r="C37" s="28">
        <f t="shared" si="3" ref="C37:Q37">STDEV(C9:C32)</f>
        <v>49.3457411914329</v>
      </c>
      <c r="D37" s="28">
        <f t="shared" si="3"/>
        <v>90.595234661085229</v>
      </c>
      <c r="E37" s="28">
        <f t="shared" si="3"/>
        <v>10.611316141441794</v>
      </c>
      <c r="F37" s="28">
        <f t="shared" si="3"/>
        <v>8.1239708712791003</v>
      </c>
      <c r="G37" s="28">
        <f t="shared" si="3"/>
        <v>53.269370423003629</v>
      </c>
      <c r="H37" s="28">
        <f t="shared" si="3"/>
        <v>29.122591939331581</v>
      </c>
      <c r="I37" s="28">
        <f t="shared" si="3"/>
        <v>0.57167421932730045</v>
      </c>
      <c r="J37" s="28">
        <f t="shared" si="3"/>
        <v>0.25324810255809505</v>
      </c>
      <c r="K37" s="28">
        <f t="shared" si="3"/>
        <v>88.833597231573563</v>
      </c>
      <c r="L37" s="28">
        <f t="shared" si="3"/>
        <v>6.84774965680836</v>
      </c>
      <c r="M37" s="28">
        <f t="shared" si="3"/>
        <v>25.526201372741287</v>
      </c>
      <c r="N37" s="28">
        <f t="shared" si="3"/>
        <v>224.37831743137164</v>
      </c>
      <c r="O37" s="28">
        <f t="shared" si="3"/>
        <v>0</v>
      </c>
      <c r="P37" s="28">
        <f t="shared" si="3"/>
        <v>1.3647831887057782</v>
      </c>
      <c r="Q37" s="28">
        <f t="shared" si="3"/>
        <v>9.0820898364363778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21</v>
      </c>
      <c r="H38" s="32">
        <f>COUNT(H9:H32)+1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10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&lt;90%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LESS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e40427d-cc91-452f-b1d3-d26174c4c60a}">
  <sheetPr codeName=""/>
  <dimension ref="A1:U119"/>
  <sheetViews>
    <sheetView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4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5.5" customHeight="1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11-01-2023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301</v>
      </c>
      <c r="B9" s="51">
        <v>244.01</v>
      </c>
      <c r="C9" s="51">
        <v>258.12</v>
      </c>
      <c r="D9" s="51">
        <v>337.51</v>
      </c>
      <c r="E9" s="51">
        <v>7.24</v>
      </c>
      <c r="F9" s="51">
        <v>0.21</v>
      </c>
      <c r="G9" s="51">
        <v>241.31</v>
      </c>
      <c r="H9" s="51">
        <v>128.69999999999999</v>
      </c>
      <c r="I9" s="51">
        <v>2.02</v>
      </c>
      <c r="J9" s="51">
        <v>0.10</v>
      </c>
      <c r="K9" s="51">
        <v>347.53</v>
      </c>
      <c r="L9" s="51">
        <v>15.96</v>
      </c>
      <c r="M9" s="51">
        <v>79</v>
      </c>
      <c r="N9" s="53" t="s">
        <v>8</v>
      </c>
      <c r="O9" s="51">
        <v>0</v>
      </c>
      <c r="P9" s="51">
        <v>5.59</v>
      </c>
      <c r="Q9" s="51">
        <v>57.73</v>
      </c>
      <c r="R9" s="43"/>
      <c r="S9" s="43"/>
      <c r="T9" s="43"/>
      <c r="U9" s="43"/>
    </row>
    <row r="10" spans="1:21" s="11" customFormat="1" ht="15">
      <c r="A10" s="50" t="s">
        <v>302</v>
      </c>
      <c r="B10" s="51">
        <v>243.40</v>
      </c>
      <c r="C10" s="51">
        <v>250.58</v>
      </c>
      <c r="D10" s="51">
        <v>333.48</v>
      </c>
      <c r="E10" s="51">
        <v>7.08</v>
      </c>
      <c r="F10" s="51">
        <v>0.48</v>
      </c>
      <c r="G10" s="51">
        <v>207.56</v>
      </c>
      <c r="H10" s="51">
        <v>118.13</v>
      </c>
      <c r="I10" s="51">
        <v>2.0299999999999998</v>
      </c>
      <c r="J10" s="51">
        <v>0.15</v>
      </c>
      <c r="K10" s="51">
        <v>295.42</v>
      </c>
      <c r="L10" s="51">
        <v>15.88</v>
      </c>
      <c r="M10" s="51">
        <v>80</v>
      </c>
      <c r="N10" s="53" t="s">
        <v>8</v>
      </c>
      <c r="O10" s="51">
        <v>0</v>
      </c>
      <c r="P10" s="51">
        <v>5.41</v>
      </c>
      <c r="Q10" s="51">
        <v>58.54</v>
      </c>
      <c r="R10" s="43"/>
      <c r="S10" s="43"/>
      <c r="T10" s="43"/>
      <c r="U10" s="43"/>
    </row>
    <row r="11" spans="1:21" s="11" customFormat="1" ht="15">
      <c r="A11" s="50" t="s">
        <v>303</v>
      </c>
      <c r="B11" s="51">
        <v>218.87</v>
      </c>
      <c r="C11" s="51">
        <v>227.48</v>
      </c>
      <c r="D11" s="51">
        <v>301.06</v>
      </c>
      <c r="E11" s="51">
        <v>6.88</v>
      </c>
      <c r="F11" s="51">
        <v>0.56000000000000005</v>
      </c>
      <c r="G11" s="51">
        <v>186.91</v>
      </c>
      <c r="H11" s="51">
        <v>113.25</v>
      </c>
      <c r="I11" s="51">
        <v>2.04</v>
      </c>
      <c r="J11" s="51">
        <v>0.13</v>
      </c>
      <c r="K11" s="51">
        <v>330.67</v>
      </c>
      <c r="L11" s="51">
        <v>15.32</v>
      </c>
      <c r="M11" s="51">
        <v>78</v>
      </c>
      <c r="N11" s="53" t="s">
        <v>8</v>
      </c>
      <c r="O11" s="51">
        <v>0</v>
      </c>
      <c r="P11" s="51">
        <v>5.33</v>
      </c>
      <c r="Q11" s="51">
        <v>56.22</v>
      </c>
      <c r="R11" s="43"/>
      <c r="S11" s="43"/>
      <c r="T11" s="43"/>
      <c r="U11" s="43"/>
    </row>
    <row r="12" spans="1:21" s="11" customFormat="1" ht="15">
      <c r="A12" s="50" t="s">
        <v>304</v>
      </c>
      <c r="B12" s="51">
        <v>189.72</v>
      </c>
      <c r="C12" s="51">
        <v>198.78</v>
      </c>
      <c r="D12" s="51">
        <v>261.85000000000002</v>
      </c>
      <c r="E12" s="51">
        <v>6.60</v>
      </c>
      <c r="F12" s="51">
        <v>0.5</v>
      </c>
      <c r="G12" s="51">
        <v>164.23</v>
      </c>
      <c r="H12" s="51">
        <v>104.29</v>
      </c>
      <c r="I12" s="51">
        <v>2.0099999999999998</v>
      </c>
      <c r="J12" s="51">
        <v>0.16</v>
      </c>
      <c r="K12" s="51">
        <v>320.89</v>
      </c>
      <c r="L12" s="51">
        <v>14.41</v>
      </c>
      <c r="M12" s="51">
        <v>83</v>
      </c>
      <c r="N12" s="53" t="s">
        <v>8</v>
      </c>
      <c r="O12" s="51">
        <v>0</v>
      </c>
      <c r="P12" s="51">
        <v>5.21</v>
      </c>
      <c r="Q12" s="51">
        <v>51.18</v>
      </c>
      <c r="R12" s="43"/>
      <c r="S12" s="43"/>
      <c r="T12" s="43"/>
      <c r="U12" s="43"/>
    </row>
    <row r="13" spans="1:21" s="11" customFormat="1" ht="15">
      <c r="A13" s="50" t="s">
        <v>305</v>
      </c>
      <c r="B13" s="51">
        <v>151.78</v>
      </c>
      <c r="C13" s="51">
        <v>168.04</v>
      </c>
      <c r="D13" s="51">
        <v>214.45</v>
      </c>
      <c r="E13" s="51">
        <v>6.17</v>
      </c>
      <c r="F13" s="60" t="s">
        <v>18</v>
      </c>
      <c r="G13" s="51">
        <v>137.41</v>
      </c>
      <c r="H13" s="51">
        <v>96.47</v>
      </c>
      <c r="I13" s="51">
        <v>1.84</v>
      </c>
      <c r="J13" s="51">
        <v>0.13</v>
      </c>
      <c r="K13" s="51">
        <v>297.62</v>
      </c>
      <c r="L13" s="51">
        <v>13.69</v>
      </c>
      <c r="M13" s="51">
        <v>85</v>
      </c>
      <c r="N13" s="53" t="s">
        <v>8</v>
      </c>
      <c r="O13" s="51">
        <v>0</v>
      </c>
      <c r="P13" s="51">
        <v>4.3899999999999997</v>
      </c>
      <c r="Q13" s="51">
        <v>48.30</v>
      </c>
      <c r="R13" s="43"/>
      <c r="S13" s="43"/>
      <c r="T13" s="43"/>
      <c r="U13" s="43"/>
    </row>
    <row r="14" spans="1:21" s="11" customFormat="1" ht="15">
      <c r="A14" s="50" t="s">
        <v>306</v>
      </c>
      <c r="B14" s="51">
        <v>141.54</v>
      </c>
      <c r="C14" s="51">
        <v>163.62</v>
      </c>
      <c r="D14" s="51">
        <v>203.80</v>
      </c>
      <c r="E14" s="51">
        <v>6.01</v>
      </c>
      <c r="F14" s="51">
        <v>0.10</v>
      </c>
      <c r="G14" s="51">
        <v>162.47</v>
      </c>
      <c r="H14" s="51">
        <v>81.849999999999994</v>
      </c>
      <c r="I14" s="51">
        <v>1.39</v>
      </c>
      <c r="J14" s="51">
        <v>0.22</v>
      </c>
      <c r="K14" s="51">
        <v>346.22</v>
      </c>
      <c r="L14" s="51">
        <v>13.84</v>
      </c>
      <c r="M14" s="51">
        <v>84</v>
      </c>
      <c r="N14" s="53" t="s">
        <v>8</v>
      </c>
      <c r="O14" s="51">
        <v>0</v>
      </c>
      <c r="P14" s="51">
        <v>3.64</v>
      </c>
      <c r="Q14" s="51">
        <v>47.65</v>
      </c>
      <c r="R14" s="43"/>
      <c r="S14" s="43"/>
      <c r="T14" s="43"/>
      <c r="U14" s="43"/>
    </row>
    <row r="15" spans="1:21" s="11" customFormat="1" ht="15">
      <c r="A15" s="50" t="s">
        <v>307</v>
      </c>
      <c r="B15" s="51">
        <v>157.16</v>
      </c>
      <c r="C15" s="51">
        <v>171.45</v>
      </c>
      <c r="D15" s="51">
        <v>220.65</v>
      </c>
      <c r="E15" s="51">
        <v>5.5</v>
      </c>
      <c r="F15" s="51">
        <v>0.02</v>
      </c>
      <c r="G15" s="51">
        <v>164.11</v>
      </c>
      <c r="H15" s="51">
        <v>75.510000000000005</v>
      </c>
      <c r="I15" s="51">
        <v>1.08</v>
      </c>
      <c r="J15" s="51">
        <v>0.16</v>
      </c>
      <c r="K15" s="51">
        <v>334.59</v>
      </c>
      <c r="L15" s="51">
        <v>12.94</v>
      </c>
      <c r="M15" s="51">
        <v>87</v>
      </c>
      <c r="N15" s="53" t="s">
        <v>8</v>
      </c>
      <c r="O15" s="51">
        <v>0</v>
      </c>
      <c r="P15" s="51">
        <v>3.18</v>
      </c>
      <c r="Q15" s="51">
        <v>45.06</v>
      </c>
      <c r="R15" s="43"/>
      <c r="S15" s="43"/>
      <c r="T15" s="43"/>
      <c r="U15" s="43"/>
    </row>
    <row r="16" spans="1:21" s="11" customFormat="1" ht="15">
      <c r="A16" s="50" t="s">
        <v>308</v>
      </c>
      <c r="B16" s="51">
        <v>175.91</v>
      </c>
      <c r="C16" s="51">
        <v>186.27</v>
      </c>
      <c r="D16" s="51">
        <v>243.69</v>
      </c>
      <c r="E16" s="51">
        <v>5.94</v>
      </c>
      <c r="F16" s="51">
        <v>0.40</v>
      </c>
      <c r="G16" s="51">
        <v>191.57</v>
      </c>
      <c r="H16" s="51">
        <v>81.86</v>
      </c>
      <c r="I16" s="51">
        <v>0.93</v>
      </c>
      <c r="J16" s="51">
        <v>0.42</v>
      </c>
      <c r="K16" s="51">
        <v>347.57</v>
      </c>
      <c r="L16" s="51">
        <v>17.170000000000002</v>
      </c>
      <c r="M16" s="51">
        <v>79</v>
      </c>
      <c r="N16" s="51">
        <v>69.599999999999994</v>
      </c>
      <c r="O16" s="51">
        <v>0</v>
      </c>
      <c r="P16" s="51">
        <v>3.12</v>
      </c>
      <c r="Q16" s="51">
        <v>45.90</v>
      </c>
      <c r="R16" s="43"/>
      <c r="S16" s="43"/>
      <c r="T16" s="43"/>
      <c r="U16" s="43"/>
    </row>
    <row r="17" spans="1:21" s="11" customFormat="1" ht="15">
      <c r="A17" s="50" t="s">
        <v>309</v>
      </c>
      <c r="B17" s="51">
        <v>168.86</v>
      </c>
      <c r="C17" s="51">
        <v>194.61</v>
      </c>
      <c r="D17" s="51">
        <v>239.84</v>
      </c>
      <c r="E17" s="51">
        <v>6.69</v>
      </c>
      <c r="F17" s="51">
        <v>0.41</v>
      </c>
      <c r="G17" s="51">
        <v>191.57</v>
      </c>
      <c r="H17" s="51">
        <v>81.86</v>
      </c>
      <c r="I17" s="51">
        <v>0.87</v>
      </c>
      <c r="J17" s="51">
        <v>1.57</v>
      </c>
      <c r="K17" s="51">
        <v>115.97</v>
      </c>
      <c r="L17" s="51">
        <v>20.47</v>
      </c>
      <c r="M17" s="51">
        <v>44</v>
      </c>
      <c r="N17" s="51">
        <v>296.20</v>
      </c>
      <c r="O17" s="51">
        <v>0</v>
      </c>
      <c r="P17" s="51">
        <v>2.92</v>
      </c>
      <c r="Q17" s="51">
        <v>47.71</v>
      </c>
      <c r="R17" s="43"/>
      <c r="S17" s="43"/>
      <c r="T17" s="43"/>
      <c r="U17" s="43"/>
    </row>
    <row r="18" spans="1:21" s="11" customFormat="1" ht="15">
      <c r="A18" s="50" t="s">
        <v>310</v>
      </c>
      <c r="B18" s="51">
        <v>121.16</v>
      </c>
      <c r="C18" s="51">
        <v>163.80000000000001</v>
      </c>
      <c r="D18" s="51">
        <v>187.56</v>
      </c>
      <c r="E18" s="51">
        <v>6.04</v>
      </c>
      <c r="F18" s="51">
        <v>0.28000000000000003</v>
      </c>
      <c r="G18" s="59" t="s">
        <v>15</v>
      </c>
      <c r="H18" s="51">
        <v>64.819999999999993</v>
      </c>
      <c r="I18" s="51">
        <v>0.74</v>
      </c>
      <c r="J18" s="51">
        <v>2.08</v>
      </c>
      <c r="K18" s="51">
        <v>119.74</v>
      </c>
      <c r="L18" s="51">
        <v>22.81</v>
      </c>
      <c r="M18" s="51">
        <v>43</v>
      </c>
      <c r="N18" s="51">
        <v>448.40</v>
      </c>
      <c r="O18" s="51">
        <v>0</v>
      </c>
      <c r="P18" s="51">
        <v>2.37</v>
      </c>
      <c r="Q18" s="51">
        <v>44.12</v>
      </c>
      <c r="R18" s="43"/>
      <c r="S18" s="43"/>
      <c r="T18" s="43"/>
      <c r="U18" s="43"/>
    </row>
    <row r="19" spans="1:21" s="11" customFormat="1" ht="15">
      <c r="A19" s="50" t="s">
        <v>311</v>
      </c>
      <c r="B19" s="51">
        <v>68.63</v>
      </c>
      <c r="C19" s="51">
        <v>138.63999999999999</v>
      </c>
      <c r="D19" s="51">
        <v>131.54</v>
      </c>
      <c r="E19" s="51">
        <v>13.21</v>
      </c>
      <c r="F19" s="51">
        <v>3.82</v>
      </c>
      <c r="G19" s="59" t="s">
        <v>15</v>
      </c>
      <c r="H19" s="51">
        <v>54.33</v>
      </c>
      <c r="I19" s="51">
        <v>0.56999999999999995</v>
      </c>
      <c r="J19" s="51">
        <v>1.29</v>
      </c>
      <c r="K19" s="51">
        <v>116.28</v>
      </c>
      <c r="L19" s="51">
        <v>28.12</v>
      </c>
      <c r="M19" s="51">
        <v>35</v>
      </c>
      <c r="N19" s="51">
        <v>539</v>
      </c>
      <c r="O19" s="51">
        <v>0</v>
      </c>
      <c r="P19" s="51">
        <v>1.76</v>
      </c>
      <c r="Q19" s="51">
        <v>38.64</v>
      </c>
      <c r="R19" s="43"/>
      <c r="S19" s="43"/>
      <c r="T19" s="43"/>
      <c r="U19" s="43"/>
    </row>
    <row r="20" spans="1:21" s="11" customFormat="1" ht="15">
      <c r="A20" s="50" t="s">
        <v>312</v>
      </c>
      <c r="B20" s="51">
        <v>3.91</v>
      </c>
      <c r="C20" s="51">
        <v>95.01</v>
      </c>
      <c r="D20" s="51">
        <v>55.57</v>
      </c>
      <c r="E20" s="51">
        <v>6.29</v>
      </c>
      <c r="F20" s="51">
        <v>16.36</v>
      </c>
      <c r="G20" s="51">
        <v>51.51</v>
      </c>
      <c r="H20" s="51">
        <v>39.94</v>
      </c>
      <c r="I20" s="51">
        <v>0.21</v>
      </c>
      <c r="J20" s="51">
        <v>1.1299999999999999</v>
      </c>
      <c r="K20" s="51">
        <v>130.82</v>
      </c>
      <c r="L20" s="51">
        <v>26.47</v>
      </c>
      <c r="M20" s="51">
        <v>32</v>
      </c>
      <c r="N20" s="51">
        <v>572.79999999999995</v>
      </c>
      <c r="O20" s="51">
        <v>0</v>
      </c>
      <c r="P20" s="51">
        <v>0.47</v>
      </c>
      <c r="Q20" s="51">
        <v>24.25</v>
      </c>
      <c r="R20" s="43"/>
      <c r="S20" s="43"/>
      <c r="T20" s="43"/>
      <c r="U20" s="43"/>
    </row>
    <row r="21" spans="1:21" s="11" customFormat="1" ht="15">
      <c r="A21" s="50" t="s">
        <v>313</v>
      </c>
      <c r="B21" s="51">
        <v>1.73</v>
      </c>
      <c r="C21" s="51">
        <v>72.81</v>
      </c>
      <c r="D21" s="51">
        <v>41.14</v>
      </c>
      <c r="E21" s="51">
        <v>6.56</v>
      </c>
      <c r="F21" s="51">
        <v>9.0299999999999994</v>
      </c>
      <c r="G21" s="51">
        <v>51.51</v>
      </c>
      <c r="H21" s="51">
        <v>34.53</v>
      </c>
      <c r="I21" s="51">
        <v>0.11</v>
      </c>
      <c r="J21" s="51">
        <v>0.60</v>
      </c>
      <c r="K21" s="51">
        <v>77.680000000000007</v>
      </c>
      <c r="L21" s="51">
        <v>30.65</v>
      </c>
      <c r="M21" s="51">
        <v>24</v>
      </c>
      <c r="N21" s="51">
        <v>567</v>
      </c>
      <c r="O21" s="51">
        <v>0</v>
      </c>
      <c r="P21" s="51">
        <v>0.62</v>
      </c>
      <c r="Q21" s="51">
        <v>20.86</v>
      </c>
      <c r="R21" s="43"/>
      <c r="S21" s="43"/>
      <c r="T21" s="43"/>
      <c r="U21" s="43"/>
    </row>
    <row r="22" spans="1:21" s="11" customFormat="1" ht="15">
      <c r="A22" s="50" t="s">
        <v>314</v>
      </c>
      <c r="B22" s="51">
        <v>3</v>
      </c>
      <c r="C22" s="51">
        <v>75.87</v>
      </c>
      <c r="D22" s="51">
        <v>43.13</v>
      </c>
      <c r="E22" s="51">
        <v>9.6199999999999992</v>
      </c>
      <c r="F22" s="51">
        <v>21.89</v>
      </c>
      <c r="G22" s="51">
        <v>50.93</v>
      </c>
      <c r="H22" s="51">
        <v>31.16</v>
      </c>
      <c r="I22" s="51">
        <v>0.47</v>
      </c>
      <c r="J22" s="51">
        <v>0.87</v>
      </c>
      <c r="K22" s="51">
        <v>136.75</v>
      </c>
      <c r="L22" s="51">
        <v>31.65</v>
      </c>
      <c r="M22" s="51">
        <v>24</v>
      </c>
      <c r="N22" s="51">
        <v>504.40</v>
      </c>
      <c r="O22" s="51">
        <v>0</v>
      </c>
      <c r="P22" s="51">
        <v>0.73</v>
      </c>
      <c r="Q22" s="51">
        <v>22.06</v>
      </c>
      <c r="R22" s="43"/>
      <c r="S22" s="43"/>
      <c r="T22" s="43"/>
      <c r="U22" s="43"/>
    </row>
    <row r="23" spans="1:21" s="11" customFormat="1" ht="15">
      <c r="A23" s="50" t="s">
        <v>315</v>
      </c>
      <c r="B23" s="51">
        <v>3.12</v>
      </c>
      <c r="C23" s="51">
        <v>77.180000000000007</v>
      </c>
      <c r="D23" s="51">
        <v>45.09</v>
      </c>
      <c r="E23" s="51">
        <v>10.96</v>
      </c>
      <c r="F23" s="51">
        <v>26.53</v>
      </c>
      <c r="G23" s="51">
        <v>50.93</v>
      </c>
      <c r="H23" s="51">
        <v>26.99</v>
      </c>
      <c r="I23" s="51">
        <v>0.33</v>
      </c>
      <c r="J23" s="51">
        <v>0.39</v>
      </c>
      <c r="K23" s="51">
        <v>349.04</v>
      </c>
      <c r="L23" s="51">
        <v>31.81</v>
      </c>
      <c r="M23" s="51">
        <v>20</v>
      </c>
      <c r="N23" s="51">
        <v>408.40</v>
      </c>
      <c r="O23" s="51">
        <v>0</v>
      </c>
      <c r="P23" s="51">
        <v>0.75</v>
      </c>
      <c r="Q23" s="51">
        <v>22.06</v>
      </c>
      <c r="R23" s="43"/>
      <c r="S23" s="43"/>
      <c r="T23" s="43"/>
      <c r="U23" s="43"/>
    </row>
    <row r="24" spans="1:21" s="11" customFormat="1" ht="15">
      <c r="A24" s="50" t="s">
        <v>316</v>
      </c>
      <c r="B24" s="51">
        <v>2.34</v>
      </c>
      <c r="C24" s="51">
        <v>77.02</v>
      </c>
      <c r="D24" s="51">
        <v>43.71</v>
      </c>
      <c r="E24" s="51">
        <v>7.67</v>
      </c>
      <c r="F24" s="51">
        <v>11.49</v>
      </c>
      <c r="G24" s="51">
        <v>47.37</v>
      </c>
      <c r="H24" s="51">
        <v>26.99</v>
      </c>
      <c r="I24" s="51">
        <v>0.20</v>
      </c>
      <c r="J24" s="51">
        <v>0.36</v>
      </c>
      <c r="K24" s="51">
        <v>340.68</v>
      </c>
      <c r="L24" s="51">
        <v>31.07</v>
      </c>
      <c r="M24" s="51">
        <v>23</v>
      </c>
      <c r="N24" s="51">
        <v>261.80</v>
      </c>
      <c r="O24" s="51">
        <v>0</v>
      </c>
      <c r="P24" s="51">
        <v>0.76</v>
      </c>
      <c r="Q24" s="51">
        <v>25.12</v>
      </c>
      <c r="R24" s="43"/>
      <c r="S24" s="43"/>
      <c r="T24" s="43"/>
      <c r="U24" s="43"/>
    </row>
    <row r="25" spans="1:21" s="11" customFormat="1" ht="15">
      <c r="A25" s="50" t="s">
        <v>317</v>
      </c>
      <c r="B25" s="51">
        <v>7.63</v>
      </c>
      <c r="C25" s="51">
        <v>97.77</v>
      </c>
      <c r="D25" s="51">
        <v>60.49</v>
      </c>
      <c r="E25" s="51">
        <v>17.38</v>
      </c>
      <c r="F25" s="51">
        <v>12.09</v>
      </c>
      <c r="G25" s="51">
        <v>52.84</v>
      </c>
      <c r="H25" s="51">
        <v>27.64</v>
      </c>
      <c r="I25" s="51">
        <v>0.19</v>
      </c>
      <c r="J25" s="51">
        <v>0.11</v>
      </c>
      <c r="K25" s="51">
        <v>342.02</v>
      </c>
      <c r="L25" s="51">
        <v>27.94</v>
      </c>
      <c r="M25" s="51">
        <v>28</v>
      </c>
      <c r="N25" s="51">
        <v>3.90</v>
      </c>
      <c r="O25" s="51">
        <v>0</v>
      </c>
      <c r="P25" s="51">
        <v>1.1599999999999999</v>
      </c>
      <c r="Q25" s="51">
        <v>27.53</v>
      </c>
      <c r="R25" s="43"/>
      <c r="S25" s="43"/>
      <c r="T25" s="43"/>
      <c r="U25" s="43"/>
    </row>
    <row r="26" spans="1:21" s="11" customFormat="1" ht="15">
      <c r="A26" s="50" t="s">
        <v>318</v>
      </c>
      <c r="B26" s="51">
        <v>23.64</v>
      </c>
      <c r="C26" s="51">
        <v>142.66999999999999</v>
      </c>
      <c r="D26" s="51">
        <v>96.55</v>
      </c>
      <c r="E26" s="51">
        <v>16.64</v>
      </c>
      <c r="F26" s="51">
        <v>4.95</v>
      </c>
      <c r="G26" s="51">
        <v>91.21</v>
      </c>
      <c r="H26" s="51">
        <v>33.28</v>
      </c>
      <c r="I26" s="51">
        <v>0.27</v>
      </c>
      <c r="J26" s="51">
        <v>0.070000000000000007</v>
      </c>
      <c r="K26" s="51">
        <v>307.45</v>
      </c>
      <c r="L26" s="51">
        <v>25.42</v>
      </c>
      <c r="M26" s="51">
        <v>44</v>
      </c>
      <c r="N26" s="53" t="s">
        <v>8</v>
      </c>
      <c r="O26" s="51">
        <v>0</v>
      </c>
      <c r="P26" s="51">
        <v>1.72</v>
      </c>
      <c r="Q26" s="51">
        <v>28.61</v>
      </c>
      <c r="R26" s="43"/>
      <c r="S26" s="43"/>
      <c r="T26" s="43"/>
      <c r="U26" s="43"/>
    </row>
    <row r="27" spans="1:21" s="11" customFormat="1" ht="15">
      <c r="A27" s="50" t="s">
        <v>319</v>
      </c>
      <c r="B27" s="51">
        <v>42.36</v>
      </c>
      <c r="C27" s="51">
        <v>143.90</v>
      </c>
      <c r="D27" s="51">
        <v>113.80</v>
      </c>
      <c r="E27" s="51">
        <v>5.09</v>
      </c>
      <c r="F27" s="51">
        <v>0.20</v>
      </c>
      <c r="G27" s="51">
        <v>187.96</v>
      </c>
      <c r="H27" s="51">
        <v>46.55</v>
      </c>
      <c r="I27" s="51">
        <v>0.38</v>
      </c>
      <c r="J27" s="51">
        <v>0.070000000000000007</v>
      </c>
      <c r="K27" s="51">
        <v>289.5</v>
      </c>
      <c r="L27" s="51">
        <v>21.86</v>
      </c>
      <c r="M27" s="51">
        <v>53</v>
      </c>
      <c r="N27" s="53" t="s">
        <v>8</v>
      </c>
      <c r="O27" s="51">
        <v>0</v>
      </c>
      <c r="P27" s="51">
        <v>1.92</v>
      </c>
      <c r="Q27" s="51">
        <v>35.659999999999997</v>
      </c>
      <c r="R27" s="43"/>
      <c r="S27" s="43"/>
      <c r="T27" s="43"/>
      <c r="U27" s="43"/>
    </row>
    <row r="28" spans="1:21" s="11" customFormat="1" ht="15">
      <c r="A28" s="50" t="s">
        <v>320</v>
      </c>
      <c r="B28" s="51">
        <v>82.85</v>
      </c>
      <c r="C28" s="51">
        <v>173.61</v>
      </c>
      <c r="D28" s="51">
        <v>162.66999999999999</v>
      </c>
      <c r="E28" s="51">
        <v>5.41</v>
      </c>
      <c r="F28" s="51">
        <v>0.23</v>
      </c>
      <c r="G28" s="51">
        <v>187.96</v>
      </c>
      <c r="H28" s="51">
        <v>59.73</v>
      </c>
      <c r="I28" s="51">
        <v>0.53</v>
      </c>
      <c r="J28" s="51">
        <v>0.15</v>
      </c>
      <c r="K28" s="51">
        <v>333</v>
      </c>
      <c r="L28" s="51">
        <v>20.11</v>
      </c>
      <c r="M28" s="51">
        <v>60</v>
      </c>
      <c r="N28" s="53" t="s">
        <v>8</v>
      </c>
      <c r="O28" s="51">
        <v>0</v>
      </c>
      <c r="P28" s="51">
        <v>2.56</v>
      </c>
      <c r="Q28" s="51">
        <v>40.14</v>
      </c>
      <c r="R28" s="43"/>
      <c r="S28" s="43"/>
      <c r="T28" s="43"/>
      <c r="U28" s="43"/>
    </row>
    <row r="29" spans="1:21" s="11" customFormat="1" ht="15">
      <c r="A29" s="50" t="s">
        <v>321</v>
      </c>
      <c r="B29" s="51">
        <v>122.14</v>
      </c>
      <c r="C29" s="51">
        <v>192.16</v>
      </c>
      <c r="D29" s="51">
        <v>204.41</v>
      </c>
      <c r="E29" s="51">
        <v>4.54</v>
      </c>
      <c r="F29" s="51">
        <v>0.10</v>
      </c>
      <c r="G29" s="51">
        <v>228.58</v>
      </c>
      <c r="H29" s="51">
        <v>77.09</v>
      </c>
      <c r="I29" s="51">
        <v>0.76</v>
      </c>
      <c r="J29" s="51">
        <v>0.10</v>
      </c>
      <c r="K29" s="51">
        <v>315.95999999999998</v>
      </c>
      <c r="L29" s="51">
        <v>19.11</v>
      </c>
      <c r="M29" s="51">
        <v>62</v>
      </c>
      <c r="N29" s="53" t="s">
        <v>8</v>
      </c>
      <c r="O29" s="51">
        <v>0</v>
      </c>
      <c r="P29" s="51">
        <v>3.26</v>
      </c>
      <c r="Q29" s="51">
        <v>41.94</v>
      </c>
      <c r="R29" s="43"/>
      <c r="S29" s="43"/>
      <c r="T29" s="43"/>
      <c r="U29" s="43"/>
    </row>
    <row r="30" spans="1:21" s="11" customFormat="1" ht="15">
      <c r="A30" s="50" t="s">
        <v>322</v>
      </c>
      <c r="B30" s="51">
        <v>157.33000000000001</v>
      </c>
      <c r="C30" s="51">
        <v>204.11</v>
      </c>
      <c r="D30" s="51">
        <v>239.23</v>
      </c>
      <c r="E30" s="51">
        <v>5.09</v>
      </c>
      <c r="F30" s="51">
        <v>1.04</v>
      </c>
      <c r="G30" s="51">
        <v>228.58</v>
      </c>
      <c r="H30" s="51">
        <v>88.62</v>
      </c>
      <c r="I30" s="51">
        <v>0.96</v>
      </c>
      <c r="J30" s="51">
        <v>0.08</v>
      </c>
      <c r="K30" s="51">
        <v>318.92</v>
      </c>
      <c r="L30" s="51">
        <v>18.149999999999999</v>
      </c>
      <c r="M30" s="51">
        <v>69</v>
      </c>
      <c r="N30" s="53" t="s">
        <v>8</v>
      </c>
      <c r="O30" s="51">
        <v>0</v>
      </c>
      <c r="P30" s="51">
        <v>3.80</v>
      </c>
      <c r="Q30" s="51">
        <v>45.66</v>
      </c>
      <c r="R30" s="43"/>
      <c r="S30" s="43"/>
      <c r="T30" s="43"/>
      <c r="U30" s="43"/>
    </row>
    <row r="31" spans="1:21" s="11" customFormat="1" ht="15">
      <c r="A31" s="50" t="s">
        <v>323</v>
      </c>
      <c r="B31" s="51">
        <v>201.40</v>
      </c>
      <c r="C31" s="51">
        <v>230.71</v>
      </c>
      <c r="D31" s="51">
        <v>289.24</v>
      </c>
      <c r="E31" s="51">
        <v>5.73</v>
      </c>
      <c r="F31" s="51">
        <v>0.17</v>
      </c>
      <c r="G31" s="51">
        <v>242.78</v>
      </c>
      <c r="H31" s="51">
        <v>96.91</v>
      </c>
      <c r="I31" s="51">
        <v>1.17</v>
      </c>
      <c r="J31" s="51">
        <v>0.14000000000000001</v>
      </c>
      <c r="K31" s="51">
        <v>318.82</v>
      </c>
      <c r="L31" s="51">
        <v>17.420000000000002</v>
      </c>
      <c r="M31" s="51">
        <v>71</v>
      </c>
      <c r="N31" s="53" t="s">
        <v>8</v>
      </c>
      <c r="O31" s="51">
        <v>0</v>
      </c>
      <c r="P31" s="51">
        <v>4.2300000000000004</v>
      </c>
      <c r="Q31" s="51">
        <v>52.45</v>
      </c>
      <c r="R31" s="43"/>
      <c r="S31" s="43"/>
      <c r="T31" s="43"/>
      <c r="U31" s="43"/>
    </row>
    <row r="32" spans="1:21" s="11" customFormat="1" ht="15">
      <c r="A32" s="57" t="s">
        <v>324</v>
      </c>
      <c r="B32" s="11">
        <v>203.97</v>
      </c>
      <c r="C32" s="11">
        <v>232</v>
      </c>
      <c r="D32" s="11">
        <v>292.02</v>
      </c>
      <c r="E32" s="11">
        <v>5.45</v>
      </c>
      <c r="F32" s="11">
        <v>0.11</v>
      </c>
      <c r="G32" s="11">
        <v>242.78</v>
      </c>
      <c r="H32" s="11">
        <v>96.91</v>
      </c>
      <c r="I32" s="11">
        <v>1.37</v>
      </c>
      <c r="J32" s="11">
        <v>0.14000000000000001</v>
      </c>
      <c r="K32" s="11">
        <v>319.24</v>
      </c>
      <c r="L32" s="11">
        <v>16.97</v>
      </c>
      <c r="M32" s="11">
        <v>74</v>
      </c>
      <c r="N32" s="8" t="s">
        <v>8</v>
      </c>
      <c r="O32" s="11">
        <v>0</v>
      </c>
      <c r="P32" s="11">
        <v>4.21</v>
      </c>
      <c r="Q32" s="11">
        <v>52.98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1.73</v>
      </c>
      <c r="C34" s="28">
        <f t="shared" si="0"/>
        <v>72.810000000000002</v>
      </c>
      <c r="D34" s="28">
        <f t="shared" si="0"/>
        <v>41.140000000000001</v>
      </c>
      <c r="E34" s="28">
        <f t="shared" si="0"/>
        <v>4.54</v>
      </c>
      <c r="F34" s="28">
        <f t="shared" si="0"/>
        <v>0.02</v>
      </c>
      <c r="G34" s="28">
        <f t="shared" si="0"/>
        <v>47.369999999999997</v>
      </c>
      <c r="H34" s="28">
        <f t="shared" si="0"/>
        <v>26.989999999999998</v>
      </c>
      <c r="I34" s="28">
        <f t="shared" si="0"/>
        <v>0.11</v>
      </c>
      <c r="J34" s="28">
        <f t="shared" si="0"/>
        <v>0.070000000000000007</v>
      </c>
      <c r="K34" s="28">
        <f t="shared" si="0"/>
        <v>77.680000000000007</v>
      </c>
      <c r="L34" s="28">
        <f t="shared" si="0"/>
        <v>12.94</v>
      </c>
      <c r="M34" s="28">
        <f t="shared" si="0"/>
        <v>20</v>
      </c>
      <c r="N34" s="28">
        <f t="shared" si="0"/>
        <v>3.8999999999999999</v>
      </c>
      <c r="O34" s="28">
        <f t="shared" si="0"/>
        <v>0</v>
      </c>
      <c r="P34" s="28">
        <f t="shared" si="0"/>
        <v>0.46999999999999997</v>
      </c>
      <c r="Q34" s="28">
        <f t="shared" si="0"/>
        <v>20.859999999999999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244.00999999999999</v>
      </c>
      <c r="C35" s="29">
        <f t="shared" si="1"/>
        <v>258.12</v>
      </c>
      <c r="D35" s="29">
        <f t="shared" si="1"/>
        <v>337.50999999999999</v>
      </c>
      <c r="E35" s="29">
        <f t="shared" si="1"/>
        <v>17.379999999999999</v>
      </c>
      <c r="F35" s="29">
        <f t="shared" si="1"/>
        <v>26.530000000000001</v>
      </c>
      <c r="G35" s="29">
        <f t="shared" si="1"/>
        <v>242.78</v>
      </c>
      <c r="H35" s="29">
        <f t="shared" si="1"/>
        <v>128.69999999999999</v>
      </c>
      <c r="I35" s="29">
        <f t="shared" si="1"/>
        <v>2.04</v>
      </c>
      <c r="J35" s="29">
        <f t="shared" si="1"/>
        <v>2.0800000000000001</v>
      </c>
      <c r="K35" s="29">
        <f t="shared" si="1"/>
        <v>349.04000000000002</v>
      </c>
      <c r="L35" s="29">
        <f t="shared" si="1"/>
        <v>31.809999999999999</v>
      </c>
      <c r="M35" s="29">
        <f t="shared" si="1"/>
        <v>87</v>
      </c>
      <c r="N35" s="29">
        <f t="shared" si="1"/>
        <v>572.79999999999995</v>
      </c>
      <c r="O35" s="29">
        <f t="shared" si="1"/>
        <v>0</v>
      </c>
      <c r="P35" s="29">
        <f t="shared" si="1"/>
        <v>5.5899999999999999</v>
      </c>
      <c r="Q35" s="29">
        <f t="shared" si="1"/>
        <v>58.539999999999999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114.01916666666665</v>
      </c>
      <c r="C36" s="28">
        <f t="shared" si="2"/>
        <v>164.00874999999999</v>
      </c>
      <c r="D36" s="28">
        <f t="shared" si="2"/>
        <v>181.77000000000007</v>
      </c>
      <c r="E36" s="28">
        <f t="shared" si="2"/>
        <v>7.657916666666666</v>
      </c>
      <c r="F36" s="28">
        <f t="shared" si="2"/>
        <v>4.8247826086956529</v>
      </c>
      <c r="G36" s="28">
        <f t="shared" si="2"/>
        <v>152.82181818181817</v>
      </c>
      <c r="H36" s="28">
        <f t="shared" si="2"/>
        <v>70.308750000000018</v>
      </c>
      <c r="I36" s="28">
        <f t="shared" si="2"/>
        <v>0.93625000000000014</v>
      </c>
      <c r="J36" s="28">
        <f t="shared" si="2"/>
        <v>0.44250000000000006</v>
      </c>
      <c r="K36" s="28">
        <f t="shared" si="2"/>
        <v>273.01583333333332</v>
      </c>
      <c r="L36" s="28">
        <f t="shared" si="2"/>
        <v>21.218333333333334</v>
      </c>
      <c r="M36" s="28">
        <f t="shared" si="2"/>
        <v>56.708333333333336</v>
      </c>
      <c r="N36" s="28">
        <f t="shared" si="2"/>
        <v>367.15000000000003</v>
      </c>
      <c r="O36" s="28">
        <f t="shared" si="2"/>
        <v>0</v>
      </c>
      <c r="P36" s="28">
        <f t="shared" si="2"/>
        <v>2.8795833333333323</v>
      </c>
      <c r="Q36" s="28">
        <f t="shared" si="2"/>
        <v>40.848749999999988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85.578807154914088</v>
      </c>
      <c r="C37" s="28">
        <f t="shared" si="3" ref="C37:Q37">STDEV(C9:C32)</f>
        <v>57.672698108075465</v>
      </c>
      <c r="D37" s="28">
        <f t="shared" si="3"/>
        <v>99.538697521857287</v>
      </c>
      <c r="E37" s="28">
        <f t="shared" si="3"/>
        <v>3.4812054123806626</v>
      </c>
      <c r="F37" s="28">
        <f t="shared" si="3"/>
        <v>7.7358697398812923</v>
      </c>
      <c r="G37" s="28">
        <f t="shared" si="3"/>
        <v>73.00258068734955</v>
      </c>
      <c r="H37" s="28">
        <f t="shared" si="3"/>
        <v>31.790600239488324</v>
      </c>
      <c r="I37" s="28">
        <f t="shared" si="3"/>
        <v>0.66099932579061826</v>
      </c>
      <c r="J37" s="28">
        <f t="shared" si="3"/>
        <v>0.5466836777134112</v>
      </c>
      <c r="K37" s="28">
        <f t="shared" si="3"/>
        <v>94.411816961035584</v>
      </c>
      <c r="L37" s="28">
        <f t="shared" si="3"/>
        <v>6.3569836070034116</v>
      </c>
      <c r="M37" s="28">
        <f t="shared" si="3"/>
        <v>23.67438382039461</v>
      </c>
      <c r="N37" s="28">
        <f t="shared" si="3"/>
        <v>204.26674961921714</v>
      </c>
      <c r="O37" s="28">
        <f t="shared" si="3"/>
        <v>0</v>
      </c>
      <c r="P37" s="28">
        <f t="shared" si="3"/>
        <v>1.6704268633487387</v>
      </c>
      <c r="Q37" s="28">
        <f t="shared" si="3"/>
        <v>12.225853686739674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</f>
        <v>24</v>
      </c>
      <c r="G38" s="32">
        <f t="shared" si="4"/>
        <v>22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COUNT(N9:N32)+14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landscape" paperSize="9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c6db2e-abac-4384-9420-317ea2f01738}">
  <sheetPr codeName=""/>
  <dimension ref="A1:U119"/>
  <sheetViews>
    <sheetView workbookViewId="0" topLeftCell="A1">
      <pane xSplit="2" ySplit="8" topLeftCell="C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12-01-2023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325</v>
      </c>
      <c r="B9" s="51">
        <v>176.20</v>
      </c>
      <c r="C9" s="51">
        <v>201.86</v>
      </c>
      <c r="D9" s="51">
        <v>253.11</v>
      </c>
      <c r="E9" s="51">
        <v>5.59</v>
      </c>
      <c r="F9" s="51">
        <v>0.20</v>
      </c>
      <c r="G9" s="51">
        <v>155.74</v>
      </c>
      <c r="H9" s="51">
        <v>89.16</v>
      </c>
      <c r="I9" s="51">
        <v>1.29</v>
      </c>
      <c r="J9" s="51">
        <v>0.22</v>
      </c>
      <c r="K9" s="51">
        <v>345.07</v>
      </c>
      <c r="L9" s="51">
        <v>16.25</v>
      </c>
      <c r="M9" s="51">
        <v>79</v>
      </c>
      <c r="N9" s="53" t="s">
        <v>8</v>
      </c>
      <c r="O9" s="51">
        <v>0</v>
      </c>
      <c r="P9" s="51">
        <v>3.91</v>
      </c>
      <c r="Q9" s="51">
        <v>49.39</v>
      </c>
      <c r="R9" s="43"/>
      <c r="S9" s="43"/>
      <c r="T9" s="43"/>
      <c r="U9" s="43"/>
    </row>
    <row r="10" spans="1:21" s="11" customFormat="1" ht="15">
      <c r="A10" s="50" t="s">
        <v>326</v>
      </c>
      <c r="B10" s="51">
        <v>135.34</v>
      </c>
      <c r="C10" s="51">
        <v>166.54</v>
      </c>
      <c r="D10" s="51">
        <v>200.85</v>
      </c>
      <c r="E10" s="51">
        <v>5.04</v>
      </c>
      <c r="F10" s="51">
        <v>0.15</v>
      </c>
      <c r="G10" s="51">
        <v>96.44</v>
      </c>
      <c r="H10" s="51">
        <v>70.94</v>
      </c>
      <c r="I10" s="51">
        <v>1.03</v>
      </c>
      <c r="J10" s="51">
        <v>0.11</v>
      </c>
      <c r="K10" s="51">
        <v>328.29</v>
      </c>
      <c r="L10" s="51">
        <v>15.37</v>
      </c>
      <c r="M10" s="51">
        <v>78</v>
      </c>
      <c r="N10" s="53" t="s">
        <v>8</v>
      </c>
      <c r="O10" s="51">
        <v>0</v>
      </c>
      <c r="P10" s="51">
        <v>3.05</v>
      </c>
      <c r="Q10" s="51">
        <v>45.25</v>
      </c>
      <c r="R10" s="43"/>
      <c r="S10" s="43"/>
      <c r="T10" s="43"/>
      <c r="U10" s="43"/>
    </row>
    <row r="11" spans="1:21" s="11" customFormat="1" ht="15">
      <c r="A11" s="50" t="s">
        <v>327</v>
      </c>
      <c r="B11" s="51">
        <v>97.34</v>
      </c>
      <c r="C11" s="51">
        <v>138.02000000000001</v>
      </c>
      <c r="D11" s="51">
        <v>154.65</v>
      </c>
      <c r="E11" s="51">
        <v>4.6100000000000003</v>
      </c>
      <c r="F11" s="51">
        <v>0.11</v>
      </c>
      <c r="G11" s="51">
        <v>82.88</v>
      </c>
      <c r="H11" s="51">
        <v>50.92</v>
      </c>
      <c r="I11" s="51">
        <v>0.84</v>
      </c>
      <c r="J11" s="51">
        <v>0.14000000000000001</v>
      </c>
      <c r="K11" s="51">
        <v>338.45</v>
      </c>
      <c r="L11" s="51">
        <v>14.81</v>
      </c>
      <c r="M11" s="51">
        <v>76</v>
      </c>
      <c r="N11" s="53" t="s">
        <v>8</v>
      </c>
      <c r="O11" s="51">
        <v>0</v>
      </c>
      <c r="P11" s="51">
        <v>2.56</v>
      </c>
      <c r="Q11" s="51">
        <v>43.71</v>
      </c>
      <c r="R11" s="43"/>
      <c r="S11" s="43"/>
      <c r="T11" s="43"/>
      <c r="U11" s="43"/>
    </row>
    <row r="12" spans="1:21" s="11" customFormat="1" ht="15">
      <c r="A12" s="50" t="s">
        <v>328</v>
      </c>
      <c r="B12" s="51">
        <v>66.67</v>
      </c>
      <c r="C12" s="51">
        <v>121.26</v>
      </c>
      <c r="D12" s="51">
        <v>120.80</v>
      </c>
      <c r="E12" s="51">
        <v>4.1500000000000004</v>
      </c>
      <c r="F12" s="51">
        <v>0.12</v>
      </c>
      <c r="G12" s="51">
        <v>88.51</v>
      </c>
      <c r="H12" s="51">
        <v>50.92</v>
      </c>
      <c r="I12" s="51">
        <v>0.63</v>
      </c>
      <c r="J12" s="51">
        <v>0.16</v>
      </c>
      <c r="K12" s="51">
        <v>328.72</v>
      </c>
      <c r="L12" s="51">
        <v>14.27</v>
      </c>
      <c r="M12" s="51">
        <v>82</v>
      </c>
      <c r="N12" s="53" t="s">
        <v>8</v>
      </c>
      <c r="O12" s="51">
        <v>0</v>
      </c>
      <c r="P12" s="51">
        <v>2.04</v>
      </c>
      <c r="Q12" s="51">
        <v>40.409999999999997</v>
      </c>
      <c r="R12" s="43"/>
      <c r="S12" s="43"/>
      <c r="T12" s="43"/>
      <c r="U12" s="43"/>
    </row>
    <row r="13" spans="1:21" s="11" customFormat="1" ht="15">
      <c r="A13" s="50" t="s">
        <v>329</v>
      </c>
      <c r="B13" s="51">
        <v>53.11</v>
      </c>
      <c r="C13" s="51">
        <v>107.28</v>
      </c>
      <c r="D13" s="51">
        <v>101.84</v>
      </c>
      <c r="E13" s="51">
        <v>4.5999999999999996</v>
      </c>
      <c r="F13" s="51">
        <v>0.03</v>
      </c>
      <c r="G13" s="51">
        <v>111.12</v>
      </c>
      <c r="H13" s="51">
        <v>49.22</v>
      </c>
      <c r="I13" s="51">
        <v>0.49</v>
      </c>
      <c r="J13" s="51">
        <v>0.16</v>
      </c>
      <c r="K13" s="51">
        <v>344.29</v>
      </c>
      <c r="L13" s="51">
        <v>13.89</v>
      </c>
      <c r="M13" s="51">
        <v>88</v>
      </c>
      <c r="N13" s="53" t="s">
        <v>8</v>
      </c>
      <c r="O13" s="51">
        <v>0</v>
      </c>
      <c r="P13" s="51">
        <v>1.71</v>
      </c>
      <c r="Q13" s="51">
        <v>36.380000000000003</v>
      </c>
      <c r="R13" s="43"/>
      <c r="S13" s="43"/>
      <c r="T13" s="43"/>
      <c r="U13" s="43"/>
    </row>
    <row r="14" spans="1:21" s="11" customFormat="1" ht="15">
      <c r="A14" s="50" t="s">
        <v>330</v>
      </c>
      <c r="B14" s="51">
        <v>58.83</v>
      </c>
      <c r="C14" s="51">
        <v>110.05</v>
      </c>
      <c r="D14" s="51">
        <v>108.33</v>
      </c>
      <c r="E14" s="51">
        <v>4.75</v>
      </c>
      <c r="F14" s="51">
        <v>0.01</v>
      </c>
      <c r="G14" s="51">
        <v>111.12</v>
      </c>
      <c r="H14" s="51">
        <v>53.69</v>
      </c>
      <c r="I14" s="51">
        <v>0.44</v>
      </c>
      <c r="J14" s="51">
        <v>0.12</v>
      </c>
      <c r="K14" s="51">
        <v>322.83999999999997</v>
      </c>
      <c r="L14" s="51">
        <v>13.85</v>
      </c>
      <c r="M14" s="51">
        <v>87</v>
      </c>
      <c r="N14" s="53" t="s">
        <v>8</v>
      </c>
      <c r="O14" s="51">
        <v>0</v>
      </c>
      <c r="P14" s="51">
        <v>1.58</v>
      </c>
      <c r="Q14" s="51">
        <v>38.42</v>
      </c>
      <c r="R14" s="43"/>
      <c r="S14" s="43"/>
      <c r="T14" s="43"/>
      <c r="U14" s="43"/>
    </row>
    <row r="15" spans="1:21" s="11" customFormat="1" ht="15">
      <c r="A15" s="50" t="s">
        <v>331</v>
      </c>
      <c r="B15" s="51">
        <v>69.64</v>
      </c>
      <c r="C15" s="51">
        <v>115.24</v>
      </c>
      <c r="D15" s="51">
        <v>119.85</v>
      </c>
      <c r="E15" s="51">
        <v>4.82</v>
      </c>
      <c r="F15" s="51">
        <v>0.01</v>
      </c>
      <c r="G15" s="51">
        <v>97.49</v>
      </c>
      <c r="H15" s="51">
        <v>53.69</v>
      </c>
      <c r="I15" s="51">
        <v>0.41</v>
      </c>
      <c r="J15" s="51">
        <v>0.14000000000000001</v>
      </c>
      <c r="K15" s="51">
        <v>338.77</v>
      </c>
      <c r="L15" s="51">
        <v>13.76</v>
      </c>
      <c r="M15" s="51">
        <v>89</v>
      </c>
      <c r="N15" s="53" t="s">
        <v>8</v>
      </c>
      <c r="O15" s="51">
        <v>0</v>
      </c>
      <c r="P15" s="51">
        <v>1.56</v>
      </c>
      <c r="Q15" s="51">
        <v>38.64</v>
      </c>
      <c r="R15" s="43"/>
      <c r="S15" s="43"/>
      <c r="T15" s="43"/>
      <c r="U15" s="43"/>
    </row>
    <row r="16" spans="1:21" s="11" customFormat="1" ht="15">
      <c r="A16" s="50" t="s">
        <v>332</v>
      </c>
      <c r="B16" s="51">
        <v>80.58</v>
      </c>
      <c r="C16" s="51">
        <v>121.90</v>
      </c>
      <c r="D16" s="51">
        <v>132.08000000000001</v>
      </c>
      <c r="E16" s="51">
        <v>4.57</v>
      </c>
      <c r="F16" s="51">
        <v>0.05</v>
      </c>
      <c r="G16" s="51">
        <v>110.46</v>
      </c>
      <c r="H16" s="51">
        <v>55.76</v>
      </c>
      <c r="I16" s="51">
        <v>0.39</v>
      </c>
      <c r="J16" s="51">
        <v>0.53</v>
      </c>
      <c r="K16" s="51">
        <v>353.34</v>
      </c>
      <c r="L16" s="51">
        <v>16.62</v>
      </c>
      <c r="M16" s="51">
        <v>89</v>
      </c>
      <c r="N16" s="51">
        <v>66.5</v>
      </c>
      <c r="O16" s="51">
        <v>0</v>
      </c>
      <c r="P16" s="51">
        <v>1.70</v>
      </c>
      <c r="Q16" s="51">
        <v>38.54</v>
      </c>
      <c r="R16" s="43"/>
      <c r="S16" s="43"/>
      <c r="T16" s="43"/>
      <c r="U16" s="43"/>
    </row>
    <row r="17" spans="1:21" s="11" customFormat="1" ht="15">
      <c r="A17" s="50" t="s">
        <v>333</v>
      </c>
      <c r="B17" s="51">
        <v>73.53</v>
      </c>
      <c r="C17" s="51">
        <v>129.03</v>
      </c>
      <c r="D17" s="51">
        <v>130.59</v>
      </c>
      <c r="E17" s="51">
        <v>4.26</v>
      </c>
      <c r="F17" s="51">
        <v>0.16</v>
      </c>
      <c r="G17" s="51">
        <v>110.46</v>
      </c>
      <c r="H17" s="51">
        <v>55.76</v>
      </c>
      <c r="I17" s="51">
        <v>0.39</v>
      </c>
      <c r="J17" s="51">
        <v>0.99</v>
      </c>
      <c r="K17" s="51">
        <v>197.86</v>
      </c>
      <c r="L17" s="51">
        <v>20.11</v>
      </c>
      <c r="M17" s="51">
        <v>69</v>
      </c>
      <c r="N17" s="51">
        <v>287</v>
      </c>
      <c r="O17" s="51">
        <v>0</v>
      </c>
      <c r="P17" s="51">
        <v>1.66</v>
      </c>
      <c r="Q17" s="51">
        <v>36.93</v>
      </c>
      <c r="R17" s="43"/>
      <c r="S17" s="43"/>
      <c r="T17" s="43"/>
      <c r="U17" s="43"/>
    </row>
    <row r="18" spans="1:21" s="11" customFormat="1" ht="15">
      <c r="A18" s="50" t="s">
        <v>334</v>
      </c>
      <c r="B18" s="51">
        <v>52.56</v>
      </c>
      <c r="C18" s="51">
        <v>108.62</v>
      </c>
      <c r="D18" s="51">
        <v>102.51</v>
      </c>
      <c r="E18" s="51">
        <v>4.1399999999999997</v>
      </c>
      <c r="F18" s="51">
        <v>0.27</v>
      </c>
      <c r="G18" s="51">
        <v>51.29</v>
      </c>
      <c r="H18" s="51">
        <v>46.66</v>
      </c>
      <c r="I18" s="51">
        <v>0.35</v>
      </c>
      <c r="J18" s="51">
        <v>1.06</v>
      </c>
      <c r="K18" s="51">
        <v>330.68</v>
      </c>
      <c r="L18" s="51">
        <v>24.12</v>
      </c>
      <c r="M18" s="51">
        <v>57</v>
      </c>
      <c r="N18" s="51">
        <v>433.40</v>
      </c>
      <c r="O18" s="51">
        <v>0</v>
      </c>
      <c r="P18" s="51">
        <v>1.45</v>
      </c>
      <c r="Q18" s="51">
        <v>38.299999999999997</v>
      </c>
      <c r="R18" s="43"/>
      <c r="S18" s="43"/>
      <c r="T18" s="43"/>
      <c r="U18" s="43"/>
    </row>
    <row r="19" spans="1:21" s="11" customFormat="1" ht="15">
      <c r="A19" s="50" t="s">
        <v>335</v>
      </c>
      <c r="B19" s="51">
        <v>29.25</v>
      </c>
      <c r="C19" s="51">
        <v>103.72</v>
      </c>
      <c r="D19" s="51">
        <v>81.11</v>
      </c>
      <c r="E19" s="51">
        <v>4.05</v>
      </c>
      <c r="F19" s="51">
        <v>0.28999999999999998</v>
      </c>
      <c r="G19" s="51">
        <v>49.81</v>
      </c>
      <c r="H19" s="51">
        <v>40.85</v>
      </c>
      <c r="I19" s="51">
        <v>0.30</v>
      </c>
      <c r="J19" s="51">
        <v>0.66</v>
      </c>
      <c r="K19" s="51">
        <v>221.04</v>
      </c>
      <c r="L19" s="51">
        <v>27.44</v>
      </c>
      <c r="M19" s="51">
        <v>44</v>
      </c>
      <c r="N19" s="51">
        <v>528.20000000000005</v>
      </c>
      <c r="O19" s="51">
        <v>0</v>
      </c>
      <c r="P19" s="51">
        <v>1.25</v>
      </c>
      <c r="Q19" s="51">
        <v>36.33</v>
      </c>
      <c r="R19" s="43"/>
      <c r="S19" s="43"/>
      <c r="T19" s="43"/>
      <c r="U19" s="43"/>
    </row>
    <row r="20" spans="1:21" s="11" customFormat="1" ht="15">
      <c r="A20" s="50" t="s">
        <v>336</v>
      </c>
      <c r="B20" s="51">
        <v>14.77</v>
      </c>
      <c r="C20" s="51">
        <v>100.86</v>
      </c>
      <c r="D20" s="51">
        <v>67.92</v>
      </c>
      <c r="E20" s="51">
        <v>3.88</v>
      </c>
      <c r="F20" s="51">
        <v>0.69</v>
      </c>
      <c r="G20" s="51">
        <v>44.93</v>
      </c>
      <c r="H20" s="51">
        <v>38.450000000000003</v>
      </c>
      <c r="I20" s="51">
        <v>0.26</v>
      </c>
      <c r="J20" s="51">
        <v>0.44</v>
      </c>
      <c r="K20" s="51">
        <v>351.49</v>
      </c>
      <c r="L20" s="51">
        <v>31.67</v>
      </c>
      <c r="M20" s="51">
        <v>33</v>
      </c>
      <c r="N20" s="51">
        <v>550.90</v>
      </c>
      <c r="O20" s="51">
        <v>0</v>
      </c>
      <c r="P20" s="51">
        <v>1.1399999999999999</v>
      </c>
      <c r="Q20" s="51">
        <v>35.32</v>
      </c>
      <c r="R20" s="43"/>
      <c r="S20" s="43"/>
      <c r="T20" s="43"/>
      <c r="U20" s="43"/>
    </row>
    <row r="21" spans="1:21" s="11" customFormat="1" ht="15">
      <c r="A21" s="50" t="s">
        <v>337</v>
      </c>
      <c r="B21" s="51">
        <v>7.35</v>
      </c>
      <c r="C21" s="51">
        <v>96.72</v>
      </c>
      <c r="D21" s="51">
        <v>59.69</v>
      </c>
      <c r="E21" s="51">
        <v>7.14</v>
      </c>
      <c r="F21" s="51">
        <v>2.70</v>
      </c>
      <c r="G21" s="51">
        <v>49.64</v>
      </c>
      <c r="H21" s="51">
        <v>33.78</v>
      </c>
      <c r="I21" s="51">
        <v>0.26</v>
      </c>
      <c r="J21" s="51">
        <v>0.38</v>
      </c>
      <c r="K21" s="51">
        <v>356.89</v>
      </c>
      <c r="L21" s="51">
        <v>31.13</v>
      </c>
      <c r="M21" s="51">
        <v>25</v>
      </c>
      <c r="N21" s="51">
        <v>553.20000000000005</v>
      </c>
      <c r="O21" s="51">
        <v>0</v>
      </c>
      <c r="P21" s="51">
        <v>1.02</v>
      </c>
      <c r="Q21" s="51">
        <v>35.5</v>
      </c>
      <c r="R21" s="43"/>
      <c r="S21" s="43"/>
      <c r="T21" s="43"/>
      <c r="U21" s="43"/>
    </row>
    <row r="22" spans="1:21" s="11" customFormat="1" ht="15">
      <c r="A22" s="50" t="s">
        <v>338</v>
      </c>
      <c r="B22" s="51">
        <v>2.0299999999999998</v>
      </c>
      <c r="C22" s="51">
        <v>91.28</v>
      </c>
      <c r="D22" s="51">
        <v>52.42</v>
      </c>
      <c r="E22" s="51">
        <v>6.72</v>
      </c>
      <c r="F22" s="51">
        <v>3.96</v>
      </c>
      <c r="G22" s="51">
        <v>60.54</v>
      </c>
      <c r="H22" s="51">
        <v>33.58</v>
      </c>
      <c r="I22" s="51">
        <v>0.22</v>
      </c>
      <c r="J22" s="51">
        <v>0.25</v>
      </c>
      <c r="K22" s="51">
        <v>41.49</v>
      </c>
      <c r="L22" s="51">
        <v>31.57</v>
      </c>
      <c r="M22" s="51">
        <v>23</v>
      </c>
      <c r="N22" s="51">
        <v>469</v>
      </c>
      <c r="O22" s="51">
        <v>0</v>
      </c>
      <c r="P22" s="51">
        <v>1.02</v>
      </c>
      <c r="Q22" s="51">
        <v>35.10</v>
      </c>
      <c r="R22" s="43"/>
      <c r="S22" s="43"/>
      <c r="T22" s="43"/>
      <c r="U22" s="43"/>
    </row>
    <row r="23" spans="1:21" s="11" customFormat="1" ht="15">
      <c r="A23" s="50" t="s">
        <v>339</v>
      </c>
      <c r="B23" s="51">
        <v>1.5</v>
      </c>
      <c r="C23" s="51">
        <v>84.86</v>
      </c>
      <c r="D23" s="51">
        <v>48.43</v>
      </c>
      <c r="E23" s="51">
        <v>6.38</v>
      </c>
      <c r="F23" s="51">
        <v>5.32</v>
      </c>
      <c r="G23" s="51">
        <v>60.54</v>
      </c>
      <c r="H23" s="51">
        <v>33.58</v>
      </c>
      <c r="I23" s="51">
        <v>0.17</v>
      </c>
      <c r="J23" s="51">
        <v>0.23</v>
      </c>
      <c r="K23" s="51">
        <v>355.75</v>
      </c>
      <c r="L23" s="51">
        <v>30.26</v>
      </c>
      <c r="M23" s="51">
        <v>23</v>
      </c>
      <c r="N23" s="51">
        <v>378.70</v>
      </c>
      <c r="O23" s="51">
        <v>0</v>
      </c>
      <c r="P23" s="51">
        <v>0.98</v>
      </c>
      <c r="Q23" s="51">
        <v>32.380000000000003</v>
      </c>
      <c r="R23" s="43"/>
      <c r="S23" s="43"/>
      <c r="T23" s="43"/>
      <c r="U23" s="43"/>
    </row>
    <row r="24" spans="1:21" s="11" customFormat="1" ht="15">
      <c r="A24" s="50" t="s">
        <v>340</v>
      </c>
      <c r="B24" s="51">
        <v>1.55</v>
      </c>
      <c r="C24" s="51">
        <v>78.540000000000006</v>
      </c>
      <c r="D24" s="51">
        <v>44.97</v>
      </c>
      <c r="E24" s="51">
        <v>5.92</v>
      </c>
      <c r="F24" s="51">
        <v>6.13</v>
      </c>
      <c r="G24" s="51">
        <v>53.49</v>
      </c>
      <c r="H24" s="51">
        <v>32.659999999999997</v>
      </c>
      <c r="I24" s="51">
        <v>0.15</v>
      </c>
      <c r="J24" s="51">
        <v>0.23</v>
      </c>
      <c r="K24" s="51">
        <v>38.78</v>
      </c>
      <c r="L24" s="51">
        <v>29.96</v>
      </c>
      <c r="M24" s="51">
        <v>25</v>
      </c>
      <c r="N24" s="51">
        <v>222.10</v>
      </c>
      <c r="O24" s="51">
        <v>0</v>
      </c>
      <c r="P24" s="51">
        <v>0.94</v>
      </c>
      <c r="Q24" s="51">
        <v>28.92</v>
      </c>
      <c r="R24" s="43"/>
      <c r="S24" s="43"/>
      <c r="T24" s="43"/>
      <c r="U24" s="43"/>
    </row>
    <row r="25" spans="1:21" s="11" customFormat="1" ht="15">
      <c r="A25" s="50" t="s">
        <v>341</v>
      </c>
      <c r="B25" s="51">
        <v>1.91</v>
      </c>
      <c r="C25" s="51">
        <v>81</v>
      </c>
      <c r="D25" s="51">
        <v>46.65</v>
      </c>
      <c r="E25" s="51">
        <v>5.36</v>
      </c>
      <c r="F25" s="51">
        <v>2.81</v>
      </c>
      <c r="G25" s="51">
        <v>53.49</v>
      </c>
      <c r="H25" s="51">
        <v>31.57</v>
      </c>
      <c r="I25" s="51">
        <v>0.15</v>
      </c>
      <c r="J25" s="51">
        <v>0.25</v>
      </c>
      <c r="K25" s="51">
        <v>345.01</v>
      </c>
      <c r="L25" s="51">
        <v>28.42</v>
      </c>
      <c r="M25" s="51">
        <v>30</v>
      </c>
      <c r="N25" s="51">
        <v>6.90</v>
      </c>
      <c r="O25" s="51">
        <v>0</v>
      </c>
      <c r="P25" s="51">
        <v>0.94</v>
      </c>
      <c r="Q25" s="51">
        <v>31.98</v>
      </c>
      <c r="R25" s="43"/>
      <c r="S25" s="43"/>
      <c r="T25" s="43"/>
      <c r="U25" s="43"/>
    </row>
    <row r="26" spans="1:21" s="11" customFormat="1" ht="15">
      <c r="A26" s="50" t="s">
        <v>342</v>
      </c>
      <c r="B26" s="51">
        <v>16.96</v>
      </c>
      <c r="C26" s="51">
        <v>115.93</v>
      </c>
      <c r="D26" s="51">
        <v>77.989999999999995</v>
      </c>
      <c r="E26" s="51">
        <v>5.77</v>
      </c>
      <c r="F26" s="51">
        <v>1.67</v>
      </c>
      <c r="G26" s="51">
        <v>67.38</v>
      </c>
      <c r="H26" s="51">
        <v>32.08</v>
      </c>
      <c r="I26" s="51">
        <v>0.18</v>
      </c>
      <c r="J26" s="51">
        <v>0.23</v>
      </c>
      <c r="K26" s="51">
        <v>332.01</v>
      </c>
      <c r="L26" s="51">
        <v>26.5</v>
      </c>
      <c r="M26" s="51">
        <v>38</v>
      </c>
      <c r="N26" s="53" t="s">
        <v>8</v>
      </c>
      <c r="O26" s="51">
        <v>0</v>
      </c>
      <c r="P26" s="51">
        <v>1.38</v>
      </c>
      <c r="Q26" s="51">
        <v>33.159999999999997</v>
      </c>
      <c r="R26" s="43"/>
      <c r="S26" s="43"/>
      <c r="T26" s="43"/>
      <c r="U26" s="43"/>
    </row>
    <row r="27" spans="1:21" s="11" customFormat="1" ht="15">
      <c r="A27" s="50" t="s">
        <v>343</v>
      </c>
      <c r="B27" s="51">
        <v>25.99</v>
      </c>
      <c r="C27" s="51">
        <v>118.01</v>
      </c>
      <c r="D27" s="51">
        <v>84.85</v>
      </c>
      <c r="E27" s="51">
        <v>5.61</v>
      </c>
      <c r="F27" s="51">
        <v>0.54</v>
      </c>
      <c r="G27" s="51">
        <v>67.38</v>
      </c>
      <c r="H27" s="51">
        <v>39.65</v>
      </c>
      <c r="I27" s="51">
        <v>0.27</v>
      </c>
      <c r="J27" s="51">
        <v>0.22</v>
      </c>
      <c r="K27" s="51">
        <v>322.83</v>
      </c>
      <c r="L27" s="51">
        <v>23.34</v>
      </c>
      <c r="M27" s="51">
        <v>46</v>
      </c>
      <c r="N27" s="53" t="s">
        <v>8</v>
      </c>
      <c r="O27" s="51">
        <v>0</v>
      </c>
      <c r="P27" s="51">
        <v>1.40</v>
      </c>
      <c r="Q27" s="51">
        <v>34.71</v>
      </c>
      <c r="R27" s="43"/>
      <c r="S27" s="43"/>
      <c r="T27" s="43"/>
      <c r="U27" s="43"/>
    </row>
    <row r="28" spans="1:21" s="11" customFormat="1" ht="15">
      <c r="A28" s="50" t="s">
        <v>344</v>
      </c>
      <c r="B28" s="51">
        <v>48.66</v>
      </c>
      <c r="C28" s="51">
        <v>126.92</v>
      </c>
      <c r="D28" s="51">
        <v>109.48</v>
      </c>
      <c r="E28" s="51">
        <v>5.40</v>
      </c>
      <c r="F28" s="51">
        <v>0.61</v>
      </c>
      <c r="G28" s="51">
        <v>232.46</v>
      </c>
      <c r="H28" s="51">
        <v>47.79</v>
      </c>
      <c r="I28" s="51">
        <v>0.42</v>
      </c>
      <c r="J28" s="51">
        <v>0.09</v>
      </c>
      <c r="K28" s="51">
        <v>280.20</v>
      </c>
      <c r="L28" s="51">
        <v>21.60</v>
      </c>
      <c r="M28" s="51">
        <v>54</v>
      </c>
      <c r="N28" s="53" t="s">
        <v>8</v>
      </c>
      <c r="O28" s="51">
        <v>0</v>
      </c>
      <c r="P28" s="51">
        <v>1.91</v>
      </c>
      <c r="Q28" s="51">
        <v>39.950000000000003</v>
      </c>
      <c r="R28" s="43"/>
      <c r="S28" s="43"/>
      <c r="T28" s="43"/>
      <c r="U28" s="43"/>
    </row>
    <row r="29" spans="1:21" s="11" customFormat="1" ht="15">
      <c r="A29" s="50" t="s">
        <v>345</v>
      </c>
      <c r="B29" s="51">
        <v>94.40</v>
      </c>
      <c r="C29" s="51">
        <v>160.69999999999999</v>
      </c>
      <c r="D29" s="51">
        <v>164.80</v>
      </c>
      <c r="E29" s="51">
        <v>4.71</v>
      </c>
      <c r="F29" s="51">
        <v>0.22</v>
      </c>
      <c r="G29" s="51">
        <v>232.46</v>
      </c>
      <c r="H29" s="51">
        <v>60.31</v>
      </c>
      <c r="I29" s="51">
        <v>0.80</v>
      </c>
      <c r="J29" s="51">
        <v>0.10</v>
      </c>
      <c r="K29" s="51">
        <v>321.5</v>
      </c>
      <c r="L29" s="51">
        <v>20.32</v>
      </c>
      <c r="M29" s="51">
        <v>57</v>
      </c>
      <c r="N29" s="53" t="s">
        <v>8</v>
      </c>
      <c r="O29" s="51">
        <v>0</v>
      </c>
      <c r="P29" s="51">
        <v>2.5499999999999998</v>
      </c>
      <c r="Q29" s="51">
        <v>44.29</v>
      </c>
      <c r="R29" s="43"/>
      <c r="S29" s="43"/>
      <c r="T29" s="43"/>
      <c r="U29" s="43"/>
    </row>
    <row r="30" spans="1:21" s="11" customFormat="1" ht="15">
      <c r="A30" s="50" t="s">
        <v>346</v>
      </c>
      <c r="B30" s="51">
        <v>128.09</v>
      </c>
      <c r="C30" s="51">
        <v>179.12</v>
      </c>
      <c r="D30" s="51">
        <v>201.99</v>
      </c>
      <c r="E30" s="51">
        <v>5.37</v>
      </c>
      <c r="F30" s="51">
        <v>0.13</v>
      </c>
      <c r="G30" s="51">
        <v>173.28</v>
      </c>
      <c r="H30" s="51">
        <v>66.19</v>
      </c>
      <c r="I30" s="51">
        <v>1</v>
      </c>
      <c r="J30" s="51">
        <v>0.11</v>
      </c>
      <c r="K30" s="51">
        <v>328.92</v>
      </c>
      <c r="L30" s="51">
        <v>19.66</v>
      </c>
      <c r="M30" s="51">
        <v>61</v>
      </c>
      <c r="N30" s="53" t="s">
        <v>8</v>
      </c>
      <c r="O30" s="51">
        <v>0</v>
      </c>
      <c r="P30" s="51">
        <v>2.89</v>
      </c>
      <c r="Q30" s="51">
        <v>44.77</v>
      </c>
      <c r="R30" s="43"/>
      <c r="S30" s="43"/>
      <c r="T30" s="43"/>
      <c r="U30" s="43"/>
    </row>
    <row r="31" spans="1:21" s="11" customFormat="1" ht="15">
      <c r="A31" s="50" t="s">
        <v>347</v>
      </c>
      <c r="B31" s="51">
        <v>154.63999999999999</v>
      </c>
      <c r="C31" s="51">
        <v>190.56</v>
      </c>
      <c r="D31" s="51">
        <v>229.59</v>
      </c>
      <c r="E31" s="51">
        <v>5.75</v>
      </c>
      <c r="F31" s="51">
        <v>0.28000000000000003</v>
      </c>
      <c r="G31" s="59" t="s">
        <v>15</v>
      </c>
      <c r="H31" s="51">
        <v>73.97</v>
      </c>
      <c r="I31" s="51">
        <v>1.1200000000000001</v>
      </c>
      <c r="J31" s="51">
        <v>0.09</v>
      </c>
      <c r="K31" s="51">
        <v>322.38</v>
      </c>
      <c r="L31" s="51">
        <v>18.84</v>
      </c>
      <c r="M31" s="51">
        <v>66</v>
      </c>
      <c r="N31" s="53" t="s">
        <v>8</v>
      </c>
      <c r="O31" s="51">
        <v>0</v>
      </c>
      <c r="P31" s="51">
        <v>3.10</v>
      </c>
      <c r="Q31" s="51">
        <v>47.69</v>
      </c>
      <c r="R31" s="43"/>
      <c r="S31" s="43"/>
      <c r="T31" s="43"/>
      <c r="U31" s="43"/>
    </row>
    <row r="32" spans="1:21" s="11" customFormat="1" ht="15">
      <c r="A32" s="50" t="s">
        <v>348</v>
      </c>
      <c r="B32" s="51">
        <v>165.43</v>
      </c>
      <c r="C32" s="51">
        <v>193.81</v>
      </c>
      <c r="D32" s="51">
        <v>239.92</v>
      </c>
      <c r="E32" s="51">
        <v>5.87</v>
      </c>
      <c r="F32" s="51">
        <v>0.070000000000000007</v>
      </c>
      <c r="G32" s="51">
        <v>149.71</v>
      </c>
      <c r="H32" s="51">
        <v>73.97</v>
      </c>
      <c r="I32" s="51">
        <v>1.18</v>
      </c>
      <c r="J32" s="51">
        <v>0.11</v>
      </c>
      <c r="K32" s="51">
        <v>325.79000000000002</v>
      </c>
      <c r="L32" s="51">
        <v>18.13</v>
      </c>
      <c r="M32" s="51">
        <v>67</v>
      </c>
      <c r="N32" s="53" t="s">
        <v>8</v>
      </c>
      <c r="O32" s="51">
        <v>0</v>
      </c>
      <c r="P32" s="51">
        <v>3.14</v>
      </c>
      <c r="Q32" s="51">
        <v>50.99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</v>
      </c>
      <c r="C34" s="28">
        <f t="shared" si="0"/>
        <v>78.540000000000006</v>
      </c>
      <c r="D34" s="28">
        <f t="shared" si="0"/>
        <v>44.969999999999999</v>
      </c>
      <c r="E34" s="28">
        <f t="shared" si="0"/>
        <v>3.8799999999999999</v>
      </c>
      <c r="F34" s="28">
        <f t="shared" si="0"/>
        <v>0.01</v>
      </c>
      <c r="G34" s="28">
        <f t="shared" si="0"/>
        <v>44.93</v>
      </c>
      <c r="H34" s="28">
        <f t="shared" si="0"/>
        <v>31.57</v>
      </c>
      <c r="I34" s="28">
        <f t="shared" si="0"/>
        <v>0.14999999999999999</v>
      </c>
      <c r="J34" s="28">
        <f t="shared" si="0"/>
        <v>0.089999999999999997</v>
      </c>
      <c r="K34" s="28">
        <f t="shared" si="0"/>
        <v>38.780000000000001</v>
      </c>
      <c r="L34" s="28">
        <f t="shared" si="0"/>
        <v>13.76</v>
      </c>
      <c r="M34" s="28">
        <f t="shared" si="0"/>
        <v>23</v>
      </c>
      <c r="N34" s="28">
        <f t="shared" si="0"/>
        <v>6.9000000000000004</v>
      </c>
      <c r="O34" s="28">
        <f t="shared" si="0"/>
        <v>0</v>
      </c>
      <c r="P34" s="28">
        <f t="shared" si="0"/>
        <v>0.93999999999999995</v>
      </c>
      <c r="Q34" s="28">
        <f t="shared" si="0"/>
        <v>28.920000000000002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176.19999999999999</v>
      </c>
      <c r="C35" s="29">
        <f t="shared" si="1"/>
        <v>201.86000000000001</v>
      </c>
      <c r="D35" s="29">
        <f t="shared" si="1"/>
        <v>253.11000000000001</v>
      </c>
      <c r="E35" s="29">
        <f t="shared" si="1"/>
        <v>7.1399999999999997</v>
      </c>
      <c r="F35" s="29">
        <f t="shared" si="1"/>
        <v>6.1299999999999999</v>
      </c>
      <c r="G35" s="29">
        <f t="shared" si="1"/>
        <v>232.46000000000001</v>
      </c>
      <c r="H35" s="29">
        <f t="shared" si="1"/>
        <v>89.159999999999997</v>
      </c>
      <c r="I35" s="29">
        <f t="shared" si="1"/>
        <v>1.29</v>
      </c>
      <c r="J35" s="29">
        <f t="shared" si="1"/>
        <v>1.0600000000000001</v>
      </c>
      <c r="K35" s="29">
        <f t="shared" si="1"/>
        <v>356.88999999999999</v>
      </c>
      <c r="L35" s="29">
        <f t="shared" si="1"/>
        <v>31.670000000000002</v>
      </c>
      <c r="M35" s="29">
        <f t="shared" si="1"/>
        <v>89</v>
      </c>
      <c r="N35" s="29">
        <f t="shared" si="1"/>
        <v>553.20000000000005</v>
      </c>
      <c r="O35" s="29">
        <f t="shared" si="1"/>
        <v>0</v>
      </c>
      <c r="P35" s="29">
        <f t="shared" si="1"/>
        <v>3.9100000000000001</v>
      </c>
      <c r="Q35" s="29">
        <f t="shared" si="1"/>
        <v>50.990000000000002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64.847083333333316</v>
      </c>
      <c r="C36" s="28">
        <f t="shared" si="2"/>
        <v>126.74291666666664</v>
      </c>
      <c r="D36" s="28">
        <f t="shared" si="2"/>
        <v>122.2675</v>
      </c>
      <c r="E36" s="28">
        <f t="shared" si="2"/>
        <v>5.185833333333334</v>
      </c>
      <c r="F36" s="28">
        <f t="shared" si="2"/>
        <v>1.1054166666666665</v>
      </c>
      <c r="G36" s="28">
        <f t="shared" si="2"/>
        <v>100.46173913043482</v>
      </c>
      <c r="H36" s="28">
        <f t="shared" si="2"/>
        <v>50.631250000000001</v>
      </c>
      <c r="I36" s="28">
        <f t="shared" si="2"/>
        <v>0.53083333333333327</v>
      </c>
      <c r="J36" s="28">
        <f t="shared" si="2"/>
        <v>0.29250000000000004</v>
      </c>
      <c r="K36" s="28">
        <f t="shared" si="2"/>
        <v>298.84958333333333</v>
      </c>
      <c r="L36" s="28">
        <f t="shared" si="2"/>
        <v>21.745416666666667</v>
      </c>
      <c r="M36" s="28">
        <f t="shared" si="2"/>
        <v>57.75</v>
      </c>
      <c r="N36" s="28">
        <f t="shared" si="2"/>
        <v>349.58999999999997</v>
      </c>
      <c r="O36" s="28">
        <f t="shared" si="2"/>
        <v>0</v>
      </c>
      <c r="P36" s="28">
        <f t="shared" si="2"/>
        <v>1.8699999999999999</v>
      </c>
      <c r="Q36" s="28">
        <f t="shared" si="2"/>
        <v>39.044166666666662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54.860962479404868</v>
      </c>
      <c r="C37" s="28">
        <f t="shared" si="3" ref="C37:Q37">STDEV(C9:C32)</f>
        <v>36.54650301229298</v>
      </c>
      <c r="D37" s="28">
        <f t="shared" si="3"/>
        <v>63.641365495830726</v>
      </c>
      <c r="E37" s="28">
        <f t="shared" si="3"/>
        <v>0.86886190760830961</v>
      </c>
      <c r="F37" s="28">
        <f t="shared" si="3"/>
        <v>1.7665096491612244</v>
      </c>
      <c r="G37" s="28">
        <f t="shared" si="3"/>
        <v>55.174852938978788</v>
      </c>
      <c r="H37" s="28">
        <f t="shared" si="3"/>
        <v>15.714744755082435</v>
      </c>
      <c r="I37" s="28">
        <f t="shared" si="3"/>
        <v>0.36170990858838048</v>
      </c>
      <c r="J37" s="28">
        <f t="shared" si="3"/>
        <v>0.26805661309896262</v>
      </c>
      <c r="K37" s="28">
        <f t="shared" si="3"/>
        <v>88.472699276161549</v>
      </c>
      <c r="L37" s="28">
        <f t="shared" si="3"/>
        <v>6.4279687637337206</v>
      </c>
      <c r="M37" s="28">
        <f t="shared" si="3"/>
        <v>23.286962204110097</v>
      </c>
      <c r="N37" s="28">
        <f t="shared" si="3"/>
        <v>198.25968632634891</v>
      </c>
      <c r="O37" s="28">
        <f t="shared" si="3"/>
        <v>0</v>
      </c>
      <c r="P37" s="28">
        <f t="shared" si="3"/>
        <v>0.84672258174373949</v>
      </c>
      <c r="Q37" s="28">
        <f t="shared" si="3"/>
        <v>5.7493469698488724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23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COUNT(N9:N32)+14</f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e51d39-3a4f-4439-a31f-0cf09e855a22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14-01-2023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373</v>
      </c>
      <c r="B9" s="51">
        <v>77.22</v>
      </c>
      <c r="C9" s="51">
        <v>85.27</v>
      </c>
      <c r="D9" s="51">
        <v>109.40</v>
      </c>
      <c r="E9" s="51">
        <v>4.21</v>
      </c>
      <c r="F9" s="51">
        <v>5.60</v>
      </c>
      <c r="G9" s="51">
        <v>117.80</v>
      </c>
      <c r="H9" s="51">
        <v>52</v>
      </c>
      <c r="I9" s="51">
        <v>1.1100000000000001</v>
      </c>
      <c r="J9" s="51">
        <v>0.18</v>
      </c>
      <c r="K9" s="51">
        <v>326.52</v>
      </c>
      <c r="L9" s="51">
        <v>19.93</v>
      </c>
      <c r="M9" s="51">
        <v>71</v>
      </c>
      <c r="N9" s="59" t="s">
        <v>15</v>
      </c>
      <c r="O9" s="51">
        <v>0</v>
      </c>
      <c r="P9" s="51">
        <v>2.16</v>
      </c>
      <c r="Q9" s="51">
        <v>46.07</v>
      </c>
      <c r="R9" s="43"/>
      <c r="S9" s="43"/>
      <c r="T9" s="43"/>
      <c r="U9" s="43"/>
    </row>
    <row r="10" spans="1:21" s="11" customFormat="1" ht="15">
      <c r="A10" s="50" t="s">
        <v>374</v>
      </c>
      <c r="B10" s="51">
        <v>57.86</v>
      </c>
      <c r="C10" s="51">
        <v>80.28</v>
      </c>
      <c r="D10" s="51">
        <v>91.12</v>
      </c>
      <c r="E10" s="51">
        <v>3.80</v>
      </c>
      <c r="F10" s="51">
        <v>5.14</v>
      </c>
      <c r="G10" s="51">
        <v>89.81</v>
      </c>
      <c r="H10" s="51">
        <v>43.17</v>
      </c>
      <c r="I10" s="51">
        <v>1</v>
      </c>
      <c r="J10" s="51">
        <v>0.12</v>
      </c>
      <c r="K10" s="51">
        <v>329.28</v>
      </c>
      <c r="L10" s="51">
        <v>19.30</v>
      </c>
      <c r="M10" s="51">
        <v>80</v>
      </c>
      <c r="N10" s="59" t="s">
        <v>15</v>
      </c>
      <c r="O10" s="51">
        <v>0</v>
      </c>
      <c r="P10" s="51">
        <v>1.67</v>
      </c>
      <c r="Q10" s="51">
        <v>44.82</v>
      </c>
      <c r="R10" s="43"/>
      <c r="S10" s="43"/>
      <c r="T10" s="43"/>
      <c r="U10" s="43"/>
    </row>
    <row r="11" spans="1:21" s="11" customFormat="1" ht="15">
      <c r="A11" s="50" t="s">
        <v>375</v>
      </c>
      <c r="B11" s="51">
        <v>39.799999999999997</v>
      </c>
      <c r="C11" s="51">
        <v>72.41</v>
      </c>
      <c r="D11" s="51">
        <v>72.25</v>
      </c>
      <c r="E11" s="51">
        <v>3.44</v>
      </c>
      <c r="F11" s="51">
        <v>5.40</v>
      </c>
      <c r="G11" s="51">
        <v>61.05</v>
      </c>
      <c r="H11" s="51">
        <v>35.82</v>
      </c>
      <c r="I11" s="51">
        <v>0.86</v>
      </c>
      <c r="J11" s="51">
        <v>0.06</v>
      </c>
      <c r="K11" s="51">
        <v>359.76</v>
      </c>
      <c r="L11" s="51">
        <v>17.93</v>
      </c>
      <c r="M11" s="51">
        <v>85</v>
      </c>
      <c r="N11" s="59" t="s">
        <v>15</v>
      </c>
      <c r="O11" s="51">
        <v>0</v>
      </c>
      <c r="P11" s="51">
        <v>1.45</v>
      </c>
      <c r="Q11" s="51">
        <v>40.68</v>
      </c>
      <c r="R11" s="43"/>
      <c r="S11" s="43"/>
      <c r="T11" s="43"/>
      <c r="U11" s="43"/>
    </row>
    <row r="12" spans="1:21" s="11" customFormat="1" ht="15">
      <c r="A12" s="50" t="s">
        <v>376</v>
      </c>
      <c r="B12" s="51">
        <v>32.03</v>
      </c>
      <c r="C12" s="51">
        <v>68.290000000000006</v>
      </c>
      <c r="D12" s="51">
        <v>63.79</v>
      </c>
      <c r="E12" s="51">
        <v>3.48</v>
      </c>
      <c r="F12" s="51">
        <v>5.32</v>
      </c>
      <c r="G12" s="51">
        <v>66.63</v>
      </c>
      <c r="H12" s="51">
        <v>36.590000000000003</v>
      </c>
      <c r="I12" s="51">
        <v>0.80</v>
      </c>
      <c r="J12" s="51">
        <v>0.10</v>
      </c>
      <c r="K12" s="51">
        <v>281.02999999999997</v>
      </c>
      <c r="L12" s="51">
        <v>17.350000000000001</v>
      </c>
      <c r="M12" s="51">
        <v>87</v>
      </c>
      <c r="N12" s="59" t="s">
        <v>15</v>
      </c>
      <c r="O12" s="51">
        <v>0</v>
      </c>
      <c r="P12" s="51">
        <v>1.27</v>
      </c>
      <c r="Q12" s="51">
        <v>39.44</v>
      </c>
      <c r="R12" s="43"/>
      <c r="S12" s="43"/>
      <c r="T12" s="43"/>
      <c r="U12" s="43"/>
    </row>
    <row r="13" spans="1:21" s="11" customFormat="1" ht="15">
      <c r="A13" s="50" t="s">
        <v>377</v>
      </c>
      <c r="B13" s="51">
        <v>27.53</v>
      </c>
      <c r="C13" s="51">
        <v>65.209999999999994</v>
      </c>
      <c r="D13" s="51">
        <v>58.48</v>
      </c>
      <c r="E13" s="51">
        <v>4</v>
      </c>
      <c r="F13" s="51">
        <v>5.26</v>
      </c>
      <c r="G13" s="51">
        <v>63.92</v>
      </c>
      <c r="H13" s="51">
        <v>36.24</v>
      </c>
      <c r="I13" s="51">
        <v>0.78</v>
      </c>
      <c r="J13" s="51">
        <v>0.10</v>
      </c>
      <c r="K13" s="51">
        <v>344.59</v>
      </c>
      <c r="L13" s="51">
        <v>17.18</v>
      </c>
      <c r="M13" s="51">
        <v>90</v>
      </c>
      <c r="N13" s="59" t="s">
        <v>15</v>
      </c>
      <c r="O13" s="51">
        <v>0</v>
      </c>
      <c r="P13" s="51">
        <v>1.1100000000000001</v>
      </c>
      <c r="Q13" s="51">
        <v>41.36</v>
      </c>
      <c r="R13" s="43"/>
      <c r="S13" s="43"/>
      <c r="T13" s="43"/>
      <c r="U13" s="43"/>
    </row>
    <row r="14" spans="1:21" s="11" customFormat="1" ht="15">
      <c r="A14" s="50" t="s">
        <v>378</v>
      </c>
      <c r="B14" s="51">
        <v>28.64</v>
      </c>
      <c r="C14" s="51">
        <v>66.48</v>
      </c>
      <c r="D14" s="51">
        <v>59.87</v>
      </c>
      <c r="E14" s="51">
        <v>4.26</v>
      </c>
      <c r="F14" s="51">
        <v>5.21</v>
      </c>
      <c r="G14" s="51">
        <v>75.06</v>
      </c>
      <c r="H14" s="51">
        <v>38.75</v>
      </c>
      <c r="I14" s="51">
        <v>0.74</v>
      </c>
      <c r="J14" s="51">
        <v>0.68</v>
      </c>
      <c r="K14" s="51">
        <v>347.82</v>
      </c>
      <c r="L14" s="51">
        <v>17.21</v>
      </c>
      <c r="M14" s="51">
        <v>90</v>
      </c>
      <c r="N14" s="59" t="s">
        <v>15</v>
      </c>
      <c r="O14" s="51">
        <v>0</v>
      </c>
      <c r="P14" s="51">
        <v>1.07</v>
      </c>
      <c r="Q14" s="51">
        <v>40.67</v>
      </c>
      <c r="R14" s="43"/>
      <c r="S14" s="43"/>
      <c r="T14" s="43"/>
      <c r="U14" s="43"/>
    </row>
    <row r="15" spans="1:21" s="11" customFormat="1" ht="15">
      <c r="A15" s="50" t="s">
        <v>379</v>
      </c>
      <c r="B15" s="51">
        <v>34.979999999999997</v>
      </c>
      <c r="C15" s="51">
        <v>68.77</v>
      </c>
      <c r="D15" s="51">
        <v>66.42</v>
      </c>
      <c r="E15" s="51">
        <v>4.03</v>
      </c>
      <c r="F15" s="51">
        <v>5.13</v>
      </c>
      <c r="G15" s="51">
        <v>77.010000000000005</v>
      </c>
      <c r="H15" s="51">
        <v>38.58</v>
      </c>
      <c r="I15" s="51">
        <v>0.71</v>
      </c>
      <c r="J15" s="51">
        <v>0.22</v>
      </c>
      <c r="K15" s="51">
        <v>334.71</v>
      </c>
      <c r="L15" s="51">
        <v>17.309999999999999</v>
      </c>
      <c r="M15" s="51">
        <v>89</v>
      </c>
      <c r="N15" s="51">
        <v>12.60</v>
      </c>
      <c r="O15" s="51">
        <v>0</v>
      </c>
      <c r="P15" s="51">
        <v>1.1499999999999999</v>
      </c>
      <c r="Q15" s="51">
        <v>37.950000000000003</v>
      </c>
      <c r="R15" s="43"/>
      <c r="S15" s="43"/>
      <c r="T15" s="43"/>
      <c r="U15" s="43"/>
    </row>
    <row r="16" spans="1:21" s="11" customFormat="1" ht="15">
      <c r="A16" s="50" t="s">
        <v>380</v>
      </c>
      <c r="B16" s="51">
        <v>45.52</v>
      </c>
      <c r="C16" s="51">
        <v>70.42</v>
      </c>
      <c r="D16" s="51">
        <v>75.67</v>
      </c>
      <c r="E16" s="51">
        <v>4.83</v>
      </c>
      <c r="F16" s="51">
        <v>5.28</v>
      </c>
      <c r="G16" s="51">
        <v>114.12</v>
      </c>
      <c r="H16" s="51">
        <v>45.99</v>
      </c>
      <c r="I16" s="51">
        <v>0.74</v>
      </c>
      <c r="J16" s="51">
        <v>0.37</v>
      </c>
      <c r="K16" s="51">
        <v>251.19</v>
      </c>
      <c r="L16" s="51">
        <v>18.86</v>
      </c>
      <c r="M16" s="51">
        <v>87</v>
      </c>
      <c r="N16" s="51">
        <v>119.20</v>
      </c>
      <c r="O16" s="51">
        <v>0</v>
      </c>
      <c r="P16" s="51">
        <v>1.24</v>
      </c>
      <c r="Q16" s="51">
        <v>42.20</v>
      </c>
      <c r="R16" s="43"/>
      <c r="S16" s="43"/>
      <c r="T16" s="43"/>
      <c r="U16" s="43"/>
    </row>
    <row r="17" spans="1:21" s="11" customFormat="1" ht="15">
      <c r="A17" s="50" t="s">
        <v>381</v>
      </c>
      <c r="B17" s="51">
        <v>40.92</v>
      </c>
      <c r="C17" s="51">
        <v>70.47</v>
      </c>
      <c r="D17" s="51">
        <v>71.67</v>
      </c>
      <c r="E17" s="51">
        <v>4.1100000000000003</v>
      </c>
      <c r="F17" s="51">
        <v>5.21</v>
      </c>
      <c r="G17" s="51">
        <v>109.20</v>
      </c>
      <c r="H17" s="51">
        <v>45.64</v>
      </c>
      <c r="I17" s="51">
        <v>0.73</v>
      </c>
      <c r="J17" s="51">
        <v>0.77</v>
      </c>
      <c r="K17" s="51">
        <v>218.15</v>
      </c>
      <c r="L17" s="51">
        <v>22.75</v>
      </c>
      <c r="M17" s="51">
        <v>76</v>
      </c>
      <c r="N17" s="51">
        <v>276</v>
      </c>
      <c r="O17" s="51">
        <v>0</v>
      </c>
      <c r="P17" s="51">
        <v>1.25</v>
      </c>
      <c r="Q17" s="51">
        <v>41.73</v>
      </c>
      <c r="R17" s="43"/>
      <c r="S17" s="43"/>
      <c r="T17" s="43"/>
      <c r="U17" s="43"/>
    </row>
    <row r="18" spans="1:21" s="11" customFormat="1" ht="15">
      <c r="A18" s="50" t="s">
        <v>382</v>
      </c>
      <c r="B18" s="51">
        <v>31.30</v>
      </c>
      <c r="C18" s="51">
        <v>75.010000000000005</v>
      </c>
      <c r="D18" s="51">
        <v>64.89</v>
      </c>
      <c r="E18" s="51">
        <v>4.16</v>
      </c>
      <c r="F18" s="51">
        <v>5.29</v>
      </c>
      <c r="G18" s="51">
        <v>73.650000000000006</v>
      </c>
      <c r="H18" s="51">
        <v>47.62</v>
      </c>
      <c r="I18" s="51">
        <v>0.72</v>
      </c>
      <c r="J18" s="51">
        <v>0.35</v>
      </c>
      <c r="K18" s="51">
        <v>17.25</v>
      </c>
      <c r="L18" s="51">
        <v>27.90</v>
      </c>
      <c r="M18" s="51">
        <v>56</v>
      </c>
      <c r="N18" s="51">
        <v>401.10</v>
      </c>
      <c r="O18" s="51">
        <v>0</v>
      </c>
      <c r="P18" s="51">
        <v>1.28</v>
      </c>
      <c r="Q18" s="51">
        <v>40.15</v>
      </c>
      <c r="R18" s="43"/>
      <c r="S18" s="43"/>
      <c r="T18" s="43"/>
      <c r="U18" s="43"/>
    </row>
    <row r="19" spans="1:21" s="11" customFormat="1" ht="15">
      <c r="A19" s="50" t="s">
        <v>383</v>
      </c>
      <c r="B19" s="51">
        <v>26.94</v>
      </c>
      <c r="C19" s="51">
        <v>84.51</v>
      </c>
      <c r="D19" s="51">
        <v>63.39</v>
      </c>
      <c r="E19" s="51">
        <v>5.45</v>
      </c>
      <c r="F19" s="51">
        <v>13.82</v>
      </c>
      <c r="G19" s="51">
        <v>146.88999999999999</v>
      </c>
      <c r="H19" s="51">
        <v>47.16</v>
      </c>
      <c r="I19" s="51">
        <v>0.73</v>
      </c>
      <c r="J19" s="51">
        <v>0.44</v>
      </c>
      <c r="K19" s="51">
        <v>352.67</v>
      </c>
      <c r="L19" s="51">
        <v>30.73</v>
      </c>
      <c r="M19" s="51">
        <v>49</v>
      </c>
      <c r="N19" s="51">
        <v>517.90</v>
      </c>
      <c r="O19" s="51">
        <v>0</v>
      </c>
      <c r="P19" s="51">
        <v>1.33</v>
      </c>
      <c r="Q19" s="51">
        <v>39.21</v>
      </c>
      <c r="R19" s="43"/>
      <c r="S19" s="43"/>
      <c r="T19" s="43"/>
      <c r="U19" s="43"/>
    </row>
    <row r="20" spans="1:21" s="11" customFormat="1" ht="15">
      <c r="A20" s="50" t="s">
        <v>384</v>
      </c>
      <c r="B20" s="51">
        <v>2.31</v>
      </c>
      <c r="C20" s="51">
        <v>73.010000000000005</v>
      </c>
      <c r="D20" s="51">
        <v>42.56</v>
      </c>
      <c r="E20" s="51">
        <v>4.70</v>
      </c>
      <c r="F20" s="51">
        <v>14.42</v>
      </c>
      <c r="G20" s="51">
        <v>113.15</v>
      </c>
      <c r="H20" s="51">
        <v>45.35</v>
      </c>
      <c r="I20" s="51">
        <v>0.56999999999999995</v>
      </c>
      <c r="J20" s="51">
        <v>0.81</v>
      </c>
      <c r="K20" s="51">
        <v>355.79</v>
      </c>
      <c r="L20" s="51">
        <v>31.47</v>
      </c>
      <c r="M20" s="51">
        <v>46</v>
      </c>
      <c r="N20" s="51">
        <v>565.60</v>
      </c>
      <c r="O20" s="51">
        <v>0</v>
      </c>
      <c r="P20" s="51">
        <v>1.35</v>
      </c>
      <c r="Q20" s="51">
        <v>25.26</v>
      </c>
      <c r="R20" s="43"/>
      <c r="S20" s="43"/>
      <c r="T20" s="43"/>
      <c r="U20" s="43"/>
    </row>
    <row r="21" spans="1:21" s="11" customFormat="1" ht="15">
      <c r="A21" s="50" t="s">
        <v>385</v>
      </c>
      <c r="B21" s="51">
        <v>1.18</v>
      </c>
      <c r="C21" s="51">
        <v>62.21</v>
      </c>
      <c r="D21" s="51">
        <v>35.69</v>
      </c>
      <c r="E21" s="51">
        <v>5.03</v>
      </c>
      <c r="F21" s="51">
        <v>15.85</v>
      </c>
      <c r="G21" s="53" t="s">
        <v>8</v>
      </c>
      <c r="H21" s="51">
        <v>43.62</v>
      </c>
      <c r="I21" s="51">
        <v>0.53</v>
      </c>
      <c r="J21" s="51">
        <v>0.38</v>
      </c>
      <c r="K21" s="51">
        <v>29.37</v>
      </c>
      <c r="L21" s="51">
        <v>29.64</v>
      </c>
      <c r="M21" s="51">
        <v>45</v>
      </c>
      <c r="N21" s="51">
        <v>568.5</v>
      </c>
      <c r="O21" s="51">
        <v>0</v>
      </c>
      <c r="P21" s="51">
        <v>1.18</v>
      </c>
      <c r="Q21" s="51">
        <v>23.92</v>
      </c>
      <c r="R21" s="43"/>
      <c r="S21" s="43"/>
      <c r="T21" s="43"/>
      <c r="U21" s="43"/>
    </row>
    <row r="22" spans="1:21" s="11" customFormat="1" ht="15">
      <c r="A22" s="50" t="s">
        <v>386</v>
      </c>
      <c r="B22" s="51">
        <v>1.01</v>
      </c>
      <c r="C22" s="51">
        <v>48.46</v>
      </c>
      <c r="D22" s="51">
        <v>27.88</v>
      </c>
      <c r="E22" s="51">
        <v>5.1100000000000003</v>
      </c>
      <c r="F22" s="51">
        <v>15.99</v>
      </c>
      <c r="G22" s="53" t="s">
        <v>8</v>
      </c>
      <c r="H22" s="53" t="s">
        <v>8</v>
      </c>
      <c r="I22" s="51">
        <v>0.5</v>
      </c>
      <c r="J22" s="51">
        <v>0.34</v>
      </c>
      <c r="K22" s="51">
        <v>358.29</v>
      </c>
      <c r="L22" s="51">
        <v>31.01</v>
      </c>
      <c r="M22" s="51">
        <v>42</v>
      </c>
      <c r="N22" s="51">
        <v>538.5</v>
      </c>
      <c r="O22" s="51">
        <v>0</v>
      </c>
      <c r="P22" s="51">
        <v>0.68</v>
      </c>
      <c r="Q22" s="51">
        <v>21.11</v>
      </c>
      <c r="R22" s="43"/>
      <c r="S22" s="43"/>
      <c r="T22" s="43"/>
      <c r="U22" s="43"/>
    </row>
    <row r="23" spans="1:21" s="11" customFormat="1" ht="15">
      <c r="A23" s="50" t="s">
        <v>387</v>
      </c>
      <c r="B23" s="51">
        <v>1.52</v>
      </c>
      <c r="C23" s="51">
        <v>47.16</v>
      </c>
      <c r="D23" s="51">
        <v>27.56</v>
      </c>
      <c r="E23" s="51">
        <v>6.04</v>
      </c>
      <c r="F23" s="51">
        <v>16</v>
      </c>
      <c r="G23" s="58" t="s">
        <v>12</v>
      </c>
      <c r="H23" s="58" t="s">
        <v>12</v>
      </c>
      <c r="I23" s="51">
        <v>0.53</v>
      </c>
      <c r="J23" s="51">
        <v>0.35</v>
      </c>
      <c r="K23" s="51">
        <v>350.43</v>
      </c>
      <c r="L23" s="51">
        <v>30.19</v>
      </c>
      <c r="M23" s="51">
        <v>39</v>
      </c>
      <c r="N23" s="51">
        <v>436.60</v>
      </c>
      <c r="O23" s="51">
        <v>0</v>
      </c>
      <c r="P23" s="51">
        <v>0.78</v>
      </c>
      <c r="Q23" s="51">
        <v>215.04</v>
      </c>
      <c r="R23" s="43"/>
      <c r="S23" s="43"/>
      <c r="T23" s="43"/>
      <c r="U23" s="43"/>
    </row>
    <row r="24" spans="1:21" s="11" customFormat="1" ht="15">
      <c r="A24" s="50" t="s">
        <v>388</v>
      </c>
      <c r="B24" s="51">
        <v>1.42</v>
      </c>
      <c r="C24" s="51">
        <v>53.13</v>
      </c>
      <c r="D24" s="51">
        <v>30.88</v>
      </c>
      <c r="E24" s="51">
        <v>6.42</v>
      </c>
      <c r="F24" s="51">
        <v>13.24</v>
      </c>
      <c r="G24" s="51">
        <v>47.85</v>
      </c>
      <c r="H24" s="51">
        <v>7.57</v>
      </c>
      <c r="I24" s="51">
        <v>0.56999999999999995</v>
      </c>
      <c r="J24" s="51">
        <v>0.30</v>
      </c>
      <c r="K24" s="51">
        <v>40.97</v>
      </c>
      <c r="L24" s="51">
        <v>30.12</v>
      </c>
      <c r="M24" s="51">
        <v>39</v>
      </c>
      <c r="N24" s="51">
        <v>317.10000000000002</v>
      </c>
      <c r="O24" s="51">
        <v>0</v>
      </c>
      <c r="P24" s="51">
        <v>0.78</v>
      </c>
      <c r="Q24" s="51">
        <v>243.28</v>
      </c>
      <c r="R24" s="43"/>
      <c r="S24" s="43"/>
      <c r="T24" s="43"/>
      <c r="U24" s="43"/>
    </row>
    <row r="25" spans="1:21" s="11" customFormat="1" ht="15">
      <c r="A25" s="50" t="s">
        <v>389</v>
      </c>
      <c r="B25" s="51">
        <v>3.39</v>
      </c>
      <c r="C25" s="51">
        <v>62.76</v>
      </c>
      <c r="D25" s="51">
        <v>37.770000000000003</v>
      </c>
      <c r="E25" s="51">
        <v>5.33</v>
      </c>
      <c r="F25" s="51">
        <v>15.27</v>
      </c>
      <c r="G25" s="51">
        <v>47.85</v>
      </c>
      <c r="H25" s="51">
        <v>13.16</v>
      </c>
      <c r="I25" s="51">
        <v>0.53</v>
      </c>
      <c r="J25" s="51">
        <v>0.21</v>
      </c>
      <c r="K25" s="51">
        <v>39.69</v>
      </c>
      <c r="L25" s="51">
        <v>28.22</v>
      </c>
      <c r="M25" s="51">
        <v>43</v>
      </c>
      <c r="N25" s="51">
        <v>93.70</v>
      </c>
      <c r="O25" s="51">
        <v>0</v>
      </c>
      <c r="P25" s="51">
        <v>0.98</v>
      </c>
      <c r="Q25" s="51">
        <v>45.24</v>
      </c>
      <c r="R25" s="43"/>
      <c r="S25" s="43"/>
      <c r="T25" s="43"/>
      <c r="U25" s="43"/>
    </row>
    <row r="26" spans="1:21" s="11" customFormat="1" ht="15">
      <c r="A26" s="50" t="s">
        <v>390</v>
      </c>
      <c r="B26" s="51">
        <v>8.2899999999999991</v>
      </c>
      <c r="C26" s="51">
        <v>76.42</v>
      </c>
      <c r="D26" s="51">
        <v>49.23</v>
      </c>
      <c r="E26" s="51">
        <v>5.95</v>
      </c>
      <c r="F26" s="51">
        <v>12.99</v>
      </c>
      <c r="G26" s="51">
        <v>54.36</v>
      </c>
      <c r="H26" s="51">
        <v>24.46</v>
      </c>
      <c r="I26" s="51">
        <v>0.55000000000000004</v>
      </c>
      <c r="J26" s="51">
        <v>0.13</v>
      </c>
      <c r="K26" s="51">
        <v>318.52999999999997</v>
      </c>
      <c r="L26" s="51">
        <v>26.92</v>
      </c>
      <c r="M26" s="51">
        <v>51</v>
      </c>
      <c r="N26" s="51">
        <v>19.899999999999999</v>
      </c>
      <c r="O26" s="51">
        <v>0</v>
      </c>
      <c r="P26" s="51">
        <v>1.25</v>
      </c>
      <c r="Q26" s="51">
        <v>39.409999999999997</v>
      </c>
      <c r="R26" s="43"/>
      <c r="S26" s="43"/>
      <c r="T26" s="43"/>
      <c r="U26" s="43"/>
    </row>
    <row r="27" spans="1:21" s="11" customFormat="1" ht="15">
      <c r="A27" s="50" t="s">
        <v>391</v>
      </c>
      <c r="B27" s="51">
        <v>10.34</v>
      </c>
      <c r="C27" s="51">
        <v>76.06</v>
      </c>
      <c r="D27" s="51">
        <v>49.97</v>
      </c>
      <c r="E27" s="51">
        <v>3.62</v>
      </c>
      <c r="F27" s="51">
        <v>6.77</v>
      </c>
      <c r="G27" s="51">
        <v>69.86</v>
      </c>
      <c r="H27" s="51">
        <v>31.58</v>
      </c>
      <c r="I27" s="51">
        <v>0.62</v>
      </c>
      <c r="J27" s="51">
        <v>0.10</v>
      </c>
      <c r="K27" s="51">
        <v>304.20</v>
      </c>
      <c r="L27" s="51">
        <v>24.5</v>
      </c>
      <c r="M27" s="51">
        <v>60</v>
      </c>
      <c r="N27" s="59" t="s">
        <v>15</v>
      </c>
      <c r="O27" s="51">
        <v>0</v>
      </c>
      <c r="P27" s="51">
        <v>1.26</v>
      </c>
      <c r="Q27" s="51">
        <v>39.11</v>
      </c>
      <c r="R27" s="43"/>
      <c r="S27" s="43"/>
      <c r="T27" s="43"/>
      <c r="U27" s="43"/>
    </row>
    <row r="28" spans="1:21" s="11" customFormat="1" ht="15">
      <c r="A28" s="50" t="s">
        <v>392</v>
      </c>
      <c r="B28" s="51">
        <v>35.409999999999997</v>
      </c>
      <c r="C28" s="51">
        <v>85.01</v>
      </c>
      <c r="D28" s="51">
        <v>75.72</v>
      </c>
      <c r="E28" s="51">
        <v>3.51</v>
      </c>
      <c r="F28" s="51">
        <v>5.30</v>
      </c>
      <c r="G28" s="51">
        <v>95.05</v>
      </c>
      <c r="H28" s="51">
        <v>42.96</v>
      </c>
      <c r="I28" s="51">
        <v>0.73</v>
      </c>
      <c r="J28" s="51">
        <v>0.12</v>
      </c>
      <c r="K28" s="51">
        <v>347.08</v>
      </c>
      <c r="L28" s="51">
        <v>22.73</v>
      </c>
      <c r="M28" s="51">
        <v>63</v>
      </c>
      <c r="N28" s="59" t="s">
        <v>15</v>
      </c>
      <c r="O28" s="51">
        <v>0</v>
      </c>
      <c r="P28" s="51">
        <v>1.86</v>
      </c>
      <c r="Q28" s="51">
        <v>37.32</v>
      </c>
      <c r="R28" s="43"/>
      <c r="S28" s="43"/>
      <c r="T28" s="43"/>
      <c r="U28" s="43"/>
    </row>
    <row r="29" spans="1:21" s="11" customFormat="1" ht="15">
      <c r="A29" s="50" t="s">
        <v>393</v>
      </c>
      <c r="B29" s="51">
        <v>48.09</v>
      </c>
      <c r="C29" s="51">
        <v>86.77</v>
      </c>
      <c r="D29" s="51">
        <v>85.41</v>
      </c>
      <c r="E29" s="51">
        <v>4.28</v>
      </c>
      <c r="F29" s="51">
        <v>5.34</v>
      </c>
      <c r="G29" s="51">
        <v>115.65</v>
      </c>
      <c r="H29" s="51">
        <v>51.67</v>
      </c>
      <c r="I29" s="51">
        <v>0.90</v>
      </c>
      <c r="J29" s="51">
        <v>0.15</v>
      </c>
      <c r="K29" s="51">
        <v>314.31</v>
      </c>
      <c r="L29" s="51">
        <v>22.22</v>
      </c>
      <c r="M29" s="51">
        <v>61</v>
      </c>
      <c r="N29" s="59" t="s">
        <v>15</v>
      </c>
      <c r="O29" s="51">
        <v>0</v>
      </c>
      <c r="P29" s="51">
        <v>2.06</v>
      </c>
      <c r="Q29" s="51">
        <v>32.590000000000003</v>
      </c>
      <c r="R29" s="43"/>
      <c r="S29" s="43"/>
      <c r="T29" s="43"/>
      <c r="U29" s="43"/>
    </row>
    <row r="30" spans="1:21" s="11" customFormat="1" ht="15">
      <c r="A30" s="50" t="s">
        <v>394</v>
      </c>
      <c r="B30" s="51">
        <v>48.20</v>
      </c>
      <c r="C30" s="51">
        <v>83.31</v>
      </c>
      <c r="D30" s="51">
        <v>84.80</v>
      </c>
      <c r="E30" s="51">
        <v>4.5999999999999996</v>
      </c>
      <c r="F30" s="51">
        <v>5.39</v>
      </c>
      <c r="G30" s="51">
        <v>118.30</v>
      </c>
      <c r="H30" s="51">
        <v>51.67</v>
      </c>
      <c r="I30" s="51">
        <v>0.95</v>
      </c>
      <c r="J30" s="51">
        <v>0.11</v>
      </c>
      <c r="K30" s="51">
        <v>340.55</v>
      </c>
      <c r="L30" s="51">
        <v>21.66</v>
      </c>
      <c r="M30" s="51">
        <v>62</v>
      </c>
      <c r="N30" s="59" t="s">
        <v>15</v>
      </c>
      <c r="O30" s="51">
        <v>0</v>
      </c>
      <c r="P30" s="51">
        <v>2.0699999999999998</v>
      </c>
      <c r="Q30" s="51">
        <v>34.06</v>
      </c>
      <c r="R30" s="43"/>
      <c r="S30" s="43"/>
      <c r="T30" s="43"/>
      <c r="U30" s="43"/>
    </row>
    <row r="31" spans="1:21" s="11" customFormat="1" ht="15">
      <c r="A31" s="50" t="s">
        <v>395</v>
      </c>
      <c r="B31" s="51">
        <v>49.02</v>
      </c>
      <c r="C31" s="51">
        <v>82.71</v>
      </c>
      <c r="D31" s="51">
        <v>85.31</v>
      </c>
      <c r="E31" s="51">
        <v>4.20</v>
      </c>
      <c r="F31" s="51">
        <v>5.33</v>
      </c>
      <c r="G31" s="51">
        <v>118.30</v>
      </c>
      <c r="H31" s="51">
        <v>49.99</v>
      </c>
      <c r="I31" s="51">
        <v>0.96</v>
      </c>
      <c r="J31" s="51">
        <v>0.52</v>
      </c>
      <c r="K31" s="51">
        <v>347.29</v>
      </c>
      <c r="L31" s="51">
        <v>20.87</v>
      </c>
      <c r="M31" s="51">
        <v>64</v>
      </c>
      <c r="N31" s="59" t="s">
        <v>15</v>
      </c>
      <c r="O31" s="51">
        <v>0</v>
      </c>
      <c r="P31" s="51">
        <v>2.0699999999999998</v>
      </c>
      <c r="Q31" s="51">
        <v>34.19</v>
      </c>
      <c r="R31" s="43"/>
      <c r="S31" s="43"/>
      <c r="T31" s="43"/>
      <c r="U31" s="43"/>
    </row>
    <row r="32" spans="1:21" s="11" customFormat="1" ht="15">
      <c r="A32" s="50" t="s">
        <v>396</v>
      </c>
      <c r="B32" s="51">
        <v>45.09</v>
      </c>
      <c r="C32" s="51">
        <v>82.32</v>
      </c>
      <c r="D32" s="51">
        <v>82</v>
      </c>
      <c r="E32" s="51">
        <v>4.07</v>
      </c>
      <c r="F32" s="51">
        <v>5.37</v>
      </c>
      <c r="G32" s="51">
        <v>103.37</v>
      </c>
      <c r="H32" s="51">
        <v>42.20</v>
      </c>
      <c r="I32" s="51">
        <v>0.93</v>
      </c>
      <c r="J32" s="51">
        <v>0.16</v>
      </c>
      <c r="K32" s="51">
        <v>295.04000000000002</v>
      </c>
      <c r="L32" s="51">
        <v>20.64</v>
      </c>
      <c r="M32" s="51">
        <v>66</v>
      </c>
      <c r="N32" s="59" t="s">
        <v>15</v>
      </c>
      <c r="O32" s="51">
        <v>0</v>
      </c>
      <c r="P32" s="51">
        <v>1.88</v>
      </c>
      <c r="Q32" s="51">
        <v>29.46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1.01</v>
      </c>
      <c r="C34" s="28">
        <f t="shared" si="0"/>
        <v>47.159999999999997</v>
      </c>
      <c r="D34" s="28">
        <f t="shared" si="0"/>
        <v>27.559999999999999</v>
      </c>
      <c r="E34" s="28">
        <f t="shared" si="0"/>
        <v>3.4399999999999999</v>
      </c>
      <c r="F34" s="28">
        <f t="shared" si="0"/>
        <v>5.1299999999999999</v>
      </c>
      <c r="G34" s="28">
        <f t="shared" si="0"/>
        <v>47.850000000000001</v>
      </c>
      <c r="H34" s="28">
        <f t="shared" si="0"/>
        <v>7.5700000000000003</v>
      </c>
      <c r="I34" s="28">
        <f t="shared" si="0"/>
        <v>0.5</v>
      </c>
      <c r="J34" s="28">
        <f t="shared" si="0"/>
        <v>0.059999999999999998</v>
      </c>
      <c r="K34" s="28">
        <f t="shared" si="0"/>
        <v>17.25</v>
      </c>
      <c r="L34" s="28">
        <f t="shared" si="0"/>
        <v>17.18</v>
      </c>
      <c r="M34" s="28">
        <f t="shared" si="0"/>
        <v>39</v>
      </c>
      <c r="N34" s="28">
        <f t="shared" si="0"/>
        <v>12.6</v>
      </c>
      <c r="O34" s="28">
        <f t="shared" si="0"/>
        <v>0</v>
      </c>
      <c r="P34" s="28">
        <f t="shared" si="0"/>
        <v>0.68000000000000005</v>
      </c>
      <c r="Q34" s="28">
        <f t="shared" si="0"/>
        <v>21.109999999999999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77.219999999999999</v>
      </c>
      <c r="C35" s="29">
        <f t="shared" si="1"/>
        <v>86.769999999999996</v>
      </c>
      <c r="D35" s="29">
        <f t="shared" si="1"/>
        <v>109.40000000000001</v>
      </c>
      <c r="E35" s="29">
        <f t="shared" si="1"/>
        <v>6.4199999999999999</v>
      </c>
      <c r="F35" s="29">
        <f t="shared" si="1"/>
        <v>16</v>
      </c>
      <c r="G35" s="29">
        <f t="shared" si="1"/>
        <v>146.88999999999999</v>
      </c>
      <c r="H35" s="29">
        <f t="shared" si="1"/>
        <v>52</v>
      </c>
      <c r="I35" s="29">
        <f t="shared" si="1"/>
        <v>1.1100000000000001</v>
      </c>
      <c r="J35" s="29">
        <f t="shared" si="1"/>
        <v>0.81000000000000005</v>
      </c>
      <c r="K35" s="29">
        <f t="shared" si="1"/>
        <v>359.75999999999999</v>
      </c>
      <c r="L35" s="29">
        <f t="shared" si="1"/>
        <v>31.469999999999999</v>
      </c>
      <c r="M35" s="29">
        <f t="shared" si="1"/>
        <v>90</v>
      </c>
      <c r="N35" s="29">
        <f t="shared" si="1"/>
        <v>568.5</v>
      </c>
      <c r="O35" s="29">
        <f t="shared" si="1"/>
        <v>0</v>
      </c>
      <c r="P35" s="29">
        <f t="shared" si="1"/>
        <v>2.1600000000000001</v>
      </c>
      <c r="Q35" s="29">
        <f t="shared" si="1"/>
        <v>243.28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29.083750000000006</v>
      </c>
      <c r="C36" s="28">
        <f t="shared" si="2"/>
        <v>71.935416666666669</v>
      </c>
      <c r="D36" s="28">
        <f t="shared" si="2"/>
        <v>62.988750000000003</v>
      </c>
      <c r="E36" s="28">
        <f t="shared" si="2"/>
        <v>4.526250000000001</v>
      </c>
      <c r="F36" s="28">
        <f t="shared" si="2"/>
        <v>8.4966666666666679</v>
      </c>
      <c r="G36" s="28">
        <f t="shared" si="2"/>
        <v>89.470476190476177</v>
      </c>
      <c r="H36" s="28">
        <f t="shared" si="2"/>
        <v>39.626818181818187</v>
      </c>
      <c r="I36" s="28">
        <f t="shared" si="2"/>
        <v>0.74124999999999996</v>
      </c>
      <c r="J36" s="28">
        <f t="shared" si="2"/>
        <v>0.29458333333333336</v>
      </c>
      <c r="K36" s="28">
        <f t="shared" si="2"/>
        <v>275.18791666666664</v>
      </c>
      <c r="L36" s="28">
        <f t="shared" si="2"/>
        <v>23.609999999999996</v>
      </c>
      <c r="M36" s="28">
        <f t="shared" si="2"/>
        <v>64.208333333333329</v>
      </c>
      <c r="N36" s="28">
        <f t="shared" si="2"/>
        <v>322.22499999999997</v>
      </c>
      <c r="O36" s="28">
        <f t="shared" si="2"/>
        <v>0</v>
      </c>
      <c r="P36" s="28">
        <f t="shared" si="2"/>
        <v>1.3825000000000003</v>
      </c>
      <c r="Q36" s="28">
        <f t="shared" si="2"/>
        <v>53.094583333333325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21.263025432507906</v>
      </c>
      <c r="C37" s="28">
        <f t="shared" si="3" ref="C37:Q37">STDEV(C9:C32)</f>
        <v>11.416844526806706</v>
      </c>
      <c r="D37" s="28">
        <f t="shared" si="3"/>
        <v>21.859119142223303</v>
      </c>
      <c r="E37" s="28">
        <f t="shared" si="3"/>
        <v>0.83820103690037806</v>
      </c>
      <c r="F37" s="28">
        <f t="shared" si="3"/>
        <v>4.5421472289298741</v>
      </c>
      <c r="G37" s="28">
        <f t="shared" si="3"/>
        <v>28.201529120987566</v>
      </c>
      <c r="H37" s="28">
        <f t="shared" si="3"/>
        <v>11.724631535022079</v>
      </c>
      <c r="I37" s="28">
        <f t="shared" si="3"/>
        <v>0.17170025702039518</v>
      </c>
      <c r="J37" s="28">
        <f t="shared" si="3"/>
        <v>0.21759513994466012</v>
      </c>
      <c r="K37" s="28">
        <f t="shared" si="3"/>
        <v>116.43978720049735</v>
      </c>
      <c r="L37" s="28">
        <f t="shared" si="3"/>
        <v>5.1599578697302828</v>
      </c>
      <c r="M37" s="28">
        <f t="shared" si="3"/>
        <v>17.786118589865339</v>
      </c>
      <c r="N37" s="28">
        <f t="shared" si="3"/>
        <v>214.71400481486151</v>
      </c>
      <c r="O37" s="28">
        <f t="shared" si="3"/>
        <v>0</v>
      </c>
      <c r="P37" s="28">
        <f t="shared" si="3"/>
        <v>0.43326114225868878</v>
      </c>
      <c r="Q37" s="28">
        <f t="shared" si="3"/>
        <v>54.782512600056641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ecc6ea3-c5d1-4113-b4a7-ad030c20365d}">
  <sheetPr codeName=""/>
  <dimension ref="A1:U119"/>
  <sheetViews>
    <sheetView workbookViewId="0" topLeftCell="A1">
      <pane xSplit="2" ySplit="8" topLeftCell="C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3.8571428571429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13-01-2023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349</v>
      </c>
      <c r="B9" s="51">
        <v>149.52000000000001</v>
      </c>
      <c r="C9" s="51">
        <v>182.26</v>
      </c>
      <c r="D9" s="51">
        <v>220.91</v>
      </c>
      <c r="E9" s="51">
        <v>4.3899999999999997</v>
      </c>
      <c r="F9" s="51">
        <v>0.05</v>
      </c>
      <c r="G9" s="51">
        <v>149.71</v>
      </c>
      <c r="H9" s="51">
        <v>72.89</v>
      </c>
      <c r="I9" s="51">
        <v>1.1399999999999999</v>
      </c>
      <c r="J9" s="51">
        <v>0.36</v>
      </c>
      <c r="K9" s="51">
        <v>317.87</v>
      </c>
      <c r="L9" s="51">
        <v>18.399999999999999</v>
      </c>
      <c r="M9" s="51">
        <v>66</v>
      </c>
      <c r="N9" s="59" t="s">
        <v>15</v>
      </c>
      <c r="O9" s="51">
        <v>0</v>
      </c>
      <c r="P9" s="51">
        <v>2.87</v>
      </c>
      <c r="Q9" s="51">
        <v>49.27</v>
      </c>
      <c r="R9" s="43"/>
      <c r="S9" s="43"/>
      <c r="T9" s="43"/>
      <c r="U9" s="43"/>
    </row>
    <row r="10" spans="1:21" s="11" customFormat="1" ht="15">
      <c r="A10" s="50" t="s">
        <v>350</v>
      </c>
      <c r="B10" s="51">
        <v>104.33</v>
      </c>
      <c r="C10" s="51">
        <v>150.63</v>
      </c>
      <c r="D10" s="51">
        <v>167.21</v>
      </c>
      <c r="E10" s="51">
        <v>3.76</v>
      </c>
      <c r="F10" s="51">
        <v>0.19</v>
      </c>
      <c r="G10" s="59" t="s">
        <v>15</v>
      </c>
      <c r="H10" s="51">
        <v>64.13</v>
      </c>
      <c r="I10" s="51">
        <v>0.80</v>
      </c>
      <c r="J10" s="51">
        <v>0.09</v>
      </c>
      <c r="K10" s="51">
        <v>307.56</v>
      </c>
      <c r="L10" s="51">
        <v>17.329999999999998</v>
      </c>
      <c r="M10" s="51">
        <v>72</v>
      </c>
      <c r="N10" s="59" t="s">
        <v>15</v>
      </c>
      <c r="O10" s="51">
        <v>0</v>
      </c>
      <c r="P10" s="51">
        <v>2.29</v>
      </c>
      <c r="Q10" s="51">
        <v>43.75</v>
      </c>
      <c r="R10" s="43"/>
      <c r="S10" s="43"/>
      <c r="T10" s="43"/>
      <c r="U10" s="43"/>
    </row>
    <row r="11" spans="1:21" s="11" customFormat="1" ht="15">
      <c r="A11" s="50" t="s">
        <v>351</v>
      </c>
      <c r="B11" s="51">
        <v>78.069999999999993</v>
      </c>
      <c r="C11" s="51">
        <v>129.83000000000001</v>
      </c>
      <c r="D11" s="51">
        <v>134.66999999999999</v>
      </c>
      <c r="E11" s="51">
        <v>3.61</v>
      </c>
      <c r="F11" s="51">
        <v>0.20</v>
      </c>
      <c r="G11" s="51">
        <v>62.67</v>
      </c>
      <c r="H11" s="51">
        <v>53.12</v>
      </c>
      <c r="I11" s="51">
        <v>0.71</v>
      </c>
      <c r="J11" s="51">
        <v>0.22</v>
      </c>
      <c r="K11" s="51">
        <v>331.18</v>
      </c>
      <c r="L11" s="51">
        <v>16.739999999999998</v>
      </c>
      <c r="M11" s="51">
        <v>75</v>
      </c>
      <c r="N11" s="59" t="s">
        <v>15</v>
      </c>
      <c r="O11" s="51">
        <v>0</v>
      </c>
      <c r="P11" s="51">
        <v>2.02</v>
      </c>
      <c r="Q11" s="51">
        <v>40.39</v>
      </c>
      <c r="R11" s="43"/>
      <c r="S11" s="43"/>
      <c r="T11" s="43"/>
      <c r="U11" s="43"/>
    </row>
    <row r="12" spans="1:21" s="11" customFormat="1" ht="15">
      <c r="A12" s="50" t="s">
        <v>352</v>
      </c>
      <c r="B12" s="51">
        <v>58.33</v>
      </c>
      <c r="C12" s="51">
        <v>113.13</v>
      </c>
      <c r="D12" s="51">
        <v>109.63</v>
      </c>
      <c r="E12" s="51">
        <v>3.71</v>
      </c>
      <c r="F12" s="51">
        <v>0.01</v>
      </c>
      <c r="G12" s="51">
        <v>80.67</v>
      </c>
      <c r="H12" s="51">
        <v>43.64</v>
      </c>
      <c r="I12" s="51">
        <v>0.57999999999999996</v>
      </c>
      <c r="J12" s="51">
        <v>0.12</v>
      </c>
      <c r="K12" s="51">
        <v>343.70</v>
      </c>
      <c r="L12" s="51">
        <v>15.95</v>
      </c>
      <c r="M12" s="51">
        <v>79</v>
      </c>
      <c r="N12" s="59" t="s">
        <v>15</v>
      </c>
      <c r="O12" s="51">
        <v>0</v>
      </c>
      <c r="P12" s="51">
        <v>1.72</v>
      </c>
      <c r="Q12" s="51">
        <v>40.619999999999997</v>
      </c>
      <c r="R12" s="43"/>
      <c r="S12" s="43"/>
      <c r="T12" s="43"/>
      <c r="U12" s="43"/>
    </row>
    <row r="13" spans="1:21" s="11" customFormat="1" ht="15">
      <c r="A13" s="50" t="s">
        <v>353</v>
      </c>
      <c r="B13" s="51">
        <v>46.21</v>
      </c>
      <c r="C13" s="51">
        <v>104.61</v>
      </c>
      <c r="D13" s="51">
        <v>95.20</v>
      </c>
      <c r="E13" s="51">
        <v>3.86</v>
      </c>
      <c r="F13" s="51">
        <v>0.02</v>
      </c>
      <c r="G13" s="51">
        <v>163.71</v>
      </c>
      <c r="H13" s="51">
        <v>39.880000000000003</v>
      </c>
      <c r="I13" s="51">
        <v>0.48</v>
      </c>
      <c r="J13" s="51">
        <v>0.13</v>
      </c>
      <c r="K13" s="51">
        <v>311.12</v>
      </c>
      <c r="L13" s="51">
        <v>15.76</v>
      </c>
      <c r="M13" s="51">
        <v>83</v>
      </c>
      <c r="N13" s="59" t="s">
        <v>15</v>
      </c>
      <c r="O13" s="51">
        <v>0</v>
      </c>
      <c r="P13" s="51">
        <v>1.48</v>
      </c>
      <c r="Q13" s="51">
        <v>38.33</v>
      </c>
      <c r="R13" s="43"/>
      <c r="S13" s="43"/>
      <c r="T13" s="43"/>
      <c r="U13" s="43"/>
    </row>
    <row r="14" spans="1:21" s="11" customFormat="1" ht="15">
      <c r="A14" s="50" t="s">
        <v>354</v>
      </c>
      <c r="B14" s="51">
        <v>69.56</v>
      </c>
      <c r="C14" s="51">
        <v>115.18</v>
      </c>
      <c r="D14" s="51">
        <v>119.76</v>
      </c>
      <c r="E14" s="51">
        <v>4.0999999999999996</v>
      </c>
      <c r="F14" s="51">
        <v>0.06</v>
      </c>
      <c r="G14" s="51">
        <v>163.71</v>
      </c>
      <c r="H14" s="51">
        <v>43.40</v>
      </c>
      <c r="I14" s="51">
        <v>0.42</v>
      </c>
      <c r="J14" s="51">
        <v>0.13</v>
      </c>
      <c r="K14" s="51">
        <v>329.35</v>
      </c>
      <c r="L14" s="51">
        <v>15.28</v>
      </c>
      <c r="M14" s="51">
        <v>85</v>
      </c>
      <c r="N14" s="59" t="s">
        <v>15</v>
      </c>
      <c r="O14" s="51">
        <v>0</v>
      </c>
      <c r="P14" s="51">
        <v>1.36</v>
      </c>
      <c r="Q14" s="51">
        <v>37.520000000000003</v>
      </c>
      <c r="R14" s="43"/>
      <c r="S14" s="43"/>
      <c r="T14" s="43"/>
      <c r="U14" s="43"/>
    </row>
    <row r="15" spans="1:21" s="11" customFormat="1" ht="15">
      <c r="A15" s="50" t="s">
        <v>355</v>
      </c>
      <c r="B15" s="51">
        <v>82.54</v>
      </c>
      <c r="C15" s="51">
        <v>123.53</v>
      </c>
      <c r="D15" s="51">
        <v>134.78</v>
      </c>
      <c r="E15" s="51">
        <v>4.13</v>
      </c>
      <c r="F15" s="51">
        <v>0.22</v>
      </c>
      <c r="G15" s="51">
        <v>125.74</v>
      </c>
      <c r="H15" s="51">
        <v>46.14</v>
      </c>
      <c r="I15" s="51">
        <v>0.43</v>
      </c>
      <c r="J15" s="51">
        <v>0.19</v>
      </c>
      <c r="K15" s="51">
        <v>354.46</v>
      </c>
      <c r="L15" s="51">
        <v>15.52</v>
      </c>
      <c r="M15" s="51">
        <v>85</v>
      </c>
      <c r="N15" s="59" t="s">
        <v>15</v>
      </c>
      <c r="O15" s="51">
        <v>0</v>
      </c>
      <c r="P15" s="51">
        <v>1.39</v>
      </c>
      <c r="Q15" s="51">
        <v>40.46</v>
      </c>
      <c r="R15" s="43"/>
      <c r="S15" s="43"/>
      <c r="T15" s="43"/>
      <c r="U15" s="43"/>
    </row>
    <row r="16" spans="1:21" s="11" customFormat="1" ht="15">
      <c r="A16" s="50" t="s">
        <v>356</v>
      </c>
      <c r="B16" s="51">
        <v>90.48</v>
      </c>
      <c r="C16" s="51">
        <v>132.88999999999999</v>
      </c>
      <c r="D16" s="51">
        <v>146.31</v>
      </c>
      <c r="E16" s="51">
        <v>4.54</v>
      </c>
      <c r="F16" s="51">
        <v>0.070000000000000007</v>
      </c>
      <c r="G16" s="51">
        <v>221.24</v>
      </c>
      <c r="H16" s="51">
        <v>49.08</v>
      </c>
      <c r="I16" s="51">
        <v>0.42</v>
      </c>
      <c r="J16" s="51">
        <v>0.18</v>
      </c>
      <c r="K16" s="51">
        <v>353.49</v>
      </c>
      <c r="L16" s="51">
        <v>17.940000000000001</v>
      </c>
      <c r="M16" s="51">
        <v>80</v>
      </c>
      <c r="N16" s="51">
        <v>45.10</v>
      </c>
      <c r="O16" s="51">
        <v>0</v>
      </c>
      <c r="P16" s="51">
        <v>1.48</v>
      </c>
      <c r="Q16" s="51">
        <v>40.409999999999997</v>
      </c>
      <c r="R16" s="43"/>
      <c r="S16" s="43"/>
      <c r="T16" s="43"/>
      <c r="U16" s="43"/>
    </row>
    <row r="17" spans="1:21" s="11" customFormat="1" ht="15">
      <c r="A17" s="50" t="s">
        <v>357</v>
      </c>
      <c r="B17" s="51">
        <v>82.49</v>
      </c>
      <c r="C17" s="51">
        <v>129.05000000000001</v>
      </c>
      <c r="D17" s="51">
        <v>137.78</v>
      </c>
      <c r="E17" s="51">
        <v>4.12</v>
      </c>
      <c r="F17" s="51">
        <v>0.11</v>
      </c>
      <c r="G17" s="51">
        <v>221.24</v>
      </c>
      <c r="H17" s="51">
        <v>49.08</v>
      </c>
      <c r="I17" s="51">
        <v>0.39</v>
      </c>
      <c r="J17" s="51">
        <v>0.80</v>
      </c>
      <c r="K17" s="51">
        <v>229.05</v>
      </c>
      <c r="L17" s="51">
        <v>20.79</v>
      </c>
      <c r="M17" s="51">
        <v>66</v>
      </c>
      <c r="N17" s="51">
        <v>237.60</v>
      </c>
      <c r="O17" s="51">
        <v>0</v>
      </c>
      <c r="P17" s="51">
        <v>1.42</v>
      </c>
      <c r="Q17" s="51">
        <v>39.700000000000003</v>
      </c>
      <c r="R17" s="43"/>
      <c r="S17" s="43"/>
      <c r="T17" s="43"/>
      <c r="U17" s="43"/>
    </row>
    <row r="18" spans="1:21" s="11" customFormat="1" ht="15">
      <c r="A18" s="50" t="s">
        <v>358</v>
      </c>
      <c r="B18" s="51">
        <v>57.90</v>
      </c>
      <c r="C18" s="51">
        <v>116.78</v>
      </c>
      <c r="D18" s="51">
        <v>111.30</v>
      </c>
      <c r="E18" s="51">
        <v>3.89</v>
      </c>
      <c r="F18" s="51">
        <v>0.02</v>
      </c>
      <c r="G18" s="51">
        <v>59.17</v>
      </c>
      <c r="H18" s="51">
        <v>40.61</v>
      </c>
      <c r="I18" s="51">
        <v>0.35</v>
      </c>
      <c r="J18" s="51">
        <v>0.57999999999999996</v>
      </c>
      <c r="K18" s="51">
        <v>185.51</v>
      </c>
      <c r="L18" s="51">
        <v>25.21</v>
      </c>
      <c r="M18" s="51">
        <v>59</v>
      </c>
      <c r="N18" s="51">
        <v>384.20</v>
      </c>
      <c r="O18" s="51">
        <v>0</v>
      </c>
      <c r="P18" s="51">
        <v>1.26</v>
      </c>
      <c r="Q18" s="51">
        <v>36.909999999999997</v>
      </c>
      <c r="R18" s="43"/>
      <c r="S18" s="43"/>
      <c r="T18" s="43"/>
      <c r="U18" s="43"/>
    </row>
    <row r="19" spans="1:21" s="11" customFormat="1" ht="15">
      <c r="A19" s="50" t="s">
        <v>359</v>
      </c>
      <c r="B19" s="51">
        <v>36.96</v>
      </c>
      <c r="C19" s="51">
        <v>108.15</v>
      </c>
      <c r="D19" s="51">
        <v>89.53</v>
      </c>
      <c r="E19" s="51">
        <v>3.74</v>
      </c>
      <c r="F19" s="51">
        <v>7.09</v>
      </c>
      <c r="G19" s="51">
        <v>59.17</v>
      </c>
      <c r="H19" s="51">
        <v>36.47</v>
      </c>
      <c r="I19" s="51">
        <v>0.31</v>
      </c>
      <c r="J19" s="51">
        <v>0.23</v>
      </c>
      <c r="K19" s="51">
        <v>354.92</v>
      </c>
      <c r="L19" s="51">
        <v>28.49</v>
      </c>
      <c r="M19" s="51">
        <v>46</v>
      </c>
      <c r="N19" s="51">
        <v>472.60</v>
      </c>
      <c r="O19" s="51">
        <v>0</v>
      </c>
      <c r="P19" s="51">
        <v>1.1599999999999999</v>
      </c>
      <c r="Q19" s="51">
        <v>37.86</v>
      </c>
      <c r="R19" s="43"/>
      <c r="S19" s="43"/>
      <c r="T19" s="43"/>
      <c r="U19" s="43"/>
    </row>
    <row r="20" spans="1:21" s="11" customFormat="1" ht="15">
      <c r="A20" s="50" t="s">
        <v>360</v>
      </c>
      <c r="B20" s="51">
        <v>3.35</v>
      </c>
      <c r="C20" s="51">
        <v>97.46</v>
      </c>
      <c r="D20" s="51">
        <v>56.88</v>
      </c>
      <c r="E20" s="51">
        <v>3.38</v>
      </c>
      <c r="F20" s="51">
        <v>12.27</v>
      </c>
      <c r="G20" s="53" t="s">
        <v>8</v>
      </c>
      <c r="H20" s="53" t="s">
        <v>8</v>
      </c>
      <c r="I20" s="51">
        <v>0.21</v>
      </c>
      <c r="J20" s="51">
        <v>0.19</v>
      </c>
      <c r="K20" s="51">
        <v>333.68</v>
      </c>
      <c r="L20" s="51">
        <v>28.83</v>
      </c>
      <c r="M20" s="51">
        <v>41</v>
      </c>
      <c r="N20" s="51">
        <v>500.30</v>
      </c>
      <c r="O20" s="51">
        <v>0</v>
      </c>
      <c r="P20" s="51">
        <v>1.01</v>
      </c>
      <c r="Q20" s="51">
        <v>27.79</v>
      </c>
      <c r="R20" s="43"/>
      <c r="S20" s="43"/>
      <c r="T20" s="43"/>
      <c r="U20" s="43"/>
    </row>
    <row r="21" spans="1:21" s="11" customFormat="1" ht="15">
      <c r="A21" s="50" t="s">
        <v>361</v>
      </c>
      <c r="B21" s="51">
        <v>1.27</v>
      </c>
      <c r="C21" s="51">
        <v>66.38</v>
      </c>
      <c r="D21" s="51">
        <v>37.92</v>
      </c>
      <c r="E21" s="51">
        <v>3.62</v>
      </c>
      <c r="F21" s="51">
        <v>12.14</v>
      </c>
      <c r="G21" s="51">
        <v>59.18</v>
      </c>
      <c r="H21" s="51">
        <v>33.630000000000003</v>
      </c>
      <c r="I21" s="51">
        <v>0.14000000000000001</v>
      </c>
      <c r="J21" s="51">
        <v>0.28000000000000003</v>
      </c>
      <c r="K21" s="51">
        <v>359.42</v>
      </c>
      <c r="L21" s="51">
        <v>29.92</v>
      </c>
      <c r="M21" s="51">
        <v>39</v>
      </c>
      <c r="N21" s="51">
        <v>483.40</v>
      </c>
      <c r="O21" s="51">
        <v>0</v>
      </c>
      <c r="P21" s="51">
        <v>0.75</v>
      </c>
      <c r="Q21" s="51">
        <v>23.05</v>
      </c>
      <c r="R21" s="43"/>
      <c r="S21" s="43"/>
      <c r="T21" s="43"/>
      <c r="U21" s="43"/>
    </row>
    <row r="22" spans="1:21" s="11" customFormat="1" ht="15">
      <c r="A22" s="50" t="s">
        <v>362</v>
      </c>
      <c r="B22" s="51">
        <v>1.56</v>
      </c>
      <c r="C22" s="51">
        <v>50.23</v>
      </c>
      <c r="D22" s="51">
        <v>29.39</v>
      </c>
      <c r="E22" s="51">
        <v>3.91</v>
      </c>
      <c r="F22" s="51">
        <v>12.36</v>
      </c>
      <c r="G22" s="51">
        <v>58.38</v>
      </c>
      <c r="H22" s="51">
        <v>32.39</v>
      </c>
      <c r="I22" s="51">
        <v>0.10</v>
      </c>
      <c r="J22" s="51">
        <v>0.16</v>
      </c>
      <c r="K22" s="51">
        <v>275.77</v>
      </c>
      <c r="L22" s="51">
        <v>31.19</v>
      </c>
      <c r="M22" s="51">
        <v>37</v>
      </c>
      <c r="N22" s="51">
        <v>443.30</v>
      </c>
      <c r="O22" s="51">
        <v>0</v>
      </c>
      <c r="P22" s="51">
        <v>0.69</v>
      </c>
      <c r="Q22" s="51">
        <v>27.07</v>
      </c>
      <c r="R22" s="43"/>
      <c r="S22" s="43"/>
      <c r="T22" s="43"/>
      <c r="U22" s="43"/>
    </row>
    <row r="23" spans="1:21" s="11" customFormat="1" ht="15">
      <c r="A23" s="50" t="s">
        <v>363</v>
      </c>
      <c r="B23" s="51">
        <v>1.33</v>
      </c>
      <c r="C23" s="51">
        <v>51.02</v>
      </c>
      <c r="D23" s="51">
        <v>29.64</v>
      </c>
      <c r="E23" s="51">
        <v>3.44</v>
      </c>
      <c r="F23" s="51">
        <v>13.22</v>
      </c>
      <c r="G23" s="51">
        <v>59.72</v>
      </c>
      <c r="H23" s="51">
        <v>33</v>
      </c>
      <c r="I23" s="51">
        <v>0.10</v>
      </c>
      <c r="J23" s="51">
        <v>0.17</v>
      </c>
      <c r="K23" s="51">
        <v>252.82</v>
      </c>
      <c r="L23" s="51">
        <v>30.94</v>
      </c>
      <c r="M23" s="51">
        <v>34</v>
      </c>
      <c r="N23" s="51">
        <v>318.80</v>
      </c>
      <c r="O23" s="51">
        <v>0</v>
      </c>
      <c r="P23" s="51">
        <v>0.68</v>
      </c>
      <c r="Q23" s="51">
        <v>27.66</v>
      </c>
      <c r="R23" s="43"/>
      <c r="S23" s="43"/>
      <c r="T23" s="43"/>
      <c r="U23" s="43"/>
    </row>
    <row r="24" spans="1:21" s="11" customFormat="1" ht="15">
      <c r="A24" s="50" t="s">
        <v>364</v>
      </c>
      <c r="B24" s="51">
        <v>1.0900000000000001</v>
      </c>
      <c r="C24" s="51">
        <v>46.75</v>
      </c>
      <c r="D24" s="51">
        <v>27.09</v>
      </c>
      <c r="E24" s="51">
        <v>4.78</v>
      </c>
      <c r="F24" s="51">
        <v>21.66</v>
      </c>
      <c r="G24" s="51">
        <v>58.47</v>
      </c>
      <c r="H24" s="51">
        <v>32.03</v>
      </c>
      <c r="I24" s="59" t="s">
        <v>15</v>
      </c>
      <c r="J24" s="51">
        <v>0.33</v>
      </c>
      <c r="K24" s="51">
        <v>202.71</v>
      </c>
      <c r="L24" s="51">
        <v>29.87</v>
      </c>
      <c r="M24" s="51">
        <v>34</v>
      </c>
      <c r="N24" s="51">
        <v>199.5</v>
      </c>
      <c r="O24" s="51">
        <v>0</v>
      </c>
      <c r="P24" s="51">
        <v>0.64</v>
      </c>
      <c r="Q24" s="51">
        <v>25.65</v>
      </c>
      <c r="R24" s="43"/>
      <c r="S24" s="43"/>
      <c r="T24" s="43"/>
      <c r="U24" s="43"/>
    </row>
    <row r="25" spans="1:21" s="11" customFormat="1" ht="15">
      <c r="A25" s="50" t="s">
        <v>365</v>
      </c>
      <c r="B25" s="51">
        <v>1.44</v>
      </c>
      <c r="C25" s="51">
        <v>48.67</v>
      </c>
      <c r="D25" s="51">
        <v>28.43</v>
      </c>
      <c r="E25" s="51">
        <v>3.99</v>
      </c>
      <c r="F25" s="51">
        <v>20.29</v>
      </c>
      <c r="G25" s="51">
        <v>54.27</v>
      </c>
      <c r="H25" s="51">
        <v>30.86</v>
      </c>
      <c r="I25" s="51">
        <v>0.37</v>
      </c>
      <c r="J25" s="51">
        <v>0.10</v>
      </c>
      <c r="K25" s="51">
        <v>239.42</v>
      </c>
      <c r="L25" s="51">
        <v>28.66</v>
      </c>
      <c r="M25" s="51">
        <v>38</v>
      </c>
      <c r="N25" s="51">
        <v>32.60</v>
      </c>
      <c r="O25" s="51">
        <v>0</v>
      </c>
      <c r="P25" s="51">
        <v>0.67</v>
      </c>
      <c r="Q25" s="51">
        <v>23.77</v>
      </c>
      <c r="R25" s="43"/>
      <c r="S25" s="43"/>
      <c r="T25" s="43"/>
      <c r="U25" s="43"/>
    </row>
    <row r="26" spans="1:21" s="11" customFormat="1" ht="15">
      <c r="A26" s="50" t="s">
        <v>366</v>
      </c>
      <c r="B26" s="51">
        <v>1.97</v>
      </c>
      <c r="C26" s="51">
        <v>59.15</v>
      </c>
      <c r="D26" s="51">
        <v>34.630000000000003</v>
      </c>
      <c r="E26" s="51">
        <v>4.80</v>
      </c>
      <c r="F26" s="51">
        <v>16.260000000000002</v>
      </c>
      <c r="G26" s="51">
        <v>45.92</v>
      </c>
      <c r="H26" s="51">
        <v>29.80</v>
      </c>
      <c r="I26" s="51">
        <v>0.53</v>
      </c>
      <c r="J26" s="51">
        <v>0.11</v>
      </c>
      <c r="K26" s="51">
        <v>249.24</v>
      </c>
      <c r="L26" s="51">
        <v>27.43</v>
      </c>
      <c r="M26" s="51">
        <v>50</v>
      </c>
      <c r="N26" s="51">
        <v>20.80</v>
      </c>
      <c r="O26" s="51">
        <v>0</v>
      </c>
      <c r="P26" s="51">
        <v>0.73</v>
      </c>
      <c r="Q26" s="51">
        <v>29.27</v>
      </c>
      <c r="R26" s="43"/>
      <c r="S26" s="43"/>
      <c r="T26" s="43"/>
      <c r="U26" s="43"/>
    </row>
    <row r="27" spans="1:21" s="11" customFormat="1" ht="15">
      <c r="A27" s="50" t="s">
        <v>367</v>
      </c>
      <c r="B27" s="51">
        <v>35.840000000000003</v>
      </c>
      <c r="C27" s="51">
        <v>84.85</v>
      </c>
      <c r="D27" s="51">
        <v>75.98</v>
      </c>
      <c r="E27" s="51">
        <v>2.59</v>
      </c>
      <c r="F27" s="51">
        <v>5.20</v>
      </c>
      <c r="G27" s="59" t="s">
        <v>15</v>
      </c>
      <c r="H27" s="51">
        <v>38.56</v>
      </c>
      <c r="I27" s="51">
        <v>0.64</v>
      </c>
      <c r="J27" s="51">
        <v>0.13</v>
      </c>
      <c r="K27" s="51">
        <v>114.04</v>
      </c>
      <c r="L27" s="51">
        <v>23.90</v>
      </c>
      <c r="M27" s="51">
        <v>63</v>
      </c>
      <c r="N27" s="59" t="s">
        <v>15</v>
      </c>
      <c r="O27" s="51">
        <v>0</v>
      </c>
      <c r="P27" s="51">
        <v>1.46</v>
      </c>
      <c r="Q27" s="51">
        <v>33.270000000000003</v>
      </c>
      <c r="R27" s="43"/>
      <c r="S27" s="43"/>
      <c r="T27" s="43"/>
      <c r="U27" s="43"/>
    </row>
    <row r="28" spans="1:21" s="11" customFormat="1" ht="15">
      <c r="A28" s="50" t="s">
        <v>368</v>
      </c>
      <c r="B28" s="51">
        <v>67.75</v>
      </c>
      <c r="C28" s="51">
        <v>92.35</v>
      </c>
      <c r="D28" s="51">
        <v>105.71</v>
      </c>
      <c r="E28" s="51">
        <v>3.30</v>
      </c>
      <c r="F28" s="51">
        <v>5.34</v>
      </c>
      <c r="G28" s="59" t="s">
        <v>15</v>
      </c>
      <c r="H28" s="51">
        <v>43.12</v>
      </c>
      <c r="I28" s="51">
        <v>0.94</v>
      </c>
      <c r="J28" s="51">
        <v>0.14000000000000001</v>
      </c>
      <c r="K28" s="51">
        <v>355.39</v>
      </c>
      <c r="L28" s="51">
        <v>22.17</v>
      </c>
      <c r="M28" s="51">
        <v>67</v>
      </c>
      <c r="N28" s="59" t="s">
        <v>15</v>
      </c>
      <c r="O28" s="51">
        <v>0</v>
      </c>
      <c r="P28" s="51">
        <v>1.98</v>
      </c>
      <c r="Q28" s="51">
        <v>36.520000000000003</v>
      </c>
      <c r="R28" s="43"/>
      <c r="S28" s="43"/>
      <c r="T28" s="43"/>
      <c r="U28" s="43"/>
    </row>
    <row r="29" spans="1:21" s="11" customFormat="1" ht="15">
      <c r="A29" s="50" t="s">
        <v>369</v>
      </c>
      <c r="B29" s="51">
        <v>91.20</v>
      </c>
      <c r="C29" s="51">
        <v>98.90</v>
      </c>
      <c r="D29" s="51">
        <v>126.53</v>
      </c>
      <c r="E29" s="51">
        <v>4.42</v>
      </c>
      <c r="F29" s="51">
        <v>5.39</v>
      </c>
      <c r="G29" s="51">
        <v>228.48</v>
      </c>
      <c r="H29" s="51">
        <v>53.24</v>
      </c>
      <c r="I29" s="51">
        <v>1.22</v>
      </c>
      <c r="J29" s="51">
        <v>0.21</v>
      </c>
      <c r="K29" s="51">
        <v>347.66</v>
      </c>
      <c r="L29" s="51">
        <v>21.40</v>
      </c>
      <c r="M29" s="51">
        <v>67</v>
      </c>
      <c r="N29" s="59" t="s">
        <v>15</v>
      </c>
      <c r="O29" s="51">
        <v>0</v>
      </c>
      <c r="P29" s="51">
        <v>2.4500000000000002</v>
      </c>
      <c r="Q29" s="51">
        <v>44.48</v>
      </c>
      <c r="R29" s="43"/>
      <c r="S29" s="43"/>
      <c r="T29" s="43"/>
      <c r="U29" s="43"/>
    </row>
    <row r="30" spans="1:21" s="11" customFormat="1" ht="15">
      <c r="A30" s="50" t="s">
        <v>370</v>
      </c>
      <c r="B30" s="51">
        <v>100.31</v>
      </c>
      <c r="C30" s="51">
        <v>100.34</v>
      </c>
      <c r="D30" s="51">
        <v>136.24</v>
      </c>
      <c r="E30" s="51">
        <v>4.58</v>
      </c>
      <c r="F30" s="51">
        <v>5.43</v>
      </c>
      <c r="G30" s="51">
        <v>212.92</v>
      </c>
      <c r="H30" s="51">
        <v>56.79</v>
      </c>
      <c r="I30" s="51">
        <v>1.31</v>
      </c>
      <c r="J30" s="51">
        <v>0.070000000000000007</v>
      </c>
      <c r="K30" s="51">
        <v>325.49</v>
      </c>
      <c r="L30" s="51">
        <v>20.72</v>
      </c>
      <c r="M30" s="51">
        <v>71</v>
      </c>
      <c r="N30" s="59" t="s">
        <v>15</v>
      </c>
      <c r="O30" s="51">
        <v>0</v>
      </c>
      <c r="P30" s="51">
        <v>2.5099999999999998</v>
      </c>
      <c r="Q30" s="51">
        <v>46.20</v>
      </c>
      <c r="R30" s="43"/>
      <c r="S30" s="43"/>
      <c r="T30" s="43"/>
      <c r="U30" s="43"/>
    </row>
    <row r="31" spans="1:21" s="11" customFormat="1" ht="15">
      <c r="A31" s="50" t="s">
        <v>371</v>
      </c>
      <c r="B31" s="51">
        <v>99.85</v>
      </c>
      <c r="C31" s="51">
        <v>100.42</v>
      </c>
      <c r="D31" s="51">
        <v>135.91</v>
      </c>
      <c r="E31" s="51">
        <v>4.46</v>
      </c>
      <c r="F31" s="51">
        <v>5.34</v>
      </c>
      <c r="G31" s="51">
        <v>162</v>
      </c>
      <c r="H31" s="51">
        <v>56.54</v>
      </c>
      <c r="I31" s="51">
        <v>1.30</v>
      </c>
      <c r="J31" s="51">
        <v>0.12</v>
      </c>
      <c r="K31" s="51">
        <v>331.11</v>
      </c>
      <c r="L31" s="51">
        <v>20.059999999999999</v>
      </c>
      <c r="M31" s="51">
        <v>72</v>
      </c>
      <c r="N31" s="59" t="s">
        <v>15</v>
      </c>
      <c r="O31" s="51">
        <v>0</v>
      </c>
      <c r="P31" s="51">
        <v>2.48</v>
      </c>
      <c r="Q31" s="51">
        <v>45.89</v>
      </c>
      <c r="R31" s="43"/>
      <c r="S31" s="43"/>
      <c r="T31" s="43"/>
      <c r="U31" s="43"/>
    </row>
    <row r="32" spans="1:21" s="11" customFormat="1" ht="15">
      <c r="A32" s="50" t="s">
        <v>372</v>
      </c>
      <c r="B32" s="51">
        <v>91.02</v>
      </c>
      <c r="C32" s="51">
        <v>94.06</v>
      </c>
      <c r="D32" s="51">
        <v>125.32</v>
      </c>
      <c r="E32" s="51">
        <v>4.7300000000000004</v>
      </c>
      <c r="F32" s="51">
        <v>5.31</v>
      </c>
      <c r="G32" s="51">
        <v>131.46</v>
      </c>
      <c r="H32" s="51">
        <v>55.46</v>
      </c>
      <c r="I32" s="51">
        <v>1.25</v>
      </c>
      <c r="J32" s="51">
        <v>0.13</v>
      </c>
      <c r="K32" s="51">
        <v>342.83</v>
      </c>
      <c r="L32" s="51">
        <v>20.170000000000002</v>
      </c>
      <c r="M32" s="51">
        <v>70</v>
      </c>
      <c r="N32" s="59" t="s">
        <v>15</v>
      </c>
      <c r="O32" s="51">
        <v>0</v>
      </c>
      <c r="P32" s="51">
        <v>2.41</v>
      </c>
      <c r="Q32" s="51">
        <v>44.01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1.0900000000000001</v>
      </c>
      <c r="C34" s="28">
        <f t="shared" si="0"/>
        <v>46.75</v>
      </c>
      <c r="D34" s="28">
        <f t="shared" si="0"/>
        <v>27.09</v>
      </c>
      <c r="E34" s="28">
        <f t="shared" si="0"/>
        <v>2.5899999999999999</v>
      </c>
      <c r="F34" s="28">
        <f t="shared" si="0"/>
        <v>0.01</v>
      </c>
      <c r="G34" s="28">
        <f t="shared" si="0"/>
        <v>45.920000000000002</v>
      </c>
      <c r="H34" s="28">
        <f t="shared" si="0"/>
        <v>29.800000000000001</v>
      </c>
      <c r="I34" s="28">
        <f t="shared" si="0"/>
        <v>0.10000000000000001</v>
      </c>
      <c r="J34" s="28">
        <f t="shared" si="0"/>
        <v>0.070000000000000007</v>
      </c>
      <c r="K34" s="28">
        <f t="shared" si="0"/>
        <v>114.04000000000001</v>
      </c>
      <c r="L34" s="28">
        <f t="shared" si="0"/>
        <v>15.279999999999999</v>
      </c>
      <c r="M34" s="28">
        <f t="shared" si="0"/>
        <v>34</v>
      </c>
      <c r="N34" s="28">
        <f t="shared" si="0"/>
        <v>20.800000000000001</v>
      </c>
      <c r="O34" s="28">
        <f t="shared" si="0"/>
        <v>0</v>
      </c>
      <c r="P34" s="28">
        <f t="shared" si="0"/>
        <v>0.64000000000000001</v>
      </c>
      <c r="Q34" s="28">
        <f t="shared" si="0"/>
        <v>23.050000000000001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149.52000000000001</v>
      </c>
      <c r="C35" s="29">
        <f t="shared" si="1"/>
        <v>182.25999999999999</v>
      </c>
      <c r="D35" s="29">
        <f t="shared" si="1"/>
        <v>220.91</v>
      </c>
      <c r="E35" s="29">
        <f t="shared" si="1"/>
        <v>4.7999999999999998</v>
      </c>
      <c r="F35" s="29">
        <f t="shared" si="1"/>
        <v>21.66</v>
      </c>
      <c r="G35" s="29">
        <f t="shared" si="1"/>
        <v>228.47999999999999</v>
      </c>
      <c r="H35" s="29">
        <f t="shared" si="1"/>
        <v>72.890000000000001</v>
      </c>
      <c r="I35" s="29">
        <f t="shared" si="1"/>
        <v>1.3100000000000001</v>
      </c>
      <c r="J35" s="29">
        <f t="shared" si="1"/>
        <v>0.80000000000000004</v>
      </c>
      <c r="K35" s="29">
        <f t="shared" si="1"/>
        <v>359.42000000000002</v>
      </c>
      <c r="L35" s="29">
        <f t="shared" si="1"/>
        <v>31.190000000000001</v>
      </c>
      <c r="M35" s="29">
        <f t="shared" si="1"/>
        <v>85</v>
      </c>
      <c r="N35" s="29">
        <f t="shared" si="1"/>
        <v>500.30000000000001</v>
      </c>
      <c r="O35" s="29">
        <f t="shared" si="1"/>
        <v>0</v>
      </c>
      <c r="P35" s="29">
        <f t="shared" si="1"/>
        <v>2.8700000000000001</v>
      </c>
      <c r="Q35" s="29">
        <f t="shared" si="1"/>
        <v>49.270000000000003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56.432083333333331</v>
      </c>
      <c r="C36" s="28">
        <f t="shared" si="2"/>
        <v>99.859166666666681</v>
      </c>
      <c r="D36" s="28">
        <f t="shared" si="2"/>
        <v>100.69791666666669</v>
      </c>
      <c r="E36" s="28">
        <f t="shared" si="2"/>
        <v>3.9937499999999999</v>
      </c>
      <c r="F36" s="28">
        <f t="shared" si="2"/>
        <v>6.177083333333333</v>
      </c>
      <c r="G36" s="28">
        <f t="shared" si="2"/>
        <v>118.89150000000002</v>
      </c>
      <c r="H36" s="28">
        <f t="shared" si="2"/>
        <v>44.950434782608681</v>
      </c>
      <c r="I36" s="28">
        <f t="shared" si="2"/>
        <v>0.61478260869565216</v>
      </c>
      <c r="J36" s="28">
        <f t="shared" si="2"/>
        <v>0.21541666666666667</v>
      </c>
      <c r="K36" s="28">
        <f t="shared" si="2"/>
        <v>297.82458333333329</v>
      </c>
      <c r="L36" s="28">
        <f t="shared" si="2"/>
        <v>22.611249999999998</v>
      </c>
      <c r="M36" s="28">
        <f t="shared" si="2"/>
        <v>61.625</v>
      </c>
      <c r="N36" s="28">
        <f t="shared" si="2"/>
        <v>285.29090909090911</v>
      </c>
      <c r="O36" s="28">
        <f t="shared" si="2"/>
        <v>0</v>
      </c>
      <c r="P36" s="28">
        <f t="shared" si="2"/>
        <v>1.537916666666667</v>
      </c>
      <c r="Q36" s="28">
        <f t="shared" si="2"/>
        <v>36.66041666666667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42.904246975264513</v>
      </c>
      <c r="C37" s="28">
        <f t="shared" si="3" ref="C37:Q37">STDEV(C9:C32)</f>
        <v>34.229137716871811</v>
      </c>
      <c r="D37" s="28">
        <f t="shared" si="3"/>
        <v>51.402154918384696</v>
      </c>
      <c r="E37" s="28">
        <f t="shared" si="3"/>
        <v>0.54019169302886993</v>
      </c>
      <c r="F37" s="28">
        <f t="shared" si="3"/>
        <v>6.8403092220763808</v>
      </c>
      <c r="G37" s="28">
        <f t="shared" si="3"/>
        <v>66.675482377431322</v>
      </c>
      <c r="H37" s="28">
        <f t="shared" si="3"/>
        <v>11.467183801955375</v>
      </c>
      <c r="I37" s="28">
        <f t="shared" si="3"/>
        <v>0.39758211919297426</v>
      </c>
      <c r="J37" s="28">
        <f t="shared" si="3"/>
        <v>0.16618426563585231</v>
      </c>
      <c r="K37" s="28">
        <f t="shared" si="3"/>
        <v>65.167885060796223</v>
      </c>
      <c r="L37" s="28">
        <f t="shared" si="3"/>
        <v>5.5513901999565833</v>
      </c>
      <c r="M37" s="28">
        <f t="shared" si="3"/>
        <v>17.262204252417302</v>
      </c>
      <c r="N37" s="28">
        <f t="shared" si="3"/>
        <v>189.09465066228304</v>
      </c>
      <c r="O37" s="28">
        <f t="shared" si="3"/>
        <v>0</v>
      </c>
      <c r="P37" s="28">
        <f t="shared" si="3"/>
        <v>0.69448122124839706</v>
      </c>
      <c r="Q37" s="28">
        <f t="shared" si="3"/>
        <v>7.6992441634491504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COUNT(G9:G32)+1</f>
        <v>21</v>
      </c>
      <c r="H38" s="32">
        <f>COUNT(H9:H32)+1</f>
        <v>24</v>
      </c>
      <c r="I38" s="32">
        <f t="shared" si="4"/>
        <v>23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>COUNT(N9:N32)</f>
        <v>11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&lt;90%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&lt;90%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LESS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LESS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59b881c-b6f1-49ec-89fd-e637259cb3d8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15-01-2023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397</v>
      </c>
      <c r="B9" s="51">
        <v>38.729999999999997</v>
      </c>
      <c r="C9" s="51">
        <v>77.17</v>
      </c>
      <c r="D9" s="51">
        <v>74.06</v>
      </c>
      <c r="E9" s="51">
        <v>3.61</v>
      </c>
      <c r="F9" s="51">
        <v>5.30</v>
      </c>
      <c r="G9" s="51">
        <v>85.28</v>
      </c>
      <c r="H9" s="51">
        <v>35.659999999999997</v>
      </c>
      <c r="I9" s="51">
        <v>0.87</v>
      </c>
      <c r="J9" s="51">
        <v>0.15</v>
      </c>
      <c r="K9" s="51">
        <v>245.33</v>
      </c>
      <c r="L9" s="51">
        <v>19.559999999999999</v>
      </c>
      <c r="M9" s="51">
        <v>70</v>
      </c>
      <c r="N9" s="59" t="s">
        <v>15</v>
      </c>
      <c r="O9" s="51">
        <v>0</v>
      </c>
      <c r="P9" s="51">
        <v>1.70</v>
      </c>
      <c r="Q9" s="51">
        <v>24.42</v>
      </c>
      <c r="R9" s="43"/>
      <c r="S9" s="43"/>
      <c r="T9" s="43"/>
      <c r="U9" s="43"/>
    </row>
    <row r="10" spans="1:21" s="11" customFormat="1" ht="15">
      <c r="A10" s="50" t="s">
        <v>398</v>
      </c>
      <c r="B10" s="51">
        <v>32.869999999999997</v>
      </c>
      <c r="C10" s="51">
        <v>70.31</v>
      </c>
      <c r="D10" s="51">
        <v>65.58</v>
      </c>
      <c r="E10" s="51">
        <v>3.66</v>
      </c>
      <c r="F10" s="51">
        <v>5.60</v>
      </c>
      <c r="G10" s="51">
        <v>77.510000000000005</v>
      </c>
      <c r="H10" s="51">
        <v>35.42</v>
      </c>
      <c r="I10" s="51">
        <v>0.87</v>
      </c>
      <c r="J10" s="51">
        <v>0.42</v>
      </c>
      <c r="K10" s="51">
        <v>210.56</v>
      </c>
      <c r="L10" s="51">
        <v>20.11</v>
      </c>
      <c r="M10" s="51">
        <v>62</v>
      </c>
      <c r="N10" s="59" t="s">
        <v>15</v>
      </c>
      <c r="O10" s="51">
        <v>0</v>
      </c>
      <c r="P10" s="51">
        <v>1.48</v>
      </c>
      <c r="Q10" s="51">
        <v>24.77</v>
      </c>
      <c r="R10" s="43"/>
      <c r="S10" s="43"/>
      <c r="T10" s="43"/>
      <c r="U10" s="43"/>
    </row>
    <row r="11" spans="1:21" s="11" customFormat="1" ht="15">
      <c r="A11" s="50" t="s">
        <v>399</v>
      </c>
      <c r="B11" s="51">
        <v>24.22</v>
      </c>
      <c r="C11" s="51">
        <v>67.34</v>
      </c>
      <c r="D11" s="51">
        <v>57</v>
      </c>
      <c r="E11" s="51">
        <v>3.58</v>
      </c>
      <c r="F11" s="51">
        <v>5.39</v>
      </c>
      <c r="G11" s="51">
        <v>75.900000000000006</v>
      </c>
      <c r="H11" s="51">
        <v>35.42</v>
      </c>
      <c r="I11" s="51">
        <v>0.82</v>
      </c>
      <c r="J11" s="51">
        <v>0.22</v>
      </c>
      <c r="K11" s="51">
        <v>238.70</v>
      </c>
      <c r="L11" s="51">
        <v>19.47</v>
      </c>
      <c r="M11" s="51">
        <v>65</v>
      </c>
      <c r="N11" s="59" t="s">
        <v>15</v>
      </c>
      <c r="O11" s="51">
        <v>0</v>
      </c>
      <c r="P11" s="51">
        <v>1.35</v>
      </c>
      <c r="Q11" s="51">
        <v>22.93</v>
      </c>
      <c r="R11" s="43"/>
      <c r="S11" s="43"/>
      <c r="T11" s="43"/>
      <c r="U11" s="43"/>
    </row>
    <row r="12" spans="1:21" s="11" customFormat="1" ht="15">
      <c r="A12" s="50" t="s">
        <v>400</v>
      </c>
      <c r="B12" s="51">
        <v>19.30</v>
      </c>
      <c r="C12" s="51">
        <v>64.87</v>
      </c>
      <c r="D12" s="51">
        <v>51.69</v>
      </c>
      <c r="E12" s="51">
        <v>3.25</v>
      </c>
      <c r="F12" s="51">
        <v>5.30</v>
      </c>
      <c r="G12" s="51">
        <v>81.34</v>
      </c>
      <c r="H12" s="51">
        <v>35.369999999999997</v>
      </c>
      <c r="I12" s="51">
        <v>0.76</v>
      </c>
      <c r="J12" s="51">
        <v>0.56999999999999995</v>
      </c>
      <c r="K12" s="51">
        <v>278.89999999999998</v>
      </c>
      <c r="L12" s="51">
        <v>18.77</v>
      </c>
      <c r="M12" s="51">
        <v>82</v>
      </c>
      <c r="N12" s="59" t="s">
        <v>15</v>
      </c>
      <c r="O12" s="51">
        <v>0</v>
      </c>
      <c r="P12" s="51">
        <v>1.37</v>
      </c>
      <c r="Q12" s="51">
        <v>18.989999999999998</v>
      </c>
      <c r="R12" s="43"/>
      <c r="S12" s="43"/>
      <c r="T12" s="43"/>
      <c r="U12" s="43"/>
    </row>
    <row r="13" spans="1:21" s="11" customFormat="1" ht="15">
      <c r="A13" s="50" t="s">
        <v>401</v>
      </c>
      <c r="B13" s="51">
        <v>18.399999999999999</v>
      </c>
      <c r="C13" s="51">
        <v>60.96</v>
      </c>
      <c r="D13" s="51">
        <v>48.81</v>
      </c>
      <c r="E13" s="51">
        <v>2.37</v>
      </c>
      <c r="F13" s="51">
        <v>5.18</v>
      </c>
      <c r="G13" s="51">
        <v>81.34</v>
      </c>
      <c r="H13" s="51">
        <v>35.369999999999997</v>
      </c>
      <c r="I13" s="51">
        <v>0.72</v>
      </c>
      <c r="J13" s="51">
        <v>0.19</v>
      </c>
      <c r="K13" s="51">
        <v>238.23</v>
      </c>
      <c r="L13" s="51">
        <v>16.96</v>
      </c>
      <c r="M13" s="51">
        <v>82</v>
      </c>
      <c r="N13" s="59" t="s">
        <v>15</v>
      </c>
      <c r="O13" s="51">
        <v>0</v>
      </c>
      <c r="P13" s="51">
        <v>1.30</v>
      </c>
      <c r="Q13" s="51">
        <v>16.440000000000001</v>
      </c>
      <c r="R13" s="43"/>
      <c r="S13" s="43"/>
      <c r="T13" s="43"/>
      <c r="U13" s="43"/>
    </row>
    <row r="14" spans="1:21" s="11" customFormat="1" ht="15">
      <c r="A14" s="50" t="s">
        <v>402</v>
      </c>
      <c r="B14" s="51">
        <v>23.57</v>
      </c>
      <c r="C14" s="51">
        <v>59.26</v>
      </c>
      <c r="D14" s="51">
        <v>52.02</v>
      </c>
      <c r="E14" s="51">
        <v>2.54</v>
      </c>
      <c r="F14" s="51">
        <v>5.29</v>
      </c>
      <c r="G14" s="51">
        <v>74.260000000000005</v>
      </c>
      <c r="H14" s="51">
        <v>32.79</v>
      </c>
      <c r="I14" s="51">
        <v>0.71</v>
      </c>
      <c r="J14" s="51">
        <v>0.12</v>
      </c>
      <c r="K14" s="51">
        <v>351.20</v>
      </c>
      <c r="L14" s="51">
        <v>16.28</v>
      </c>
      <c r="M14" s="51">
        <v>87</v>
      </c>
      <c r="N14" s="59" t="s">
        <v>15</v>
      </c>
      <c r="O14" s="51">
        <v>0</v>
      </c>
      <c r="P14" s="51">
        <v>1.20</v>
      </c>
      <c r="Q14" s="51">
        <v>18.41</v>
      </c>
      <c r="R14" s="43"/>
      <c r="S14" s="43"/>
      <c r="T14" s="43"/>
      <c r="U14" s="43"/>
    </row>
    <row r="15" spans="1:21" s="11" customFormat="1" ht="15">
      <c r="A15" s="50" t="s">
        <v>403</v>
      </c>
      <c r="B15" s="51">
        <v>34.020000000000003</v>
      </c>
      <c r="C15" s="51">
        <v>60.74</v>
      </c>
      <c r="D15" s="51">
        <v>61.22</v>
      </c>
      <c r="E15" s="51">
        <v>2.5299999999999998</v>
      </c>
      <c r="F15" s="51">
        <v>5.16</v>
      </c>
      <c r="G15" s="51">
        <v>70.44</v>
      </c>
      <c r="H15" s="51">
        <v>32.79</v>
      </c>
      <c r="I15" s="51">
        <v>0.69</v>
      </c>
      <c r="J15" s="51">
        <v>0.13</v>
      </c>
      <c r="K15" s="51">
        <v>331.43</v>
      </c>
      <c r="L15" s="51">
        <v>15.86</v>
      </c>
      <c r="M15" s="51">
        <v>89</v>
      </c>
      <c r="N15" s="51">
        <v>13.80</v>
      </c>
      <c r="O15" s="51">
        <v>0</v>
      </c>
      <c r="P15" s="51">
        <v>1.25</v>
      </c>
      <c r="Q15" s="51">
        <v>16.41</v>
      </c>
      <c r="R15" s="43"/>
      <c r="S15" s="43"/>
      <c r="T15" s="43"/>
      <c r="U15" s="43"/>
    </row>
    <row r="16" spans="1:21" s="11" customFormat="1" ht="15">
      <c r="A16" s="50" t="s">
        <v>404</v>
      </c>
      <c r="B16" s="51">
        <v>38.340000000000003</v>
      </c>
      <c r="C16" s="51">
        <v>67.97</v>
      </c>
      <c r="D16" s="51">
        <v>68.67</v>
      </c>
      <c r="E16" s="51">
        <v>2.72</v>
      </c>
      <c r="F16" s="51">
        <v>5.26</v>
      </c>
      <c r="G16" s="51">
        <v>70.14</v>
      </c>
      <c r="H16" s="51">
        <v>36.32</v>
      </c>
      <c r="I16" s="51">
        <v>0.69</v>
      </c>
      <c r="J16" s="51">
        <v>0.13</v>
      </c>
      <c r="K16" s="51">
        <v>321.55</v>
      </c>
      <c r="L16" s="51">
        <v>18.95</v>
      </c>
      <c r="M16" s="51">
        <v>87</v>
      </c>
      <c r="N16" s="51">
        <v>143.60</v>
      </c>
      <c r="O16" s="51">
        <v>0</v>
      </c>
      <c r="P16" s="51">
        <v>1.31</v>
      </c>
      <c r="Q16" s="51">
        <v>13.95</v>
      </c>
      <c r="R16" s="43"/>
      <c r="S16" s="43"/>
      <c r="T16" s="43"/>
      <c r="U16" s="43"/>
    </row>
    <row r="17" spans="1:21" s="11" customFormat="1" ht="15">
      <c r="A17" s="50" t="s">
        <v>405</v>
      </c>
      <c r="B17" s="51">
        <v>41.44</v>
      </c>
      <c r="C17" s="51">
        <v>71.239999999999995</v>
      </c>
      <c r="D17" s="51">
        <v>72.489999999999995</v>
      </c>
      <c r="E17" s="51">
        <v>4.58</v>
      </c>
      <c r="F17" s="51">
        <v>5.37</v>
      </c>
      <c r="G17" s="51">
        <v>79.19</v>
      </c>
      <c r="H17" s="51">
        <v>42.25</v>
      </c>
      <c r="I17" s="51">
        <v>0.73</v>
      </c>
      <c r="J17" s="51">
        <v>0.75</v>
      </c>
      <c r="K17" s="51">
        <v>353.26</v>
      </c>
      <c r="L17" s="51">
        <v>26.68</v>
      </c>
      <c r="M17" s="51">
        <v>64</v>
      </c>
      <c r="N17" s="51">
        <v>325.5</v>
      </c>
      <c r="O17" s="51">
        <v>0</v>
      </c>
      <c r="P17" s="51">
        <v>1.34</v>
      </c>
      <c r="Q17" s="51">
        <v>16.579999999999998</v>
      </c>
      <c r="R17" s="43"/>
      <c r="S17" s="43"/>
      <c r="T17" s="43"/>
      <c r="U17" s="43"/>
    </row>
    <row r="18" spans="1:21" s="11" customFormat="1" ht="15">
      <c r="A18" s="50" t="s">
        <v>406</v>
      </c>
      <c r="B18" s="51">
        <v>36.840000000000003</v>
      </c>
      <c r="C18" s="51">
        <v>81.84</v>
      </c>
      <c r="D18" s="51">
        <v>72.80</v>
      </c>
      <c r="E18" s="51">
        <v>4.55</v>
      </c>
      <c r="F18" s="51">
        <v>5.34</v>
      </c>
      <c r="G18" s="51">
        <v>97.10</v>
      </c>
      <c r="H18" s="51">
        <v>52.04</v>
      </c>
      <c r="I18" s="51">
        <v>0.72</v>
      </c>
      <c r="J18" s="51">
        <v>0.84</v>
      </c>
      <c r="K18" s="51">
        <v>356.32</v>
      </c>
      <c r="L18" s="51">
        <v>28.82</v>
      </c>
      <c r="M18" s="51">
        <v>44</v>
      </c>
      <c r="N18" s="51">
        <v>456.5</v>
      </c>
      <c r="O18" s="51">
        <v>0</v>
      </c>
      <c r="P18" s="51">
        <v>1.48</v>
      </c>
      <c r="Q18" s="51">
        <v>15.97</v>
      </c>
      <c r="R18" s="43"/>
      <c r="S18" s="43"/>
      <c r="T18" s="43"/>
      <c r="U18" s="43"/>
    </row>
    <row r="19" spans="1:21" s="11" customFormat="1" ht="15">
      <c r="A19" s="50" t="s">
        <v>407</v>
      </c>
      <c r="B19" s="51">
        <v>30.58</v>
      </c>
      <c r="C19" s="51">
        <v>83.21</v>
      </c>
      <c r="D19" s="51">
        <v>70.86</v>
      </c>
      <c r="E19" s="51">
        <v>4.7699999999999996</v>
      </c>
      <c r="F19" s="51">
        <v>6.10</v>
      </c>
      <c r="G19" s="51">
        <v>101.31</v>
      </c>
      <c r="H19" s="51">
        <v>52.84</v>
      </c>
      <c r="I19" s="51">
        <v>0.70</v>
      </c>
      <c r="J19" s="51">
        <v>0.90</v>
      </c>
      <c r="K19" s="51">
        <v>141.94</v>
      </c>
      <c r="L19" s="51">
        <v>28.32</v>
      </c>
      <c r="M19" s="51">
        <v>46</v>
      </c>
      <c r="N19" s="51">
        <v>553.10</v>
      </c>
      <c r="O19" s="51">
        <v>0</v>
      </c>
      <c r="P19" s="51">
        <v>1.45</v>
      </c>
      <c r="Q19" s="51">
        <v>14.31</v>
      </c>
      <c r="R19" s="43"/>
      <c r="S19" s="43"/>
      <c r="T19" s="43"/>
      <c r="U19" s="43"/>
    </row>
    <row r="20" spans="1:21" s="11" customFormat="1" ht="15">
      <c r="A20" s="50" t="s">
        <v>408</v>
      </c>
      <c r="B20" s="51">
        <v>24.24</v>
      </c>
      <c r="C20" s="51">
        <v>77.69</v>
      </c>
      <c r="D20" s="51">
        <v>62.52</v>
      </c>
      <c r="E20" s="51">
        <v>5.34</v>
      </c>
      <c r="F20" s="51">
        <v>6.39</v>
      </c>
      <c r="G20" s="51">
        <v>101.31</v>
      </c>
      <c r="H20" s="51">
        <v>52.84</v>
      </c>
      <c r="I20" s="51">
        <v>0.70</v>
      </c>
      <c r="J20" s="51">
        <v>1.04</v>
      </c>
      <c r="K20" s="51">
        <v>127.48</v>
      </c>
      <c r="L20" s="51">
        <v>30.49</v>
      </c>
      <c r="M20" s="51">
        <v>41</v>
      </c>
      <c r="N20" s="51">
        <v>607.79999999999995</v>
      </c>
      <c r="O20" s="51">
        <v>0</v>
      </c>
      <c r="P20" s="51">
        <v>1.39</v>
      </c>
      <c r="Q20" s="51">
        <v>14.23</v>
      </c>
      <c r="R20" s="43"/>
      <c r="S20" s="43"/>
      <c r="T20" s="43"/>
      <c r="U20" s="43"/>
    </row>
    <row r="21" spans="1:21" s="11" customFormat="1" ht="15">
      <c r="A21" s="50" t="s">
        <v>409</v>
      </c>
      <c r="B21" s="51">
        <v>17.61</v>
      </c>
      <c r="C21" s="51">
        <v>79.69</v>
      </c>
      <c r="D21" s="51">
        <v>56.05</v>
      </c>
      <c r="E21" s="51">
        <v>4.0599999999999996</v>
      </c>
      <c r="F21" s="51">
        <v>6.18</v>
      </c>
      <c r="G21" s="51">
        <v>89.90</v>
      </c>
      <c r="H21" s="51">
        <v>45.74</v>
      </c>
      <c r="I21" s="51">
        <v>0.70</v>
      </c>
      <c r="J21" s="51">
        <v>0.51</v>
      </c>
      <c r="K21" s="51">
        <v>349.59</v>
      </c>
      <c r="L21" s="51">
        <v>31.54</v>
      </c>
      <c r="M21" s="51">
        <v>40</v>
      </c>
      <c r="N21" s="51">
        <v>593.20000000000005</v>
      </c>
      <c r="O21" s="51">
        <v>0</v>
      </c>
      <c r="P21" s="51">
        <v>1.29</v>
      </c>
      <c r="Q21" s="51">
        <v>16.739999999999998</v>
      </c>
      <c r="R21" s="43"/>
      <c r="S21" s="43"/>
      <c r="T21" s="43"/>
      <c r="U21" s="43"/>
    </row>
    <row r="22" spans="1:21" s="11" customFormat="1" ht="15">
      <c r="A22" s="50" t="s">
        <v>410</v>
      </c>
      <c r="B22" s="51">
        <v>7.48</v>
      </c>
      <c r="C22" s="51">
        <v>80.30</v>
      </c>
      <c r="D22" s="51">
        <v>50.5</v>
      </c>
      <c r="E22" s="51">
        <v>4.7699999999999996</v>
      </c>
      <c r="F22" s="51">
        <v>7.28</v>
      </c>
      <c r="G22" s="51">
        <v>80.650000000000006</v>
      </c>
      <c r="H22" s="51">
        <v>40.479999999999997</v>
      </c>
      <c r="I22" s="51">
        <v>0.68</v>
      </c>
      <c r="J22" s="51">
        <v>0.36</v>
      </c>
      <c r="K22" s="51">
        <v>347.08</v>
      </c>
      <c r="L22" s="51">
        <v>30.62</v>
      </c>
      <c r="M22" s="51">
        <v>35</v>
      </c>
      <c r="N22" s="51">
        <v>504</v>
      </c>
      <c r="O22" s="51">
        <v>0</v>
      </c>
      <c r="P22" s="51">
        <v>1.22</v>
      </c>
      <c r="Q22" s="51">
        <v>15.86</v>
      </c>
      <c r="R22" s="43"/>
      <c r="S22" s="43"/>
      <c r="T22" s="43"/>
      <c r="U22" s="43"/>
    </row>
    <row r="23" spans="1:21" s="11" customFormat="1" ht="15">
      <c r="A23" s="50" t="s">
        <v>411</v>
      </c>
      <c r="B23" s="51">
        <v>2.2000000000000002</v>
      </c>
      <c r="C23" s="51">
        <v>76.930000000000007</v>
      </c>
      <c r="D23" s="51">
        <v>44.56</v>
      </c>
      <c r="E23" s="51">
        <v>4.24</v>
      </c>
      <c r="F23" s="51">
        <v>7.47</v>
      </c>
      <c r="G23" s="51">
        <v>80.650000000000006</v>
      </c>
      <c r="H23" s="51">
        <v>39.68</v>
      </c>
      <c r="I23" s="51">
        <v>0.66</v>
      </c>
      <c r="J23" s="51">
        <v>0.49</v>
      </c>
      <c r="K23" s="51">
        <v>349.68</v>
      </c>
      <c r="L23" s="51">
        <v>31.24</v>
      </c>
      <c r="M23" s="51">
        <v>32</v>
      </c>
      <c r="N23" s="51">
        <v>426</v>
      </c>
      <c r="O23" s="51">
        <v>0</v>
      </c>
      <c r="P23" s="51">
        <v>1.22</v>
      </c>
      <c r="Q23" s="51">
        <v>12.02</v>
      </c>
      <c r="R23" s="43"/>
      <c r="S23" s="43"/>
      <c r="T23" s="43"/>
      <c r="U23" s="43"/>
    </row>
    <row r="24" spans="1:21" s="11" customFormat="1" ht="15">
      <c r="A24" s="50" t="s">
        <v>412</v>
      </c>
      <c r="B24" s="51">
        <v>2.10</v>
      </c>
      <c r="C24" s="51">
        <v>72.319999999999993</v>
      </c>
      <c r="D24" s="51">
        <v>42.01</v>
      </c>
      <c r="E24" s="51">
        <v>3.11</v>
      </c>
      <c r="F24" s="51">
        <v>8.9600000000000009</v>
      </c>
      <c r="G24" s="51">
        <v>75.34</v>
      </c>
      <c r="H24" s="51">
        <v>36.950000000000003</v>
      </c>
      <c r="I24" s="51">
        <v>0.63</v>
      </c>
      <c r="J24" s="51">
        <v>0.78</v>
      </c>
      <c r="K24" s="51">
        <v>353.57</v>
      </c>
      <c r="L24" s="51">
        <v>30</v>
      </c>
      <c r="M24" s="51">
        <v>35</v>
      </c>
      <c r="N24" s="51">
        <v>329.30</v>
      </c>
      <c r="O24" s="51">
        <v>0</v>
      </c>
      <c r="P24" s="51">
        <v>1.1599999999999999</v>
      </c>
      <c r="Q24" s="51">
        <v>10.70</v>
      </c>
      <c r="R24" s="43"/>
      <c r="S24" s="43"/>
      <c r="T24" s="43"/>
      <c r="U24" s="43"/>
    </row>
    <row r="25" spans="1:21" s="11" customFormat="1" ht="15">
      <c r="A25" s="50" t="s">
        <v>413</v>
      </c>
      <c r="B25" s="51">
        <v>2.25</v>
      </c>
      <c r="C25" s="51">
        <v>65.98</v>
      </c>
      <c r="D25" s="51">
        <v>38.630000000000003</v>
      </c>
      <c r="E25" s="51">
        <v>3.97</v>
      </c>
      <c r="F25" s="51">
        <v>7.82</v>
      </c>
      <c r="G25" s="51">
        <v>67.86</v>
      </c>
      <c r="H25" s="51">
        <v>32.58</v>
      </c>
      <c r="I25" s="51">
        <v>0.60</v>
      </c>
      <c r="J25" s="51">
        <v>0.54</v>
      </c>
      <c r="K25" s="51">
        <v>359.93</v>
      </c>
      <c r="L25" s="51">
        <v>28</v>
      </c>
      <c r="M25" s="51">
        <v>40</v>
      </c>
      <c r="N25" s="51">
        <v>98</v>
      </c>
      <c r="O25" s="51">
        <v>0</v>
      </c>
      <c r="P25" s="51">
        <v>1.01</v>
      </c>
      <c r="Q25" s="51">
        <v>11.27</v>
      </c>
      <c r="R25" s="43"/>
      <c r="S25" s="43"/>
      <c r="T25" s="43"/>
      <c r="U25" s="43"/>
    </row>
    <row r="26" spans="1:21" s="11" customFormat="1" ht="15">
      <c r="A26" s="50" t="s">
        <v>414</v>
      </c>
      <c r="B26" s="51">
        <v>10.11</v>
      </c>
      <c r="C26" s="51">
        <v>78.709999999999994</v>
      </c>
      <c r="D26" s="51">
        <v>51.96</v>
      </c>
      <c r="E26" s="51">
        <v>4.66</v>
      </c>
      <c r="F26" s="51">
        <v>8.58</v>
      </c>
      <c r="G26" s="51">
        <v>59.46</v>
      </c>
      <c r="H26" s="51">
        <v>30.74</v>
      </c>
      <c r="I26" s="51">
        <v>0.60</v>
      </c>
      <c r="J26" s="51">
        <v>0.20</v>
      </c>
      <c r="K26" s="51">
        <v>349.10</v>
      </c>
      <c r="L26" s="51">
        <v>26.21</v>
      </c>
      <c r="M26" s="51">
        <v>48</v>
      </c>
      <c r="N26" s="51">
        <v>19</v>
      </c>
      <c r="O26" s="51">
        <v>0</v>
      </c>
      <c r="P26" s="51">
        <v>1.21</v>
      </c>
      <c r="Q26" s="51">
        <v>11.18</v>
      </c>
      <c r="R26" s="43"/>
      <c r="S26" s="43"/>
      <c r="T26" s="43"/>
      <c r="U26" s="43"/>
    </row>
    <row r="27" spans="1:21" s="11" customFormat="1" ht="15">
      <c r="A27" s="50" t="s">
        <v>415</v>
      </c>
      <c r="B27" s="51">
        <v>19.39</v>
      </c>
      <c r="C27" s="51">
        <v>81.41</v>
      </c>
      <c r="D27" s="51">
        <v>58.28</v>
      </c>
      <c r="E27" s="51">
        <v>4.03</v>
      </c>
      <c r="F27" s="51">
        <v>5.90</v>
      </c>
      <c r="G27" s="51">
        <v>64.31</v>
      </c>
      <c r="H27" s="51">
        <v>29.85</v>
      </c>
      <c r="I27" s="51">
        <v>0.68</v>
      </c>
      <c r="J27" s="51">
        <v>0.15</v>
      </c>
      <c r="K27" s="51">
        <v>345.19</v>
      </c>
      <c r="L27" s="51">
        <v>23.52</v>
      </c>
      <c r="M27" s="51">
        <v>62</v>
      </c>
      <c r="N27" s="59" t="s">
        <v>15</v>
      </c>
      <c r="O27" s="51">
        <v>0</v>
      </c>
      <c r="P27" s="51">
        <v>1.31</v>
      </c>
      <c r="Q27" s="51">
        <v>12.94</v>
      </c>
      <c r="R27" s="43"/>
      <c r="S27" s="43"/>
      <c r="T27" s="43"/>
      <c r="U27" s="43"/>
    </row>
    <row r="28" spans="1:21" s="11" customFormat="1" ht="15">
      <c r="A28" s="50" t="s">
        <v>416</v>
      </c>
      <c r="B28" s="51">
        <v>24.64</v>
      </c>
      <c r="C28" s="51">
        <v>80.36</v>
      </c>
      <c r="D28" s="51">
        <v>64.069999999999993</v>
      </c>
      <c r="E28" s="51">
        <v>4.67</v>
      </c>
      <c r="F28" s="51">
        <v>5.41</v>
      </c>
      <c r="G28" s="51">
        <v>81.23</v>
      </c>
      <c r="H28" s="51">
        <v>34.29</v>
      </c>
      <c r="I28" s="51">
        <v>0.79</v>
      </c>
      <c r="J28" s="51">
        <v>1.1599999999999999</v>
      </c>
      <c r="K28" s="51">
        <v>93.98</v>
      </c>
      <c r="L28" s="51">
        <v>22.68</v>
      </c>
      <c r="M28" s="51">
        <v>64</v>
      </c>
      <c r="N28" s="59" t="s">
        <v>15</v>
      </c>
      <c r="O28" s="51">
        <v>0</v>
      </c>
      <c r="P28" s="51">
        <v>1.5</v>
      </c>
      <c r="Q28" s="51">
        <v>17.03</v>
      </c>
      <c r="R28" s="43"/>
      <c r="S28" s="43"/>
      <c r="T28" s="43"/>
      <c r="U28" s="43"/>
    </row>
    <row r="29" spans="1:21" s="11" customFormat="1" ht="15">
      <c r="A29" s="50" t="s">
        <v>417</v>
      </c>
      <c r="B29" s="51">
        <v>18.34</v>
      </c>
      <c r="C29" s="51">
        <v>82.13</v>
      </c>
      <c r="D29" s="51">
        <v>59.54</v>
      </c>
      <c r="E29" s="51">
        <v>3.66</v>
      </c>
      <c r="F29" s="51">
        <v>5.60</v>
      </c>
      <c r="G29" s="51">
        <v>81.23</v>
      </c>
      <c r="H29" s="51">
        <v>35.950000000000003</v>
      </c>
      <c r="I29" s="51">
        <v>0.79</v>
      </c>
      <c r="J29" s="51">
        <v>1.46</v>
      </c>
      <c r="K29" s="51">
        <v>27.79</v>
      </c>
      <c r="L29" s="51">
        <v>22.61</v>
      </c>
      <c r="M29" s="51">
        <v>52</v>
      </c>
      <c r="N29" s="59" t="s">
        <v>15</v>
      </c>
      <c r="O29" s="51">
        <v>0</v>
      </c>
      <c r="P29" s="51">
        <v>1.48</v>
      </c>
      <c r="Q29" s="51">
        <v>15.76</v>
      </c>
      <c r="R29" s="43"/>
      <c r="S29" s="43"/>
      <c r="T29" s="43"/>
      <c r="U29" s="43"/>
    </row>
    <row r="30" spans="1:21" s="11" customFormat="1" ht="15">
      <c r="A30" s="50" t="s">
        <v>418</v>
      </c>
      <c r="B30" s="51">
        <v>13.59</v>
      </c>
      <c r="C30" s="51">
        <v>79.55</v>
      </c>
      <c r="D30" s="51">
        <v>54.67</v>
      </c>
      <c r="E30" s="51">
        <v>4.38</v>
      </c>
      <c r="F30" s="51">
        <v>6</v>
      </c>
      <c r="G30" s="51">
        <v>79.33</v>
      </c>
      <c r="H30" s="51">
        <v>35.950000000000003</v>
      </c>
      <c r="I30" s="51">
        <v>0.73</v>
      </c>
      <c r="J30" s="51">
        <v>1.1000000000000001</v>
      </c>
      <c r="K30" s="51">
        <v>26.44</v>
      </c>
      <c r="L30" s="51">
        <v>21.86</v>
      </c>
      <c r="M30" s="51">
        <v>55</v>
      </c>
      <c r="N30" s="59" t="s">
        <v>15</v>
      </c>
      <c r="O30" s="51">
        <v>0</v>
      </c>
      <c r="P30" s="51">
        <v>1.44</v>
      </c>
      <c r="Q30" s="51">
        <v>11.24</v>
      </c>
      <c r="R30" s="43"/>
      <c r="S30" s="43"/>
      <c r="T30" s="43"/>
      <c r="U30" s="43"/>
    </row>
    <row r="31" spans="1:21" s="11" customFormat="1" ht="15">
      <c r="A31" s="50" t="s">
        <v>419</v>
      </c>
      <c r="B31" s="51">
        <v>14.5</v>
      </c>
      <c r="C31" s="51">
        <v>77.63</v>
      </c>
      <c r="D31" s="51">
        <v>54.89</v>
      </c>
      <c r="E31" s="51">
        <v>4.5</v>
      </c>
      <c r="F31" s="51">
        <v>6.07</v>
      </c>
      <c r="G31" s="51">
        <v>87.83</v>
      </c>
      <c r="H31" s="51">
        <v>42.88</v>
      </c>
      <c r="I31" s="51">
        <v>0.74</v>
      </c>
      <c r="J31" s="51">
        <v>1.24</v>
      </c>
      <c r="K31" s="51">
        <v>27.28</v>
      </c>
      <c r="L31" s="51">
        <v>21.37</v>
      </c>
      <c r="M31" s="51">
        <v>52</v>
      </c>
      <c r="N31" s="59" t="s">
        <v>15</v>
      </c>
      <c r="O31" s="51">
        <v>0</v>
      </c>
      <c r="P31" s="51">
        <v>1.46</v>
      </c>
      <c r="Q31" s="51">
        <v>10.77</v>
      </c>
      <c r="R31" s="43"/>
      <c r="S31" s="43"/>
      <c r="T31" s="43"/>
      <c r="U31" s="43"/>
    </row>
    <row r="32" spans="1:21" s="11" customFormat="1" ht="15">
      <c r="A32" s="50" t="s">
        <v>420</v>
      </c>
      <c r="B32" s="51">
        <v>12.83</v>
      </c>
      <c r="C32" s="51">
        <v>74.260000000000005</v>
      </c>
      <c r="D32" s="51">
        <v>51.68</v>
      </c>
      <c r="E32" s="51">
        <v>3.86</v>
      </c>
      <c r="F32" s="51">
        <v>5.41</v>
      </c>
      <c r="G32" s="51">
        <v>87.83</v>
      </c>
      <c r="H32" s="51">
        <v>42.88</v>
      </c>
      <c r="I32" s="51">
        <v>0.71</v>
      </c>
      <c r="J32" s="51">
        <v>0.28999999999999998</v>
      </c>
      <c r="K32" s="51">
        <v>349.49</v>
      </c>
      <c r="L32" s="51">
        <v>20.32</v>
      </c>
      <c r="M32" s="51">
        <v>56</v>
      </c>
      <c r="N32" s="59" t="s">
        <v>15</v>
      </c>
      <c r="O32" s="51">
        <v>0</v>
      </c>
      <c r="P32" s="51">
        <v>1.35</v>
      </c>
      <c r="Q32" s="51">
        <v>12.36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2.1000000000000001</v>
      </c>
      <c r="C34" s="28">
        <f t="shared" si="0"/>
        <v>59.259999999999998</v>
      </c>
      <c r="D34" s="28">
        <f t="shared" si="0"/>
        <v>38.630000000000003</v>
      </c>
      <c r="E34" s="28">
        <f t="shared" si="0"/>
        <v>2.3700000000000001</v>
      </c>
      <c r="F34" s="28">
        <f t="shared" si="0"/>
        <v>5.1600000000000001</v>
      </c>
      <c r="G34" s="28">
        <f t="shared" si="0"/>
        <v>59.460000000000001</v>
      </c>
      <c r="H34" s="28">
        <f t="shared" si="0"/>
        <v>29.850000000000001</v>
      </c>
      <c r="I34" s="28">
        <f t="shared" si="0"/>
        <v>0.59999999999999998</v>
      </c>
      <c r="J34" s="28">
        <f t="shared" si="0"/>
        <v>0.12</v>
      </c>
      <c r="K34" s="28">
        <f t="shared" si="0"/>
        <v>26.440000000000001</v>
      </c>
      <c r="L34" s="28">
        <f t="shared" si="0"/>
        <v>15.859999999999999</v>
      </c>
      <c r="M34" s="28">
        <f t="shared" si="0"/>
        <v>32</v>
      </c>
      <c r="N34" s="28">
        <f t="shared" si="0"/>
        <v>13.800000000000001</v>
      </c>
      <c r="O34" s="28">
        <f t="shared" si="0"/>
        <v>0</v>
      </c>
      <c r="P34" s="28">
        <f t="shared" si="0"/>
        <v>1.01</v>
      </c>
      <c r="Q34" s="28">
        <f t="shared" si="0"/>
        <v>10.699999999999999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41.439999999999998</v>
      </c>
      <c r="C35" s="29">
        <f t="shared" si="1"/>
        <v>83.209999999999994</v>
      </c>
      <c r="D35" s="29">
        <f t="shared" si="1"/>
        <v>74.060000000000002</v>
      </c>
      <c r="E35" s="29">
        <f t="shared" si="1"/>
        <v>5.3399999999999999</v>
      </c>
      <c r="F35" s="29">
        <f t="shared" si="1"/>
        <v>8.9600000000000009</v>
      </c>
      <c r="G35" s="29">
        <f t="shared" si="1"/>
        <v>101.31</v>
      </c>
      <c r="H35" s="29">
        <f t="shared" si="1"/>
        <v>52.840000000000003</v>
      </c>
      <c r="I35" s="29">
        <f t="shared" si="1"/>
        <v>0.87</v>
      </c>
      <c r="J35" s="29">
        <f t="shared" si="1"/>
        <v>1.46</v>
      </c>
      <c r="K35" s="29">
        <f t="shared" si="1"/>
        <v>359.93000000000001</v>
      </c>
      <c r="L35" s="29">
        <f t="shared" si="1"/>
        <v>31.539999999999999</v>
      </c>
      <c r="M35" s="29">
        <f t="shared" si="1"/>
        <v>89</v>
      </c>
      <c r="N35" s="29">
        <f t="shared" si="1"/>
        <v>607.79999999999995</v>
      </c>
      <c r="O35" s="29">
        <f t="shared" si="1"/>
        <v>0</v>
      </c>
      <c r="P35" s="29">
        <f t="shared" si="1"/>
        <v>1.7</v>
      </c>
      <c r="Q35" s="29">
        <f t="shared" si="1"/>
        <v>24.77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21.149583333333332</v>
      </c>
      <c r="C36" s="28">
        <f t="shared" si="2"/>
        <v>73.827916666666667</v>
      </c>
      <c r="D36" s="28">
        <f t="shared" si="2"/>
        <v>57.689999999999998</v>
      </c>
      <c r="E36" s="28">
        <f t="shared" si="2"/>
        <v>3.8920833333333333</v>
      </c>
      <c r="F36" s="28">
        <f t="shared" si="2"/>
        <v>6.0983333333333327</v>
      </c>
      <c r="G36" s="28">
        <f t="shared" si="2"/>
        <v>80.447499999999991</v>
      </c>
      <c r="H36" s="28">
        <f t="shared" si="2"/>
        <v>38.628333333333337</v>
      </c>
      <c r="I36" s="28">
        <f t="shared" si="2"/>
        <v>0.72041666666666648</v>
      </c>
      <c r="J36" s="28">
        <f t="shared" si="2"/>
        <v>0.5724999999999999</v>
      </c>
      <c r="K36" s="28">
        <f t="shared" si="2"/>
        <v>257.25083333333328</v>
      </c>
      <c r="L36" s="28">
        <f t="shared" si="2"/>
        <v>23.760000000000002</v>
      </c>
      <c r="M36" s="28">
        <f t="shared" si="2"/>
        <v>57.916666666666664</v>
      </c>
      <c r="N36" s="28">
        <f t="shared" si="2"/>
        <v>339.15000000000003</v>
      </c>
      <c r="O36" s="28">
        <f t="shared" si="2"/>
        <v>0</v>
      </c>
      <c r="P36" s="28">
        <f t="shared" si="2"/>
        <v>1.3445833333333332</v>
      </c>
      <c r="Q36" s="28">
        <f t="shared" si="2"/>
        <v>15.636666666666665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11.949925769886493</v>
      </c>
      <c r="C37" s="28">
        <f t="shared" si="3" ref="C37:Q37">STDEV(C9:C32)</f>
        <v>7.4983111021121251</v>
      </c>
      <c r="D37" s="28">
        <f t="shared" si="3"/>
        <v>9.8271509427796424</v>
      </c>
      <c r="E37" s="28">
        <f t="shared" si="3"/>
        <v>0.81305638697804872</v>
      </c>
      <c r="F37" s="28">
        <f t="shared" si="3"/>
        <v>1.1060610356091438</v>
      </c>
      <c r="G37" s="28">
        <f t="shared" si="3"/>
        <v>10.497707927882747</v>
      </c>
      <c r="H37" s="28">
        <f t="shared" si="3"/>
        <v>6.673048105213427</v>
      </c>
      <c r="I37" s="28">
        <f t="shared" si="3"/>
        <v>0.070370396855660752</v>
      </c>
      <c r="J37" s="28">
        <f t="shared" si="3"/>
        <v>0.40920123676977455</v>
      </c>
      <c r="K37" s="28">
        <f t="shared" si="3"/>
        <v>119.09741832403132</v>
      </c>
      <c r="L37" s="28">
        <f t="shared" si="3"/>
        <v>5.1599544992938222</v>
      </c>
      <c r="M37" s="28">
        <f t="shared" si="3"/>
        <v>17.800626922683918</v>
      </c>
      <c r="N37" s="28">
        <f t="shared" si="3"/>
        <v>220.74325069472161</v>
      </c>
      <c r="O37" s="28">
        <f t="shared" si="3"/>
        <v>0</v>
      </c>
      <c r="P37" s="28">
        <f t="shared" si="3"/>
        <v>0.14358694280792916</v>
      </c>
      <c r="Q37" s="28">
        <f t="shared" si="3"/>
        <v>4.0761753884127092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1768d1-a21c-444f-a3cb-1e8392d0cdb7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16-01-2023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421</v>
      </c>
      <c r="B9" s="51">
        <v>11.5</v>
      </c>
      <c r="C9" s="51">
        <v>72.239999999999995</v>
      </c>
      <c r="D9" s="51">
        <v>49.10</v>
      </c>
      <c r="E9" s="51">
        <v>4.46</v>
      </c>
      <c r="F9" s="51">
        <v>5.33</v>
      </c>
      <c r="G9" s="51">
        <v>80.39</v>
      </c>
      <c r="H9" s="51">
        <v>36.380000000000003</v>
      </c>
      <c r="I9" s="51">
        <v>0.69</v>
      </c>
      <c r="J9" s="51">
        <v>0.38</v>
      </c>
      <c r="K9" s="51">
        <v>75.45</v>
      </c>
      <c r="L9" s="51">
        <v>19.04</v>
      </c>
      <c r="M9" s="51">
        <v>58</v>
      </c>
      <c r="N9" s="59" t="s">
        <v>15</v>
      </c>
      <c r="O9" s="51">
        <v>0</v>
      </c>
      <c r="P9" s="51">
        <v>1.37</v>
      </c>
      <c r="Q9" s="51">
        <v>11.67</v>
      </c>
      <c r="R9" s="43"/>
      <c r="S9" s="43"/>
      <c r="T9" s="43"/>
      <c r="U9" s="43"/>
    </row>
    <row r="10" spans="1:21" s="11" customFormat="1" ht="15">
      <c r="A10" s="50" t="s">
        <v>422</v>
      </c>
      <c r="B10" s="51">
        <v>12.48</v>
      </c>
      <c r="C10" s="51">
        <v>69.09</v>
      </c>
      <c r="D10" s="51">
        <v>48.02</v>
      </c>
      <c r="E10" s="51">
        <v>4.82</v>
      </c>
      <c r="F10" s="51">
        <v>5.44</v>
      </c>
      <c r="G10" s="51">
        <v>93.12</v>
      </c>
      <c r="H10" s="51">
        <v>38.57</v>
      </c>
      <c r="I10" s="51">
        <v>0.67</v>
      </c>
      <c r="J10" s="51">
        <v>0.21</v>
      </c>
      <c r="K10" s="51">
        <v>352.72</v>
      </c>
      <c r="L10" s="51">
        <v>18.100000000000001</v>
      </c>
      <c r="M10" s="51">
        <v>58</v>
      </c>
      <c r="N10" s="59" t="s">
        <v>15</v>
      </c>
      <c r="O10" s="51">
        <v>0</v>
      </c>
      <c r="P10" s="51">
        <v>1.38</v>
      </c>
      <c r="Q10" s="51">
        <v>9.66</v>
      </c>
      <c r="R10" s="43"/>
      <c r="S10" s="43"/>
      <c r="T10" s="43"/>
      <c r="U10" s="43"/>
    </row>
    <row r="11" spans="1:21" s="11" customFormat="1" ht="15">
      <c r="A11" s="50" t="s">
        <v>423</v>
      </c>
      <c r="B11" s="51">
        <v>12.64</v>
      </c>
      <c r="C11" s="51">
        <v>65.040000000000006</v>
      </c>
      <c r="D11" s="51">
        <v>46.33</v>
      </c>
      <c r="E11" s="51">
        <v>4.43</v>
      </c>
      <c r="F11" s="51">
        <v>5.39</v>
      </c>
      <c r="G11" s="51">
        <v>93.12</v>
      </c>
      <c r="H11" s="51">
        <v>41.27</v>
      </c>
      <c r="I11" s="51">
        <v>0.67</v>
      </c>
      <c r="J11" s="51">
        <v>0.48</v>
      </c>
      <c r="K11" s="51">
        <v>83.86</v>
      </c>
      <c r="L11" s="51">
        <v>17.510000000000002</v>
      </c>
      <c r="M11" s="51">
        <v>61</v>
      </c>
      <c r="N11" s="59" t="s">
        <v>15</v>
      </c>
      <c r="O11" s="51">
        <v>0</v>
      </c>
      <c r="P11" s="51">
        <v>1.33</v>
      </c>
      <c r="Q11" s="51">
        <v>11.12</v>
      </c>
      <c r="R11" s="43"/>
      <c r="S11" s="43"/>
      <c r="T11" s="43"/>
      <c r="U11" s="43"/>
    </row>
    <row r="12" spans="1:21" s="11" customFormat="1" ht="15">
      <c r="A12" s="50" t="s">
        <v>424</v>
      </c>
      <c r="B12" s="51">
        <v>11.09</v>
      </c>
      <c r="C12" s="51">
        <v>61.90</v>
      </c>
      <c r="D12" s="51">
        <v>43.47</v>
      </c>
      <c r="E12" s="51">
        <v>4.5599999999999996</v>
      </c>
      <c r="F12" s="51">
        <v>5.61</v>
      </c>
      <c r="G12" s="51">
        <v>91.61</v>
      </c>
      <c r="H12" s="51">
        <v>42.18</v>
      </c>
      <c r="I12" s="51">
        <v>0.66</v>
      </c>
      <c r="J12" s="51">
        <v>0.31</v>
      </c>
      <c r="K12" s="51">
        <v>106.41</v>
      </c>
      <c r="L12" s="51">
        <v>17.22</v>
      </c>
      <c r="M12" s="51">
        <v>59</v>
      </c>
      <c r="N12" s="59" t="s">
        <v>15</v>
      </c>
      <c r="O12" s="51">
        <v>0</v>
      </c>
      <c r="P12" s="51">
        <v>1.29</v>
      </c>
      <c r="Q12" s="51">
        <v>10.93</v>
      </c>
      <c r="R12" s="43"/>
      <c r="S12" s="43"/>
      <c r="T12" s="43"/>
      <c r="U12" s="43"/>
    </row>
    <row r="13" spans="1:21" s="11" customFormat="1" ht="15">
      <c r="A13" s="50" t="s">
        <v>425</v>
      </c>
      <c r="B13" s="51">
        <v>6.85</v>
      </c>
      <c r="C13" s="51">
        <v>58.73</v>
      </c>
      <c r="D13" s="51">
        <v>38.32</v>
      </c>
      <c r="E13" s="51">
        <v>3.75</v>
      </c>
      <c r="F13" s="51">
        <v>5.68</v>
      </c>
      <c r="G13" s="51">
        <v>83.10</v>
      </c>
      <c r="H13" s="51">
        <v>42.18</v>
      </c>
      <c r="I13" s="51">
        <v>0.63</v>
      </c>
      <c r="J13" s="51">
        <v>0.45</v>
      </c>
      <c r="K13" s="51">
        <v>106.39</v>
      </c>
      <c r="L13" s="51">
        <v>16.89</v>
      </c>
      <c r="M13" s="51">
        <v>60</v>
      </c>
      <c r="N13" s="59" t="s">
        <v>15</v>
      </c>
      <c r="O13" s="51">
        <v>0</v>
      </c>
      <c r="P13" s="51">
        <v>1.1599999999999999</v>
      </c>
      <c r="Q13" s="51">
        <v>8.89</v>
      </c>
      <c r="R13" s="43"/>
      <c r="S13" s="43"/>
      <c r="T13" s="43"/>
      <c r="U13" s="43"/>
    </row>
    <row r="14" spans="1:21" s="11" customFormat="1" ht="15">
      <c r="A14" s="50" t="s">
        <v>426</v>
      </c>
      <c r="B14" s="51">
        <v>5.98</v>
      </c>
      <c r="C14" s="51">
        <v>56.85</v>
      </c>
      <c r="D14" s="51">
        <v>36.57</v>
      </c>
      <c r="E14" s="51">
        <v>3.84</v>
      </c>
      <c r="F14" s="51">
        <v>5.63</v>
      </c>
      <c r="G14" s="51">
        <v>75.069999999999993</v>
      </c>
      <c r="H14" s="51">
        <v>35.35</v>
      </c>
      <c r="I14" s="51">
        <v>0.62</v>
      </c>
      <c r="J14" s="51">
        <v>0.33</v>
      </c>
      <c r="K14" s="51">
        <v>142.38</v>
      </c>
      <c r="L14" s="51">
        <v>16.20</v>
      </c>
      <c r="M14" s="51">
        <v>61</v>
      </c>
      <c r="N14" s="59" t="s">
        <v>15</v>
      </c>
      <c r="O14" s="51">
        <v>0</v>
      </c>
      <c r="P14" s="51">
        <v>1.03</v>
      </c>
      <c r="Q14" s="51">
        <v>6.86</v>
      </c>
      <c r="R14" s="43"/>
      <c r="S14" s="43"/>
      <c r="T14" s="43"/>
      <c r="U14" s="43"/>
    </row>
    <row r="15" spans="1:21" s="11" customFormat="1" ht="15">
      <c r="A15" s="50" t="s">
        <v>427</v>
      </c>
      <c r="B15" s="51">
        <v>10.43</v>
      </c>
      <c r="C15" s="51">
        <v>61.85</v>
      </c>
      <c r="D15" s="51">
        <v>42.91</v>
      </c>
      <c r="E15" s="51">
        <v>3.67</v>
      </c>
      <c r="F15" s="51">
        <v>5.42</v>
      </c>
      <c r="G15" s="51">
        <v>59.75</v>
      </c>
      <c r="H15" s="51">
        <v>30.82</v>
      </c>
      <c r="I15" s="51">
        <v>0.61</v>
      </c>
      <c r="J15" s="51">
        <v>0.46</v>
      </c>
      <c r="K15" s="51">
        <v>115.62</v>
      </c>
      <c r="L15" s="51">
        <v>16.27</v>
      </c>
      <c r="M15" s="51">
        <v>63</v>
      </c>
      <c r="N15" s="51">
        <v>12.40</v>
      </c>
      <c r="O15" s="51">
        <v>0</v>
      </c>
      <c r="P15" s="51">
        <v>0.94</v>
      </c>
      <c r="Q15" s="51">
        <v>8.32</v>
      </c>
      <c r="R15" s="43"/>
      <c r="S15" s="43"/>
      <c r="T15" s="43"/>
      <c r="U15" s="43"/>
    </row>
    <row r="16" spans="1:21" s="11" customFormat="1" ht="15">
      <c r="A16" s="50" t="s">
        <v>428</v>
      </c>
      <c r="B16" s="51">
        <v>11.23</v>
      </c>
      <c r="C16" s="51">
        <v>63.15</v>
      </c>
      <c r="D16" s="51">
        <v>44.28</v>
      </c>
      <c r="E16" s="51">
        <v>3.64</v>
      </c>
      <c r="F16" s="51">
        <v>6.06</v>
      </c>
      <c r="G16" s="51">
        <v>56.15</v>
      </c>
      <c r="H16" s="51">
        <v>29.17</v>
      </c>
      <c r="I16" s="51">
        <v>0.60</v>
      </c>
      <c r="J16" s="51">
        <v>1.58</v>
      </c>
      <c r="K16" s="51">
        <v>141.12</v>
      </c>
      <c r="L16" s="51">
        <v>17.190000000000001</v>
      </c>
      <c r="M16" s="51">
        <v>59</v>
      </c>
      <c r="N16" s="51">
        <v>138.10</v>
      </c>
      <c r="O16" s="51">
        <v>0</v>
      </c>
      <c r="P16" s="51">
        <v>0.89</v>
      </c>
      <c r="Q16" s="51">
        <v>8.2899999999999991</v>
      </c>
      <c r="R16" s="43"/>
      <c r="S16" s="43"/>
      <c r="T16" s="43"/>
      <c r="U16" s="43"/>
    </row>
    <row r="17" spans="1:21" s="11" customFormat="1" ht="15">
      <c r="A17" s="50" t="s">
        <v>429</v>
      </c>
      <c r="B17" s="51">
        <v>9.85</v>
      </c>
      <c r="C17" s="51">
        <v>61.91</v>
      </c>
      <c r="D17" s="51">
        <v>42.43</v>
      </c>
      <c r="E17" s="51">
        <v>4.3499999999999996</v>
      </c>
      <c r="F17" s="51">
        <v>5.14</v>
      </c>
      <c r="G17" s="51">
        <v>55.97</v>
      </c>
      <c r="H17" s="51">
        <v>30.69</v>
      </c>
      <c r="I17" s="51">
        <v>0.61</v>
      </c>
      <c r="J17" s="51">
        <v>1.35</v>
      </c>
      <c r="K17" s="51">
        <v>143.19999999999999</v>
      </c>
      <c r="L17" s="51">
        <v>18.98</v>
      </c>
      <c r="M17" s="51">
        <v>56</v>
      </c>
      <c r="N17" s="51">
        <v>307.70</v>
      </c>
      <c r="O17" s="51">
        <v>0</v>
      </c>
      <c r="P17" s="51">
        <v>0.86</v>
      </c>
      <c r="Q17" s="51">
        <v>6.44</v>
      </c>
      <c r="R17" s="43"/>
      <c r="S17" s="43"/>
      <c r="T17" s="43"/>
      <c r="U17" s="43"/>
    </row>
    <row r="18" spans="1:21" s="11" customFormat="1" ht="15">
      <c r="A18" s="50" t="s">
        <v>430</v>
      </c>
      <c r="B18" s="51">
        <v>9.16</v>
      </c>
      <c r="C18" s="51">
        <v>60.34</v>
      </c>
      <c r="D18" s="51">
        <v>41.06</v>
      </c>
      <c r="E18" s="51">
        <v>4.1900000000000004</v>
      </c>
      <c r="F18" s="51">
        <v>5.85</v>
      </c>
      <c r="G18" s="51">
        <v>54.43</v>
      </c>
      <c r="H18" s="51">
        <v>30.69</v>
      </c>
      <c r="I18" s="51">
        <v>0.61</v>
      </c>
      <c r="J18" s="51">
        <v>0.92</v>
      </c>
      <c r="K18" s="51">
        <v>143.87</v>
      </c>
      <c r="L18" s="51">
        <v>21.72</v>
      </c>
      <c r="M18" s="51">
        <v>52</v>
      </c>
      <c r="N18" s="51">
        <v>436.30</v>
      </c>
      <c r="O18" s="51">
        <v>0</v>
      </c>
      <c r="P18" s="51">
        <v>0.84</v>
      </c>
      <c r="Q18" s="51">
        <v>8.5</v>
      </c>
      <c r="R18" s="43"/>
      <c r="S18" s="43"/>
      <c r="T18" s="43"/>
      <c r="U18" s="43"/>
    </row>
    <row r="19" spans="1:21" s="11" customFormat="1" ht="15">
      <c r="A19" s="50" t="s">
        <v>431</v>
      </c>
      <c r="B19" s="51">
        <v>13.20</v>
      </c>
      <c r="C19" s="51">
        <v>68.02</v>
      </c>
      <c r="D19" s="51">
        <v>48.54</v>
      </c>
      <c r="E19" s="51">
        <v>5.01</v>
      </c>
      <c r="F19" s="51">
        <v>6.15</v>
      </c>
      <c r="G19" s="51">
        <v>54.43</v>
      </c>
      <c r="H19" s="51">
        <v>28.09</v>
      </c>
      <c r="I19" s="51">
        <v>0.62</v>
      </c>
      <c r="J19" s="51">
        <v>1.22</v>
      </c>
      <c r="K19" s="51">
        <v>141.60</v>
      </c>
      <c r="L19" s="51">
        <v>23.59</v>
      </c>
      <c r="M19" s="51">
        <v>43</v>
      </c>
      <c r="N19" s="51">
        <v>499</v>
      </c>
      <c r="O19" s="51">
        <v>0</v>
      </c>
      <c r="P19" s="51">
        <v>0.82</v>
      </c>
      <c r="Q19" s="51">
        <v>8.5399999999999991</v>
      </c>
      <c r="R19" s="43"/>
      <c r="S19" s="43"/>
      <c r="T19" s="43"/>
      <c r="U19" s="43"/>
    </row>
    <row r="20" spans="1:21" s="11" customFormat="1" ht="15">
      <c r="A20" s="50" t="s">
        <v>432</v>
      </c>
      <c r="B20" s="51">
        <v>20.420000000000002</v>
      </c>
      <c r="C20" s="51">
        <v>81.33</v>
      </c>
      <c r="D20" s="51">
        <v>61.67</v>
      </c>
      <c r="E20" s="51">
        <v>6.14</v>
      </c>
      <c r="F20" s="51">
        <v>11.26</v>
      </c>
      <c r="G20" s="51">
        <v>53.96</v>
      </c>
      <c r="H20" s="51">
        <v>28.09</v>
      </c>
      <c r="I20" s="51">
        <v>0.60</v>
      </c>
      <c r="J20" s="51">
        <v>0.78</v>
      </c>
      <c r="K20" s="51">
        <v>152.83000000000001</v>
      </c>
      <c r="L20" s="51">
        <v>27.08</v>
      </c>
      <c r="M20" s="51">
        <v>36</v>
      </c>
      <c r="N20" s="51">
        <v>543.70000000000005</v>
      </c>
      <c r="O20" s="51">
        <v>0</v>
      </c>
      <c r="P20" s="51">
        <v>0.80</v>
      </c>
      <c r="Q20" s="51">
        <v>22.96</v>
      </c>
      <c r="R20" s="43"/>
      <c r="S20" s="43"/>
      <c r="T20" s="43"/>
      <c r="U20" s="43"/>
    </row>
    <row r="21" spans="1:21" s="11" customFormat="1" ht="15">
      <c r="A21" s="50" t="s">
        <v>433</v>
      </c>
      <c r="B21" s="51">
        <v>3.83</v>
      </c>
      <c r="C21" s="51">
        <v>60.23</v>
      </c>
      <c r="D21" s="51">
        <v>36.729999999999997</v>
      </c>
      <c r="E21" s="51">
        <v>5.77</v>
      </c>
      <c r="F21" s="51">
        <v>14.61</v>
      </c>
      <c r="G21" s="51">
        <v>46.07</v>
      </c>
      <c r="H21" s="51">
        <v>27.58</v>
      </c>
      <c r="I21" s="51">
        <v>0.51</v>
      </c>
      <c r="J21" s="51">
        <v>0.81</v>
      </c>
      <c r="K21" s="51">
        <v>50.68</v>
      </c>
      <c r="L21" s="51">
        <v>30.91</v>
      </c>
      <c r="M21" s="51">
        <v>32</v>
      </c>
      <c r="N21" s="51">
        <v>535.70000000000005</v>
      </c>
      <c r="O21" s="51">
        <v>0</v>
      </c>
      <c r="P21" s="51">
        <v>0.85</v>
      </c>
      <c r="Q21" s="51">
        <v>23.60</v>
      </c>
      <c r="R21" s="43"/>
      <c r="S21" s="43"/>
      <c r="T21" s="43"/>
      <c r="U21" s="43"/>
    </row>
    <row r="22" spans="1:21" s="11" customFormat="1" ht="15">
      <c r="A22" s="50" t="s">
        <v>434</v>
      </c>
      <c r="B22" s="51">
        <v>2.65</v>
      </c>
      <c r="C22" s="51">
        <v>67.45</v>
      </c>
      <c r="D22" s="51">
        <v>39.51</v>
      </c>
      <c r="E22" s="51">
        <v>5.65</v>
      </c>
      <c r="F22" s="51">
        <v>14.03</v>
      </c>
      <c r="G22" s="51">
        <v>49.33</v>
      </c>
      <c r="H22" s="51">
        <v>27.58</v>
      </c>
      <c r="I22" s="51">
        <v>0.51</v>
      </c>
      <c r="J22" s="51">
        <v>0.69</v>
      </c>
      <c r="K22" s="51">
        <v>30.78</v>
      </c>
      <c r="L22" s="51">
        <v>31.18</v>
      </c>
      <c r="M22" s="51">
        <v>28</v>
      </c>
      <c r="N22" s="51">
        <v>513.10</v>
      </c>
      <c r="O22" s="51">
        <v>0</v>
      </c>
      <c r="P22" s="51">
        <v>0.90</v>
      </c>
      <c r="Q22" s="51">
        <v>26.91</v>
      </c>
      <c r="R22" s="43"/>
      <c r="S22" s="43"/>
      <c r="T22" s="43"/>
      <c r="U22" s="43"/>
    </row>
    <row r="23" spans="1:21" s="11" customFormat="1" ht="15">
      <c r="A23" s="50" t="s">
        <v>435</v>
      </c>
      <c r="B23" s="51">
        <v>4.88</v>
      </c>
      <c r="C23" s="51">
        <v>69.31</v>
      </c>
      <c r="D23" s="51">
        <v>40.76</v>
      </c>
      <c r="E23" s="51">
        <v>4.32</v>
      </c>
      <c r="F23" s="51">
        <v>22.08</v>
      </c>
      <c r="G23" s="51">
        <v>58.08</v>
      </c>
      <c r="H23" s="51">
        <v>31.40</v>
      </c>
      <c r="I23" s="51">
        <v>0.54</v>
      </c>
      <c r="J23" s="51">
        <v>0.60</v>
      </c>
      <c r="K23" s="51">
        <v>51.69</v>
      </c>
      <c r="L23" s="51">
        <v>30.21</v>
      </c>
      <c r="M23" s="51">
        <v>33</v>
      </c>
      <c r="N23" s="51">
        <v>425.90</v>
      </c>
      <c r="O23" s="51">
        <v>0</v>
      </c>
      <c r="P23" s="51">
        <v>0.96</v>
      </c>
      <c r="Q23" s="51">
        <v>29.90</v>
      </c>
      <c r="R23" s="43"/>
      <c r="S23" s="43"/>
      <c r="T23" s="43"/>
      <c r="U23" s="43"/>
    </row>
    <row r="24" spans="1:21" s="11" customFormat="1" ht="15">
      <c r="A24" s="50" t="s">
        <v>436</v>
      </c>
      <c r="B24" s="51">
        <v>6.84</v>
      </c>
      <c r="C24" s="51">
        <v>66.92</v>
      </c>
      <c r="D24" s="51">
        <v>41.40</v>
      </c>
      <c r="E24" s="51">
        <v>9.9499999999999993</v>
      </c>
      <c r="F24" s="51">
        <v>35.75</v>
      </c>
      <c r="G24" s="51">
        <v>58.08</v>
      </c>
      <c r="H24" s="51">
        <v>31.40</v>
      </c>
      <c r="I24" s="51">
        <v>0.54</v>
      </c>
      <c r="J24" s="51">
        <v>0.53</v>
      </c>
      <c r="K24" s="51">
        <v>72.010000000000005</v>
      </c>
      <c r="L24" s="51">
        <v>29.5</v>
      </c>
      <c r="M24" s="51">
        <v>35</v>
      </c>
      <c r="N24" s="51">
        <v>297.30</v>
      </c>
      <c r="O24" s="51">
        <v>0</v>
      </c>
      <c r="P24" s="51">
        <v>0.96</v>
      </c>
      <c r="Q24" s="51">
        <v>29.08</v>
      </c>
      <c r="R24" s="43"/>
      <c r="S24" s="43"/>
      <c r="T24" s="43"/>
      <c r="U24" s="43"/>
    </row>
    <row r="25" spans="1:21" s="11" customFormat="1" ht="15">
      <c r="A25" s="50" t="s">
        <v>437</v>
      </c>
      <c r="B25" s="51">
        <v>1.91</v>
      </c>
      <c r="C25" s="51">
        <v>53.30</v>
      </c>
      <c r="D25" s="51">
        <v>31.36</v>
      </c>
      <c r="E25" s="51">
        <v>10.029999999999999</v>
      </c>
      <c r="F25" s="51">
        <v>38.020000000000003</v>
      </c>
      <c r="G25" s="51">
        <v>58.48</v>
      </c>
      <c r="H25" s="51">
        <v>27.54</v>
      </c>
      <c r="I25" s="51">
        <v>0.53</v>
      </c>
      <c r="J25" s="51">
        <v>0.68</v>
      </c>
      <c r="K25" s="51">
        <v>145.88</v>
      </c>
      <c r="L25" s="51">
        <v>26.30</v>
      </c>
      <c r="M25" s="51">
        <v>40</v>
      </c>
      <c r="N25" s="51">
        <v>109.10</v>
      </c>
      <c r="O25" s="51">
        <v>0</v>
      </c>
      <c r="P25" s="51">
        <v>0.85</v>
      </c>
      <c r="Q25" s="51">
        <v>27.17</v>
      </c>
      <c r="R25" s="43"/>
      <c r="S25" s="43"/>
      <c r="T25" s="43"/>
      <c r="U25" s="43"/>
    </row>
    <row r="26" spans="1:21" s="11" customFormat="1" ht="15">
      <c r="A26" s="50" t="s">
        <v>438</v>
      </c>
      <c r="B26" s="51">
        <v>15.16</v>
      </c>
      <c r="C26" s="51">
        <v>90.60</v>
      </c>
      <c r="D26" s="51">
        <v>62.57</v>
      </c>
      <c r="E26" s="51">
        <v>9.11</v>
      </c>
      <c r="F26" s="51">
        <v>10.43</v>
      </c>
      <c r="G26" s="51">
        <v>63.36</v>
      </c>
      <c r="H26" s="51">
        <v>31.60</v>
      </c>
      <c r="I26" s="51">
        <v>0.56000000000000005</v>
      </c>
      <c r="J26" s="51">
        <v>0.34</v>
      </c>
      <c r="K26" s="51">
        <v>91.65</v>
      </c>
      <c r="L26" s="51">
        <v>25.57</v>
      </c>
      <c r="M26" s="51">
        <v>46</v>
      </c>
      <c r="N26" s="51">
        <v>18.5</v>
      </c>
      <c r="O26" s="51">
        <v>0</v>
      </c>
      <c r="P26" s="51">
        <v>1.58</v>
      </c>
      <c r="Q26" s="51">
        <v>30.48</v>
      </c>
      <c r="R26" s="43"/>
      <c r="S26" s="43"/>
      <c r="T26" s="43"/>
      <c r="U26" s="43"/>
    </row>
    <row r="27" spans="1:21" s="11" customFormat="1" ht="15">
      <c r="A27" s="50" t="s">
        <v>439</v>
      </c>
      <c r="B27" s="51">
        <v>19.59</v>
      </c>
      <c r="C27" s="51">
        <v>94.42</v>
      </c>
      <c r="D27" s="51">
        <v>68.23</v>
      </c>
      <c r="E27" s="51">
        <v>4.8899999999999997</v>
      </c>
      <c r="F27" s="51">
        <v>5.54</v>
      </c>
      <c r="G27" s="51">
        <v>87.08</v>
      </c>
      <c r="H27" s="51">
        <v>37.85</v>
      </c>
      <c r="I27" s="51">
        <v>0.67</v>
      </c>
      <c r="J27" s="51">
        <v>0.37</v>
      </c>
      <c r="K27" s="51">
        <v>92.44</v>
      </c>
      <c r="L27" s="51">
        <v>23.44</v>
      </c>
      <c r="M27" s="51">
        <v>49</v>
      </c>
      <c r="N27" s="51">
        <v>4.5999999999999996</v>
      </c>
      <c r="O27" s="51">
        <v>0</v>
      </c>
      <c r="P27" s="51">
        <v>1.75</v>
      </c>
      <c r="Q27" s="51">
        <v>32.119999999999997</v>
      </c>
      <c r="R27" s="43"/>
      <c r="S27" s="43"/>
      <c r="T27" s="43"/>
      <c r="U27" s="43"/>
    </row>
    <row r="28" spans="1:21" s="11" customFormat="1" ht="15">
      <c r="A28" s="50" t="s">
        <v>440</v>
      </c>
      <c r="B28" s="51">
        <v>19.09</v>
      </c>
      <c r="C28" s="51">
        <v>90.92</v>
      </c>
      <c r="D28" s="51">
        <v>65.900000000000006</v>
      </c>
      <c r="E28" s="51">
        <v>4.4400000000000004</v>
      </c>
      <c r="F28" s="51">
        <v>5.85</v>
      </c>
      <c r="G28" s="51">
        <v>89.28</v>
      </c>
      <c r="H28" s="51">
        <v>39.08</v>
      </c>
      <c r="I28" s="51">
        <v>0.73</v>
      </c>
      <c r="J28" s="51">
        <v>0.30</v>
      </c>
      <c r="K28" s="51">
        <v>88.25</v>
      </c>
      <c r="L28" s="51">
        <v>22.44</v>
      </c>
      <c r="M28" s="51">
        <v>51</v>
      </c>
      <c r="N28" s="51">
        <v>4.5</v>
      </c>
      <c r="O28" s="51">
        <v>0</v>
      </c>
      <c r="P28" s="51">
        <v>1.80</v>
      </c>
      <c r="Q28" s="51">
        <v>34.85</v>
      </c>
      <c r="R28" s="43"/>
      <c r="S28" s="43"/>
      <c r="T28" s="43"/>
      <c r="U28" s="43"/>
    </row>
    <row r="29" spans="1:21" s="11" customFormat="1" ht="15">
      <c r="A29" s="50" t="s">
        <v>441</v>
      </c>
      <c r="B29" s="51">
        <v>21.96</v>
      </c>
      <c r="C29" s="51">
        <v>89.98</v>
      </c>
      <c r="D29" s="51">
        <v>67.349999999999994</v>
      </c>
      <c r="E29" s="51">
        <v>4.32</v>
      </c>
      <c r="F29" s="51">
        <v>5.47</v>
      </c>
      <c r="G29" s="51">
        <v>93.42</v>
      </c>
      <c r="H29" s="51">
        <v>39.54</v>
      </c>
      <c r="I29" s="51">
        <v>0.81</v>
      </c>
      <c r="J29" s="51">
        <v>0.21</v>
      </c>
      <c r="K29" s="51">
        <v>95.66</v>
      </c>
      <c r="L29" s="51">
        <v>21.98</v>
      </c>
      <c r="M29" s="51">
        <v>54</v>
      </c>
      <c r="N29" s="51">
        <v>4.5999999999999996</v>
      </c>
      <c r="O29" s="51">
        <v>0</v>
      </c>
      <c r="P29" s="51">
        <v>1.91</v>
      </c>
      <c r="Q29" s="51">
        <v>39.28</v>
      </c>
      <c r="R29" s="43"/>
      <c r="S29" s="43"/>
      <c r="T29" s="43"/>
      <c r="U29" s="43"/>
    </row>
    <row r="30" spans="1:21" s="11" customFormat="1" ht="15">
      <c r="A30" s="50" t="s">
        <v>442</v>
      </c>
      <c r="B30" s="51">
        <v>24.18</v>
      </c>
      <c r="C30" s="51">
        <v>90.13</v>
      </c>
      <c r="D30" s="51">
        <v>69.55</v>
      </c>
      <c r="E30" s="51">
        <v>4.13</v>
      </c>
      <c r="F30" s="51">
        <v>5.30</v>
      </c>
      <c r="G30" s="51">
        <v>93.99</v>
      </c>
      <c r="H30" s="51">
        <v>41.58</v>
      </c>
      <c r="I30" s="51">
        <v>0.83</v>
      </c>
      <c r="J30" s="51">
        <v>0.21</v>
      </c>
      <c r="K30" s="51">
        <v>148.93</v>
      </c>
      <c r="L30" s="51">
        <v>21.33</v>
      </c>
      <c r="M30" s="51">
        <v>60</v>
      </c>
      <c r="N30" s="51">
        <v>4.5999999999999996</v>
      </c>
      <c r="O30" s="51">
        <v>0</v>
      </c>
      <c r="P30" s="51">
        <v>2.0499999999999998</v>
      </c>
      <c r="Q30" s="51">
        <v>39.869999999999997</v>
      </c>
      <c r="R30" s="43"/>
      <c r="S30" s="43"/>
      <c r="T30" s="43"/>
      <c r="U30" s="43"/>
    </row>
    <row r="31" spans="1:21" s="11" customFormat="1" ht="15">
      <c r="A31" s="50" t="s">
        <v>443</v>
      </c>
      <c r="B31" s="51">
        <v>34.31</v>
      </c>
      <c r="C31" s="51">
        <v>91.66</v>
      </c>
      <c r="D31" s="51">
        <v>78.03</v>
      </c>
      <c r="E31" s="51">
        <v>5.08</v>
      </c>
      <c r="F31" s="51">
        <v>5.31</v>
      </c>
      <c r="G31" s="51">
        <v>103.53</v>
      </c>
      <c r="H31" s="51">
        <v>46.08</v>
      </c>
      <c r="I31" s="51">
        <v>0.90</v>
      </c>
      <c r="J31" s="51">
        <v>0.22</v>
      </c>
      <c r="K31" s="51">
        <v>126.40</v>
      </c>
      <c r="L31" s="51">
        <v>20.64</v>
      </c>
      <c r="M31" s="51">
        <v>62</v>
      </c>
      <c r="N31" s="51">
        <v>4.70</v>
      </c>
      <c r="O31" s="51">
        <v>0</v>
      </c>
      <c r="P31" s="51">
        <v>2.1800000000000002</v>
      </c>
      <c r="Q31" s="51">
        <v>39.369999999999997</v>
      </c>
      <c r="R31" s="43"/>
      <c r="S31" s="43"/>
      <c r="T31" s="43"/>
      <c r="U31" s="43"/>
    </row>
    <row r="32" spans="1:21" s="11" customFormat="1" ht="15">
      <c r="A32" s="50" t="s">
        <v>444</v>
      </c>
      <c r="B32" s="51">
        <v>35.58</v>
      </c>
      <c r="C32" s="51">
        <v>89.14</v>
      </c>
      <c r="D32" s="51">
        <v>76.599999999999994</v>
      </c>
      <c r="E32" s="51">
        <v>4.54</v>
      </c>
      <c r="F32" s="51">
        <v>6.45</v>
      </c>
      <c r="G32" s="51">
        <v>108.02</v>
      </c>
      <c r="H32" s="51">
        <v>48.82</v>
      </c>
      <c r="I32" s="51">
        <v>0.93</v>
      </c>
      <c r="J32" s="51">
        <v>0.11</v>
      </c>
      <c r="K32" s="51">
        <v>341.27</v>
      </c>
      <c r="L32" s="51">
        <v>20.36</v>
      </c>
      <c r="M32" s="51">
        <v>67</v>
      </c>
      <c r="N32" s="51">
        <v>5</v>
      </c>
      <c r="O32" s="51">
        <v>0</v>
      </c>
      <c r="P32" s="51">
        <v>2.14</v>
      </c>
      <c r="Q32" s="51">
        <v>40.950000000000003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1.9099999999999999</v>
      </c>
      <c r="C34" s="28">
        <f t="shared" si="0"/>
        <v>53.299999999999997</v>
      </c>
      <c r="D34" s="28">
        <f t="shared" si="0"/>
        <v>31.359999999999999</v>
      </c>
      <c r="E34" s="28">
        <f t="shared" si="0"/>
        <v>3.6400000000000001</v>
      </c>
      <c r="F34" s="28">
        <f t="shared" si="0"/>
        <v>5.1399999999999997</v>
      </c>
      <c r="G34" s="28">
        <f t="shared" si="0"/>
        <v>46.07</v>
      </c>
      <c r="H34" s="28">
        <f t="shared" si="0"/>
        <v>27.539999999999999</v>
      </c>
      <c r="I34" s="28">
        <f t="shared" si="0"/>
        <v>0.51000000000000001</v>
      </c>
      <c r="J34" s="28">
        <f t="shared" si="0"/>
        <v>0.11</v>
      </c>
      <c r="K34" s="28">
        <f t="shared" si="0"/>
        <v>30.780000000000001</v>
      </c>
      <c r="L34" s="28">
        <f t="shared" si="0"/>
        <v>16.199999999999999</v>
      </c>
      <c r="M34" s="28">
        <f t="shared" si="0"/>
        <v>28</v>
      </c>
      <c r="N34" s="28">
        <f t="shared" si="0"/>
        <v>4.5</v>
      </c>
      <c r="O34" s="28">
        <f t="shared" si="0"/>
        <v>0</v>
      </c>
      <c r="P34" s="28">
        <f t="shared" si="0"/>
        <v>0.80000000000000004</v>
      </c>
      <c r="Q34" s="28">
        <f t="shared" si="0"/>
        <v>6.4400000000000004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35.579999999999998</v>
      </c>
      <c r="C35" s="29">
        <f t="shared" si="1"/>
        <v>94.420000000000002</v>
      </c>
      <c r="D35" s="29">
        <f t="shared" si="1"/>
        <v>78.030000000000001</v>
      </c>
      <c r="E35" s="29">
        <f t="shared" si="1"/>
        <v>10.029999999999999</v>
      </c>
      <c r="F35" s="29">
        <f t="shared" si="1"/>
        <v>38.020000000000003</v>
      </c>
      <c r="G35" s="29">
        <f t="shared" si="1"/>
        <v>108.02</v>
      </c>
      <c r="H35" s="29">
        <f t="shared" si="1"/>
        <v>48.82</v>
      </c>
      <c r="I35" s="29">
        <f t="shared" si="1"/>
        <v>0.93000000000000005</v>
      </c>
      <c r="J35" s="29">
        <f t="shared" si="1"/>
        <v>1.5800000000000001</v>
      </c>
      <c r="K35" s="29">
        <f t="shared" si="1"/>
        <v>352.72000000000003</v>
      </c>
      <c r="L35" s="29">
        <f t="shared" si="1"/>
        <v>31.18</v>
      </c>
      <c r="M35" s="29">
        <f t="shared" si="1"/>
        <v>67</v>
      </c>
      <c r="N35" s="29">
        <f t="shared" si="1"/>
        <v>543.70000000000005</v>
      </c>
      <c r="O35" s="29">
        <f t="shared" si="1"/>
        <v>0</v>
      </c>
      <c r="P35" s="29">
        <f t="shared" si="1"/>
        <v>2.1800000000000002</v>
      </c>
      <c r="Q35" s="29">
        <f t="shared" si="1"/>
        <v>40.950000000000003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13.53375</v>
      </c>
      <c r="C36" s="28">
        <f t="shared" si="2"/>
        <v>72.271250000000009</v>
      </c>
      <c r="D36" s="28">
        <f t="shared" si="2"/>
        <v>50.862083333333338</v>
      </c>
      <c r="E36" s="28">
        <f t="shared" si="2"/>
        <v>5.2120833333333332</v>
      </c>
      <c r="F36" s="28">
        <f t="shared" si="2"/>
        <v>10.075000000000001</v>
      </c>
      <c r="G36" s="28">
        <f t="shared" si="2"/>
        <v>73.325833333333335</v>
      </c>
      <c r="H36" s="28">
        <f t="shared" si="2"/>
        <v>35.147083333333335</v>
      </c>
      <c r="I36" s="28">
        <f t="shared" si="2"/>
        <v>0.65208333333333324</v>
      </c>
      <c r="J36" s="28">
        <f t="shared" si="2"/>
        <v>0.56416666666666659</v>
      </c>
      <c r="K36" s="28">
        <f t="shared" si="2"/>
        <v>126.71208333333333</v>
      </c>
      <c r="L36" s="28">
        <f t="shared" si="2"/>
        <v>22.235416666666669</v>
      </c>
      <c r="M36" s="28">
        <f t="shared" si="2"/>
        <v>50.958333333333336</v>
      </c>
      <c r="N36" s="28">
        <f t="shared" si="2"/>
        <v>214.71111111111111</v>
      </c>
      <c r="O36" s="28">
        <f t="shared" si="2"/>
        <v>0</v>
      </c>
      <c r="P36" s="28">
        <f t="shared" si="2"/>
        <v>1.2766666666666668</v>
      </c>
      <c r="Q36" s="28">
        <f t="shared" si="2"/>
        <v>21.490000000000006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8.9650862953241397</v>
      </c>
      <c r="C37" s="28">
        <f t="shared" si="3" ref="C37:Q37">STDEV(C9:C32)</f>
        <v>13.457902256747614</v>
      </c>
      <c r="D37" s="28">
        <f t="shared" si="3"/>
        <v>13.879701155524424</v>
      </c>
      <c r="E37" s="28">
        <f t="shared" si="3"/>
        <v>1.8486680967345275</v>
      </c>
      <c r="F37" s="28">
        <f t="shared" si="3"/>
        <v>9.2327724414999945</v>
      </c>
      <c r="G37" s="28">
        <f t="shared" si="3"/>
        <v>19.37033408988146</v>
      </c>
      <c r="H37" s="28">
        <f t="shared" si="3"/>
        <v>6.4148607895475793</v>
      </c>
      <c r="I37" s="28">
        <f t="shared" si="3"/>
        <v>0.11534368932311286</v>
      </c>
      <c r="J37" s="28">
        <f t="shared" si="3"/>
        <v>0.38380154140962752</v>
      </c>
      <c r="K37" s="28">
        <f t="shared" si="3"/>
        <v>76.261333753782495</v>
      </c>
      <c r="L37" s="28">
        <f t="shared" si="3"/>
        <v>4.8665209242123773</v>
      </c>
      <c r="M37" s="28">
        <f t="shared" si="3"/>
        <v>11.521168293214878</v>
      </c>
      <c r="N37" s="28">
        <f t="shared" si="3"/>
        <v>223.79844106298469</v>
      </c>
      <c r="O37" s="28">
        <f t="shared" si="3"/>
        <v>0</v>
      </c>
      <c r="P37" s="28">
        <f t="shared" si="3"/>
        <v>0.46703194813600268</v>
      </c>
      <c r="Q37" s="28">
        <f t="shared" si="3"/>
        <v>12.615469799451358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18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&lt;90%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LESS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dda931-a8fb-41ae-b912-e96c8a0bf5af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17-01-2023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445</v>
      </c>
      <c r="B9" s="51">
        <v>37.58</v>
      </c>
      <c r="C9" s="51">
        <v>85.20</v>
      </c>
      <c r="D9" s="51">
        <v>77.56</v>
      </c>
      <c r="E9" s="51">
        <v>4.2699999999999996</v>
      </c>
      <c r="F9" s="51">
        <v>5.98</v>
      </c>
      <c r="G9" s="51">
        <v>119.15</v>
      </c>
      <c r="H9" s="51">
        <v>50.99</v>
      </c>
      <c r="I9" s="51">
        <v>0.94</v>
      </c>
      <c r="J9" s="51">
        <v>0.61</v>
      </c>
      <c r="K9" s="51">
        <v>133.91999999999999</v>
      </c>
      <c r="L9" s="51">
        <v>20.079999999999998</v>
      </c>
      <c r="M9" s="51">
        <v>67</v>
      </c>
      <c r="N9" s="51">
        <v>4.70</v>
      </c>
      <c r="O9" s="51">
        <v>0</v>
      </c>
      <c r="P9" s="51">
        <v>2.11</v>
      </c>
      <c r="Q9" s="51">
        <v>43.19</v>
      </c>
      <c r="R9" s="43"/>
      <c r="S9" s="43"/>
      <c r="T9" s="43"/>
      <c r="U9" s="43"/>
    </row>
    <row r="10" spans="1:21" s="11" customFormat="1" ht="15">
      <c r="A10" s="50" t="s">
        <v>446</v>
      </c>
      <c r="B10" s="51">
        <v>28.37</v>
      </c>
      <c r="C10" s="51">
        <v>81.41</v>
      </c>
      <c r="D10" s="51">
        <v>68.09</v>
      </c>
      <c r="E10" s="51">
        <v>3.96</v>
      </c>
      <c r="F10" s="51">
        <v>5.39</v>
      </c>
      <c r="G10" s="51">
        <v>119.15</v>
      </c>
      <c r="H10" s="51">
        <v>50.99</v>
      </c>
      <c r="I10" s="51">
        <v>0.92</v>
      </c>
      <c r="J10" s="51">
        <v>0.28000000000000003</v>
      </c>
      <c r="K10" s="51">
        <v>292.69</v>
      </c>
      <c r="L10" s="51">
        <v>19.850000000000001</v>
      </c>
      <c r="M10" s="51">
        <v>69</v>
      </c>
      <c r="N10" s="51">
        <v>5</v>
      </c>
      <c r="O10" s="51">
        <v>0</v>
      </c>
      <c r="P10" s="51">
        <v>1.77</v>
      </c>
      <c r="Q10" s="51">
        <v>42.18</v>
      </c>
      <c r="R10" s="43"/>
      <c r="S10" s="43"/>
      <c r="T10" s="43"/>
      <c r="U10" s="43"/>
    </row>
    <row r="11" spans="1:21" s="11" customFormat="1" ht="15">
      <c r="A11" s="50" t="s">
        <v>447</v>
      </c>
      <c r="B11" s="51">
        <v>20.27</v>
      </c>
      <c r="C11" s="51">
        <v>76.099999999999994</v>
      </c>
      <c r="D11" s="51">
        <v>58.67</v>
      </c>
      <c r="E11" s="51">
        <v>3.82</v>
      </c>
      <c r="F11" s="51">
        <v>5.28</v>
      </c>
      <c r="G11" s="51">
        <v>104.52</v>
      </c>
      <c r="H11" s="51">
        <v>47.25</v>
      </c>
      <c r="I11" s="51">
        <v>0.82</v>
      </c>
      <c r="J11" s="51">
        <v>0.27</v>
      </c>
      <c r="K11" s="51">
        <v>346.47</v>
      </c>
      <c r="L11" s="51">
        <v>18.48</v>
      </c>
      <c r="M11" s="51">
        <v>73</v>
      </c>
      <c r="N11" s="51">
        <v>4.9000000000000004</v>
      </c>
      <c r="O11" s="51">
        <v>0</v>
      </c>
      <c r="P11" s="51">
        <v>1.62</v>
      </c>
      <c r="Q11" s="51">
        <v>38.86</v>
      </c>
      <c r="R11" s="43"/>
      <c r="S11" s="43"/>
      <c r="T11" s="43"/>
      <c r="U11" s="43"/>
    </row>
    <row r="12" spans="1:21" s="11" customFormat="1" ht="15">
      <c r="A12" s="50" t="s">
        <v>448</v>
      </c>
      <c r="B12" s="51">
        <v>16.52</v>
      </c>
      <c r="C12" s="51">
        <v>71.14</v>
      </c>
      <c r="D12" s="51">
        <v>52.92</v>
      </c>
      <c r="E12" s="51">
        <v>3.83</v>
      </c>
      <c r="F12" s="51">
        <v>5.34</v>
      </c>
      <c r="G12" s="51">
        <v>94.93</v>
      </c>
      <c r="H12" s="51">
        <v>44.71</v>
      </c>
      <c r="I12" s="51">
        <v>0.79</v>
      </c>
      <c r="J12" s="51">
        <v>0.21</v>
      </c>
      <c r="K12" s="51">
        <v>359.75</v>
      </c>
      <c r="L12" s="51">
        <v>18.07</v>
      </c>
      <c r="M12" s="51">
        <v>75</v>
      </c>
      <c r="N12" s="51">
        <v>4.80</v>
      </c>
      <c r="O12" s="51">
        <v>0</v>
      </c>
      <c r="P12" s="51">
        <v>1.44</v>
      </c>
      <c r="Q12" s="51">
        <v>40.94</v>
      </c>
      <c r="R12" s="43"/>
      <c r="S12" s="43"/>
      <c r="T12" s="43"/>
      <c r="U12" s="43"/>
    </row>
    <row r="13" spans="1:21" s="11" customFormat="1" ht="15">
      <c r="A13" s="50" t="s">
        <v>449</v>
      </c>
      <c r="B13" s="51">
        <v>12.94</v>
      </c>
      <c r="C13" s="51">
        <v>66.64</v>
      </c>
      <c r="D13" s="51">
        <v>47.57</v>
      </c>
      <c r="E13" s="51">
        <v>4.07</v>
      </c>
      <c r="F13" s="51">
        <v>5.31</v>
      </c>
      <c r="G13" s="51">
        <v>80.069999999999993</v>
      </c>
      <c r="H13" s="51">
        <v>38.85</v>
      </c>
      <c r="I13" s="51">
        <v>0.76</v>
      </c>
      <c r="J13" s="51">
        <v>0.34</v>
      </c>
      <c r="K13" s="51">
        <v>121.88</v>
      </c>
      <c r="L13" s="51">
        <v>17.91</v>
      </c>
      <c r="M13" s="51">
        <v>72</v>
      </c>
      <c r="N13" s="51">
        <v>4.5999999999999996</v>
      </c>
      <c r="O13" s="51">
        <v>0</v>
      </c>
      <c r="P13" s="51">
        <v>1.27</v>
      </c>
      <c r="Q13" s="51">
        <v>40.75</v>
      </c>
      <c r="R13" s="43"/>
      <c r="S13" s="43"/>
      <c r="T13" s="43"/>
      <c r="U13" s="43"/>
    </row>
    <row r="14" spans="1:21" s="11" customFormat="1" ht="15">
      <c r="A14" s="50" t="s">
        <v>450</v>
      </c>
      <c r="B14" s="51">
        <v>9.6999999999999993</v>
      </c>
      <c r="C14" s="51">
        <v>66.290000000000006</v>
      </c>
      <c r="D14" s="51">
        <v>44.78</v>
      </c>
      <c r="E14" s="51">
        <v>3.87</v>
      </c>
      <c r="F14" s="51">
        <v>5.42</v>
      </c>
      <c r="G14" s="51">
        <v>76.87</v>
      </c>
      <c r="H14" s="51">
        <v>39.22</v>
      </c>
      <c r="I14" s="51">
        <v>0.70</v>
      </c>
      <c r="J14" s="51">
        <v>0.43</v>
      </c>
      <c r="K14" s="51">
        <v>89.54</v>
      </c>
      <c r="L14" s="51">
        <v>17.93</v>
      </c>
      <c r="M14" s="51">
        <v>71</v>
      </c>
      <c r="N14" s="51">
        <v>4.5999999999999996</v>
      </c>
      <c r="O14" s="51">
        <v>0</v>
      </c>
      <c r="P14" s="51">
        <v>1.1299999999999999</v>
      </c>
      <c r="Q14" s="51">
        <v>39.229999999999997</v>
      </c>
      <c r="R14" s="43"/>
      <c r="S14" s="43"/>
      <c r="T14" s="43"/>
      <c r="U14" s="43"/>
    </row>
    <row r="15" spans="1:21" s="11" customFormat="1" ht="15">
      <c r="A15" s="50" t="s">
        <v>451</v>
      </c>
      <c r="B15" s="51">
        <v>13.88</v>
      </c>
      <c r="C15" s="51">
        <v>67.70</v>
      </c>
      <c r="D15" s="51">
        <v>48.91</v>
      </c>
      <c r="E15" s="51">
        <v>4.03</v>
      </c>
      <c r="F15" s="51">
        <v>5.40</v>
      </c>
      <c r="G15" s="51">
        <v>78.14</v>
      </c>
      <c r="H15" s="51">
        <v>39.22</v>
      </c>
      <c r="I15" s="51">
        <v>0.68</v>
      </c>
      <c r="J15" s="51">
        <v>0.64</v>
      </c>
      <c r="K15" s="51">
        <v>121.64</v>
      </c>
      <c r="L15" s="51">
        <v>17.63</v>
      </c>
      <c r="M15" s="51">
        <v>72</v>
      </c>
      <c r="N15" s="51">
        <v>13.30</v>
      </c>
      <c r="O15" s="51">
        <v>0</v>
      </c>
      <c r="P15" s="51">
        <v>1.0900000000000001</v>
      </c>
      <c r="Q15" s="51">
        <v>37.43</v>
      </c>
      <c r="R15" s="43"/>
      <c r="S15" s="43"/>
      <c r="T15" s="43"/>
      <c r="U15" s="43"/>
    </row>
    <row r="16" spans="1:21" s="11" customFormat="1" ht="15">
      <c r="A16" s="50" t="s">
        <v>452</v>
      </c>
      <c r="B16" s="51">
        <v>15.35</v>
      </c>
      <c r="C16" s="51">
        <v>68.42</v>
      </c>
      <c r="D16" s="51">
        <v>50.39</v>
      </c>
      <c r="E16" s="51">
        <v>4.24</v>
      </c>
      <c r="F16" s="51">
        <v>5.32</v>
      </c>
      <c r="G16" s="51">
        <v>87.93</v>
      </c>
      <c r="H16" s="51">
        <v>39.340000000000003</v>
      </c>
      <c r="I16" s="51">
        <v>0.68</v>
      </c>
      <c r="J16" s="51">
        <v>0.73</v>
      </c>
      <c r="K16" s="51">
        <v>144.41</v>
      </c>
      <c r="L16" s="51">
        <v>18.53</v>
      </c>
      <c r="M16" s="51">
        <v>70</v>
      </c>
      <c r="N16" s="51">
        <v>88.80</v>
      </c>
      <c r="O16" s="51">
        <v>0</v>
      </c>
      <c r="P16" s="51">
        <v>1.1499999999999999</v>
      </c>
      <c r="Q16" s="51">
        <v>39.72</v>
      </c>
      <c r="R16" s="43"/>
      <c r="S16" s="43"/>
      <c r="T16" s="43"/>
      <c r="U16" s="43"/>
    </row>
    <row r="17" spans="1:21" s="11" customFormat="1" ht="15">
      <c r="A17" s="50" t="s">
        <v>453</v>
      </c>
      <c r="B17" s="51">
        <v>20.78</v>
      </c>
      <c r="C17" s="51">
        <v>74.22</v>
      </c>
      <c r="D17" s="51">
        <v>58.04</v>
      </c>
      <c r="E17" s="51">
        <v>4.83</v>
      </c>
      <c r="F17" s="51">
        <v>5.26</v>
      </c>
      <c r="G17" s="51">
        <v>99.68</v>
      </c>
      <c r="H17" s="51">
        <v>40.049999999999997</v>
      </c>
      <c r="I17" s="51">
        <v>0.68</v>
      </c>
      <c r="J17" s="51">
        <v>0.57999999999999996</v>
      </c>
      <c r="K17" s="51">
        <v>93.63</v>
      </c>
      <c r="L17" s="51">
        <v>21.48</v>
      </c>
      <c r="M17" s="51">
        <v>61</v>
      </c>
      <c r="N17" s="51">
        <v>261.70</v>
      </c>
      <c r="O17" s="51">
        <v>0</v>
      </c>
      <c r="P17" s="51">
        <v>1.17</v>
      </c>
      <c r="Q17" s="51">
        <v>39.61</v>
      </c>
      <c r="R17" s="43"/>
      <c r="S17" s="43"/>
      <c r="T17" s="43"/>
      <c r="U17" s="43"/>
    </row>
    <row r="18" spans="1:21" s="11" customFormat="1" ht="15">
      <c r="A18" s="50" t="s">
        <v>454</v>
      </c>
      <c r="B18" s="51">
        <v>22.12</v>
      </c>
      <c r="C18" s="51">
        <v>75.83</v>
      </c>
      <c r="D18" s="51">
        <v>60</v>
      </c>
      <c r="E18" s="51">
        <v>4.5999999999999996</v>
      </c>
      <c r="F18" s="51">
        <v>5.30</v>
      </c>
      <c r="G18" s="51">
        <v>99.68</v>
      </c>
      <c r="H18" s="51">
        <v>42.97</v>
      </c>
      <c r="I18" s="51">
        <v>0.67</v>
      </c>
      <c r="J18" s="51">
        <v>0.96</v>
      </c>
      <c r="K18" s="51">
        <v>136.74</v>
      </c>
      <c r="L18" s="51">
        <v>23.42</v>
      </c>
      <c r="M18" s="51">
        <v>52</v>
      </c>
      <c r="N18" s="51">
        <v>410.60</v>
      </c>
      <c r="O18" s="51">
        <v>0</v>
      </c>
      <c r="P18" s="51">
        <v>1.17</v>
      </c>
      <c r="Q18" s="51">
        <v>37.909999999999997</v>
      </c>
      <c r="R18" s="43"/>
      <c r="S18" s="43"/>
      <c r="T18" s="43"/>
      <c r="U18" s="43"/>
    </row>
    <row r="19" spans="1:21" s="11" customFormat="1" ht="15">
      <c r="A19" s="50" t="s">
        <v>455</v>
      </c>
      <c r="B19" s="51">
        <v>19.86</v>
      </c>
      <c r="C19" s="51">
        <v>77.260000000000005</v>
      </c>
      <c r="D19" s="51">
        <v>57.56</v>
      </c>
      <c r="E19" s="51">
        <v>4.8499999999999996</v>
      </c>
      <c r="F19" s="51">
        <v>5.75</v>
      </c>
      <c r="G19" s="51">
        <v>99.05</v>
      </c>
      <c r="H19" s="51">
        <v>45.43</v>
      </c>
      <c r="I19" s="51">
        <v>0.69</v>
      </c>
      <c r="J19" s="51">
        <v>0.80</v>
      </c>
      <c r="K19" s="51">
        <v>121.85</v>
      </c>
      <c r="L19" s="51">
        <v>29.39</v>
      </c>
      <c r="M19" s="51">
        <v>50</v>
      </c>
      <c r="N19" s="51">
        <v>490.70</v>
      </c>
      <c r="O19" s="51">
        <v>0</v>
      </c>
      <c r="P19" s="51">
        <v>1.22</v>
      </c>
      <c r="Q19" s="51">
        <v>40.24</v>
      </c>
      <c r="R19" s="43"/>
      <c r="S19" s="43"/>
      <c r="T19" s="43"/>
      <c r="U19" s="43"/>
    </row>
    <row r="20" spans="1:21" s="11" customFormat="1" ht="15">
      <c r="A20" s="50" t="s">
        <v>456</v>
      </c>
      <c r="B20" s="51">
        <v>15.64</v>
      </c>
      <c r="C20" s="51">
        <v>87.01</v>
      </c>
      <c r="D20" s="51">
        <v>57.23</v>
      </c>
      <c r="E20" s="51">
        <v>5.12</v>
      </c>
      <c r="F20" s="51">
        <v>5.83</v>
      </c>
      <c r="G20" s="51">
        <v>96.36</v>
      </c>
      <c r="H20" s="51">
        <v>45.43</v>
      </c>
      <c r="I20" s="51">
        <v>0.69</v>
      </c>
      <c r="J20" s="51">
        <v>0.61</v>
      </c>
      <c r="K20" s="51">
        <v>134.16999999999999</v>
      </c>
      <c r="L20" s="51">
        <v>29.75</v>
      </c>
      <c r="M20" s="51">
        <v>36</v>
      </c>
      <c r="N20" s="51">
        <v>522.29999999999995</v>
      </c>
      <c r="O20" s="51">
        <v>0</v>
      </c>
      <c r="P20" s="51">
        <v>1.27</v>
      </c>
      <c r="Q20" s="51">
        <v>40.590000000000003</v>
      </c>
      <c r="R20" s="43"/>
      <c r="S20" s="43"/>
      <c r="T20" s="43"/>
      <c r="U20" s="43"/>
    </row>
    <row r="21" spans="1:21" s="11" customFormat="1" ht="15">
      <c r="A21" s="50" t="s">
        <v>457</v>
      </c>
      <c r="B21" s="51">
        <v>7.99</v>
      </c>
      <c r="C21" s="51">
        <v>89.07</v>
      </c>
      <c r="D21" s="51">
        <v>55.62</v>
      </c>
      <c r="E21" s="51">
        <v>5.94</v>
      </c>
      <c r="F21" s="51">
        <v>7.20</v>
      </c>
      <c r="G21" s="51">
        <v>95.73</v>
      </c>
      <c r="H21" s="51">
        <v>44.93</v>
      </c>
      <c r="I21" s="51">
        <v>0.67</v>
      </c>
      <c r="J21" s="51">
        <v>0.78</v>
      </c>
      <c r="K21" s="51">
        <v>291.17</v>
      </c>
      <c r="L21" s="51">
        <v>29.5</v>
      </c>
      <c r="M21" s="51">
        <v>40</v>
      </c>
      <c r="N21" s="51">
        <v>518.60</v>
      </c>
      <c r="O21" s="51">
        <v>0</v>
      </c>
      <c r="P21" s="51">
        <v>1.27</v>
      </c>
      <c r="Q21" s="51">
        <v>40.479999999999997</v>
      </c>
      <c r="R21" s="43"/>
      <c r="S21" s="43"/>
      <c r="T21" s="43"/>
      <c r="U21" s="43"/>
    </row>
    <row r="22" spans="1:21" s="11" customFormat="1" ht="15">
      <c r="A22" s="50" t="s">
        <v>458</v>
      </c>
      <c r="B22" s="51">
        <v>3.92</v>
      </c>
      <c r="C22" s="51">
        <v>85.21</v>
      </c>
      <c r="D22" s="51">
        <v>50.59</v>
      </c>
      <c r="E22" s="51">
        <v>6.59</v>
      </c>
      <c r="F22" s="51">
        <v>8.7799999999999994</v>
      </c>
      <c r="G22" s="51">
        <v>94.69</v>
      </c>
      <c r="H22" s="51">
        <v>46.84</v>
      </c>
      <c r="I22" s="51">
        <v>0.67</v>
      </c>
      <c r="J22" s="51">
        <v>0.94</v>
      </c>
      <c r="K22" s="51">
        <v>20.92</v>
      </c>
      <c r="L22" s="51">
        <v>30.86</v>
      </c>
      <c r="M22" s="51">
        <v>39</v>
      </c>
      <c r="N22" s="51">
        <v>453.20</v>
      </c>
      <c r="O22" s="51">
        <v>0</v>
      </c>
      <c r="P22" s="51">
        <v>1.29</v>
      </c>
      <c r="Q22" s="51">
        <v>38.89</v>
      </c>
      <c r="R22" s="43"/>
      <c r="S22" s="43"/>
      <c r="T22" s="43"/>
      <c r="U22" s="43"/>
    </row>
    <row r="23" spans="1:21" s="11" customFormat="1" ht="15">
      <c r="A23" s="50" t="s">
        <v>459</v>
      </c>
      <c r="B23" s="51">
        <v>3.90</v>
      </c>
      <c r="C23" s="51">
        <v>83.70</v>
      </c>
      <c r="D23" s="51">
        <v>49.44</v>
      </c>
      <c r="E23" s="51">
        <v>7.26</v>
      </c>
      <c r="F23" s="51">
        <v>7.66</v>
      </c>
      <c r="G23" s="51">
        <v>95.98</v>
      </c>
      <c r="H23" s="51">
        <v>46.84</v>
      </c>
      <c r="I23" s="51">
        <v>0.66</v>
      </c>
      <c r="J23" s="51">
        <v>0.76</v>
      </c>
      <c r="K23" s="51">
        <v>355.11</v>
      </c>
      <c r="L23" s="51">
        <v>30.07</v>
      </c>
      <c r="M23" s="51">
        <v>41</v>
      </c>
      <c r="N23" s="51">
        <v>350.40</v>
      </c>
      <c r="O23" s="51">
        <v>0</v>
      </c>
      <c r="P23" s="51">
        <v>1.51</v>
      </c>
      <c r="Q23" s="51">
        <v>41.63</v>
      </c>
      <c r="R23" s="43"/>
      <c r="S23" s="43"/>
      <c r="T23" s="43"/>
      <c r="U23" s="43"/>
    </row>
    <row r="24" spans="1:21" s="11" customFormat="1" ht="15">
      <c r="A24" s="50" t="s">
        <v>460</v>
      </c>
      <c r="B24" s="51">
        <v>3.43</v>
      </c>
      <c r="C24" s="51">
        <v>83.88</v>
      </c>
      <c r="D24" s="51">
        <v>49.46</v>
      </c>
      <c r="E24" s="51">
        <v>5.35</v>
      </c>
      <c r="F24" s="51">
        <v>7.99</v>
      </c>
      <c r="G24" s="51">
        <v>95.98</v>
      </c>
      <c r="H24" s="51">
        <v>45.68</v>
      </c>
      <c r="I24" s="51">
        <v>0.64</v>
      </c>
      <c r="J24" s="51">
        <v>0.22</v>
      </c>
      <c r="K24" s="51">
        <v>352.27</v>
      </c>
      <c r="L24" s="51">
        <v>29.56</v>
      </c>
      <c r="M24" s="51">
        <v>45</v>
      </c>
      <c r="N24" s="51">
        <v>237.90</v>
      </c>
      <c r="O24" s="51">
        <v>0</v>
      </c>
      <c r="P24" s="51">
        <v>1.53</v>
      </c>
      <c r="Q24" s="51">
        <v>41.77</v>
      </c>
      <c r="R24" s="43"/>
      <c r="S24" s="43"/>
      <c r="T24" s="43"/>
      <c r="U24" s="43"/>
    </row>
    <row r="25" spans="1:21" s="11" customFormat="1" ht="15">
      <c r="A25" s="50" t="s">
        <v>461</v>
      </c>
      <c r="B25" s="51">
        <v>5.26</v>
      </c>
      <c r="C25" s="51">
        <v>79.28</v>
      </c>
      <c r="D25" s="51">
        <v>48.39</v>
      </c>
      <c r="E25" s="51">
        <v>6.23</v>
      </c>
      <c r="F25" s="51">
        <v>10.10</v>
      </c>
      <c r="G25" s="51">
        <v>95.04</v>
      </c>
      <c r="H25" s="51">
        <v>43.68</v>
      </c>
      <c r="I25" s="51">
        <v>0.63</v>
      </c>
      <c r="J25" s="51">
        <v>0.64</v>
      </c>
      <c r="K25" s="51">
        <v>36.51</v>
      </c>
      <c r="L25" s="51">
        <v>27.90</v>
      </c>
      <c r="M25" s="51">
        <v>48</v>
      </c>
      <c r="N25" s="51">
        <v>109.80</v>
      </c>
      <c r="O25" s="51">
        <v>0</v>
      </c>
      <c r="P25" s="51">
        <v>1.45</v>
      </c>
      <c r="Q25" s="51">
        <v>39.06</v>
      </c>
      <c r="R25" s="43"/>
      <c r="S25" s="43"/>
      <c r="T25" s="43"/>
      <c r="U25" s="43"/>
    </row>
    <row r="26" spans="1:21" s="11" customFormat="1" ht="15">
      <c r="A26" s="50" t="s">
        <v>462</v>
      </c>
      <c r="B26" s="51">
        <v>10.5</v>
      </c>
      <c r="C26" s="51">
        <v>91.10</v>
      </c>
      <c r="D26" s="51">
        <v>59.11</v>
      </c>
      <c r="E26" s="51">
        <v>9.3000000000000007</v>
      </c>
      <c r="F26" s="51">
        <v>9.7200000000000006</v>
      </c>
      <c r="G26" s="51">
        <v>83.81</v>
      </c>
      <c r="H26" s="51">
        <v>41.04</v>
      </c>
      <c r="I26" s="51">
        <v>0.64</v>
      </c>
      <c r="J26" s="51">
        <v>0.45</v>
      </c>
      <c r="K26" s="51">
        <v>144.02000000000001</v>
      </c>
      <c r="L26" s="51">
        <v>26.56</v>
      </c>
      <c r="M26" s="51">
        <v>58</v>
      </c>
      <c r="N26" s="51">
        <v>25.10</v>
      </c>
      <c r="O26" s="51">
        <v>0</v>
      </c>
      <c r="P26" s="51">
        <v>1.65</v>
      </c>
      <c r="Q26" s="51">
        <v>42.91</v>
      </c>
      <c r="R26" s="43"/>
      <c r="S26" s="43"/>
      <c r="T26" s="43"/>
      <c r="U26" s="43"/>
    </row>
    <row r="27" spans="1:21" s="11" customFormat="1" ht="15">
      <c r="A27" s="50" t="s">
        <v>463</v>
      </c>
      <c r="B27" s="51">
        <v>20.76</v>
      </c>
      <c r="C27" s="51">
        <v>94.49</v>
      </c>
      <c r="D27" s="51">
        <v>69.209999999999994</v>
      </c>
      <c r="E27" s="51">
        <v>4.82</v>
      </c>
      <c r="F27" s="51">
        <v>5.51</v>
      </c>
      <c r="G27" s="51">
        <v>94.84</v>
      </c>
      <c r="H27" s="51">
        <v>42.77</v>
      </c>
      <c r="I27" s="51">
        <v>0.72</v>
      </c>
      <c r="J27" s="51">
        <v>0.12</v>
      </c>
      <c r="K27" s="51">
        <v>330.44</v>
      </c>
      <c r="L27" s="51">
        <v>23.80</v>
      </c>
      <c r="M27" s="51">
        <v>67</v>
      </c>
      <c r="N27" s="51">
        <v>4.9000000000000004</v>
      </c>
      <c r="O27" s="51">
        <v>0</v>
      </c>
      <c r="P27" s="51">
        <v>1.94</v>
      </c>
      <c r="Q27" s="51">
        <v>45.98</v>
      </c>
      <c r="R27" s="43"/>
      <c r="S27" s="43"/>
      <c r="T27" s="43"/>
      <c r="U27" s="43"/>
    </row>
    <row r="28" spans="1:21" s="11" customFormat="1" ht="15">
      <c r="A28" s="50" t="s">
        <v>464</v>
      </c>
      <c r="B28" s="51">
        <v>47.31</v>
      </c>
      <c r="C28" s="51">
        <v>103.29</v>
      </c>
      <c r="D28" s="51">
        <v>95.36</v>
      </c>
      <c r="E28" s="51">
        <v>4.8600000000000003</v>
      </c>
      <c r="F28" s="51">
        <v>5.25</v>
      </c>
      <c r="G28" s="51">
        <v>174.28</v>
      </c>
      <c r="H28" s="51">
        <v>48.91</v>
      </c>
      <c r="I28" s="51">
        <v>0.91</v>
      </c>
      <c r="J28" s="51">
        <v>0.11</v>
      </c>
      <c r="K28" s="51">
        <v>335.62</v>
      </c>
      <c r="L28" s="51">
        <v>22.5</v>
      </c>
      <c r="M28" s="51">
        <v>74</v>
      </c>
      <c r="N28" s="51">
        <v>4.5999999999999996</v>
      </c>
      <c r="O28" s="51">
        <v>0</v>
      </c>
      <c r="P28" s="51">
        <v>2.54</v>
      </c>
      <c r="Q28" s="51">
        <v>46.35</v>
      </c>
      <c r="R28" s="43"/>
      <c r="S28" s="43"/>
      <c r="T28" s="43"/>
      <c r="U28" s="43"/>
    </row>
    <row r="29" spans="1:21" s="11" customFormat="1" ht="15">
      <c r="A29" s="50" t="s">
        <v>465</v>
      </c>
      <c r="B29" s="51">
        <v>74.099999999999994</v>
      </c>
      <c r="C29" s="51">
        <v>101.68</v>
      </c>
      <c r="D29" s="51">
        <v>114.86</v>
      </c>
      <c r="E29" s="51">
        <v>5.74</v>
      </c>
      <c r="F29" s="51">
        <v>5.43</v>
      </c>
      <c r="G29" s="51">
        <v>193.75</v>
      </c>
      <c r="H29" s="51">
        <v>59.60</v>
      </c>
      <c r="I29" s="51">
        <v>1.26</v>
      </c>
      <c r="J29" s="51">
        <v>0.16</v>
      </c>
      <c r="K29" s="51">
        <v>347.47</v>
      </c>
      <c r="L29" s="51">
        <v>22.23</v>
      </c>
      <c r="M29" s="51">
        <v>76</v>
      </c>
      <c r="N29" s="51">
        <v>4.70</v>
      </c>
      <c r="O29" s="51">
        <v>0</v>
      </c>
      <c r="P29" s="51">
        <v>3.40</v>
      </c>
      <c r="Q29" s="51">
        <v>47.90</v>
      </c>
      <c r="R29" s="43"/>
      <c r="S29" s="43"/>
      <c r="T29" s="43"/>
      <c r="U29" s="43"/>
    </row>
    <row r="30" spans="1:21" s="11" customFormat="1" ht="15">
      <c r="A30" s="50" t="s">
        <v>466</v>
      </c>
      <c r="B30" s="51">
        <v>98.20</v>
      </c>
      <c r="C30" s="51">
        <v>104.47</v>
      </c>
      <c r="D30" s="51">
        <v>136.82</v>
      </c>
      <c r="E30" s="51">
        <v>6.17</v>
      </c>
      <c r="F30" s="51">
        <v>5.31</v>
      </c>
      <c r="G30" s="51">
        <v>218.62</v>
      </c>
      <c r="H30" s="51">
        <v>70.989999999999995</v>
      </c>
      <c r="I30" s="51">
        <v>1.63</v>
      </c>
      <c r="J30" s="51">
        <v>0.20</v>
      </c>
      <c r="K30" s="51">
        <v>130.46</v>
      </c>
      <c r="L30" s="51">
        <v>21.55</v>
      </c>
      <c r="M30" s="51">
        <v>75</v>
      </c>
      <c r="N30" s="51">
        <v>4.70</v>
      </c>
      <c r="O30" s="51">
        <v>0</v>
      </c>
      <c r="P30" s="51">
        <v>4.05</v>
      </c>
      <c r="Q30" s="51">
        <v>53.31</v>
      </c>
      <c r="R30" s="43"/>
      <c r="S30" s="43"/>
      <c r="T30" s="43"/>
      <c r="U30" s="43"/>
    </row>
    <row r="31" spans="1:21" s="11" customFormat="1" ht="15">
      <c r="A31" s="50" t="s">
        <v>467</v>
      </c>
      <c r="B31" s="51">
        <v>117.86</v>
      </c>
      <c r="C31" s="51">
        <v>105.41</v>
      </c>
      <c r="D31" s="51">
        <v>153</v>
      </c>
      <c r="E31" s="51">
        <v>6.27</v>
      </c>
      <c r="F31" s="51">
        <v>5.22</v>
      </c>
      <c r="G31" s="51">
        <v>218.62</v>
      </c>
      <c r="H31" s="51">
        <v>72.52</v>
      </c>
      <c r="I31" s="51">
        <v>1.88</v>
      </c>
      <c r="J31" s="51">
        <v>0.16</v>
      </c>
      <c r="K31" s="51">
        <v>206.11</v>
      </c>
      <c r="L31" s="51">
        <v>21.23</v>
      </c>
      <c r="M31" s="51">
        <v>78</v>
      </c>
      <c r="N31" s="51">
        <v>4.80</v>
      </c>
      <c r="O31" s="51">
        <v>0</v>
      </c>
      <c r="P31" s="51">
        <v>4.59</v>
      </c>
      <c r="Q31" s="51">
        <v>53.71</v>
      </c>
      <c r="R31" s="43"/>
      <c r="S31" s="43"/>
      <c r="T31" s="43"/>
      <c r="U31" s="43"/>
    </row>
    <row r="32" spans="1:21" s="11" customFormat="1" ht="15">
      <c r="A32" s="50" t="s">
        <v>468</v>
      </c>
      <c r="B32" s="51">
        <v>132.29</v>
      </c>
      <c r="C32" s="51">
        <v>105.52</v>
      </c>
      <c r="D32" s="51">
        <v>163.54</v>
      </c>
      <c r="E32" s="51">
        <v>6.59</v>
      </c>
      <c r="F32" s="51">
        <v>5.32</v>
      </c>
      <c r="G32" s="51">
        <v>182.05</v>
      </c>
      <c r="H32" s="51">
        <v>74.97</v>
      </c>
      <c r="I32" s="51">
        <v>2.0099999999999998</v>
      </c>
      <c r="J32" s="51">
        <v>0.14000000000000001</v>
      </c>
      <c r="K32" s="51">
        <v>311.61</v>
      </c>
      <c r="L32" s="51">
        <v>20.81</v>
      </c>
      <c r="M32" s="51">
        <v>82</v>
      </c>
      <c r="N32" s="51">
        <v>4.80</v>
      </c>
      <c r="O32" s="51">
        <v>0</v>
      </c>
      <c r="P32" s="51">
        <v>4.8099999999999996</v>
      </c>
      <c r="Q32" s="51">
        <v>53.16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3.4300000000000002</v>
      </c>
      <c r="C34" s="28">
        <f t="shared" si="0"/>
        <v>66.290000000000006</v>
      </c>
      <c r="D34" s="28">
        <f t="shared" si="0"/>
        <v>44.780000000000001</v>
      </c>
      <c r="E34" s="28">
        <f t="shared" si="0"/>
        <v>3.8199999999999998</v>
      </c>
      <c r="F34" s="28">
        <f t="shared" si="0"/>
        <v>5.2199999999999998</v>
      </c>
      <c r="G34" s="28">
        <f t="shared" si="0"/>
        <v>76.870000000000005</v>
      </c>
      <c r="H34" s="28">
        <f t="shared" si="0"/>
        <v>38.850000000000001</v>
      </c>
      <c r="I34" s="28">
        <f t="shared" si="0"/>
        <v>0.63</v>
      </c>
      <c r="J34" s="28">
        <f t="shared" si="0"/>
        <v>0.11</v>
      </c>
      <c r="K34" s="28">
        <f t="shared" si="0"/>
        <v>20.920000000000002</v>
      </c>
      <c r="L34" s="28">
        <f t="shared" si="0"/>
        <v>17.629999999999999</v>
      </c>
      <c r="M34" s="28">
        <f t="shared" si="0"/>
        <v>36</v>
      </c>
      <c r="N34" s="28">
        <f t="shared" si="0"/>
        <v>4.5999999999999996</v>
      </c>
      <c r="O34" s="28">
        <f t="shared" si="0"/>
        <v>0</v>
      </c>
      <c r="P34" s="28">
        <f t="shared" si="0"/>
        <v>1.0900000000000001</v>
      </c>
      <c r="Q34" s="28">
        <f t="shared" si="0"/>
        <v>37.43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132.28999999999999</v>
      </c>
      <c r="C35" s="29">
        <f t="shared" si="1"/>
        <v>105.52</v>
      </c>
      <c r="D35" s="29">
        <f t="shared" si="1"/>
        <v>163.53999999999999</v>
      </c>
      <c r="E35" s="29">
        <f t="shared" si="1"/>
        <v>9.3000000000000007</v>
      </c>
      <c r="F35" s="29">
        <f t="shared" si="1"/>
        <v>10.1</v>
      </c>
      <c r="G35" s="29">
        <f t="shared" si="1"/>
        <v>218.62</v>
      </c>
      <c r="H35" s="29">
        <f t="shared" si="1"/>
        <v>74.969999999999999</v>
      </c>
      <c r="I35" s="29">
        <f t="shared" si="1"/>
        <v>2.0099999999999998</v>
      </c>
      <c r="J35" s="29">
        <f t="shared" si="1"/>
        <v>0.95999999999999996</v>
      </c>
      <c r="K35" s="29">
        <f t="shared" si="1"/>
        <v>359.75</v>
      </c>
      <c r="L35" s="29">
        <f t="shared" si="1"/>
        <v>30.859999999999999</v>
      </c>
      <c r="M35" s="29">
        <f t="shared" si="1"/>
        <v>82</v>
      </c>
      <c r="N35" s="29">
        <f t="shared" si="1"/>
        <v>522.29999999999995</v>
      </c>
      <c r="O35" s="29">
        <f t="shared" si="1"/>
        <v>0</v>
      </c>
      <c r="P35" s="29">
        <f t="shared" si="1"/>
        <v>4.8099999999999996</v>
      </c>
      <c r="Q35" s="29">
        <f t="shared" si="1"/>
        <v>53.710000000000001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31.60541666666666</v>
      </c>
      <c r="C36" s="28">
        <f t="shared" si="2"/>
        <v>84.346666666666664</v>
      </c>
      <c r="D36" s="28">
        <f t="shared" si="2"/>
        <v>71.963333333333324</v>
      </c>
      <c r="E36" s="28">
        <f t="shared" si="2"/>
        <v>5.2754166666666658</v>
      </c>
      <c r="F36" s="28">
        <f t="shared" si="2"/>
        <v>6.2112499999999997</v>
      </c>
      <c r="G36" s="28">
        <f t="shared" si="2"/>
        <v>116.62166666666667</v>
      </c>
      <c r="H36" s="28">
        <f t="shared" si="2"/>
        <v>48.467500000000001</v>
      </c>
      <c r="I36" s="28">
        <f t="shared" si="2"/>
        <v>0.88916666666666655</v>
      </c>
      <c r="J36" s="28">
        <f t="shared" si="2"/>
        <v>0.46416666666666662</v>
      </c>
      <c r="K36" s="28">
        <f t="shared" si="2"/>
        <v>206.59999999999999</v>
      </c>
      <c r="L36" s="28">
        <f t="shared" si="2"/>
        <v>23.295416666666664</v>
      </c>
      <c r="M36" s="28">
        <f t="shared" si="2"/>
        <v>62.125</v>
      </c>
      <c r="N36" s="28">
        <f t="shared" si="2"/>
        <v>147.47916666666666</v>
      </c>
      <c r="O36" s="28">
        <f t="shared" si="2"/>
        <v>0</v>
      </c>
      <c r="P36" s="28">
        <f t="shared" si="2"/>
        <v>1.9349999999999998</v>
      </c>
      <c r="Q36" s="28">
        <f t="shared" si="2"/>
        <v>42.741666666666674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36.484760842465235</v>
      </c>
      <c r="C37" s="28">
        <f t="shared" si="3" ref="C37:Q37">STDEV(C9:C32)</f>
        <v>12.868205397215567</v>
      </c>
      <c r="D37" s="28">
        <f t="shared" si="3"/>
        <v>34.698255521450697</v>
      </c>
      <c r="E37" s="28">
        <f t="shared" si="3"/>
        <v>1.3383246475795192</v>
      </c>
      <c r="F37" s="28">
        <f t="shared" si="3"/>
        <v>1.5068865468964125</v>
      </c>
      <c r="G37" s="28">
        <f t="shared" si="3"/>
        <v>44.375499278677225</v>
      </c>
      <c r="H37" s="28">
        <f t="shared" si="3"/>
        <v>10.515256927953292</v>
      </c>
      <c r="I37" s="28">
        <f t="shared" si="3"/>
        <v>0.39686726142175804</v>
      </c>
      <c r="J37" s="28">
        <f t="shared" si="3"/>
        <v>0.27797273351843377</v>
      </c>
      <c r="K37" s="28">
        <f t="shared" si="3"/>
        <v>114.9957505831147</v>
      </c>
      <c r="L37" s="28">
        <f t="shared" si="3"/>
        <v>4.6421883699736899</v>
      </c>
      <c r="M37" s="28">
        <f t="shared" si="3"/>
        <v>14.408066882977321</v>
      </c>
      <c r="N37" s="28">
        <f t="shared" si="3"/>
        <v>198.18673227905362</v>
      </c>
      <c r="O37" s="28">
        <f t="shared" si="3"/>
        <v>0</v>
      </c>
      <c r="P37" s="28">
        <f t="shared" si="3"/>
        <v>1.1183450505876589</v>
      </c>
      <c r="Q37" s="28">
        <f t="shared" si="3"/>
        <v>4.8583291694614648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990edd-b6c2-4e8f-bbea-ac3c041da5b4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18-01-2023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469</v>
      </c>
      <c r="B9" s="51">
        <v>134.61000000000001</v>
      </c>
      <c r="C9" s="51">
        <v>102.16</v>
      </c>
      <c r="D9" s="51">
        <v>164.74</v>
      </c>
      <c r="E9" s="51">
        <v>5.83</v>
      </c>
      <c r="F9" s="51">
        <v>5.76</v>
      </c>
      <c r="G9" s="51">
        <v>182.05</v>
      </c>
      <c r="H9" s="51">
        <v>76.709999999999994</v>
      </c>
      <c r="I9" s="51">
        <v>2.10</v>
      </c>
      <c r="J9" s="51">
        <v>0.46</v>
      </c>
      <c r="K9" s="51">
        <v>178.79</v>
      </c>
      <c r="L9" s="51">
        <v>20.95</v>
      </c>
      <c r="M9" s="51">
        <v>80</v>
      </c>
      <c r="N9" s="51">
        <v>5</v>
      </c>
      <c r="O9" s="51">
        <v>0</v>
      </c>
      <c r="P9" s="51">
        <v>4.8600000000000003</v>
      </c>
      <c r="Q9" s="51">
        <v>53.21</v>
      </c>
      <c r="R9" s="43"/>
      <c r="S9" s="43"/>
      <c r="T9" s="43"/>
      <c r="U9" s="43"/>
    </row>
    <row r="10" spans="1:21" s="11" customFormat="1" ht="15">
      <c r="A10" s="50" t="s">
        <v>470</v>
      </c>
      <c r="B10" s="51">
        <v>115.30</v>
      </c>
      <c r="C10" s="51">
        <v>95.43</v>
      </c>
      <c r="D10" s="51">
        <v>145.54</v>
      </c>
      <c r="E10" s="51">
        <v>5.49</v>
      </c>
      <c r="F10" s="51">
        <v>5.21</v>
      </c>
      <c r="G10" s="51">
        <v>181.89</v>
      </c>
      <c r="H10" s="51">
        <v>76.709999999999994</v>
      </c>
      <c r="I10" s="51">
        <v>2.0499999999999998</v>
      </c>
      <c r="J10" s="51">
        <v>0.41</v>
      </c>
      <c r="K10" s="51">
        <v>47.63</v>
      </c>
      <c r="L10" s="51">
        <v>20.55</v>
      </c>
      <c r="M10" s="51">
        <v>74</v>
      </c>
      <c r="N10" s="51">
        <v>5.20</v>
      </c>
      <c r="O10" s="51">
        <v>0</v>
      </c>
      <c r="P10" s="51">
        <v>3.95</v>
      </c>
      <c r="Q10" s="51">
        <v>54.58</v>
      </c>
      <c r="R10" s="43"/>
      <c r="S10" s="43"/>
      <c r="T10" s="43"/>
      <c r="U10" s="43"/>
    </row>
    <row r="11" spans="1:21" s="11" customFormat="1" ht="15">
      <c r="A11" s="50" t="s">
        <v>471</v>
      </c>
      <c r="B11" s="51">
        <v>81.83</v>
      </c>
      <c r="C11" s="51">
        <v>87.72</v>
      </c>
      <c r="D11" s="51">
        <v>114.45</v>
      </c>
      <c r="E11" s="51">
        <v>4.5</v>
      </c>
      <c r="F11" s="51">
        <v>5.24</v>
      </c>
      <c r="G11" s="51">
        <v>94.04</v>
      </c>
      <c r="H11" s="51">
        <v>65.45</v>
      </c>
      <c r="I11" s="51">
        <v>1.74</v>
      </c>
      <c r="J11" s="51">
        <v>0.30</v>
      </c>
      <c r="K11" s="51">
        <v>106.99</v>
      </c>
      <c r="L11" s="51">
        <v>19.920000000000002</v>
      </c>
      <c r="M11" s="51">
        <v>72</v>
      </c>
      <c r="N11" s="51">
        <v>4.70</v>
      </c>
      <c r="O11" s="51">
        <v>0</v>
      </c>
      <c r="P11" s="51">
        <v>3.25</v>
      </c>
      <c r="Q11" s="51">
        <v>50.23</v>
      </c>
      <c r="R11" s="43"/>
      <c r="S11" s="43"/>
      <c r="T11" s="43"/>
      <c r="U11" s="43"/>
    </row>
    <row r="12" spans="1:21" s="11" customFormat="1" ht="15">
      <c r="A12" s="50" t="s">
        <v>472</v>
      </c>
      <c r="B12" s="51">
        <v>58.56</v>
      </c>
      <c r="C12" s="51">
        <v>81.09</v>
      </c>
      <c r="D12" s="51">
        <v>92.13</v>
      </c>
      <c r="E12" s="51">
        <v>4.5999999999999996</v>
      </c>
      <c r="F12" s="51">
        <v>5.26</v>
      </c>
      <c r="G12" s="51">
        <v>80.72</v>
      </c>
      <c r="H12" s="51">
        <v>54.93</v>
      </c>
      <c r="I12" s="51">
        <v>1.33</v>
      </c>
      <c r="J12" s="51">
        <v>0.33</v>
      </c>
      <c r="K12" s="51">
        <v>77.180000000000007</v>
      </c>
      <c r="L12" s="51">
        <v>19.190000000000001</v>
      </c>
      <c r="M12" s="51">
        <v>72</v>
      </c>
      <c r="N12" s="51">
        <v>4.5999999999999996</v>
      </c>
      <c r="O12" s="51">
        <v>0</v>
      </c>
      <c r="P12" s="51">
        <v>2.61</v>
      </c>
      <c r="Q12" s="51">
        <v>45.01</v>
      </c>
      <c r="R12" s="43"/>
      <c r="S12" s="43"/>
      <c r="T12" s="43"/>
      <c r="U12" s="43"/>
    </row>
    <row r="13" spans="1:21" s="11" customFormat="1" ht="15">
      <c r="A13" s="50" t="s">
        <v>473</v>
      </c>
      <c r="B13" s="51">
        <v>43.88</v>
      </c>
      <c r="C13" s="51">
        <v>74.89</v>
      </c>
      <c r="D13" s="51">
        <v>76.86</v>
      </c>
      <c r="E13" s="51">
        <v>4.66</v>
      </c>
      <c r="F13" s="51">
        <v>5.37</v>
      </c>
      <c r="G13" s="51">
        <v>73.30</v>
      </c>
      <c r="H13" s="51">
        <v>46.40</v>
      </c>
      <c r="I13" s="51">
        <v>1.19</v>
      </c>
      <c r="J13" s="51">
        <v>0.78</v>
      </c>
      <c r="K13" s="51">
        <v>47.03</v>
      </c>
      <c r="L13" s="51">
        <v>18.88</v>
      </c>
      <c r="M13" s="51">
        <v>71</v>
      </c>
      <c r="N13" s="51">
        <v>4.70</v>
      </c>
      <c r="O13" s="51">
        <v>0</v>
      </c>
      <c r="P13" s="51">
        <v>2.15</v>
      </c>
      <c r="Q13" s="51">
        <v>45.05</v>
      </c>
      <c r="R13" s="43"/>
      <c r="S13" s="43"/>
      <c r="T13" s="43"/>
      <c r="U13" s="43"/>
    </row>
    <row r="14" spans="1:21" s="11" customFormat="1" ht="15">
      <c r="A14" s="50" t="s">
        <v>474</v>
      </c>
      <c r="B14" s="51">
        <v>32.53</v>
      </c>
      <c r="C14" s="51">
        <v>72.849999999999994</v>
      </c>
      <c r="D14" s="51">
        <v>66.64</v>
      </c>
      <c r="E14" s="51">
        <v>4.38</v>
      </c>
      <c r="F14" s="51">
        <v>5.45</v>
      </c>
      <c r="G14" s="51">
        <v>73.30</v>
      </c>
      <c r="H14" s="51">
        <v>41.81</v>
      </c>
      <c r="I14" s="51">
        <v>1.03</v>
      </c>
      <c r="J14" s="51">
        <v>0.82</v>
      </c>
      <c r="K14" s="51">
        <v>97.16</v>
      </c>
      <c r="L14" s="51">
        <v>18.21</v>
      </c>
      <c r="M14" s="51">
        <v>67</v>
      </c>
      <c r="N14" s="51">
        <v>4.80</v>
      </c>
      <c r="O14" s="51">
        <v>0</v>
      </c>
      <c r="P14" s="51">
        <v>1.72</v>
      </c>
      <c r="Q14" s="51">
        <v>44.03</v>
      </c>
      <c r="R14" s="43"/>
      <c r="S14" s="43"/>
      <c r="T14" s="43"/>
      <c r="U14" s="43"/>
    </row>
    <row r="15" spans="1:21" s="11" customFormat="1" ht="15">
      <c r="A15" s="50" t="s">
        <v>475</v>
      </c>
      <c r="B15" s="51">
        <v>22.64</v>
      </c>
      <c r="C15" s="51">
        <v>71.900000000000006</v>
      </c>
      <c r="D15" s="51">
        <v>58.25</v>
      </c>
      <c r="E15" s="51">
        <v>4.26</v>
      </c>
      <c r="F15" s="51">
        <v>5.33</v>
      </c>
      <c r="G15" s="51">
        <v>65.989999999999995</v>
      </c>
      <c r="H15" s="51">
        <v>37.159999999999997</v>
      </c>
      <c r="I15" s="51">
        <v>0.87</v>
      </c>
      <c r="J15" s="51">
        <v>0.44</v>
      </c>
      <c r="K15" s="51">
        <v>68.430000000000007</v>
      </c>
      <c r="L15" s="51">
        <v>17.77</v>
      </c>
      <c r="M15" s="51">
        <v>65</v>
      </c>
      <c r="N15" s="51">
        <v>16</v>
      </c>
      <c r="O15" s="51">
        <v>0</v>
      </c>
      <c r="P15" s="51">
        <v>1.38</v>
      </c>
      <c r="Q15" s="51">
        <v>41.19</v>
      </c>
      <c r="R15" s="43"/>
      <c r="S15" s="43"/>
      <c r="T15" s="43"/>
      <c r="U15" s="43"/>
    </row>
    <row r="16" spans="1:21" s="11" customFormat="1" ht="15">
      <c r="A16" s="50" t="s">
        <v>476</v>
      </c>
      <c r="B16" s="51">
        <v>22.75</v>
      </c>
      <c r="C16" s="51">
        <v>72.47</v>
      </c>
      <c r="D16" s="51">
        <v>58.65</v>
      </c>
      <c r="E16" s="51">
        <v>4.05</v>
      </c>
      <c r="F16" s="51">
        <v>5.33</v>
      </c>
      <c r="G16" s="51">
        <v>70.02</v>
      </c>
      <c r="H16" s="51">
        <v>35.67</v>
      </c>
      <c r="I16" s="51">
        <v>0.80</v>
      </c>
      <c r="J16" s="51">
        <v>0.53</v>
      </c>
      <c r="K16" s="51">
        <v>127.53</v>
      </c>
      <c r="L16" s="51">
        <v>18.82</v>
      </c>
      <c r="M16" s="51">
        <v>61</v>
      </c>
      <c r="N16" s="51">
        <v>52.70</v>
      </c>
      <c r="O16" s="51">
        <v>0</v>
      </c>
      <c r="P16" s="51">
        <v>1.34</v>
      </c>
      <c r="Q16" s="51">
        <v>38.119999999999997</v>
      </c>
      <c r="R16" s="43"/>
      <c r="S16" s="43"/>
      <c r="T16" s="43"/>
      <c r="U16" s="43"/>
    </row>
    <row r="17" spans="1:21" s="11" customFormat="1" ht="15">
      <c r="A17" s="50" t="s">
        <v>477</v>
      </c>
      <c r="B17" s="51">
        <v>22.31</v>
      </c>
      <c r="C17" s="51">
        <v>72.349999999999994</v>
      </c>
      <c r="D17" s="51">
        <v>57.97</v>
      </c>
      <c r="E17" s="51">
        <v>3.10</v>
      </c>
      <c r="F17" s="51">
        <v>5.35</v>
      </c>
      <c r="G17" s="51">
        <v>70.31</v>
      </c>
      <c r="H17" s="51">
        <v>35.67</v>
      </c>
      <c r="I17" s="51">
        <v>0.78</v>
      </c>
      <c r="J17" s="51">
        <v>0.67</v>
      </c>
      <c r="K17" s="51">
        <v>121.84</v>
      </c>
      <c r="L17" s="51">
        <v>19.48</v>
      </c>
      <c r="M17" s="51">
        <v>57</v>
      </c>
      <c r="N17" s="51">
        <v>98.30</v>
      </c>
      <c r="O17" s="51">
        <v>0</v>
      </c>
      <c r="P17" s="51">
        <v>1.29</v>
      </c>
      <c r="Q17" s="51">
        <v>40.53</v>
      </c>
      <c r="R17" s="43"/>
      <c r="S17" s="43"/>
      <c r="T17" s="43"/>
      <c r="U17" s="43"/>
    </row>
    <row r="18" spans="1:21" s="11" customFormat="1" ht="15">
      <c r="A18" s="50" t="s">
        <v>478</v>
      </c>
      <c r="B18" s="51">
        <v>20.98</v>
      </c>
      <c r="C18" s="51">
        <v>76.430000000000007</v>
      </c>
      <c r="D18" s="51">
        <v>59.42</v>
      </c>
      <c r="E18" s="51">
        <v>3.40</v>
      </c>
      <c r="F18" s="51">
        <v>5.36</v>
      </c>
      <c r="G18" s="51">
        <v>78.81</v>
      </c>
      <c r="H18" s="51">
        <v>32.299999999999997</v>
      </c>
      <c r="I18" s="51">
        <v>0.75</v>
      </c>
      <c r="J18" s="51">
        <v>0.87</v>
      </c>
      <c r="K18" s="51">
        <v>120.77</v>
      </c>
      <c r="L18" s="51">
        <v>21.69</v>
      </c>
      <c r="M18" s="51">
        <v>56</v>
      </c>
      <c r="N18" s="51">
        <v>271.20</v>
      </c>
      <c r="O18" s="51">
        <v>0</v>
      </c>
      <c r="P18" s="51">
        <v>1.19</v>
      </c>
      <c r="Q18" s="51">
        <v>39.47</v>
      </c>
      <c r="R18" s="43"/>
      <c r="S18" s="43"/>
      <c r="T18" s="43"/>
      <c r="U18" s="43"/>
    </row>
    <row r="19" spans="1:21" s="11" customFormat="1" ht="15">
      <c r="A19" s="50" t="s">
        <v>479</v>
      </c>
      <c r="B19" s="51">
        <v>21.62</v>
      </c>
      <c r="C19" s="51">
        <v>78.739999999999995</v>
      </c>
      <c r="D19" s="51">
        <v>60.35</v>
      </c>
      <c r="E19" s="51">
        <v>5.56</v>
      </c>
      <c r="F19" s="51">
        <v>6.62</v>
      </c>
      <c r="G19" s="51">
        <v>78.81</v>
      </c>
      <c r="H19" s="51">
        <v>32.299999999999997</v>
      </c>
      <c r="I19" s="51">
        <v>0.71</v>
      </c>
      <c r="J19" s="51">
        <v>1.46</v>
      </c>
      <c r="K19" s="51">
        <v>152.65</v>
      </c>
      <c r="L19" s="51">
        <v>23.55</v>
      </c>
      <c r="M19" s="51">
        <v>50</v>
      </c>
      <c r="N19" s="51">
        <v>479.5</v>
      </c>
      <c r="O19" s="51">
        <v>0</v>
      </c>
      <c r="P19" s="51">
        <v>1.19</v>
      </c>
      <c r="Q19" s="51">
        <v>37.090000000000003</v>
      </c>
      <c r="R19" s="43"/>
      <c r="S19" s="43"/>
      <c r="T19" s="43"/>
      <c r="U19" s="43"/>
    </row>
    <row r="20" spans="1:21" s="11" customFormat="1" ht="15">
      <c r="A20" s="50" t="s">
        <v>480</v>
      </c>
      <c r="B20" s="51">
        <v>6.46</v>
      </c>
      <c r="C20" s="51">
        <v>72.97</v>
      </c>
      <c r="D20" s="51">
        <v>45.86</v>
      </c>
      <c r="E20" s="51">
        <v>4.1100000000000003</v>
      </c>
      <c r="F20" s="51">
        <v>7.92</v>
      </c>
      <c r="G20" s="51">
        <v>75.989999999999995</v>
      </c>
      <c r="H20" s="51">
        <v>32.21</v>
      </c>
      <c r="I20" s="51">
        <v>0.65</v>
      </c>
      <c r="J20" s="51">
        <v>0.97</v>
      </c>
      <c r="K20" s="51">
        <v>157.49</v>
      </c>
      <c r="L20" s="51">
        <v>26.48</v>
      </c>
      <c r="M20" s="51">
        <v>48</v>
      </c>
      <c r="N20" s="51">
        <v>508</v>
      </c>
      <c r="O20" s="51">
        <v>0</v>
      </c>
      <c r="P20" s="51">
        <v>0.94</v>
      </c>
      <c r="Q20" s="51">
        <v>27.65</v>
      </c>
      <c r="R20" s="43"/>
      <c r="S20" s="43"/>
      <c r="T20" s="43"/>
      <c r="U20" s="43"/>
    </row>
    <row r="21" spans="1:21" s="11" customFormat="1" ht="15">
      <c r="A21" s="50" t="s">
        <v>481</v>
      </c>
      <c r="B21" s="51">
        <v>3.74</v>
      </c>
      <c r="C21" s="51">
        <v>69.45</v>
      </c>
      <c r="D21" s="51">
        <v>41.55</v>
      </c>
      <c r="E21" s="51">
        <v>5.39</v>
      </c>
      <c r="F21" s="51">
        <v>7.57</v>
      </c>
      <c r="G21" s="51">
        <v>86.48</v>
      </c>
      <c r="H21" s="51">
        <v>33.54</v>
      </c>
      <c r="I21" s="51">
        <v>0.56999999999999995</v>
      </c>
      <c r="J21" s="51">
        <v>0.92</v>
      </c>
      <c r="K21" s="51">
        <v>80.27</v>
      </c>
      <c r="L21" s="51">
        <v>29.79</v>
      </c>
      <c r="M21" s="51">
        <v>40</v>
      </c>
      <c r="N21" s="51">
        <v>506.40</v>
      </c>
      <c r="O21" s="51">
        <v>0</v>
      </c>
      <c r="P21" s="51">
        <v>0.94</v>
      </c>
      <c r="Q21" s="51">
        <v>30.91</v>
      </c>
      <c r="R21" s="43"/>
      <c r="S21" s="43"/>
      <c r="T21" s="43"/>
      <c r="U21" s="43"/>
    </row>
    <row r="22" spans="1:21" s="11" customFormat="1" ht="15">
      <c r="A22" s="50" t="s">
        <v>482</v>
      </c>
      <c r="B22" s="51">
        <v>3.17</v>
      </c>
      <c r="C22" s="51">
        <v>71.760000000000005</v>
      </c>
      <c r="D22" s="51">
        <v>42.56</v>
      </c>
      <c r="E22" s="51">
        <v>12.19</v>
      </c>
      <c r="F22" s="51">
        <v>16.11</v>
      </c>
      <c r="G22" s="51">
        <v>86.48</v>
      </c>
      <c r="H22" s="51">
        <v>35.49</v>
      </c>
      <c r="I22" s="51">
        <v>0.56000000000000005</v>
      </c>
      <c r="J22" s="51">
        <v>0.77</v>
      </c>
      <c r="K22" s="51">
        <v>358.07</v>
      </c>
      <c r="L22" s="51">
        <v>30.89</v>
      </c>
      <c r="M22" s="51">
        <v>39</v>
      </c>
      <c r="N22" s="51">
        <v>461</v>
      </c>
      <c r="O22" s="51">
        <v>0</v>
      </c>
      <c r="P22" s="51">
        <v>1.22</v>
      </c>
      <c r="Q22" s="51">
        <v>30.68</v>
      </c>
      <c r="R22" s="43"/>
      <c r="S22" s="43"/>
      <c r="T22" s="43"/>
      <c r="U22" s="43"/>
    </row>
    <row r="23" spans="1:21" s="11" customFormat="1" ht="15">
      <c r="A23" s="50" t="s">
        <v>483</v>
      </c>
      <c r="B23" s="51">
        <v>4.6500000000000004</v>
      </c>
      <c r="C23" s="51">
        <v>71.22</v>
      </c>
      <c r="D23" s="51">
        <v>43.07</v>
      </c>
      <c r="E23" s="51">
        <v>15.19</v>
      </c>
      <c r="F23" s="51">
        <v>15.16</v>
      </c>
      <c r="G23" s="51">
        <v>78.38</v>
      </c>
      <c r="H23" s="51">
        <v>36.86</v>
      </c>
      <c r="I23" s="51">
        <v>0.53</v>
      </c>
      <c r="J23" s="51">
        <v>1.06</v>
      </c>
      <c r="K23" s="51">
        <v>50.36</v>
      </c>
      <c r="L23" s="51">
        <v>30.92</v>
      </c>
      <c r="M23" s="51">
        <v>41</v>
      </c>
      <c r="N23" s="51">
        <v>360.80</v>
      </c>
      <c r="O23" s="51">
        <v>0</v>
      </c>
      <c r="P23" s="51">
        <v>1.37</v>
      </c>
      <c r="Q23" s="51">
        <v>28.85</v>
      </c>
      <c r="R23" s="43"/>
      <c r="S23" s="43"/>
      <c r="T23" s="43"/>
      <c r="U23" s="43"/>
    </row>
    <row r="24" spans="1:21" s="11" customFormat="1" ht="15">
      <c r="A24" s="50" t="s">
        <v>484</v>
      </c>
      <c r="B24" s="51">
        <v>5.81</v>
      </c>
      <c r="C24" s="51">
        <v>80.680000000000007</v>
      </c>
      <c r="D24" s="51">
        <v>47.5</v>
      </c>
      <c r="E24" s="51">
        <v>17.25</v>
      </c>
      <c r="F24" s="51">
        <v>19.440000000000001</v>
      </c>
      <c r="G24" s="51">
        <v>86.48</v>
      </c>
      <c r="H24" s="51">
        <v>37.04</v>
      </c>
      <c r="I24" s="51">
        <v>0.56000000000000005</v>
      </c>
      <c r="J24" s="51">
        <v>0.95</v>
      </c>
      <c r="K24" s="51">
        <v>24.48</v>
      </c>
      <c r="L24" s="51">
        <v>29.82</v>
      </c>
      <c r="M24" s="51">
        <v>43</v>
      </c>
      <c r="N24" s="51">
        <v>219.60</v>
      </c>
      <c r="O24" s="51">
        <v>0</v>
      </c>
      <c r="P24" s="51">
        <v>1.52</v>
      </c>
      <c r="Q24" s="51">
        <v>31.29</v>
      </c>
      <c r="R24" s="43"/>
      <c r="S24" s="43"/>
      <c r="T24" s="43"/>
      <c r="U24" s="43"/>
    </row>
    <row r="25" spans="1:21" s="11" customFormat="1" ht="15">
      <c r="A25" s="50" t="s">
        <v>485</v>
      </c>
      <c r="B25" s="51">
        <v>5.54</v>
      </c>
      <c r="C25" s="51">
        <v>82.17</v>
      </c>
      <c r="D25" s="51">
        <v>48.69</v>
      </c>
      <c r="E25" s="51">
        <v>5.14</v>
      </c>
      <c r="F25" s="51">
        <v>11.34</v>
      </c>
      <c r="G25" s="51">
        <v>86.48</v>
      </c>
      <c r="H25" s="51">
        <v>37.380000000000003</v>
      </c>
      <c r="I25" s="51">
        <v>0.56000000000000005</v>
      </c>
      <c r="J25" s="51">
        <v>0.89</v>
      </c>
      <c r="K25" s="51">
        <v>354</v>
      </c>
      <c r="L25" s="51">
        <v>27.98</v>
      </c>
      <c r="M25" s="51">
        <v>47</v>
      </c>
      <c r="N25" s="51">
        <v>105.90</v>
      </c>
      <c r="O25" s="51">
        <v>0</v>
      </c>
      <c r="P25" s="51">
        <v>1.45</v>
      </c>
      <c r="Q25" s="51">
        <v>29.83</v>
      </c>
      <c r="R25" s="43"/>
      <c r="S25" s="43"/>
      <c r="T25" s="43"/>
      <c r="U25" s="43"/>
    </row>
    <row r="26" spans="1:21" s="11" customFormat="1" ht="15">
      <c r="A26" s="50" t="s">
        <v>486</v>
      </c>
      <c r="B26" s="51">
        <v>13.10</v>
      </c>
      <c r="C26" s="51">
        <v>88.56</v>
      </c>
      <c r="D26" s="51">
        <v>59.79</v>
      </c>
      <c r="E26" s="51">
        <v>4.99</v>
      </c>
      <c r="F26" s="51">
        <v>11.59</v>
      </c>
      <c r="G26" s="51">
        <v>84.52</v>
      </c>
      <c r="H26" s="51">
        <v>37.380000000000003</v>
      </c>
      <c r="I26" s="51">
        <v>0.56999999999999995</v>
      </c>
      <c r="J26" s="51">
        <v>0.43</v>
      </c>
      <c r="K26" s="51">
        <v>288.60000000000002</v>
      </c>
      <c r="L26" s="51">
        <v>26.06</v>
      </c>
      <c r="M26" s="51">
        <v>56</v>
      </c>
      <c r="N26" s="51">
        <v>26.10</v>
      </c>
      <c r="O26" s="51">
        <v>0</v>
      </c>
      <c r="P26" s="51">
        <v>1.74</v>
      </c>
      <c r="Q26" s="51">
        <v>30.14</v>
      </c>
      <c r="R26" s="43"/>
      <c r="S26" s="43"/>
      <c r="T26" s="43"/>
      <c r="U26" s="43"/>
    </row>
    <row r="27" spans="1:21" s="11" customFormat="1" ht="15">
      <c r="A27" s="50" t="s">
        <v>487</v>
      </c>
      <c r="B27" s="51">
        <v>16.829999999999998</v>
      </c>
      <c r="C27" s="51">
        <v>88.34</v>
      </c>
      <c r="D27" s="51">
        <v>62.67</v>
      </c>
      <c r="E27" s="51">
        <v>3.94</v>
      </c>
      <c r="F27" s="51">
        <v>5.96</v>
      </c>
      <c r="G27" s="51">
        <v>94.5</v>
      </c>
      <c r="H27" s="51">
        <v>35.76</v>
      </c>
      <c r="I27" s="51">
        <v>0.68</v>
      </c>
      <c r="J27" s="51">
        <v>0.28999999999999998</v>
      </c>
      <c r="K27" s="51">
        <v>215.56</v>
      </c>
      <c r="L27" s="51">
        <v>23.47</v>
      </c>
      <c r="M27" s="51">
        <v>63</v>
      </c>
      <c r="N27" s="51">
        <v>4.9000000000000004</v>
      </c>
      <c r="O27" s="51">
        <v>0</v>
      </c>
      <c r="P27" s="51">
        <v>1.75</v>
      </c>
      <c r="Q27" s="51">
        <v>35.47</v>
      </c>
      <c r="R27" s="43"/>
      <c r="S27" s="43"/>
      <c r="T27" s="43"/>
      <c r="U27" s="43"/>
    </row>
    <row r="28" spans="1:21" s="11" customFormat="1" ht="15">
      <c r="A28" s="50" t="s">
        <v>488</v>
      </c>
      <c r="B28" s="51">
        <v>15.44</v>
      </c>
      <c r="C28" s="51">
        <v>88.71</v>
      </c>
      <c r="D28" s="51">
        <v>61.31</v>
      </c>
      <c r="E28" s="51">
        <v>3.84</v>
      </c>
      <c r="F28" s="51">
        <v>5.35</v>
      </c>
      <c r="G28" s="51">
        <v>121.83</v>
      </c>
      <c r="H28" s="51">
        <v>41.18</v>
      </c>
      <c r="I28" s="51">
        <v>0.79</v>
      </c>
      <c r="J28" s="51">
        <v>0.27</v>
      </c>
      <c r="K28" s="51">
        <v>97.28</v>
      </c>
      <c r="L28" s="51">
        <v>23.12</v>
      </c>
      <c r="M28" s="51">
        <v>62</v>
      </c>
      <c r="N28" s="51">
        <v>4.5999999999999996</v>
      </c>
      <c r="O28" s="51">
        <v>0</v>
      </c>
      <c r="P28" s="51">
        <v>1.95</v>
      </c>
      <c r="Q28" s="51">
        <v>40.14</v>
      </c>
      <c r="R28" s="43"/>
      <c r="S28" s="43"/>
      <c r="T28" s="43"/>
      <c r="U28" s="43"/>
    </row>
    <row r="29" spans="1:21" s="11" customFormat="1" ht="15">
      <c r="A29" s="50" t="s">
        <v>489</v>
      </c>
      <c r="B29" s="51">
        <v>15.72</v>
      </c>
      <c r="C29" s="51">
        <v>90.19</v>
      </c>
      <c r="D29" s="51">
        <v>62.79</v>
      </c>
      <c r="E29" s="51">
        <v>2.87</v>
      </c>
      <c r="F29" s="51">
        <v>5.71</v>
      </c>
      <c r="G29" s="51">
        <v>121.83</v>
      </c>
      <c r="H29" s="51">
        <v>41.18</v>
      </c>
      <c r="I29" s="51">
        <v>0.85</v>
      </c>
      <c r="J29" s="51">
        <v>0.28999999999999998</v>
      </c>
      <c r="K29" s="51">
        <v>100.74</v>
      </c>
      <c r="L29" s="51">
        <v>22.37</v>
      </c>
      <c r="M29" s="51">
        <v>63</v>
      </c>
      <c r="N29" s="51">
        <v>4.5999999999999996</v>
      </c>
      <c r="O29" s="51">
        <v>0</v>
      </c>
      <c r="P29" s="51">
        <v>2.04</v>
      </c>
      <c r="Q29" s="51">
        <v>40.229999999999997</v>
      </c>
      <c r="R29" s="43"/>
      <c r="S29" s="43"/>
      <c r="T29" s="43"/>
      <c r="U29" s="43"/>
    </row>
    <row r="30" spans="1:21" s="11" customFormat="1" ht="15">
      <c r="A30" s="50" t="s">
        <v>490</v>
      </c>
      <c r="B30" s="51">
        <v>17.440000000000001</v>
      </c>
      <c r="C30" s="51">
        <v>86.86</v>
      </c>
      <c r="D30" s="51">
        <v>62.33</v>
      </c>
      <c r="E30" s="51">
        <v>2.88</v>
      </c>
      <c r="F30" s="51">
        <v>5.44</v>
      </c>
      <c r="G30" s="51">
        <v>106.63</v>
      </c>
      <c r="H30" s="51">
        <v>44.02</v>
      </c>
      <c r="I30" s="51">
        <v>0.91</v>
      </c>
      <c r="J30" s="51">
        <v>0.18</v>
      </c>
      <c r="K30" s="51">
        <v>105.05</v>
      </c>
      <c r="L30" s="51">
        <v>21.90</v>
      </c>
      <c r="M30" s="51">
        <v>65</v>
      </c>
      <c r="N30" s="51">
        <v>4.70</v>
      </c>
      <c r="O30" s="51">
        <v>0</v>
      </c>
      <c r="P30" s="51">
        <v>2.11</v>
      </c>
      <c r="Q30" s="51">
        <v>40.49</v>
      </c>
      <c r="R30" s="43"/>
      <c r="S30" s="43"/>
      <c r="T30" s="43"/>
      <c r="U30" s="43"/>
    </row>
    <row r="31" spans="1:21" s="11" customFormat="1" ht="15">
      <c r="A31" s="50" t="s">
        <v>491</v>
      </c>
      <c r="B31" s="51">
        <v>18.46</v>
      </c>
      <c r="C31" s="51">
        <v>83.75</v>
      </c>
      <c r="D31" s="51">
        <v>61.44</v>
      </c>
      <c r="E31" s="51">
        <v>2.98</v>
      </c>
      <c r="F31" s="51">
        <v>5.31</v>
      </c>
      <c r="G31" s="51">
        <v>106.63</v>
      </c>
      <c r="H31" s="51">
        <v>47.46</v>
      </c>
      <c r="I31" s="51">
        <v>0.96</v>
      </c>
      <c r="J31" s="51">
        <v>0.22</v>
      </c>
      <c r="K31" s="51">
        <v>105.66</v>
      </c>
      <c r="L31" s="51">
        <v>21.38</v>
      </c>
      <c r="M31" s="51">
        <v>69</v>
      </c>
      <c r="N31" s="51">
        <v>4.80</v>
      </c>
      <c r="O31" s="51">
        <v>0</v>
      </c>
      <c r="P31" s="51">
        <v>2.13</v>
      </c>
      <c r="Q31" s="51">
        <v>44.5</v>
      </c>
      <c r="R31" s="43"/>
      <c r="S31" s="43"/>
      <c r="T31" s="43"/>
      <c r="U31" s="43"/>
    </row>
    <row r="32" spans="1:21" s="11" customFormat="1" ht="15">
      <c r="A32" s="50" t="s">
        <v>492</v>
      </c>
      <c r="B32" s="51">
        <v>17.079999999999998</v>
      </c>
      <c r="C32" s="51">
        <v>83.12</v>
      </c>
      <c r="D32" s="51">
        <v>59.98</v>
      </c>
      <c r="E32" s="51">
        <v>2.92</v>
      </c>
      <c r="F32" s="51">
        <v>5.40</v>
      </c>
      <c r="G32" s="51">
        <v>104.72</v>
      </c>
      <c r="H32" s="51">
        <v>47.55</v>
      </c>
      <c r="I32" s="51">
        <v>1.02</v>
      </c>
      <c r="J32" s="51">
        <v>0.22</v>
      </c>
      <c r="K32" s="51">
        <v>141.25</v>
      </c>
      <c r="L32" s="51">
        <v>20.92</v>
      </c>
      <c r="M32" s="51">
        <v>72</v>
      </c>
      <c r="N32" s="51">
        <v>4.80</v>
      </c>
      <c r="O32" s="51">
        <v>0</v>
      </c>
      <c r="P32" s="51">
        <v>2.08</v>
      </c>
      <c r="Q32" s="51">
        <v>44.44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3.1699999999999999</v>
      </c>
      <c r="C34" s="28">
        <f t="shared" si="0"/>
        <v>69.450000000000003</v>
      </c>
      <c r="D34" s="28">
        <f t="shared" si="0"/>
        <v>41.549999999999997</v>
      </c>
      <c r="E34" s="28">
        <f t="shared" si="0"/>
        <v>2.8700000000000001</v>
      </c>
      <c r="F34" s="28">
        <f t="shared" si="0"/>
        <v>5.21</v>
      </c>
      <c r="G34" s="28">
        <f t="shared" si="0"/>
        <v>65.989999999999995</v>
      </c>
      <c r="H34" s="28">
        <f t="shared" si="0"/>
        <v>32.210000000000001</v>
      </c>
      <c r="I34" s="28">
        <f t="shared" si="0"/>
        <v>0.53000000000000003</v>
      </c>
      <c r="J34" s="28">
        <f t="shared" si="0"/>
        <v>0.17999999999999999</v>
      </c>
      <c r="K34" s="28">
        <f t="shared" si="0"/>
        <v>24.48</v>
      </c>
      <c r="L34" s="28">
        <f t="shared" si="0"/>
        <v>17.77</v>
      </c>
      <c r="M34" s="28">
        <f t="shared" si="0"/>
        <v>39</v>
      </c>
      <c r="N34" s="28">
        <f t="shared" si="0"/>
        <v>4.5999999999999996</v>
      </c>
      <c r="O34" s="28">
        <f t="shared" si="0"/>
        <v>0</v>
      </c>
      <c r="P34" s="28">
        <f t="shared" si="0"/>
        <v>0.93999999999999995</v>
      </c>
      <c r="Q34" s="28">
        <f t="shared" si="0"/>
        <v>27.649999999999999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134.61000000000001</v>
      </c>
      <c r="C35" s="29">
        <f t="shared" si="1"/>
        <v>102.16</v>
      </c>
      <c r="D35" s="29">
        <f t="shared" si="1"/>
        <v>164.74000000000001</v>
      </c>
      <c r="E35" s="29">
        <f t="shared" si="1"/>
        <v>17.25</v>
      </c>
      <c r="F35" s="29">
        <f t="shared" si="1"/>
        <v>19.440000000000001</v>
      </c>
      <c r="G35" s="29">
        <f t="shared" si="1"/>
        <v>182.05000000000001</v>
      </c>
      <c r="H35" s="29">
        <f t="shared" si="1"/>
        <v>76.709999999999994</v>
      </c>
      <c r="I35" s="29">
        <f t="shared" si="1"/>
        <v>2.1000000000000001</v>
      </c>
      <c r="J35" s="29">
        <f t="shared" si="1"/>
        <v>1.46</v>
      </c>
      <c r="K35" s="29">
        <f t="shared" si="1"/>
        <v>358.06999999999999</v>
      </c>
      <c r="L35" s="29">
        <f t="shared" si="1"/>
        <v>30.920000000000002</v>
      </c>
      <c r="M35" s="29">
        <f t="shared" si="1"/>
        <v>80</v>
      </c>
      <c r="N35" s="29">
        <f t="shared" si="1"/>
        <v>508</v>
      </c>
      <c r="O35" s="29">
        <f t="shared" si="1"/>
        <v>0</v>
      </c>
      <c r="P35" s="29">
        <f t="shared" si="1"/>
        <v>4.8600000000000003</v>
      </c>
      <c r="Q35" s="29">
        <f t="shared" si="1"/>
        <v>54.579999999999998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30.018750000000008</v>
      </c>
      <c r="C36" s="28">
        <f t="shared" si="2"/>
        <v>80.992083333333326</v>
      </c>
      <c r="D36" s="28">
        <f t="shared" si="2"/>
        <v>68.939166666666651</v>
      </c>
      <c r="E36" s="28">
        <f t="shared" si="2"/>
        <v>5.5633333333333326</v>
      </c>
      <c r="F36" s="28">
        <f t="shared" si="2"/>
        <v>7.607499999999999</v>
      </c>
      <c r="G36" s="28">
        <f t="shared" si="2"/>
        <v>95.424583333333317</v>
      </c>
      <c r="H36" s="28">
        <f t="shared" si="2"/>
        <v>43.423333333333325</v>
      </c>
      <c r="I36" s="28">
        <f t="shared" si="2"/>
        <v>0.93999999999999995</v>
      </c>
      <c r="J36" s="28">
        <f t="shared" si="2"/>
        <v>0.6054166666666666</v>
      </c>
      <c r="K36" s="28">
        <f t="shared" si="2"/>
        <v>134.36708333333334</v>
      </c>
      <c r="L36" s="28">
        <f t="shared" si="2"/>
        <v>23.087916666666661</v>
      </c>
      <c r="M36" s="28">
        <f t="shared" si="2"/>
        <v>59.708333333333336</v>
      </c>
      <c r="N36" s="28">
        <f t="shared" si="2"/>
        <v>131.78749999999999</v>
      </c>
      <c r="O36" s="28">
        <f t="shared" si="2"/>
        <v>0</v>
      </c>
      <c r="P36" s="28">
        <f t="shared" si="2"/>
        <v>1.9237500000000003</v>
      </c>
      <c r="Q36" s="28">
        <f t="shared" si="2"/>
        <v>39.29708333333334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34.490279199205247</v>
      </c>
      <c r="C37" s="28">
        <f t="shared" si="3" ref="C37:Q37">STDEV(C9:C32)</f>
        <v>8.7052772496201332</v>
      </c>
      <c r="D37" s="28">
        <f t="shared" si="3"/>
        <v>31.028855142419875</v>
      </c>
      <c r="E37" s="28">
        <f t="shared" si="3"/>
        <v>3.7799375042759498</v>
      </c>
      <c r="F37" s="28">
        <f t="shared" si="3"/>
        <v>4.0482280074126251</v>
      </c>
      <c r="G37" s="28">
        <f t="shared" si="3"/>
        <v>30.724592469673834</v>
      </c>
      <c r="H37" s="28">
        <f t="shared" si="3"/>
        <v>12.84972801832507</v>
      </c>
      <c r="I37" s="28">
        <f t="shared" si="3"/>
        <v>0.44937637948025555</v>
      </c>
      <c r="J37" s="28">
        <f t="shared" si="3"/>
        <v>0.3380375482960008</v>
      </c>
      <c r="K37" s="28">
        <f t="shared" si="3"/>
        <v>89.221670914012819</v>
      </c>
      <c r="L37" s="28">
        <f t="shared" si="3"/>
        <v>4.2006065598928384</v>
      </c>
      <c r="M37" s="28">
        <f t="shared" si="3"/>
        <v>11.969087599771933</v>
      </c>
      <c r="N37" s="28">
        <f t="shared" si="3"/>
        <v>188.46437631898593</v>
      </c>
      <c r="O37" s="28">
        <f t="shared" si="3"/>
        <v>0</v>
      </c>
      <c r="P37" s="28">
        <f t="shared" si="3"/>
        <v>0.94338342290327304</v>
      </c>
      <c r="Q37" s="28">
        <f t="shared" si="3"/>
        <v>7.6452437497278636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802e173-7cf5-40ae-ac69-4bd55732c67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19-01-2023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493</v>
      </c>
      <c r="B9" s="51">
        <v>15.86</v>
      </c>
      <c r="C9" s="51">
        <v>81.23</v>
      </c>
      <c r="D9" s="51">
        <v>57.96</v>
      </c>
      <c r="E9" s="51">
        <v>4.43</v>
      </c>
      <c r="F9" s="51">
        <v>5.53</v>
      </c>
      <c r="G9" s="51">
        <v>108.08</v>
      </c>
      <c r="H9" s="51">
        <v>49.19</v>
      </c>
      <c r="I9" s="51">
        <v>0.92</v>
      </c>
      <c r="J9" s="51">
        <v>0.38</v>
      </c>
      <c r="K9" s="51">
        <v>69.069999999999993</v>
      </c>
      <c r="L9" s="51">
        <v>20.51</v>
      </c>
      <c r="M9" s="51">
        <v>69</v>
      </c>
      <c r="N9" s="51">
        <v>4.5999999999999996</v>
      </c>
      <c r="O9" s="51">
        <v>0</v>
      </c>
      <c r="P9" s="51">
        <v>1.96</v>
      </c>
      <c r="Q9" s="51">
        <v>43.34</v>
      </c>
      <c r="R9" s="43"/>
      <c r="S9" s="43"/>
      <c r="T9" s="43"/>
      <c r="U9" s="43"/>
    </row>
    <row r="10" spans="1:21" s="11" customFormat="1" ht="15">
      <c r="A10" s="50" t="s">
        <v>494</v>
      </c>
      <c r="B10" s="51">
        <v>12.27</v>
      </c>
      <c r="C10" s="51">
        <v>76.70</v>
      </c>
      <c r="D10" s="51">
        <v>52.59</v>
      </c>
      <c r="E10" s="51">
        <v>4.92</v>
      </c>
      <c r="F10" s="51">
        <v>5.57</v>
      </c>
      <c r="G10" s="51">
        <v>108.08</v>
      </c>
      <c r="H10" s="51">
        <v>49.19</v>
      </c>
      <c r="I10" s="51">
        <v>0.88</v>
      </c>
      <c r="J10" s="51">
        <v>0.37</v>
      </c>
      <c r="K10" s="51">
        <v>83.54</v>
      </c>
      <c r="L10" s="51">
        <v>19.96</v>
      </c>
      <c r="M10" s="51">
        <v>70</v>
      </c>
      <c r="N10" s="51">
        <v>4.5999999999999996</v>
      </c>
      <c r="O10" s="51">
        <v>0</v>
      </c>
      <c r="P10" s="51">
        <v>1.70</v>
      </c>
      <c r="Q10" s="51">
        <v>41.32</v>
      </c>
      <c r="R10" s="43"/>
      <c r="S10" s="43"/>
      <c r="T10" s="43"/>
      <c r="U10" s="43"/>
    </row>
    <row r="11" spans="1:21" s="11" customFormat="1" ht="15">
      <c r="A11" s="50" t="s">
        <v>495</v>
      </c>
      <c r="B11" s="51">
        <v>9.3800000000000008</v>
      </c>
      <c r="C11" s="51">
        <v>69.599999999999994</v>
      </c>
      <c r="D11" s="51">
        <v>45.13</v>
      </c>
      <c r="E11" s="51">
        <v>4.57</v>
      </c>
      <c r="F11" s="51">
        <v>5.51</v>
      </c>
      <c r="G11" s="51">
        <v>87.15</v>
      </c>
      <c r="H11" s="51">
        <v>43.64</v>
      </c>
      <c r="I11" s="51">
        <v>0.84</v>
      </c>
      <c r="J11" s="51">
        <v>0.35</v>
      </c>
      <c r="K11" s="51">
        <v>82.78</v>
      </c>
      <c r="L11" s="51">
        <v>19.21</v>
      </c>
      <c r="M11" s="51">
        <v>70</v>
      </c>
      <c r="N11" s="51">
        <v>4.80</v>
      </c>
      <c r="O11" s="51">
        <v>0</v>
      </c>
      <c r="P11" s="51">
        <v>1.54</v>
      </c>
      <c r="Q11" s="51">
        <v>43.04</v>
      </c>
      <c r="R11" s="43"/>
      <c r="S11" s="43"/>
      <c r="T11" s="43"/>
      <c r="U11" s="43"/>
    </row>
    <row r="12" spans="1:21" s="11" customFormat="1" ht="15">
      <c r="A12" s="50" t="s">
        <v>496</v>
      </c>
      <c r="B12" s="51">
        <v>6.65</v>
      </c>
      <c r="C12" s="51">
        <v>68.69</v>
      </c>
      <c r="D12" s="51">
        <v>43.65</v>
      </c>
      <c r="E12" s="51">
        <v>4.03</v>
      </c>
      <c r="F12" s="51">
        <v>5.52</v>
      </c>
      <c r="G12" s="51">
        <v>73.95</v>
      </c>
      <c r="H12" s="51">
        <v>36.869999999999997</v>
      </c>
      <c r="I12" s="51">
        <v>0.77</v>
      </c>
      <c r="J12" s="51">
        <v>0.26</v>
      </c>
      <c r="K12" s="51">
        <v>59.90</v>
      </c>
      <c r="L12" s="51">
        <v>18.57</v>
      </c>
      <c r="M12" s="51">
        <v>69</v>
      </c>
      <c r="N12" s="51">
        <v>4.5999999999999996</v>
      </c>
      <c r="O12" s="51">
        <v>0</v>
      </c>
      <c r="P12" s="51">
        <v>1.33</v>
      </c>
      <c r="Q12" s="51">
        <v>42.47</v>
      </c>
      <c r="R12" s="43"/>
      <c r="S12" s="43"/>
      <c r="T12" s="43"/>
      <c r="U12" s="43"/>
    </row>
    <row r="13" spans="1:21" s="11" customFormat="1" ht="15">
      <c r="A13" s="50" t="s">
        <v>497</v>
      </c>
      <c r="B13" s="51">
        <v>7.86</v>
      </c>
      <c r="C13" s="51">
        <v>66.78</v>
      </c>
      <c r="D13" s="51">
        <v>43.43</v>
      </c>
      <c r="E13" s="51">
        <v>3.40</v>
      </c>
      <c r="F13" s="51">
        <v>5.29</v>
      </c>
      <c r="G13" s="51">
        <v>71.739999999999995</v>
      </c>
      <c r="H13" s="51">
        <v>36.869999999999997</v>
      </c>
      <c r="I13" s="51">
        <v>0.70</v>
      </c>
      <c r="J13" s="51">
        <v>0.34</v>
      </c>
      <c r="K13" s="51">
        <v>114.65</v>
      </c>
      <c r="L13" s="51">
        <v>18.100000000000001</v>
      </c>
      <c r="M13" s="51">
        <v>71</v>
      </c>
      <c r="N13" s="51">
        <v>4.5999999999999996</v>
      </c>
      <c r="O13" s="51">
        <v>0</v>
      </c>
      <c r="P13" s="51">
        <v>1.20</v>
      </c>
      <c r="Q13" s="51">
        <v>39.479999999999997</v>
      </c>
      <c r="R13" s="43"/>
      <c r="S13" s="43"/>
      <c r="T13" s="43"/>
      <c r="U13" s="43"/>
    </row>
    <row r="14" spans="1:21" s="11" customFormat="1" ht="15">
      <c r="A14" s="50" t="s">
        <v>498</v>
      </c>
      <c r="B14" s="51">
        <v>9.74</v>
      </c>
      <c r="C14" s="51">
        <v>66.09</v>
      </c>
      <c r="D14" s="51">
        <v>44.04</v>
      </c>
      <c r="E14" s="51">
        <v>3.39</v>
      </c>
      <c r="F14" s="51">
        <v>5.31</v>
      </c>
      <c r="G14" s="51">
        <v>70.930000000000007</v>
      </c>
      <c r="H14" s="51">
        <v>36.78</v>
      </c>
      <c r="I14" s="51">
        <v>0.70</v>
      </c>
      <c r="J14" s="51">
        <v>0.22</v>
      </c>
      <c r="K14" s="51">
        <v>68.62</v>
      </c>
      <c r="L14" s="51">
        <v>17.940000000000001</v>
      </c>
      <c r="M14" s="51">
        <v>72</v>
      </c>
      <c r="N14" s="51">
        <v>4.5999999999999996</v>
      </c>
      <c r="O14" s="51">
        <v>0</v>
      </c>
      <c r="P14" s="51">
        <v>1.1000000000000001</v>
      </c>
      <c r="Q14" s="51">
        <v>41.70</v>
      </c>
      <c r="R14" s="43"/>
      <c r="S14" s="43"/>
      <c r="T14" s="43"/>
      <c r="U14" s="43"/>
    </row>
    <row r="15" spans="1:21" s="11" customFormat="1" ht="15">
      <c r="A15" s="50" t="s">
        <v>499</v>
      </c>
      <c r="B15" s="51">
        <v>15.53</v>
      </c>
      <c r="C15" s="51">
        <v>69.45</v>
      </c>
      <c r="D15" s="51">
        <v>51.20</v>
      </c>
      <c r="E15" s="51">
        <v>3.58</v>
      </c>
      <c r="F15" s="51">
        <v>5.29</v>
      </c>
      <c r="G15" s="51">
        <v>70.930000000000007</v>
      </c>
      <c r="H15" s="51">
        <v>37.33</v>
      </c>
      <c r="I15" s="51">
        <v>0.69</v>
      </c>
      <c r="J15" s="51">
        <v>0.57999999999999996</v>
      </c>
      <c r="K15" s="51">
        <v>76.34</v>
      </c>
      <c r="L15" s="51">
        <v>17.45</v>
      </c>
      <c r="M15" s="51">
        <v>71</v>
      </c>
      <c r="N15" s="51">
        <v>16.20</v>
      </c>
      <c r="O15" s="51">
        <v>0</v>
      </c>
      <c r="P15" s="51">
        <v>1.06</v>
      </c>
      <c r="Q15" s="51">
        <v>41.52</v>
      </c>
      <c r="R15" s="43"/>
      <c r="S15" s="43"/>
      <c r="T15" s="43"/>
      <c r="U15" s="43"/>
    </row>
    <row r="16" spans="1:21" s="11" customFormat="1" ht="15">
      <c r="A16" s="50" t="s">
        <v>500</v>
      </c>
      <c r="B16" s="51">
        <v>19.91</v>
      </c>
      <c r="C16" s="51">
        <v>72.17</v>
      </c>
      <c r="D16" s="51">
        <v>56.22</v>
      </c>
      <c r="E16" s="51">
        <v>3.98</v>
      </c>
      <c r="F16" s="51">
        <v>5.47</v>
      </c>
      <c r="G16" s="51">
        <v>81.37</v>
      </c>
      <c r="H16" s="51">
        <v>37.33</v>
      </c>
      <c r="I16" s="51">
        <v>0.66</v>
      </c>
      <c r="J16" s="51">
        <v>0.81</v>
      </c>
      <c r="K16" s="51">
        <v>29.53</v>
      </c>
      <c r="L16" s="51">
        <v>19.36</v>
      </c>
      <c r="M16" s="51">
        <v>66</v>
      </c>
      <c r="N16" s="51">
        <v>121.70</v>
      </c>
      <c r="O16" s="51">
        <v>0</v>
      </c>
      <c r="P16" s="51">
        <v>1.0900000000000001</v>
      </c>
      <c r="Q16" s="51">
        <v>40.659999999999997</v>
      </c>
      <c r="R16" s="43"/>
      <c r="S16" s="43"/>
      <c r="T16" s="43"/>
      <c r="U16" s="43"/>
    </row>
    <row r="17" spans="1:21" s="11" customFormat="1" ht="15">
      <c r="A17" s="50" t="s">
        <v>501</v>
      </c>
      <c r="B17" s="51">
        <v>23.19</v>
      </c>
      <c r="C17" s="51">
        <v>73.94</v>
      </c>
      <c r="D17" s="51">
        <v>59.82</v>
      </c>
      <c r="E17" s="51">
        <v>4.34</v>
      </c>
      <c r="F17" s="51">
        <v>5.38</v>
      </c>
      <c r="G17" s="51">
        <v>90.45</v>
      </c>
      <c r="H17" s="51">
        <v>41.23</v>
      </c>
      <c r="I17" s="51">
        <v>0.69</v>
      </c>
      <c r="J17" s="51">
        <v>0.72</v>
      </c>
      <c r="K17" s="51">
        <v>95.71</v>
      </c>
      <c r="L17" s="51">
        <v>21.99</v>
      </c>
      <c r="M17" s="51">
        <v>57</v>
      </c>
      <c r="N17" s="51">
        <v>277.5</v>
      </c>
      <c r="O17" s="51">
        <v>0</v>
      </c>
      <c r="P17" s="51">
        <v>1.1499999999999999</v>
      </c>
      <c r="Q17" s="51">
        <v>38.14</v>
      </c>
      <c r="R17" s="43"/>
      <c r="S17" s="43"/>
      <c r="T17" s="43"/>
      <c r="U17" s="43"/>
    </row>
    <row r="18" spans="1:21" s="11" customFormat="1" ht="15">
      <c r="A18" s="50" t="s">
        <v>502</v>
      </c>
      <c r="B18" s="51">
        <v>24.09</v>
      </c>
      <c r="C18" s="51">
        <v>76.13</v>
      </c>
      <c r="D18" s="51">
        <v>60.80</v>
      </c>
      <c r="E18" s="51">
        <v>5.48</v>
      </c>
      <c r="F18" s="51">
        <v>5.81</v>
      </c>
      <c r="G18" s="51">
        <v>112.59</v>
      </c>
      <c r="H18" s="51">
        <v>47.27</v>
      </c>
      <c r="I18" s="51">
        <v>0.69</v>
      </c>
      <c r="J18" s="51">
        <v>1.21</v>
      </c>
      <c r="K18" s="51">
        <v>152.22</v>
      </c>
      <c r="L18" s="51">
        <v>24.69</v>
      </c>
      <c r="M18" s="51">
        <v>51</v>
      </c>
      <c r="N18" s="51">
        <v>395.70</v>
      </c>
      <c r="O18" s="51">
        <v>0</v>
      </c>
      <c r="P18" s="51">
        <v>1.1599999999999999</v>
      </c>
      <c r="Q18" s="51">
        <v>39.770000000000003</v>
      </c>
      <c r="R18" s="43"/>
      <c r="S18" s="43"/>
      <c r="T18" s="43"/>
      <c r="U18" s="43"/>
    </row>
    <row r="19" spans="1:21" s="11" customFormat="1" ht="15">
      <c r="A19" s="50" t="s">
        <v>503</v>
      </c>
      <c r="B19" s="51">
        <v>18.66</v>
      </c>
      <c r="C19" s="51">
        <v>103.63</v>
      </c>
      <c r="D19" s="51">
        <v>68.31</v>
      </c>
      <c r="E19" s="51">
        <v>6.90</v>
      </c>
      <c r="F19" s="51">
        <v>6.42</v>
      </c>
      <c r="G19" s="51">
        <v>112.59</v>
      </c>
      <c r="H19" s="51">
        <v>47.27</v>
      </c>
      <c r="I19" s="51">
        <v>0.68</v>
      </c>
      <c r="J19" s="51">
        <v>0.54</v>
      </c>
      <c r="K19" s="51">
        <v>135.04</v>
      </c>
      <c r="L19" s="51">
        <v>28.45</v>
      </c>
      <c r="M19" s="51">
        <v>47</v>
      </c>
      <c r="N19" s="51">
        <v>452.20</v>
      </c>
      <c r="O19" s="51">
        <v>0</v>
      </c>
      <c r="P19" s="51">
        <v>1.54</v>
      </c>
      <c r="Q19" s="51">
        <v>39.69</v>
      </c>
      <c r="R19" s="43"/>
      <c r="S19" s="43"/>
      <c r="T19" s="43"/>
      <c r="U19" s="43"/>
    </row>
    <row r="20" spans="1:21" s="11" customFormat="1" ht="15">
      <c r="A20" s="50" t="s">
        <v>504</v>
      </c>
      <c r="B20" s="51">
        <v>8.2200000000000006</v>
      </c>
      <c r="C20" s="51">
        <v>99.08</v>
      </c>
      <c r="D20" s="51">
        <v>61.69</v>
      </c>
      <c r="E20" s="51">
        <v>27.70</v>
      </c>
      <c r="F20" s="51">
        <v>25.79</v>
      </c>
      <c r="G20" s="58" t="s">
        <v>12</v>
      </c>
      <c r="H20" s="58" t="s">
        <v>12</v>
      </c>
      <c r="I20" s="51">
        <v>0.56999999999999995</v>
      </c>
      <c r="J20" s="51">
        <v>0.61</v>
      </c>
      <c r="K20" s="51">
        <v>50.85</v>
      </c>
      <c r="L20" s="51">
        <v>29.55</v>
      </c>
      <c r="M20" s="51">
        <v>40</v>
      </c>
      <c r="N20" s="51">
        <v>496.30</v>
      </c>
      <c r="O20" s="51">
        <v>0</v>
      </c>
      <c r="P20" s="51">
        <v>1.49</v>
      </c>
      <c r="Q20" s="51">
        <v>21.18</v>
      </c>
      <c r="R20" s="43"/>
      <c r="S20" s="43"/>
      <c r="T20" s="43"/>
      <c r="U20" s="43"/>
    </row>
    <row r="21" spans="1:21" s="11" customFormat="1" ht="15">
      <c r="A21" s="50" t="s">
        <v>505</v>
      </c>
      <c r="B21" s="58" t="s">
        <v>12</v>
      </c>
      <c r="C21" s="58" t="s">
        <v>12</v>
      </c>
      <c r="D21" s="58" t="s">
        <v>12</v>
      </c>
      <c r="E21" s="51">
        <v>23.61</v>
      </c>
      <c r="F21" s="51">
        <v>30.46</v>
      </c>
      <c r="G21" s="58" t="s">
        <v>12</v>
      </c>
      <c r="H21" s="58" t="s">
        <v>12</v>
      </c>
      <c r="I21" s="51">
        <v>0.53</v>
      </c>
      <c r="J21" s="51">
        <v>0.82</v>
      </c>
      <c r="K21" s="51">
        <v>181.24</v>
      </c>
      <c r="L21" s="51">
        <v>31.33</v>
      </c>
      <c r="M21" s="51">
        <v>43</v>
      </c>
      <c r="N21" s="51">
        <v>507.80</v>
      </c>
      <c r="O21" s="51">
        <v>0</v>
      </c>
      <c r="P21" s="51">
        <v>1.35</v>
      </c>
      <c r="Q21" s="51">
        <v>22.31</v>
      </c>
      <c r="R21" s="43"/>
      <c r="S21" s="43"/>
      <c r="T21" s="43"/>
      <c r="U21" s="43"/>
    </row>
    <row r="22" spans="1:21" s="11" customFormat="1" ht="15">
      <c r="A22" s="50" t="s">
        <v>506</v>
      </c>
      <c r="B22" s="51">
        <v>1.5</v>
      </c>
      <c r="C22" s="51">
        <v>62.36</v>
      </c>
      <c r="D22" s="51">
        <v>35.96</v>
      </c>
      <c r="E22" s="51">
        <v>7.12</v>
      </c>
      <c r="F22" s="51">
        <v>10.01</v>
      </c>
      <c r="G22" s="51">
        <v>83.57</v>
      </c>
      <c r="H22" s="51">
        <v>32.33</v>
      </c>
      <c r="I22" s="51">
        <v>0.56000000000000005</v>
      </c>
      <c r="J22" s="51">
        <v>0.89</v>
      </c>
      <c r="K22" s="51">
        <v>121.09</v>
      </c>
      <c r="L22" s="51">
        <v>31.85</v>
      </c>
      <c r="M22" s="51">
        <v>41</v>
      </c>
      <c r="N22" s="51">
        <v>488.30</v>
      </c>
      <c r="O22" s="51">
        <v>0</v>
      </c>
      <c r="P22" s="51">
        <v>1.25</v>
      </c>
      <c r="Q22" s="51">
        <v>30.39</v>
      </c>
      <c r="R22" s="43"/>
      <c r="S22" s="43"/>
      <c r="T22" s="43"/>
      <c r="U22" s="43"/>
    </row>
    <row r="23" spans="1:21" s="11" customFormat="1" ht="15">
      <c r="A23" s="50" t="s">
        <v>507</v>
      </c>
      <c r="B23" s="51">
        <v>2.76</v>
      </c>
      <c r="C23" s="51">
        <v>58.29</v>
      </c>
      <c r="D23" s="51">
        <v>33.74</v>
      </c>
      <c r="E23" s="51">
        <v>6.64</v>
      </c>
      <c r="F23" s="51">
        <v>12.16</v>
      </c>
      <c r="G23" s="51">
        <v>85.90</v>
      </c>
      <c r="H23" s="51">
        <v>34.26</v>
      </c>
      <c r="I23" s="51">
        <v>0.56000000000000005</v>
      </c>
      <c r="J23" s="51">
        <v>0.76</v>
      </c>
      <c r="K23" s="51">
        <v>143.24</v>
      </c>
      <c r="L23" s="51">
        <v>29.16</v>
      </c>
      <c r="M23" s="51">
        <v>47</v>
      </c>
      <c r="N23" s="51">
        <v>359.5</v>
      </c>
      <c r="O23" s="51">
        <v>0</v>
      </c>
      <c r="P23" s="51">
        <v>1.20</v>
      </c>
      <c r="Q23" s="51">
        <v>31.67</v>
      </c>
      <c r="R23" s="43"/>
      <c r="S23" s="43"/>
      <c r="T23" s="43"/>
      <c r="U23" s="43"/>
    </row>
    <row r="24" spans="1:21" s="11" customFormat="1" ht="15">
      <c r="A24" s="50" t="s">
        <v>508</v>
      </c>
      <c r="B24" s="51">
        <v>4.5199999999999996</v>
      </c>
      <c r="C24" s="51">
        <v>61.74</v>
      </c>
      <c r="D24" s="51">
        <v>37.65</v>
      </c>
      <c r="E24" s="51">
        <v>32.72</v>
      </c>
      <c r="F24" s="51">
        <v>31.09</v>
      </c>
      <c r="G24" s="51">
        <v>85.54</v>
      </c>
      <c r="H24" s="51">
        <v>37.200000000000003</v>
      </c>
      <c r="I24" s="51">
        <v>0.57999999999999996</v>
      </c>
      <c r="J24" s="51">
        <v>0.80</v>
      </c>
      <c r="K24" s="51">
        <v>35.31</v>
      </c>
      <c r="L24" s="51">
        <v>30.02</v>
      </c>
      <c r="M24" s="51">
        <v>43</v>
      </c>
      <c r="N24" s="51">
        <v>223.60</v>
      </c>
      <c r="O24" s="51">
        <v>0</v>
      </c>
      <c r="P24" s="51">
        <v>1.29</v>
      </c>
      <c r="Q24" s="51">
        <v>30.52</v>
      </c>
      <c r="R24" s="43"/>
      <c r="S24" s="43"/>
      <c r="T24" s="43"/>
      <c r="U24" s="43"/>
    </row>
    <row r="25" spans="1:21" s="11" customFormat="1" ht="15">
      <c r="A25" s="50" t="s">
        <v>509</v>
      </c>
      <c r="B25" s="51">
        <v>4.91</v>
      </c>
      <c r="C25" s="51">
        <v>75.239999999999995</v>
      </c>
      <c r="D25" s="51">
        <v>45.11</v>
      </c>
      <c r="E25" s="51">
        <v>30.54</v>
      </c>
      <c r="F25" s="51">
        <v>23.66</v>
      </c>
      <c r="G25" s="51">
        <v>87.78</v>
      </c>
      <c r="H25" s="51">
        <v>36.880000000000003</v>
      </c>
      <c r="I25" s="51">
        <v>0.56000000000000005</v>
      </c>
      <c r="J25" s="51">
        <v>0.88</v>
      </c>
      <c r="K25" s="51">
        <v>34.79</v>
      </c>
      <c r="L25" s="51">
        <v>28.81</v>
      </c>
      <c r="M25" s="51">
        <v>47</v>
      </c>
      <c r="N25" s="51">
        <v>108.20</v>
      </c>
      <c r="O25" s="51">
        <v>0</v>
      </c>
      <c r="P25" s="51">
        <v>1.57</v>
      </c>
      <c r="Q25" s="51">
        <v>30.94</v>
      </c>
      <c r="R25" s="43"/>
      <c r="S25" s="43"/>
      <c r="T25" s="43"/>
      <c r="U25" s="43"/>
    </row>
    <row r="26" spans="1:21" s="11" customFormat="1" ht="15">
      <c r="A26" s="50" t="s">
        <v>510</v>
      </c>
      <c r="B26" s="51">
        <v>10.10</v>
      </c>
      <c r="C26" s="51">
        <v>103.35</v>
      </c>
      <c r="D26" s="51">
        <v>65.349999999999994</v>
      </c>
      <c r="E26" s="51">
        <v>11.12</v>
      </c>
      <c r="F26" s="51">
        <v>4.24</v>
      </c>
      <c r="G26" s="51">
        <v>100.96</v>
      </c>
      <c r="H26" s="51">
        <v>39.24</v>
      </c>
      <c r="I26" s="51">
        <v>0.61</v>
      </c>
      <c r="J26" s="51">
        <v>0.30</v>
      </c>
      <c r="K26" s="51">
        <v>127.90</v>
      </c>
      <c r="L26" s="51">
        <v>26.69</v>
      </c>
      <c r="M26" s="51">
        <v>59</v>
      </c>
      <c r="N26" s="51">
        <v>25.80</v>
      </c>
      <c r="O26" s="51">
        <v>0</v>
      </c>
      <c r="P26" s="51">
        <v>1.87</v>
      </c>
      <c r="Q26" s="51">
        <v>33.659999999999997</v>
      </c>
      <c r="R26" s="43"/>
      <c r="S26" s="43"/>
      <c r="T26" s="43"/>
      <c r="U26" s="43"/>
    </row>
    <row r="27" spans="1:21" s="11" customFormat="1" ht="15">
      <c r="A27" s="50" t="s">
        <v>511</v>
      </c>
      <c r="B27" s="51">
        <v>37.92</v>
      </c>
      <c r="C27" s="51">
        <v>106.78</v>
      </c>
      <c r="D27" s="51">
        <v>85.40</v>
      </c>
      <c r="E27" s="51">
        <v>5.79</v>
      </c>
      <c r="F27" s="51">
        <v>0.28000000000000003</v>
      </c>
      <c r="G27" s="51">
        <v>106.71</v>
      </c>
      <c r="H27" s="51">
        <v>43.10</v>
      </c>
      <c r="I27" s="51">
        <v>0.79</v>
      </c>
      <c r="J27" s="51">
        <v>0.16</v>
      </c>
      <c r="K27" s="51">
        <v>109.45</v>
      </c>
      <c r="L27" s="51">
        <v>24.08</v>
      </c>
      <c r="M27" s="51">
        <v>69</v>
      </c>
      <c r="N27" s="51">
        <v>4.70</v>
      </c>
      <c r="O27" s="51">
        <v>0</v>
      </c>
      <c r="P27" s="51">
        <v>2.46</v>
      </c>
      <c r="Q27" s="51">
        <v>33.51</v>
      </c>
      <c r="R27" s="43"/>
      <c r="S27" s="43"/>
      <c r="T27" s="43"/>
      <c r="U27" s="43"/>
    </row>
    <row r="28" spans="1:21" s="11" customFormat="1" ht="15">
      <c r="A28" s="50" t="s">
        <v>512</v>
      </c>
      <c r="B28" s="51">
        <v>51.04</v>
      </c>
      <c r="C28" s="51">
        <v>101.03</v>
      </c>
      <c r="D28" s="51">
        <v>92.75</v>
      </c>
      <c r="E28" s="51">
        <v>5.40</v>
      </c>
      <c r="F28" s="51">
        <v>0.17</v>
      </c>
      <c r="G28" s="51">
        <v>187.77</v>
      </c>
      <c r="H28" s="51">
        <v>53.45</v>
      </c>
      <c r="I28" s="51">
        <v>1.08</v>
      </c>
      <c r="J28" s="51">
        <v>0.17</v>
      </c>
      <c r="K28" s="51">
        <v>56.69</v>
      </c>
      <c r="L28" s="51">
        <v>22.44</v>
      </c>
      <c r="M28" s="51">
        <v>74</v>
      </c>
      <c r="N28" s="51">
        <v>4.70</v>
      </c>
      <c r="O28" s="51">
        <v>0</v>
      </c>
      <c r="P28" s="51">
        <v>2.79</v>
      </c>
      <c r="Q28" s="51">
        <v>39.07</v>
      </c>
      <c r="R28" s="43"/>
      <c r="S28" s="43"/>
      <c r="T28" s="43"/>
      <c r="U28" s="43"/>
    </row>
    <row r="29" spans="1:21" s="11" customFormat="1" ht="15">
      <c r="A29" s="50" t="s">
        <v>513</v>
      </c>
      <c r="B29" s="51">
        <v>62.64</v>
      </c>
      <c r="C29" s="51">
        <v>99.86</v>
      </c>
      <c r="D29" s="51">
        <v>105.76</v>
      </c>
      <c r="E29" s="51">
        <v>4.63</v>
      </c>
      <c r="F29" s="51">
        <v>0.04</v>
      </c>
      <c r="G29" s="51">
        <v>199.5</v>
      </c>
      <c r="H29" s="51">
        <v>62.89</v>
      </c>
      <c r="I29" s="51">
        <v>1.22</v>
      </c>
      <c r="J29" s="51">
        <v>0.12</v>
      </c>
      <c r="K29" s="51">
        <v>149.32</v>
      </c>
      <c r="L29" s="51">
        <v>22.02</v>
      </c>
      <c r="M29" s="51">
        <v>74</v>
      </c>
      <c r="N29" s="51">
        <v>4.70</v>
      </c>
      <c r="O29" s="51">
        <v>0</v>
      </c>
      <c r="P29" s="51">
        <v>3.16</v>
      </c>
      <c r="Q29" s="51">
        <v>45.46</v>
      </c>
      <c r="R29" s="43"/>
      <c r="S29" s="43"/>
      <c r="T29" s="43"/>
      <c r="U29" s="43"/>
    </row>
    <row r="30" spans="1:21" s="11" customFormat="1" ht="15">
      <c r="A30" s="50" t="s">
        <v>514</v>
      </c>
      <c r="B30" s="51">
        <v>76.88</v>
      </c>
      <c r="C30" s="51">
        <v>102.12</v>
      </c>
      <c r="D30" s="51">
        <v>117.19</v>
      </c>
      <c r="E30" s="51">
        <v>4.8099999999999996</v>
      </c>
      <c r="F30" s="61" t="s">
        <v>14</v>
      </c>
      <c r="G30" s="51">
        <v>189.17</v>
      </c>
      <c r="H30" s="51">
        <v>66.459999999999994</v>
      </c>
      <c r="I30" s="51">
        <v>1.34</v>
      </c>
      <c r="J30" s="51">
        <v>0.17</v>
      </c>
      <c r="K30" s="51">
        <v>346.18</v>
      </c>
      <c r="L30" s="51">
        <v>22.40</v>
      </c>
      <c r="M30" s="51">
        <v>73</v>
      </c>
      <c r="N30" s="51">
        <v>4.80</v>
      </c>
      <c r="O30" s="51">
        <v>0</v>
      </c>
      <c r="P30" s="51">
        <v>3.16</v>
      </c>
      <c r="Q30" s="51">
        <v>45.91</v>
      </c>
      <c r="R30" s="43"/>
      <c r="S30" s="43"/>
      <c r="T30" s="43"/>
      <c r="U30" s="43"/>
    </row>
    <row r="31" spans="1:21" s="11" customFormat="1" ht="15">
      <c r="A31" s="50" t="s">
        <v>515</v>
      </c>
      <c r="B31" s="51">
        <v>92.22</v>
      </c>
      <c r="C31" s="51">
        <v>100.46</v>
      </c>
      <c r="D31" s="51">
        <v>128.72</v>
      </c>
      <c r="E31" s="51">
        <v>5</v>
      </c>
      <c r="F31" s="51">
        <v>0.02</v>
      </c>
      <c r="G31" s="51">
        <v>162.10</v>
      </c>
      <c r="H31" s="51">
        <v>66.930000000000007</v>
      </c>
      <c r="I31" s="51">
        <v>1.39</v>
      </c>
      <c r="J31" s="51">
        <v>0.18</v>
      </c>
      <c r="K31" s="51">
        <v>343.59</v>
      </c>
      <c r="L31" s="51">
        <v>20.69</v>
      </c>
      <c r="M31" s="51">
        <v>80</v>
      </c>
      <c r="N31" s="51">
        <v>4.70</v>
      </c>
      <c r="O31" s="51">
        <v>0</v>
      </c>
      <c r="P31" s="51">
        <v>3.32</v>
      </c>
      <c r="Q31" s="51">
        <v>47.17</v>
      </c>
      <c r="R31" s="43"/>
      <c r="S31" s="43"/>
      <c r="T31" s="43"/>
      <c r="U31" s="43"/>
    </row>
    <row r="32" spans="1:21" s="11" customFormat="1" ht="15">
      <c r="A32" s="50" t="s">
        <v>516</v>
      </c>
      <c r="B32" s="51">
        <v>99.81</v>
      </c>
      <c r="C32" s="51">
        <v>98.93</v>
      </c>
      <c r="D32" s="51">
        <v>135.05000000000001</v>
      </c>
      <c r="E32" s="51">
        <v>5.12</v>
      </c>
      <c r="F32" s="51">
        <v>0.03</v>
      </c>
      <c r="G32" s="51">
        <v>197.96</v>
      </c>
      <c r="H32" s="51">
        <v>69.989999999999995</v>
      </c>
      <c r="I32" s="51">
        <v>1.48</v>
      </c>
      <c r="J32" s="51">
        <v>0.35</v>
      </c>
      <c r="K32" s="51">
        <v>137.54</v>
      </c>
      <c r="L32" s="51">
        <v>20.84</v>
      </c>
      <c r="M32" s="51">
        <v>82</v>
      </c>
      <c r="N32" s="51">
        <v>4.4000000000000004</v>
      </c>
      <c r="O32" s="51">
        <v>0</v>
      </c>
      <c r="P32" s="51">
        <v>3.35</v>
      </c>
      <c r="Q32" s="51">
        <v>51.15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</v>
      </c>
      <c r="C34" s="28">
        <f t="shared" si="0"/>
        <v>58.289999999999999</v>
      </c>
      <c r="D34" s="28">
        <f t="shared" si="0"/>
        <v>33.740000000000002</v>
      </c>
      <c r="E34" s="28">
        <f t="shared" si="0"/>
        <v>3.3900000000000001</v>
      </c>
      <c r="F34" s="28">
        <f t="shared" si="0"/>
        <v>0.02</v>
      </c>
      <c r="G34" s="28">
        <f t="shared" si="0"/>
        <v>70.930000000000007</v>
      </c>
      <c r="H34" s="28">
        <f t="shared" si="0"/>
        <v>32.329999999999998</v>
      </c>
      <c r="I34" s="28">
        <f t="shared" si="0"/>
        <v>0.53000000000000003</v>
      </c>
      <c r="J34" s="28">
        <f t="shared" si="0"/>
        <v>0.12</v>
      </c>
      <c r="K34" s="28">
        <f t="shared" si="0"/>
        <v>29.530000000000001</v>
      </c>
      <c r="L34" s="28">
        <f t="shared" si="0"/>
        <v>17.449999999999999</v>
      </c>
      <c r="M34" s="28">
        <f t="shared" si="0"/>
        <v>40</v>
      </c>
      <c r="N34" s="28">
        <f t="shared" si="0"/>
        <v>4.4000000000000004</v>
      </c>
      <c r="O34" s="28">
        <f t="shared" si="0"/>
        <v>0</v>
      </c>
      <c r="P34" s="28">
        <f t="shared" si="0"/>
        <v>1.0600000000000001</v>
      </c>
      <c r="Q34" s="28">
        <f t="shared" si="0"/>
        <v>21.18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99.810000000000002</v>
      </c>
      <c r="C35" s="29">
        <f t="shared" si="1"/>
        <v>106.78</v>
      </c>
      <c r="D35" s="29">
        <f t="shared" si="1"/>
        <v>135.05000000000001</v>
      </c>
      <c r="E35" s="29">
        <f t="shared" si="1"/>
        <v>32.719999999999999</v>
      </c>
      <c r="F35" s="29">
        <f t="shared" si="1"/>
        <v>31.09</v>
      </c>
      <c r="G35" s="29">
        <f t="shared" si="1"/>
        <v>199.5</v>
      </c>
      <c r="H35" s="29">
        <f t="shared" si="1"/>
        <v>69.989999999999995</v>
      </c>
      <c r="I35" s="29">
        <f t="shared" si="1"/>
        <v>1.48</v>
      </c>
      <c r="J35" s="29">
        <f t="shared" si="1"/>
        <v>1.21</v>
      </c>
      <c r="K35" s="29">
        <f t="shared" si="1"/>
        <v>346.18000000000001</v>
      </c>
      <c r="L35" s="29">
        <f t="shared" si="1"/>
        <v>31.850000000000001</v>
      </c>
      <c r="M35" s="29">
        <f t="shared" si="1"/>
        <v>82</v>
      </c>
      <c r="N35" s="29">
        <f t="shared" si="1"/>
        <v>507.80000000000001</v>
      </c>
      <c r="O35" s="29">
        <f t="shared" si="1"/>
        <v>0</v>
      </c>
      <c r="P35" s="29">
        <f t="shared" si="1"/>
        <v>3.3500000000000001</v>
      </c>
      <c r="Q35" s="29">
        <f t="shared" si="1"/>
        <v>51.149999999999999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26.767826086956525</v>
      </c>
      <c r="C36" s="28">
        <f t="shared" si="2"/>
        <v>82.332608695652169</v>
      </c>
      <c r="D36" s="28">
        <f t="shared" si="2"/>
        <v>66.413913043478274</v>
      </c>
      <c r="E36" s="28">
        <f t="shared" si="2"/>
        <v>9.1341666666666672</v>
      </c>
      <c r="F36" s="28">
        <f t="shared" si="2"/>
        <v>8.6543478260869566</v>
      </c>
      <c r="G36" s="28">
        <f t="shared" si="2"/>
        <v>112.49181818181819</v>
      </c>
      <c r="H36" s="28">
        <f t="shared" si="2"/>
        <v>45.713636363636368</v>
      </c>
      <c r="I36" s="28">
        <f t="shared" si="2"/>
        <v>0.81208333333333338</v>
      </c>
      <c r="J36" s="28">
        <f t="shared" si="2"/>
        <v>0.49958333333333343</v>
      </c>
      <c r="K36" s="28">
        <f t="shared" si="2"/>
        <v>116.85791666666667</v>
      </c>
      <c r="L36" s="28">
        <f t="shared" si="2"/>
        <v>23.587916666666668</v>
      </c>
      <c r="M36" s="28">
        <f t="shared" si="2"/>
        <v>61.875</v>
      </c>
      <c r="N36" s="28">
        <f t="shared" si="2"/>
        <v>147.02499999999998</v>
      </c>
      <c r="O36" s="28">
        <f t="shared" si="2"/>
        <v>0</v>
      </c>
      <c r="P36" s="28">
        <f t="shared" si="2"/>
        <v>1.7954166666666669</v>
      </c>
      <c r="Q36" s="28">
        <f t="shared" si="2"/>
        <v>38.08625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29.296925522301624</v>
      </c>
      <c r="C37" s="28">
        <f t="shared" si="3" ref="C37:Q37">STDEV(C9:C32)</f>
        <v>16.709044153444037</v>
      </c>
      <c r="D37" s="28">
        <f t="shared" si="3"/>
        <v>29.96181778365899</v>
      </c>
      <c r="E37" s="28">
        <f t="shared" si="3"/>
        <v>9.1643733231354734</v>
      </c>
      <c r="F37" s="28">
        <f t="shared" si="3"/>
        <v>9.5424014635572512</v>
      </c>
      <c r="G37" s="28">
        <f t="shared" si="3"/>
        <v>44.005493881728981</v>
      </c>
      <c r="H37" s="28">
        <f t="shared" si="3"/>
        <v>11.473667801267929</v>
      </c>
      <c r="I37" s="28">
        <f t="shared" si="3"/>
        <v>0.28362527585081165</v>
      </c>
      <c r="J37" s="28">
        <f t="shared" si="3"/>
        <v>0.30096192402053934</v>
      </c>
      <c r="K37" s="28">
        <f t="shared" si="3"/>
        <v>81.641586002699825</v>
      </c>
      <c r="L37" s="28">
        <f t="shared" si="3"/>
        <v>4.6922405690641034</v>
      </c>
      <c r="M37" s="28">
        <f t="shared" si="3"/>
        <v>13.453018087112421</v>
      </c>
      <c r="N37" s="28">
        <f t="shared" si="3"/>
        <v>194.35865603032209</v>
      </c>
      <c r="O37" s="28">
        <f t="shared" si="3"/>
        <v>0</v>
      </c>
      <c r="P37" s="28">
        <f t="shared" si="3"/>
        <v>0.78662172095871985</v>
      </c>
      <c r="Q37" s="28">
        <f t="shared" si="3"/>
        <v>7.4435036236742897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</f>
        <v>24</v>
      </c>
      <c r="C38" s="32">
        <f>COUNT(C9:C32)+1</f>
        <v>24</v>
      </c>
      <c r="D38" s="32">
        <f>COUNT(D9:D32)+1</f>
        <v>24</v>
      </c>
      <c r="E38" s="32">
        <f t="shared" si="4" ref="E38:Q38">COUNT(E9:E32)</f>
        <v>24</v>
      </c>
      <c r="F38" s="32">
        <f>COUNT(F9:F32)+1</f>
        <v>24</v>
      </c>
      <c r="G38" s="32">
        <f>COUNT(G9:G32)+2</f>
        <v>24</v>
      </c>
      <c r="H38" s="32">
        <f>COUNT(H9:H32)+2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a2cd59d-5fb3-4bbd-ad50-d26b57ab595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20-01-2023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54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517</v>
      </c>
      <c r="B9" s="51">
        <v>84.36</v>
      </c>
      <c r="C9" s="51">
        <v>93.66</v>
      </c>
      <c r="D9" s="51">
        <v>119.76</v>
      </c>
      <c r="E9" s="51">
        <v>4.38</v>
      </c>
      <c r="F9" s="51">
        <v>0.13</v>
      </c>
      <c r="G9" s="51">
        <v>167.03</v>
      </c>
      <c r="H9" s="51">
        <v>68.20</v>
      </c>
      <c r="I9" s="51">
        <v>1.45</v>
      </c>
      <c r="J9" s="51">
        <v>0.76</v>
      </c>
      <c r="K9" s="51">
        <v>151.72999999999999</v>
      </c>
      <c r="L9" s="51">
        <v>20.95</v>
      </c>
      <c r="M9" s="51">
        <v>72</v>
      </c>
      <c r="N9" s="51">
        <v>4.5999999999999996</v>
      </c>
      <c r="O9" s="51">
        <v>0</v>
      </c>
      <c r="P9" s="51">
        <v>2.96</v>
      </c>
      <c r="Q9" s="51">
        <v>50.24</v>
      </c>
      <c r="R9" s="43"/>
      <c r="S9" s="43"/>
      <c r="T9" s="43"/>
      <c r="U9" s="43"/>
    </row>
    <row r="10" spans="1:21" s="11" customFormat="1" ht="15">
      <c r="A10" s="50" t="s">
        <v>518</v>
      </c>
      <c r="B10" s="51">
        <v>58.61</v>
      </c>
      <c r="C10" s="51">
        <v>87.55</v>
      </c>
      <c r="D10" s="51">
        <v>95.74</v>
      </c>
      <c r="E10" s="51">
        <v>4.16</v>
      </c>
      <c r="F10" s="51">
        <v>0.18</v>
      </c>
      <c r="G10" s="51">
        <v>88.26</v>
      </c>
      <c r="H10" s="51">
        <v>61.5</v>
      </c>
      <c r="I10" s="51">
        <v>1.18</v>
      </c>
      <c r="J10" s="51">
        <v>0.47</v>
      </c>
      <c r="K10" s="51">
        <v>133.04</v>
      </c>
      <c r="L10" s="51">
        <v>20.47</v>
      </c>
      <c r="M10" s="51">
        <v>75</v>
      </c>
      <c r="N10" s="51">
        <v>4.5999999999999996</v>
      </c>
      <c r="O10" s="51">
        <v>0</v>
      </c>
      <c r="P10" s="51">
        <v>2.33</v>
      </c>
      <c r="Q10" s="51">
        <v>47.22</v>
      </c>
      <c r="R10" s="43"/>
      <c r="S10" s="43"/>
      <c r="T10" s="43"/>
      <c r="U10" s="43"/>
    </row>
    <row r="11" spans="1:21" s="11" customFormat="1" ht="15">
      <c r="A11" s="50" t="s">
        <v>519</v>
      </c>
      <c r="B11" s="51">
        <v>43.03</v>
      </c>
      <c r="C11" s="51">
        <v>78.709999999999994</v>
      </c>
      <c r="D11" s="51">
        <v>78.36</v>
      </c>
      <c r="E11" s="51">
        <v>4.0599999999999996</v>
      </c>
      <c r="F11" s="51">
        <v>0.04</v>
      </c>
      <c r="G11" s="51">
        <v>70.37</v>
      </c>
      <c r="H11" s="51">
        <v>52.58</v>
      </c>
      <c r="I11" s="51">
        <v>1.03</v>
      </c>
      <c r="J11" s="51">
        <v>0.21</v>
      </c>
      <c r="K11" s="51">
        <v>77.89</v>
      </c>
      <c r="L11" s="51">
        <v>19.690000000000001</v>
      </c>
      <c r="M11" s="51">
        <v>78</v>
      </c>
      <c r="N11" s="51">
        <v>4.5999999999999996</v>
      </c>
      <c r="O11" s="51">
        <v>0</v>
      </c>
      <c r="P11" s="51">
        <v>2.0299999999999998</v>
      </c>
      <c r="Q11" s="51">
        <v>44.73</v>
      </c>
      <c r="R11" s="43"/>
      <c r="S11" s="43"/>
      <c r="T11" s="43"/>
      <c r="U11" s="43"/>
    </row>
    <row r="12" spans="1:21" s="11" customFormat="1" ht="15">
      <c r="A12" s="50" t="s">
        <v>520</v>
      </c>
      <c r="B12" s="51">
        <v>34.200000000000003</v>
      </c>
      <c r="C12" s="51">
        <v>74.70</v>
      </c>
      <c r="D12" s="51">
        <v>69.069999999999993</v>
      </c>
      <c r="E12" s="51">
        <v>3.97</v>
      </c>
      <c r="F12" s="51">
        <v>0.11</v>
      </c>
      <c r="G12" s="51">
        <v>71.989999999999995</v>
      </c>
      <c r="H12" s="51">
        <v>46.84</v>
      </c>
      <c r="I12" s="51">
        <v>0.96</v>
      </c>
      <c r="J12" s="51">
        <v>0.28999999999999998</v>
      </c>
      <c r="K12" s="51">
        <v>102.20</v>
      </c>
      <c r="L12" s="51">
        <v>19.07</v>
      </c>
      <c r="M12" s="51">
        <v>80</v>
      </c>
      <c r="N12" s="51">
        <v>4.5999999999999996</v>
      </c>
      <c r="O12" s="51">
        <v>0</v>
      </c>
      <c r="P12" s="51">
        <v>1.74</v>
      </c>
      <c r="Q12" s="51">
        <v>46.55</v>
      </c>
      <c r="R12" s="43"/>
      <c r="S12" s="43"/>
      <c r="T12" s="43"/>
      <c r="U12" s="43"/>
    </row>
    <row r="13" spans="1:21" s="11" customFormat="1" ht="15">
      <c r="A13" s="50" t="s">
        <v>521</v>
      </c>
      <c r="B13" s="51">
        <v>22.40</v>
      </c>
      <c r="C13" s="51">
        <v>71.55</v>
      </c>
      <c r="D13" s="51">
        <v>57.86</v>
      </c>
      <c r="E13" s="51">
        <v>3.70</v>
      </c>
      <c r="F13" s="51">
        <v>0.25</v>
      </c>
      <c r="G13" s="51">
        <v>71.56</v>
      </c>
      <c r="H13" s="51">
        <v>45.88</v>
      </c>
      <c r="I13" s="51">
        <v>0.86</v>
      </c>
      <c r="J13" s="51">
        <v>0.25</v>
      </c>
      <c r="K13" s="51">
        <v>95.04</v>
      </c>
      <c r="L13" s="51">
        <v>18.45</v>
      </c>
      <c r="M13" s="51">
        <v>84</v>
      </c>
      <c r="N13" s="51">
        <v>4.5999999999999996</v>
      </c>
      <c r="O13" s="51">
        <v>0</v>
      </c>
      <c r="P13" s="51">
        <v>1.46</v>
      </c>
      <c r="Q13" s="51">
        <v>44.53</v>
      </c>
      <c r="R13" s="43"/>
      <c r="S13" s="43"/>
      <c r="T13" s="43"/>
      <c r="U13" s="43"/>
    </row>
    <row r="14" spans="1:21" s="11" customFormat="1" ht="15">
      <c r="A14" s="50" t="s">
        <v>522</v>
      </c>
      <c r="B14" s="51">
        <v>18.73</v>
      </c>
      <c r="C14" s="51">
        <v>69.80</v>
      </c>
      <c r="D14" s="51">
        <v>53.30</v>
      </c>
      <c r="E14" s="51">
        <v>3.87</v>
      </c>
      <c r="F14" s="51">
        <v>0.06</v>
      </c>
      <c r="G14" s="51">
        <v>95.91</v>
      </c>
      <c r="H14" s="51">
        <v>43.54</v>
      </c>
      <c r="I14" s="51">
        <v>0.78</v>
      </c>
      <c r="J14" s="51">
        <v>0.17</v>
      </c>
      <c r="K14" s="51">
        <v>120.33</v>
      </c>
      <c r="L14" s="51">
        <v>17.98</v>
      </c>
      <c r="M14" s="51">
        <v>86</v>
      </c>
      <c r="N14" s="51">
        <v>4.5999999999999996</v>
      </c>
      <c r="O14" s="51">
        <v>0</v>
      </c>
      <c r="P14" s="51">
        <v>1.30</v>
      </c>
      <c r="Q14" s="51">
        <v>41.72</v>
      </c>
      <c r="R14" s="43"/>
      <c r="S14" s="43"/>
      <c r="T14" s="43"/>
      <c r="U14" s="43"/>
    </row>
    <row r="15" spans="1:21" s="11" customFormat="1" ht="15">
      <c r="A15" s="50" t="s">
        <v>523</v>
      </c>
      <c r="B15" s="51">
        <v>27.73</v>
      </c>
      <c r="C15" s="51">
        <v>68.69</v>
      </c>
      <c r="D15" s="51">
        <v>58.73</v>
      </c>
      <c r="E15" s="51">
        <v>3.74</v>
      </c>
      <c r="F15" s="51">
        <v>0.34</v>
      </c>
      <c r="G15" s="51">
        <v>97.45</v>
      </c>
      <c r="H15" s="51">
        <v>47.99</v>
      </c>
      <c r="I15" s="51">
        <v>0.76</v>
      </c>
      <c r="J15" s="51">
        <v>0.21</v>
      </c>
      <c r="K15" s="51">
        <v>111.05</v>
      </c>
      <c r="L15" s="51">
        <v>17.920000000000002</v>
      </c>
      <c r="M15" s="51">
        <v>88</v>
      </c>
      <c r="N15" s="51">
        <v>17.100000000000001</v>
      </c>
      <c r="O15" s="51">
        <v>0</v>
      </c>
      <c r="P15" s="51">
        <v>1.26</v>
      </c>
      <c r="Q15" s="51">
        <v>43.76</v>
      </c>
      <c r="R15" s="43"/>
      <c r="S15" s="43"/>
      <c r="T15" s="43"/>
      <c r="U15" s="43"/>
    </row>
    <row r="16" spans="1:21" s="11" customFormat="1" ht="15">
      <c r="A16" s="50" t="s">
        <v>524</v>
      </c>
      <c r="B16" s="51">
        <v>29.23</v>
      </c>
      <c r="C16" s="51">
        <v>74.239999999999995</v>
      </c>
      <c r="D16" s="51">
        <v>64.83</v>
      </c>
      <c r="E16" s="51">
        <v>3.78</v>
      </c>
      <c r="F16" s="51">
        <v>0.23</v>
      </c>
      <c r="G16" s="51">
        <v>108.11</v>
      </c>
      <c r="H16" s="51">
        <v>48.12</v>
      </c>
      <c r="I16" s="51">
        <v>0.76</v>
      </c>
      <c r="J16" s="51">
        <v>0.26</v>
      </c>
      <c r="K16" s="51">
        <v>138.25</v>
      </c>
      <c r="L16" s="51">
        <v>19.77</v>
      </c>
      <c r="M16" s="51">
        <v>83</v>
      </c>
      <c r="N16" s="51">
        <v>112.10</v>
      </c>
      <c r="O16" s="51">
        <v>0</v>
      </c>
      <c r="P16" s="51">
        <v>1.31</v>
      </c>
      <c r="Q16" s="51">
        <v>43.67</v>
      </c>
      <c r="R16" s="43"/>
      <c r="S16" s="43"/>
      <c r="T16" s="43"/>
      <c r="U16" s="43"/>
    </row>
    <row r="17" spans="1:21" s="11" customFormat="1" ht="15">
      <c r="A17" s="50" t="s">
        <v>525</v>
      </c>
      <c r="B17" s="51">
        <v>30.55</v>
      </c>
      <c r="C17" s="51">
        <v>75.569999999999993</v>
      </c>
      <c r="D17" s="51">
        <v>66.62</v>
      </c>
      <c r="E17" s="51">
        <v>3.69</v>
      </c>
      <c r="F17" s="51">
        <v>0.06</v>
      </c>
      <c r="G17" s="51">
        <v>108.05</v>
      </c>
      <c r="H17" s="51">
        <v>50.99</v>
      </c>
      <c r="I17" s="51">
        <v>0.74</v>
      </c>
      <c r="J17" s="51">
        <v>1.03</v>
      </c>
      <c r="K17" s="51">
        <v>163.36000000000001</v>
      </c>
      <c r="L17" s="51">
        <v>21.54</v>
      </c>
      <c r="M17" s="51">
        <v>77</v>
      </c>
      <c r="N17" s="51">
        <v>287.30</v>
      </c>
      <c r="O17" s="51">
        <v>0</v>
      </c>
      <c r="P17" s="51">
        <v>1.35</v>
      </c>
      <c r="Q17" s="51">
        <v>43.10</v>
      </c>
      <c r="R17" s="43"/>
      <c r="S17" s="43"/>
      <c r="T17" s="43"/>
      <c r="U17" s="43"/>
    </row>
    <row r="18" spans="1:21" s="11" customFormat="1" ht="15">
      <c r="A18" s="50" t="s">
        <v>526</v>
      </c>
      <c r="B18" s="51">
        <v>25.51</v>
      </c>
      <c r="C18" s="51">
        <v>72.010000000000005</v>
      </c>
      <c r="D18" s="51">
        <v>60.61</v>
      </c>
      <c r="E18" s="51">
        <v>3.83</v>
      </c>
      <c r="F18" s="51">
        <v>0.38</v>
      </c>
      <c r="G18" s="51">
        <v>102.62</v>
      </c>
      <c r="H18" s="51">
        <v>50.01</v>
      </c>
      <c r="I18" s="51">
        <v>0.74</v>
      </c>
      <c r="J18" s="51">
        <v>0.96</v>
      </c>
      <c r="K18" s="51">
        <v>207.33</v>
      </c>
      <c r="L18" s="51">
        <v>25.35</v>
      </c>
      <c r="M18" s="51">
        <v>70</v>
      </c>
      <c r="N18" s="51">
        <v>434</v>
      </c>
      <c r="O18" s="51">
        <v>0</v>
      </c>
      <c r="P18" s="51">
        <v>1.29</v>
      </c>
      <c r="Q18" s="51">
        <v>41.95</v>
      </c>
      <c r="R18" s="43"/>
      <c r="S18" s="43"/>
      <c r="T18" s="43"/>
      <c r="U18" s="43"/>
    </row>
    <row r="19" spans="1:21" s="11" customFormat="1" ht="15">
      <c r="A19" s="50" t="s">
        <v>527</v>
      </c>
      <c r="B19" s="51">
        <v>18.420000000000002</v>
      </c>
      <c r="C19" s="51">
        <v>72.540000000000006</v>
      </c>
      <c r="D19" s="51">
        <v>53.53</v>
      </c>
      <c r="E19" s="51">
        <v>4.43</v>
      </c>
      <c r="F19" s="51">
        <v>0.44</v>
      </c>
      <c r="G19" s="51">
        <v>84.75</v>
      </c>
      <c r="H19" s="51">
        <v>46.99</v>
      </c>
      <c r="I19" s="51">
        <v>0.74</v>
      </c>
      <c r="J19" s="51">
        <v>1.44</v>
      </c>
      <c r="K19" s="51">
        <v>204.84</v>
      </c>
      <c r="L19" s="51">
        <v>27.15</v>
      </c>
      <c r="M19" s="51">
        <v>57</v>
      </c>
      <c r="N19" s="51">
        <v>526.10</v>
      </c>
      <c r="O19" s="51">
        <v>0</v>
      </c>
      <c r="P19" s="51">
        <v>1.19</v>
      </c>
      <c r="Q19" s="51">
        <v>43.72</v>
      </c>
      <c r="R19" s="43"/>
      <c r="S19" s="43"/>
      <c r="T19" s="43"/>
      <c r="U19" s="43"/>
    </row>
    <row r="20" spans="1:21" s="11" customFormat="1" ht="15">
      <c r="A20" s="50" t="s">
        <v>528</v>
      </c>
      <c r="B20" s="51">
        <v>7.92</v>
      </c>
      <c r="C20" s="51">
        <v>70.38</v>
      </c>
      <c r="D20" s="51">
        <v>45.55</v>
      </c>
      <c r="E20" s="51">
        <v>3.78</v>
      </c>
      <c r="F20" s="51">
        <v>1.32</v>
      </c>
      <c r="G20" s="51">
        <v>64.78</v>
      </c>
      <c r="H20" s="51">
        <v>43.02</v>
      </c>
      <c r="I20" s="51">
        <v>0.70</v>
      </c>
      <c r="J20" s="51">
        <v>0.91</v>
      </c>
      <c r="K20" s="51">
        <v>194.86</v>
      </c>
      <c r="L20" s="51">
        <v>28.25</v>
      </c>
      <c r="M20" s="51">
        <v>51</v>
      </c>
      <c r="N20" s="51">
        <v>564.20000000000005</v>
      </c>
      <c r="O20" s="51">
        <v>0</v>
      </c>
      <c r="P20" s="51">
        <v>1.01</v>
      </c>
      <c r="Q20" s="51">
        <v>42.10</v>
      </c>
      <c r="R20" s="43"/>
      <c r="S20" s="43"/>
      <c r="T20" s="43"/>
      <c r="U20" s="43"/>
    </row>
    <row r="21" spans="1:21" s="11" customFormat="1" ht="15">
      <c r="A21" s="50" t="s">
        <v>529</v>
      </c>
      <c r="B21" s="51">
        <v>3.66</v>
      </c>
      <c r="C21" s="51">
        <v>67.08</v>
      </c>
      <c r="D21" s="51">
        <v>40.369999999999997</v>
      </c>
      <c r="E21" s="51">
        <v>5.1100000000000003</v>
      </c>
      <c r="F21" s="51">
        <v>3.44</v>
      </c>
      <c r="G21" s="51">
        <v>51.69</v>
      </c>
      <c r="H21" s="51">
        <v>36.78</v>
      </c>
      <c r="I21" s="51">
        <v>0.64</v>
      </c>
      <c r="J21" s="51">
        <v>0.76</v>
      </c>
      <c r="K21" s="51">
        <v>287.14</v>
      </c>
      <c r="L21" s="51">
        <v>29.94</v>
      </c>
      <c r="M21" s="51">
        <v>46</v>
      </c>
      <c r="N21" s="51">
        <v>575</v>
      </c>
      <c r="O21" s="51">
        <v>0</v>
      </c>
      <c r="P21" s="51">
        <v>0.84</v>
      </c>
      <c r="Q21" s="51">
        <v>41.78</v>
      </c>
      <c r="R21" s="43"/>
      <c r="S21" s="43"/>
      <c r="T21" s="43"/>
      <c r="U21" s="43"/>
    </row>
    <row r="22" spans="1:21" s="11" customFormat="1" ht="15">
      <c r="A22" s="50" t="s">
        <v>530</v>
      </c>
      <c r="B22" s="51">
        <v>3.87</v>
      </c>
      <c r="C22" s="51">
        <v>63.35</v>
      </c>
      <c r="D22" s="51">
        <v>38.299999999999997</v>
      </c>
      <c r="E22" s="51">
        <v>4.8099999999999996</v>
      </c>
      <c r="F22" s="51">
        <v>2.63</v>
      </c>
      <c r="G22" s="51">
        <v>48.32</v>
      </c>
      <c r="H22" s="51">
        <v>33.56</v>
      </c>
      <c r="I22" s="51">
        <v>0.64</v>
      </c>
      <c r="J22" s="51">
        <v>1.17</v>
      </c>
      <c r="K22" s="51">
        <v>221.23</v>
      </c>
      <c r="L22" s="51">
        <v>30.80</v>
      </c>
      <c r="M22" s="51">
        <v>35</v>
      </c>
      <c r="N22" s="51">
        <v>582.10</v>
      </c>
      <c r="O22" s="51">
        <v>0</v>
      </c>
      <c r="P22" s="51">
        <v>0.76</v>
      </c>
      <c r="Q22" s="51">
        <v>40.049999999999997</v>
      </c>
      <c r="R22" s="43"/>
      <c r="S22" s="43"/>
      <c r="T22" s="43"/>
      <c r="U22" s="43"/>
    </row>
    <row r="23" spans="1:21" s="11" customFormat="1" ht="15">
      <c r="A23" s="50" t="s">
        <v>531</v>
      </c>
      <c r="B23" s="51">
        <v>2.91</v>
      </c>
      <c r="C23" s="51">
        <v>65.510000000000005</v>
      </c>
      <c r="D23" s="51">
        <v>38.65</v>
      </c>
      <c r="E23" s="51">
        <v>4.3600000000000003</v>
      </c>
      <c r="F23" s="51">
        <v>1.71</v>
      </c>
      <c r="G23" s="51">
        <v>38.81</v>
      </c>
      <c r="H23" s="51">
        <v>29.98</v>
      </c>
      <c r="I23" s="53" t="s">
        <v>8</v>
      </c>
      <c r="J23" s="51">
        <v>0.73</v>
      </c>
      <c r="K23" s="51">
        <v>357.88</v>
      </c>
      <c r="L23" s="51">
        <v>30.92</v>
      </c>
      <c r="M23" s="51">
        <v>35</v>
      </c>
      <c r="N23" s="51">
        <v>423.40</v>
      </c>
      <c r="O23" s="51">
        <v>0</v>
      </c>
      <c r="P23" s="51">
        <v>0.70</v>
      </c>
      <c r="Q23" s="51">
        <v>42.19</v>
      </c>
      <c r="R23" s="43"/>
      <c r="S23" s="43"/>
      <c r="T23" s="43"/>
      <c r="U23" s="43"/>
    </row>
    <row r="24" spans="1:21" s="11" customFormat="1" ht="15">
      <c r="A24" s="50" t="s">
        <v>532</v>
      </c>
      <c r="B24" s="51">
        <v>2.09</v>
      </c>
      <c r="C24" s="51">
        <v>64.349999999999994</v>
      </c>
      <c r="D24" s="51">
        <v>37.61</v>
      </c>
      <c r="E24" s="51">
        <v>4.24</v>
      </c>
      <c r="F24" s="51">
        <v>8.6300000000000008</v>
      </c>
      <c r="G24" s="51">
        <v>41.94</v>
      </c>
      <c r="H24" s="51">
        <v>27.29</v>
      </c>
      <c r="I24" s="53" t="s">
        <v>8</v>
      </c>
      <c r="J24" s="51">
        <v>0.83</v>
      </c>
      <c r="K24" s="51">
        <v>209.83</v>
      </c>
      <c r="L24" s="51">
        <v>29.27</v>
      </c>
      <c r="M24" s="51">
        <v>35</v>
      </c>
      <c r="N24" s="51">
        <v>293.70</v>
      </c>
      <c r="O24" s="51">
        <v>0</v>
      </c>
      <c r="P24" s="51">
        <v>0.65</v>
      </c>
      <c r="Q24" s="51">
        <v>41.45</v>
      </c>
      <c r="R24" s="43"/>
      <c r="S24" s="43"/>
      <c r="T24" s="43"/>
      <c r="U24" s="43"/>
    </row>
    <row r="25" spans="1:21" s="11" customFormat="1" ht="15">
      <c r="A25" s="50" t="s">
        <v>533</v>
      </c>
      <c r="B25" s="51">
        <v>3.88</v>
      </c>
      <c r="C25" s="51">
        <v>56.43</v>
      </c>
      <c r="D25" s="51">
        <v>34.10</v>
      </c>
      <c r="E25" s="51">
        <v>4.1900000000000004</v>
      </c>
      <c r="F25" s="51">
        <v>12.65</v>
      </c>
      <c r="G25" s="51">
        <v>39.53</v>
      </c>
      <c r="H25" s="51">
        <v>25.22</v>
      </c>
      <c r="I25" s="53" t="s">
        <v>8</v>
      </c>
      <c r="J25" s="51">
        <v>0.17</v>
      </c>
      <c r="K25" s="51">
        <v>282.93</v>
      </c>
      <c r="L25" s="51">
        <v>28.65</v>
      </c>
      <c r="M25" s="51">
        <v>37</v>
      </c>
      <c r="N25" s="51">
        <v>132.69999999999999</v>
      </c>
      <c r="O25" s="51">
        <v>0</v>
      </c>
      <c r="P25" s="51">
        <v>0.57999999999999996</v>
      </c>
      <c r="Q25" s="51">
        <v>40.51</v>
      </c>
      <c r="R25" s="43"/>
      <c r="S25" s="43"/>
      <c r="T25" s="43"/>
      <c r="U25" s="43"/>
    </row>
    <row r="26" spans="1:21" s="11" customFormat="1" ht="15">
      <c r="A26" s="50" t="s">
        <v>534</v>
      </c>
      <c r="B26" s="51">
        <v>4.57</v>
      </c>
      <c r="C26" s="51">
        <v>63.13</v>
      </c>
      <c r="D26" s="51">
        <v>38.89</v>
      </c>
      <c r="E26" s="51">
        <v>4.5999999999999996</v>
      </c>
      <c r="F26" s="51">
        <v>17.45</v>
      </c>
      <c r="G26" s="51">
        <v>38.47</v>
      </c>
      <c r="H26" s="51">
        <v>24.89</v>
      </c>
      <c r="I26" s="53" t="s">
        <v>8</v>
      </c>
      <c r="J26" s="51">
        <v>0.11</v>
      </c>
      <c r="K26" s="51">
        <v>326.31</v>
      </c>
      <c r="L26" s="51">
        <v>27.49</v>
      </c>
      <c r="M26" s="51">
        <v>47</v>
      </c>
      <c r="N26" s="51">
        <v>27.20</v>
      </c>
      <c r="O26" s="51">
        <v>0</v>
      </c>
      <c r="P26" s="51">
        <v>0.63</v>
      </c>
      <c r="Q26" s="51">
        <v>44.5</v>
      </c>
      <c r="R26" s="43"/>
      <c r="S26" s="43"/>
      <c r="T26" s="43"/>
      <c r="U26" s="43"/>
    </row>
    <row r="27" spans="1:21" s="11" customFormat="1" ht="15">
      <c r="A27" s="50" t="s">
        <v>535</v>
      </c>
      <c r="B27" s="51">
        <v>23.91</v>
      </c>
      <c r="C27" s="51">
        <v>78.84</v>
      </c>
      <c r="D27" s="51">
        <v>63.10</v>
      </c>
      <c r="E27" s="51">
        <v>4</v>
      </c>
      <c r="F27" s="51">
        <v>0.12</v>
      </c>
      <c r="G27" s="51">
        <v>65.569999999999993</v>
      </c>
      <c r="H27" s="51">
        <v>24.04</v>
      </c>
      <c r="I27" s="51">
        <v>0.70</v>
      </c>
      <c r="J27" s="51">
        <v>0.19</v>
      </c>
      <c r="K27" s="51">
        <v>147.25</v>
      </c>
      <c r="L27" s="51">
        <v>24.5</v>
      </c>
      <c r="M27" s="51">
        <v>60</v>
      </c>
      <c r="N27" s="51">
        <v>4.80</v>
      </c>
      <c r="O27" s="51">
        <v>0</v>
      </c>
      <c r="P27" s="51">
        <v>0.93</v>
      </c>
      <c r="Q27" s="51">
        <v>45.95</v>
      </c>
      <c r="R27" s="43"/>
      <c r="S27" s="43"/>
      <c r="T27" s="43"/>
      <c r="U27" s="43"/>
    </row>
    <row r="28" spans="1:21" s="11" customFormat="1" ht="15">
      <c r="A28" s="50" t="s">
        <v>536</v>
      </c>
      <c r="B28" s="51">
        <v>78.16</v>
      </c>
      <c r="C28" s="51">
        <v>96</v>
      </c>
      <c r="D28" s="51">
        <v>114.84</v>
      </c>
      <c r="E28" s="51">
        <v>4.17</v>
      </c>
      <c r="F28" s="51">
        <v>0.05</v>
      </c>
      <c r="G28" s="51">
        <v>160.90</v>
      </c>
      <c r="H28" s="51">
        <v>34.71</v>
      </c>
      <c r="I28" s="51">
        <v>1.18</v>
      </c>
      <c r="J28" s="51">
        <v>0.17</v>
      </c>
      <c r="K28" s="51">
        <v>121.46</v>
      </c>
      <c r="L28" s="51">
        <v>22.98</v>
      </c>
      <c r="M28" s="51">
        <v>63</v>
      </c>
      <c r="N28" s="51">
        <v>4.5999999999999996</v>
      </c>
      <c r="O28" s="51">
        <v>0</v>
      </c>
      <c r="P28" s="51">
        <v>2.16</v>
      </c>
      <c r="Q28" s="51">
        <v>45.26</v>
      </c>
      <c r="R28" s="43"/>
      <c r="S28" s="43"/>
      <c r="T28" s="43"/>
      <c r="U28" s="43"/>
    </row>
    <row r="29" spans="1:21" s="11" customFormat="1" ht="15">
      <c r="A29" s="50" t="s">
        <v>537</v>
      </c>
      <c r="B29" s="51">
        <v>86.54</v>
      </c>
      <c r="C29" s="51">
        <v>96.45</v>
      </c>
      <c r="D29" s="51">
        <v>120.10</v>
      </c>
      <c r="E29" s="51">
        <v>4.63</v>
      </c>
      <c r="F29" s="51">
        <v>0.12</v>
      </c>
      <c r="G29" s="51">
        <v>207.29</v>
      </c>
      <c r="H29" s="51">
        <v>53.87</v>
      </c>
      <c r="I29" s="51">
        <v>1.40</v>
      </c>
      <c r="J29" s="51">
        <v>0.33</v>
      </c>
      <c r="K29" s="51">
        <v>330.39</v>
      </c>
      <c r="L29" s="51">
        <v>23.05</v>
      </c>
      <c r="M29" s="51">
        <v>63</v>
      </c>
      <c r="N29" s="51">
        <v>4.70</v>
      </c>
      <c r="O29" s="51">
        <v>0</v>
      </c>
      <c r="P29" s="51">
        <v>2.52</v>
      </c>
      <c r="Q29" s="51">
        <v>48.72</v>
      </c>
      <c r="R29" s="43"/>
      <c r="S29" s="43"/>
      <c r="T29" s="43"/>
      <c r="U29" s="43"/>
    </row>
    <row r="30" spans="1:21" s="11" customFormat="1" ht="15">
      <c r="A30" s="50" t="s">
        <v>538</v>
      </c>
      <c r="B30" s="51">
        <v>107.25</v>
      </c>
      <c r="C30" s="51">
        <v>101.51</v>
      </c>
      <c r="D30" s="51">
        <v>142.44</v>
      </c>
      <c r="E30" s="51">
        <v>4.8099999999999996</v>
      </c>
      <c r="F30" s="53" t="s">
        <v>8</v>
      </c>
      <c r="G30" s="51">
        <v>199.03</v>
      </c>
      <c r="H30" s="51">
        <v>54.82</v>
      </c>
      <c r="I30" s="51">
        <v>1.60</v>
      </c>
      <c r="J30" s="51">
        <v>0.12</v>
      </c>
      <c r="K30" s="51">
        <v>316.19</v>
      </c>
      <c r="L30" s="51">
        <v>21.88</v>
      </c>
      <c r="M30" s="51">
        <v>68</v>
      </c>
      <c r="N30" s="51">
        <v>4.70</v>
      </c>
      <c r="O30" s="51">
        <v>0</v>
      </c>
      <c r="P30" s="51">
        <v>3.02</v>
      </c>
      <c r="Q30" s="51">
        <v>53.67</v>
      </c>
      <c r="R30" s="43"/>
      <c r="S30" s="43"/>
      <c r="T30" s="43"/>
      <c r="U30" s="43"/>
    </row>
    <row r="31" spans="1:21" s="11" customFormat="1" ht="15">
      <c r="A31" s="50" t="s">
        <v>539</v>
      </c>
      <c r="B31" s="51">
        <v>111.49</v>
      </c>
      <c r="C31" s="51">
        <v>104.39</v>
      </c>
      <c r="D31" s="51">
        <v>147.41</v>
      </c>
      <c r="E31" s="51">
        <v>5.27</v>
      </c>
      <c r="F31" s="51">
        <v>0.04</v>
      </c>
      <c r="G31" s="51">
        <v>175.10</v>
      </c>
      <c r="H31" s="51">
        <v>58.97</v>
      </c>
      <c r="I31" s="51">
        <v>1.71</v>
      </c>
      <c r="J31" s="51">
        <v>1.08</v>
      </c>
      <c r="K31" s="51">
        <v>184.07</v>
      </c>
      <c r="L31" s="51">
        <v>23.27</v>
      </c>
      <c r="M31" s="51">
        <v>73</v>
      </c>
      <c r="N31" s="51">
        <v>4.4000000000000004</v>
      </c>
      <c r="O31" s="51">
        <v>0</v>
      </c>
      <c r="P31" s="51">
        <v>3.25</v>
      </c>
      <c r="Q31" s="51">
        <v>53.69</v>
      </c>
      <c r="R31" s="43"/>
      <c r="S31" s="43"/>
      <c r="T31" s="43"/>
      <c r="U31" s="43"/>
    </row>
    <row r="32" spans="1:21" s="11" customFormat="1" ht="15">
      <c r="A32" s="50" t="s">
        <v>540</v>
      </c>
      <c r="B32" s="51">
        <v>96.04</v>
      </c>
      <c r="C32" s="51">
        <v>94.78</v>
      </c>
      <c r="D32" s="51">
        <v>129.19</v>
      </c>
      <c r="E32" s="51">
        <v>5.31</v>
      </c>
      <c r="F32" s="51">
        <v>0.46</v>
      </c>
      <c r="G32" s="51">
        <v>144.10</v>
      </c>
      <c r="H32" s="51">
        <v>57.5</v>
      </c>
      <c r="I32" s="51">
        <v>1.71</v>
      </c>
      <c r="J32" s="51">
        <v>0.28000000000000003</v>
      </c>
      <c r="K32" s="51">
        <v>292.20</v>
      </c>
      <c r="L32" s="51">
        <v>22.88</v>
      </c>
      <c r="M32" s="51">
        <v>59</v>
      </c>
      <c r="N32" s="51">
        <v>4.9000000000000004</v>
      </c>
      <c r="O32" s="51">
        <v>0</v>
      </c>
      <c r="P32" s="51">
        <v>2.96</v>
      </c>
      <c r="Q32" s="51">
        <v>51.07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2.0899999999999999</v>
      </c>
      <c r="C34" s="28">
        <f t="shared" si="0"/>
        <v>56.43</v>
      </c>
      <c r="D34" s="28">
        <f t="shared" si="0"/>
        <v>34.100000000000001</v>
      </c>
      <c r="E34" s="28">
        <f t="shared" si="0"/>
        <v>3.6899999999999999</v>
      </c>
      <c r="F34" s="28">
        <f t="shared" si="0"/>
        <v>0.040000000000000001</v>
      </c>
      <c r="G34" s="28">
        <f t="shared" si="0"/>
        <v>38.469999999999999</v>
      </c>
      <c r="H34" s="28">
        <f t="shared" si="0"/>
        <v>24.039999999999999</v>
      </c>
      <c r="I34" s="28">
        <f t="shared" si="0"/>
        <v>0.64000000000000001</v>
      </c>
      <c r="J34" s="28">
        <f t="shared" si="0"/>
        <v>0.11</v>
      </c>
      <c r="K34" s="28">
        <f t="shared" si="0"/>
        <v>77.890000000000001</v>
      </c>
      <c r="L34" s="28">
        <f t="shared" si="0"/>
        <v>17.920000000000002</v>
      </c>
      <c r="M34" s="28">
        <f t="shared" si="0"/>
        <v>35</v>
      </c>
      <c r="N34" s="28">
        <f t="shared" si="0"/>
        <v>4.4000000000000004</v>
      </c>
      <c r="O34" s="28">
        <f t="shared" si="0"/>
        <v>0</v>
      </c>
      <c r="P34" s="28">
        <f t="shared" si="0"/>
        <v>0.57999999999999996</v>
      </c>
      <c r="Q34" s="28">
        <f t="shared" si="0"/>
        <v>40.049999999999997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111.48999999999999</v>
      </c>
      <c r="C35" s="29">
        <f t="shared" si="1"/>
        <v>104.39</v>
      </c>
      <c r="D35" s="29">
        <f t="shared" si="1"/>
        <v>147.41</v>
      </c>
      <c r="E35" s="29">
        <f t="shared" si="1"/>
        <v>5.3099999999999996</v>
      </c>
      <c r="F35" s="29">
        <f t="shared" si="1"/>
        <v>17.449999999999999</v>
      </c>
      <c r="G35" s="29">
        <f t="shared" si="1"/>
        <v>207.28999999999999</v>
      </c>
      <c r="H35" s="29">
        <f t="shared" si="1"/>
        <v>68.200000000000003</v>
      </c>
      <c r="I35" s="29">
        <f t="shared" si="1"/>
        <v>1.71</v>
      </c>
      <c r="J35" s="29">
        <f t="shared" si="1"/>
        <v>1.4399999999999999</v>
      </c>
      <c r="K35" s="29">
        <f t="shared" si="1"/>
        <v>357.88</v>
      </c>
      <c r="L35" s="29">
        <f t="shared" si="1"/>
        <v>30.920000000000002</v>
      </c>
      <c r="M35" s="29">
        <f t="shared" si="1"/>
        <v>88</v>
      </c>
      <c r="N35" s="29">
        <f t="shared" si="1"/>
        <v>582.10000000000002</v>
      </c>
      <c r="O35" s="29">
        <f t="shared" si="1"/>
        <v>0</v>
      </c>
      <c r="P35" s="29">
        <f t="shared" si="1"/>
        <v>3.25</v>
      </c>
      <c r="Q35" s="29">
        <f t="shared" si="1"/>
        <v>53.689999999999998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38.544166666666669</v>
      </c>
      <c r="C36" s="28">
        <f t="shared" si="2"/>
        <v>77.55083333333333</v>
      </c>
      <c r="D36" s="28">
        <f t="shared" si="2"/>
        <v>73.706666666666663</v>
      </c>
      <c r="E36" s="28">
        <f t="shared" si="2"/>
        <v>4.2870833333333325</v>
      </c>
      <c r="F36" s="28">
        <f t="shared" si="2"/>
        <v>2.210434782608695</v>
      </c>
      <c r="G36" s="28">
        <f t="shared" si="2"/>
        <v>97.567916666666648</v>
      </c>
      <c r="H36" s="28">
        <f t="shared" si="2"/>
        <v>44.470416666666665</v>
      </c>
      <c r="I36" s="28">
        <f t="shared" si="2"/>
        <v>1.014</v>
      </c>
      <c r="J36" s="28">
        <f t="shared" si="2"/>
        <v>0.53749999999999998</v>
      </c>
      <c r="K36" s="28">
        <f t="shared" si="2"/>
        <v>199.03333333333327</v>
      </c>
      <c r="L36" s="28">
        <f t="shared" si="2"/>
        <v>23.842500000000001</v>
      </c>
      <c r="M36" s="28">
        <f t="shared" si="2"/>
        <v>63.416666666666664</v>
      </c>
      <c r="N36" s="28">
        <f t="shared" si="2"/>
        <v>167.94166666666663</v>
      </c>
      <c r="O36" s="28">
        <f t="shared" si="2"/>
        <v>0</v>
      </c>
      <c r="P36" s="28">
        <f t="shared" si="2"/>
        <v>1.5929166666666668</v>
      </c>
      <c r="Q36" s="28">
        <f t="shared" si="2"/>
        <v>45.088749999999997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35.984632821183027</v>
      </c>
      <c r="C37" s="28">
        <f t="shared" si="3" ref="C37:Q37">STDEV(C9:C32)</f>
        <v>13.5786107109888</v>
      </c>
      <c r="D37" s="28">
        <f t="shared" si="3"/>
        <v>36.062296903705573</v>
      </c>
      <c r="E37" s="28">
        <f t="shared" si="3"/>
        <v>0.49607572324032218</v>
      </c>
      <c r="F37" s="28">
        <f t="shared" si="3"/>
        <v>4.5273115424467472</v>
      </c>
      <c r="G37" s="28">
        <f t="shared" si="3"/>
        <v>51.900179607561142</v>
      </c>
      <c r="H37" s="28">
        <f t="shared" si="3"/>
        <v>12.441367001351555</v>
      </c>
      <c r="I37" s="28">
        <f t="shared" si="3"/>
        <v>0.37129077837358521</v>
      </c>
      <c r="J37" s="28">
        <f t="shared" si="3"/>
        <v>0.40231125739418117</v>
      </c>
      <c r="K37" s="28">
        <f t="shared" si="3"/>
        <v>84.931640832452899</v>
      </c>
      <c r="L37" s="28">
        <f t="shared" si="3"/>
        <v>4.2797320619098302</v>
      </c>
      <c r="M37" s="28">
        <f t="shared" si="3"/>
        <v>17.292664106032298</v>
      </c>
      <c r="N37" s="28">
        <f t="shared" si="3"/>
        <v>224.14608768209277</v>
      </c>
      <c r="O37" s="28">
        <f t="shared" si="3"/>
        <v>0</v>
      </c>
      <c r="P37" s="28">
        <f t="shared" si="3"/>
        <v>0.85323669770986743</v>
      </c>
      <c r="Q37" s="28">
        <f t="shared" si="3"/>
        <v>3.9011540237974844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COUNT(F9:F32)+1</f>
        <v>24</v>
      </c>
      <c r="G38" s="32">
        <f t="shared" si="4"/>
        <v>24</v>
      </c>
      <c r="H38" s="32">
        <f t="shared" si="4"/>
        <v>24</v>
      </c>
      <c r="I38" s="32">
        <f>COUNT(I9:I32)+4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79fe60-e0a9-41e8-9cb5-5fb04b941155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21-01-2023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541</v>
      </c>
      <c r="B9" s="51">
        <v>82.36</v>
      </c>
      <c r="C9" s="51">
        <v>89.67</v>
      </c>
      <c r="D9" s="51">
        <v>115.78</v>
      </c>
      <c r="E9" s="51">
        <v>4.8499999999999996</v>
      </c>
      <c r="F9" s="51">
        <v>0.20</v>
      </c>
      <c r="G9" s="51">
        <v>91.58</v>
      </c>
      <c r="H9" s="51">
        <v>51.89</v>
      </c>
      <c r="I9" s="51">
        <v>1.59</v>
      </c>
      <c r="J9" s="51">
        <v>0.38</v>
      </c>
      <c r="K9" s="51">
        <v>258.27999999999997</v>
      </c>
      <c r="L9" s="51">
        <v>21.92</v>
      </c>
      <c r="M9" s="51">
        <v>66</v>
      </c>
      <c r="N9" s="51">
        <v>4.9000000000000004</v>
      </c>
      <c r="O9" s="51">
        <v>0</v>
      </c>
      <c r="P9" s="51">
        <v>2.68</v>
      </c>
      <c r="Q9" s="51">
        <v>50.71</v>
      </c>
      <c r="R9" s="43"/>
      <c r="S9" s="43"/>
      <c r="T9" s="43"/>
      <c r="U9" s="43"/>
    </row>
    <row r="10" spans="1:21" s="11" customFormat="1" ht="15">
      <c r="A10" s="50" t="s">
        <v>542</v>
      </c>
      <c r="B10" s="51">
        <v>68.08</v>
      </c>
      <c r="C10" s="51">
        <v>84.17</v>
      </c>
      <c r="D10" s="51">
        <v>101.46</v>
      </c>
      <c r="E10" s="51">
        <v>4.47</v>
      </c>
      <c r="F10" s="53" t="s">
        <v>8</v>
      </c>
      <c r="G10" s="51">
        <v>67.08</v>
      </c>
      <c r="H10" s="51">
        <v>45.26</v>
      </c>
      <c r="I10" s="51">
        <v>1.45</v>
      </c>
      <c r="J10" s="51">
        <v>0.14000000000000001</v>
      </c>
      <c r="K10" s="51">
        <v>337.68</v>
      </c>
      <c r="L10" s="51">
        <v>19.84</v>
      </c>
      <c r="M10" s="51">
        <v>74</v>
      </c>
      <c r="N10" s="51">
        <v>4.9000000000000004</v>
      </c>
      <c r="O10" s="51">
        <v>0</v>
      </c>
      <c r="P10" s="51">
        <v>2.12</v>
      </c>
      <c r="Q10" s="51">
        <v>49.68</v>
      </c>
      <c r="R10" s="43"/>
      <c r="S10" s="43"/>
      <c r="T10" s="43"/>
      <c r="U10" s="43"/>
    </row>
    <row r="11" spans="1:21" s="11" customFormat="1" ht="15">
      <c r="A11" s="50" t="s">
        <v>543</v>
      </c>
      <c r="B11" s="51">
        <v>50.10</v>
      </c>
      <c r="C11" s="51">
        <v>76.87</v>
      </c>
      <c r="D11" s="51">
        <v>83.02</v>
      </c>
      <c r="E11" s="51">
        <v>4.4000000000000004</v>
      </c>
      <c r="F11" s="53" t="s">
        <v>8</v>
      </c>
      <c r="G11" s="51">
        <v>62.68</v>
      </c>
      <c r="H11" s="51">
        <v>40.29</v>
      </c>
      <c r="I11" s="51">
        <v>1.1000000000000001</v>
      </c>
      <c r="J11" s="51">
        <v>0.16</v>
      </c>
      <c r="K11" s="51">
        <v>31.99</v>
      </c>
      <c r="L11" s="51">
        <v>18.739999999999998</v>
      </c>
      <c r="M11" s="51">
        <v>77</v>
      </c>
      <c r="N11" s="51">
        <v>4.5999999999999996</v>
      </c>
      <c r="O11" s="51">
        <v>0</v>
      </c>
      <c r="P11" s="51">
        <v>1.84</v>
      </c>
      <c r="Q11" s="51">
        <v>46.34</v>
      </c>
      <c r="R11" s="43"/>
      <c r="S11" s="43"/>
      <c r="T11" s="43"/>
      <c r="U11" s="43"/>
    </row>
    <row r="12" spans="1:21" s="11" customFormat="1" ht="15">
      <c r="A12" s="50" t="s">
        <v>544</v>
      </c>
      <c r="B12" s="51">
        <v>43.20</v>
      </c>
      <c r="C12" s="51">
        <v>72.88</v>
      </c>
      <c r="D12" s="51">
        <v>75.28</v>
      </c>
      <c r="E12" s="51">
        <v>3.80</v>
      </c>
      <c r="F12" s="51">
        <v>0.11</v>
      </c>
      <c r="G12" s="51">
        <v>65.5</v>
      </c>
      <c r="H12" s="51">
        <v>37.28</v>
      </c>
      <c r="I12" s="51">
        <v>0.97</v>
      </c>
      <c r="J12" s="51">
        <v>0.11</v>
      </c>
      <c r="K12" s="51">
        <v>345.56</v>
      </c>
      <c r="L12" s="51">
        <v>18.190000000000001</v>
      </c>
      <c r="M12" s="51">
        <v>80</v>
      </c>
      <c r="N12" s="51">
        <v>4.5999999999999996</v>
      </c>
      <c r="O12" s="51">
        <v>0</v>
      </c>
      <c r="P12" s="51">
        <v>1.59</v>
      </c>
      <c r="Q12" s="51">
        <v>44.25</v>
      </c>
      <c r="R12" s="43"/>
      <c r="S12" s="43"/>
      <c r="T12" s="43"/>
      <c r="U12" s="43"/>
    </row>
    <row r="13" spans="1:21" s="11" customFormat="1" ht="15">
      <c r="A13" s="50" t="s">
        <v>545</v>
      </c>
      <c r="B13" s="51">
        <v>41.15</v>
      </c>
      <c r="C13" s="51">
        <v>70.84</v>
      </c>
      <c r="D13" s="51">
        <v>72.510000000000005</v>
      </c>
      <c r="E13" s="51">
        <v>4.34</v>
      </c>
      <c r="F13" s="53" t="s">
        <v>8</v>
      </c>
      <c r="G13" s="51">
        <v>73.33</v>
      </c>
      <c r="H13" s="51">
        <v>36.33</v>
      </c>
      <c r="I13" s="51">
        <v>0.92</v>
      </c>
      <c r="J13" s="51">
        <v>0.17</v>
      </c>
      <c r="K13" s="51">
        <v>317.44</v>
      </c>
      <c r="L13" s="51">
        <v>17.670000000000002</v>
      </c>
      <c r="M13" s="51">
        <v>83</v>
      </c>
      <c r="N13" s="51">
        <v>4.5</v>
      </c>
      <c r="O13" s="51">
        <v>0</v>
      </c>
      <c r="P13" s="51">
        <v>1.42</v>
      </c>
      <c r="Q13" s="51">
        <v>45.77</v>
      </c>
      <c r="R13" s="43"/>
      <c r="S13" s="43"/>
      <c r="T13" s="43"/>
      <c r="U13" s="43"/>
    </row>
    <row r="14" spans="1:21" s="11" customFormat="1" ht="15">
      <c r="A14" s="50" t="s">
        <v>546</v>
      </c>
      <c r="B14" s="51">
        <v>46.86</v>
      </c>
      <c r="C14" s="51">
        <v>70.87</v>
      </c>
      <c r="D14" s="51">
        <v>77.11</v>
      </c>
      <c r="E14" s="51">
        <v>4.30</v>
      </c>
      <c r="F14" s="53" t="s">
        <v>8</v>
      </c>
      <c r="G14" s="51">
        <v>71.11</v>
      </c>
      <c r="H14" s="51">
        <v>33.10</v>
      </c>
      <c r="I14" s="51">
        <v>0.86</v>
      </c>
      <c r="J14" s="51">
        <v>0.15</v>
      </c>
      <c r="K14" s="51">
        <v>342.47</v>
      </c>
      <c r="L14" s="51">
        <v>17.920000000000002</v>
      </c>
      <c r="M14" s="51">
        <v>82</v>
      </c>
      <c r="N14" s="51">
        <v>4.5</v>
      </c>
      <c r="O14" s="51">
        <v>0</v>
      </c>
      <c r="P14" s="51">
        <v>1.29</v>
      </c>
      <c r="Q14" s="51">
        <v>44.72</v>
      </c>
      <c r="R14" s="43"/>
      <c r="S14" s="43"/>
      <c r="T14" s="43"/>
      <c r="U14" s="43"/>
    </row>
    <row r="15" spans="1:21" s="11" customFormat="1" ht="15">
      <c r="A15" s="50" t="s">
        <v>547</v>
      </c>
      <c r="B15" s="51">
        <v>56.88</v>
      </c>
      <c r="C15" s="51">
        <v>74.69</v>
      </c>
      <c r="D15" s="51">
        <v>87.20</v>
      </c>
      <c r="E15" s="51">
        <v>4.63</v>
      </c>
      <c r="F15" s="51">
        <v>0.05</v>
      </c>
      <c r="G15" s="51">
        <v>87.75</v>
      </c>
      <c r="H15" s="51">
        <v>36.840000000000003</v>
      </c>
      <c r="I15" s="51">
        <v>0.81</v>
      </c>
      <c r="J15" s="51">
        <v>0.16</v>
      </c>
      <c r="K15" s="51">
        <v>323.04000000000002</v>
      </c>
      <c r="L15" s="51">
        <v>17.989999999999998</v>
      </c>
      <c r="M15" s="51">
        <v>83</v>
      </c>
      <c r="N15" s="51">
        <v>18.5</v>
      </c>
      <c r="O15" s="51">
        <v>0</v>
      </c>
      <c r="P15" s="51">
        <v>1.30</v>
      </c>
      <c r="Q15" s="51">
        <v>43.28</v>
      </c>
      <c r="R15" s="43"/>
      <c r="S15" s="43"/>
      <c r="T15" s="43"/>
      <c r="U15" s="43"/>
    </row>
    <row r="16" spans="1:21" s="11" customFormat="1" ht="15">
      <c r="A16" s="50" t="s">
        <v>548</v>
      </c>
      <c r="B16" s="51">
        <v>58.73</v>
      </c>
      <c r="C16" s="51">
        <v>75.03</v>
      </c>
      <c r="D16" s="51">
        <v>88.61</v>
      </c>
      <c r="E16" s="51">
        <v>4.8499999999999996</v>
      </c>
      <c r="F16" s="51">
        <v>0.01</v>
      </c>
      <c r="G16" s="51">
        <v>88</v>
      </c>
      <c r="H16" s="51">
        <v>36.299999999999997</v>
      </c>
      <c r="I16" s="51">
        <v>0.80</v>
      </c>
      <c r="J16" s="51">
        <v>0.75</v>
      </c>
      <c r="K16" s="51">
        <v>345.09</v>
      </c>
      <c r="L16" s="51">
        <v>19.920000000000002</v>
      </c>
      <c r="M16" s="51">
        <v>80</v>
      </c>
      <c r="N16" s="51">
        <v>142.80000000000001</v>
      </c>
      <c r="O16" s="51">
        <v>0</v>
      </c>
      <c r="P16" s="51">
        <v>1.34</v>
      </c>
      <c r="Q16" s="51">
        <v>44.37</v>
      </c>
      <c r="R16" s="43"/>
      <c r="S16" s="43"/>
      <c r="T16" s="43"/>
      <c r="U16" s="43"/>
    </row>
    <row r="17" spans="1:21" s="11" customFormat="1" ht="15">
      <c r="A17" s="50" t="s">
        <v>549</v>
      </c>
      <c r="B17" s="51">
        <v>55.15</v>
      </c>
      <c r="C17" s="51">
        <v>77.069999999999993</v>
      </c>
      <c r="D17" s="51">
        <v>86.03</v>
      </c>
      <c r="E17" s="51">
        <v>3.88</v>
      </c>
      <c r="F17" s="53" t="s">
        <v>8</v>
      </c>
      <c r="G17" s="51">
        <v>85.74</v>
      </c>
      <c r="H17" s="51">
        <v>37.53</v>
      </c>
      <c r="I17" s="51">
        <v>0.80</v>
      </c>
      <c r="J17" s="51">
        <v>0.35</v>
      </c>
      <c r="K17" s="51">
        <v>151.04</v>
      </c>
      <c r="L17" s="51">
        <v>23.35</v>
      </c>
      <c r="M17" s="51">
        <v>65</v>
      </c>
      <c r="N17" s="51">
        <v>313.80</v>
      </c>
      <c r="O17" s="51">
        <v>0</v>
      </c>
      <c r="P17" s="51">
        <v>1.37</v>
      </c>
      <c r="Q17" s="51">
        <v>44.49</v>
      </c>
      <c r="R17" s="43"/>
      <c r="S17" s="43"/>
      <c r="T17" s="43"/>
      <c r="U17" s="43"/>
    </row>
    <row r="18" spans="1:21" s="11" customFormat="1" ht="15">
      <c r="A18" s="50" t="s">
        <v>550</v>
      </c>
      <c r="B18" s="51">
        <v>44.92</v>
      </c>
      <c r="C18" s="51">
        <v>78.73</v>
      </c>
      <c r="D18" s="51">
        <v>79.70</v>
      </c>
      <c r="E18" s="51">
        <v>3.72</v>
      </c>
      <c r="F18" s="51">
        <v>0.67</v>
      </c>
      <c r="G18" s="51">
        <v>79.59</v>
      </c>
      <c r="H18" s="51">
        <v>40.58</v>
      </c>
      <c r="I18" s="51">
        <v>0.77</v>
      </c>
      <c r="J18" s="51">
        <v>0.47</v>
      </c>
      <c r="K18" s="51">
        <v>157.66999999999999</v>
      </c>
      <c r="L18" s="51">
        <v>26.45</v>
      </c>
      <c r="M18" s="51">
        <v>60</v>
      </c>
      <c r="N18" s="51">
        <v>444.70</v>
      </c>
      <c r="O18" s="51">
        <v>0</v>
      </c>
      <c r="P18" s="51">
        <v>1.33</v>
      </c>
      <c r="Q18" s="51">
        <v>43.36</v>
      </c>
      <c r="R18" s="43"/>
      <c r="S18" s="43"/>
      <c r="T18" s="43"/>
      <c r="U18" s="43"/>
    </row>
    <row r="19" spans="1:21" s="11" customFormat="1" ht="15">
      <c r="A19" s="50" t="s">
        <v>551</v>
      </c>
      <c r="B19" s="51">
        <v>33.60</v>
      </c>
      <c r="C19" s="51">
        <v>79.84</v>
      </c>
      <c r="D19" s="51">
        <v>70.89</v>
      </c>
      <c r="E19" s="51">
        <v>4.1100000000000003</v>
      </c>
      <c r="F19" s="51">
        <v>1.23</v>
      </c>
      <c r="G19" s="51">
        <v>74.739999999999995</v>
      </c>
      <c r="H19" s="51">
        <v>39.40</v>
      </c>
      <c r="I19" s="51">
        <v>0.74</v>
      </c>
      <c r="J19" s="51">
        <v>0.61</v>
      </c>
      <c r="K19" s="51">
        <v>353.49</v>
      </c>
      <c r="L19" s="51">
        <v>32.21</v>
      </c>
      <c r="M19" s="51">
        <v>44</v>
      </c>
      <c r="N19" s="51">
        <v>522.10</v>
      </c>
      <c r="O19" s="51">
        <v>0</v>
      </c>
      <c r="P19" s="51">
        <v>1.47</v>
      </c>
      <c r="Q19" s="51">
        <v>42.15</v>
      </c>
      <c r="R19" s="43"/>
      <c r="S19" s="43"/>
      <c r="T19" s="43"/>
      <c r="U19" s="43"/>
    </row>
    <row r="20" spans="1:21" s="11" customFormat="1" ht="15">
      <c r="A20" s="50" t="s">
        <v>552</v>
      </c>
      <c r="B20" s="51">
        <v>26.09</v>
      </c>
      <c r="C20" s="51">
        <v>89.82</v>
      </c>
      <c r="D20" s="51">
        <v>66.59</v>
      </c>
      <c r="E20" s="51">
        <v>4.6500000000000004</v>
      </c>
      <c r="F20" s="51">
        <v>1.45</v>
      </c>
      <c r="G20" s="51">
        <v>90.12</v>
      </c>
      <c r="H20" s="51">
        <v>40.99</v>
      </c>
      <c r="I20" s="51">
        <v>0.75</v>
      </c>
      <c r="J20" s="51">
        <v>0.90</v>
      </c>
      <c r="K20" s="51">
        <v>353.27</v>
      </c>
      <c r="L20" s="51">
        <v>33.04</v>
      </c>
      <c r="M20" s="51">
        <v>39</v>
      </c>
      <c r="N20" s="51">
        <v>531.79999999999995</v>
      </c>
      <c r="O20" s="51">
        <v>0</v>
      </c>
      <c r="P20" s="51">
        <v>1.69</v>
      </c>
      <c r="Q20" s="51">
        <v>44.38</v>
      </c>
      <c r="R20" s="43"/>
      <c r="S20" s="43"/>
      <c r="T20" s="43"/>
      <c r="U20" s="43"/>
    </row>
    <row r="21" spans="1:21" s="11" customFormat="1" ht="15">
      <c r="A21" s="50" t="s">
        <v>553</v>
      </c>
      <c r="B21" s="51">
        <v>15.21</v>
      </c>
      <c r="C21" s="51">
        <v>91.60</v>
      </c>
      <c r="D21" s="51">
        <v>63.17</v>
      </c>
      <c r="E21" s="51">
        <v>4.51</v>
      </c>
      <c r="F21" s="51">
        <v>1.52</v>
      </c>
      <c r="G21" s="51">
        <v>92.18</v>
      </c>
      <c r="H21" s="51">
        <v>40.78</v>
      </c>
      <c r="I21" s="51">
        <v>0.74</v>
      </c>
      <c r="J21" s="51">
        <v>0.36</v>
      </c>
      <c r="K21" s="51">
        <v>48.97</v>
      </c>
      <c r="L21" s="51">
        <v>32.049999999999997</v>
      </c>
      <c r="M21" s="51">
        <v>38</v>
      </c>
      <c r="N21" s="51">
        <v>521.5</v>
      </c>
      <c r="O21" s="51">
        <v>0</v>
      </c>
      <c r="P21" s="51">
        <v>1.74</v>
      </c>
      <c r="Q21" s="51">
        <v>43.61</v>
      </c>
      <c r="R21" s="43"/>
      <c r="S21" s="43"/>
      <c r="T21" s="43"/>
      <c r="U21" s="43"/>
    </row>
    <row r="22" spans="1:21" s="11" customFormat="1" ht="15">
      <c r="A22" s="50" t="s">
        <v>554</v>
      </c>
      <c r="B22" s="51">
        <v>6.72</v>
      </c>
      <c r="C22" s="51">
        <v>83.47</v>
      </c>
      <c r="D22" s="51">
        <v>51.37</v>
      </c>
      <c r="E22" s="51">
        <v>9.3000000000000007</v>
      </c>
      <c r="F22" s="51">
        <v>7.01</v>
      </c>
      <c r="G22" s="51">
        <v>87.53</v>
      </c>
      <c r="H22" s="51">
        <v>39.67</v>
      </c>
      <c r="I22" s="51">
        <v>0.69</v>
      </c>
      <c r="J22" s="51">
        <v>0.96</v>
      </c>
      <c r="K22" s="51">
        <v>355.71</v>
      </c>
      <c r="L22" s="51">
        <v>33.97</v>
      </c>
      <c r="M22" s="51">
        <v>34</v>
      </c>
      <c r="N22" s="51">
        <v>481.90</v>
      </c>
      <c r="O22" s="51">
        <v>0</v>
      </c>
      <c r="P22" s="51">
        <v>1.73</v>
      </c>
      <c r="Q22" s="51">
        <v>43.46</v>
      </c>
      <c r="R22" s="43"/>
      <c r="S22" s="43"/>
      <c r="T22" s="43"/>
      <c r="U22" s="43"/>
    </row>
    <row r="23" spans="1:21" s="11" customFormat="1" ht="15">
      <c r="A23" s="50" t="s">
        <v>555</v>
      </c>
      <c r="B23" s="51">
        <v>5.59</v>
      </c>
      <c r="C23" s="51">
        <v>80.239999999999995</v>
      </c>
      <c r="D23" s="51">
        <v>48.92</v>
      </c>
      <c r="E23" s="51">
        <v>7.74</v>
      </c>
      <c r="F23" s="51">
        <v>13.06</v>
      </c>
      <c r="G23" s="51">
        <v>74.13</v>
      </c>
      <c r="H23" s="51">
        <v>37.700000000000003</v>
      </c>
      <c r="I23" s="51">
        <v>0.67</v>
      </c>
      <c r="J23" s="51">
        <v>0.53</v>
      </c>
      <c r="K23" s="51">
        <v>350.92</v>
      </c>
      <c r="L23" s="51">
        <v>33.49</v>
      </c>
      <c r="M23" s="51">
        <v>32</v>
      </c>
      <c r="N23" s="51">
        <v>414.30</v>
      </c>
      <c r="O23" s="51">
        <v>0</v>
      </c>
      <c r="P23" s="51">
        <v>1.68</v>
      </c>
      <c r="Q23" s="51">
        <v>41.63</v>
      </c>
      <c r="R23" s="43"/>
      <c r="S23" s="43"/>
      <c r="T23" s="43"/>
      <c r="U23" s="43"/>
    </row>
    <row r="24" spans="1:21" s="11" customFormat="1" ht="15">
      <c r="A24" s="50" t="s">
        <v>556</v>
      </c>
      <c r="B24" s="51">
        <v>4.6100000000000003</v>
      </c>
      <c r="C24" s="51">
        <v>78.81</v>
      </c>
      <c r="D24" s="51">
        <v>47.22</v>
      </c>
      <c r="E24" s="51">
        <v>5.05</v>
      </c>
      <c r="F24" s="51">
        <v>4.46</v>
      </c>
      <c r="G24" s="51">
        <v>63.5</v>
      </c>
      <c r="H24" s="51">
        <v>35.729999999999997</v>
      </c>
      <c r="I24" s="51">
        <v>0.69</v>
      </c>
      <c r="J24" s="51">
        <v>0.53</v>
      </c>
      <c r="K24" s="51">
        <v>355.96</v>
      </c>
      <c r="L24" s="51">
        <v>31.92</v>
      </c>
      <c r="M24" s="51">
        <v>32</v>
      </c>
      <c r="N24" s="51">
        <v>270.60000000000002</v>
      </c>
      <c r="O24" s="51">
        <v>0</v>
      </c>
      <c r="P24" s="51">
        <v>1.54</v>
      </c>
      <c r="Q24" s="51">
        <v>44.30</v>
      </c>
      <c r="R24" s="43"/>
      <c r="S24" s="43"/>
      <c r="T24" s="43"/>
      <c r="U24" s="43"/>
    </row>
    <row r="25" spans="1:21" s="11" customFormat="1" ht="15">
      <c r="A25" s="50" t="s">
        <v>557</v>
      </c>
      <c r="B25" s="51">
        <v>8.08</v>
      </c>
      <c r="C25" s="51">
        <v>79.78</v>
      </c>
      <c r="D25" s="51">
        <v>48.91</v>
      </c>
      <c r="E25" s="51">
        <v>6.38</v>
      </c>
      <c r="F25" s="51">
        <v>10.84</v>
      </c>
      <c r="G25" s="51">
        <v>55.03</v>
      </c>
      <c r="H25" s="51">
        <v>33.409999999999997</v>
      </c>
      <c r="I25" s="51">
        <v>0.66</v>
      </c>
      <c r="J25" s="51">
        <v>0.79</v>
      </c>
      <c r="K25" s="51">
        <v>351.04</v>
      </c>
      <c r="L25" s="51">
        <v>29.89</v>
      </c>
      <c r="M25" s="51">
        <v>35</v>
      </c>
      <c r="N25" s="51">
        <v>147.90</v>
      </c>
      <c r="O25" s="51">
        <v>0</v>
      </c>
      <c r="P25" s="51">
        <v>1.39</v>
      </c>
      <c r="Q25" s="51">
        <v>43.35</v>
      </c>
      <c r="R25" s="43"/>
      <c r="S25" s="43"/>
      <c r="T25" s="43"/>
      <c r="U25" s="43"/>
    </row>
    <row r="26" spans="1:21" s="11" customFormat="1" ht="15">
      <c r="A26" s="50" t="s">
        <v>558</v>
      </c>
      <c r="B26" s="51">
        <v>11.47</v>
      </c>
      <c r="C26" s="51">
        <v>85.95</v>
      </c>
      <c r="D26" s="51">
        <v>57.05</v>
      </c>
      <c r="E26" s="51">
        <v>5.65</v>
      </c>
      <c r="F26" s="51">
        <v>8.34</v>
      </c>
      <c r="G26" s="51">
        <v>54.65</v>
      </c>
      <c r="H26" s="51">
        <v>31.39</v>
      </c>
      <c r="I26" s="51">
        <v>0.68</v>
      </c>
      <c r="J26" s="51">
        <v>0.49</v>
      </c>
      <c r="K26" s="51">
        <v>189.95</v>
      </c>
      <c r="L26" s="51">
        <v>28.05</v>
      </c>
      <c r="M26" s="51">
        <v>45</v>
      </c>
      <c r="N26" s="51">
        <v>27.80</v>
      </c>
      <c r="O26" s="51">
        <v>0</v>
      </c>
      <c r="P26" s="51">
        <v>1.43</v>
      </c>
      <c r="Q26" s="51">
        <v>42.63</v>
      </c>
      <c r="R26" s="43"/>
      <c r="S26" s="43"/>
      <c r="T26" s="43"/>
      <c r="U26" s="43"/>
    </row>
    <row r="27" spans="1:21" s="11" customFormat="1" ht="15">
      <c r="A27" s="50" t="s">
        <v>559</v>
      </c>
      <c r="B27" s="51">
        <v>31.58</v>
      </c>
      <c r="C27" s="51">
        <v>92.28</v>
      </c>
      <c r="D27" s="51">
        <v>76.67</v>
      </c>
      <c r="E27" s="51">
        <v>4.8600000000000003</v>
      </c>
      <c r="F27" s="51">
        <v>0.66</v>
      </c>
      <c r="G27" s="51">
        <v>75.17</v>
      </c>
      <c r="H27" s="51">
        <v>31.39</v>
      </c>
      <c r="I27" s="51">
        <v>0.77</v>
      </c>
      <c r="J27" s="51">
        <v>0.16</v>
      </c>
      <c r="K27" s="51">
        <v>147.47999999999999</v>
      </c>
      <c r="L27" s="51">
        <v>24.34</v>
      </c>
      <c r="M27" s="51">
        <v>56</v>
      </c>
      <c r="N27" s="51">
        <v>4.70</v>
      </c>
      <c r="O27" s="51">
        <v>0</v>
      </c>
      <c r="P27" s="51">
        <v>1.51</v>
      </c>
      <c r="Q27" s="51">
        <v>46.89</v>
      </c>
      <c r="R27" s="43"/>
      <c r="S27" s="43"/>
      <c r="T27" s="43"/>
      <c r="U27" s="43"/>
    </row>
    <row r="28" spans="1:21" s="11" customFormat="1" ht="15">
      <c r="A28" s="50" t="s">
        <v>560</v>
      </c>
      <c r="B28" s="51">
        <v>47.05</v>
      </c>
      <c r="C28" s="51">
        <v>93.85</v>
      </c>
      <c r="D28" s="51">
        <v>89.94</v>
      </c>
      <c r="E28" s="51">
        <v>4.80</v>
      </c>
      <c r="F28" s="53" t="s">
        <v>8</v>
      </c>
      <c r="G28" s="51">
        <v>141.30000000000001</v>
      </c>
      <c r="H28" s="51">
        <v>37.26</v>
      </c>
      <c r="I28" s="51">
        <v>0.92</v>
      </c>
      <c r="J28" s="51">
        <v>0.10</v>
      </c>
      <c r="K28" s="51">
        <v>130.04</v>
      </c>
      <c r="L28" s="51">
        <v>22.78</v>
      </c>
      <c r="M28" s="51">
        <v>71</v>
      </c>
      <c r="N28" s="51">
        <v>4.5999999999999996</v>
      </c>
      <c r="O28" s="51">
        <v>0</v>
      </c>
      <c r="P28" s="51">
        <v>2.21</v>
      </c>
      <c r="Q28" s="51">
        <v>48.90</v>
      </c>
      <c r="R28" s="43"/>
      <c r="S28" s="43"/>
      <c r="T28" s="43"/>
      <c r="U28" s="43"/>
    </row>
    <row r="29" spans="1:21" s="11" customFormat="1" ht="15">
      <c r="A29" s="50" t="s">
        <v>561</v>
      </c>
      <c r="B29" s="51">
        <v>81.36</v>
      </c>
      <c r="C29" s="51">
        <v>102.67</v>
      </c>
      <c r="D29" s="51">
        <v>122.32</v>
      </c>
      <c r="E29" s="51">
        <v>5.26</v>
      </c>
      <c r="F29" s="51">
        <v>0.09</v>
      </c>
      <c r="G29" s="51">
        <v>181.46</v>
      </c>
      <c r="H29" s="51">
        <v>46.85</v>
      </c>
      <c r="I29" s="51">
        <v>1.44</v>
      </c>
      <c r="J29" s="51">
        <v>0.19</v>
      </c>
      <c r="K29" s="51">
        <v>338.89</v>
      </c>
      <c r="L29" s="51">
        <v>23.24</v>
      </c>
      <c r="M29" s="51">
        <v>71</v>
      </c>
      <c r="N29" s="51">
        <v>4.70</v>
      </c>
      <c r="O29" s="51">
        <v>0</v>
      </c>
      <c r="P29" s="51">
        <v>2.75</v>
      </c>
      <c r="Q29" s="51">
        <v>48.75</v>
      </c>
      <c r="R29" s="43"/>
      <c r="S29" s="43"/>
      <c r="T29" s="43"/>
      <c r="U29" s="43"/>
    </row>
    <row r="30" spans="1:21" s="11" customFormat="1" ht="15">
      <c r="A30" s="50" t="s">
        <v>562</v>
      </c>
      <c r="B30" s="51">
        <v>88.60</v>
      </c>
      <c r="C30" s="51">
        <v>99</v>
      </c>
      <c r="D30" s="51">
        <v>125.19</v>
      </c>
      <c r="E30" s="51">
        <v>5.71</v>
      </c>
      <c r="F30" s="51">
        <v>0.03</v>
      </c>
      <c r="G30" s="51">
        <v>172.72</v>
      </c>
      <c r="H30" s="51">
        <v>49.01</v>
      </c>
      <c r="I30" s="51">
        <v>1.46</v>
      </c>
      <c r="J30" s="51">
        <v>0.15</v>
      </c>
      <c r="K30" s="51">
        <v>320.38</v>
      </c>
      <c r="L30" s="51">
        <v>21.94</v>
      </c>
      <c r="M30" s="51">
        <v>64</v>
      </c>
      <c r="N30" s="51">
        <v>4.70</v>
      </c>
      <c r="O30" s="51">
        <v>0</v>
      </c>
      <c r="P30" s="51">
        <v>2.88</v>
      </c>
      <c r="Q30" s="51">
        <v>50.15</v>
      </c>
      <c r="R30" s="43"/>
      <c r="S30" s="43"/>
      <c r="T30" s="43"/>
      <c r="U30" s="43"/>
    </row>
    <row r="31" spans="1:21" s="11" customFormat="1" ht="15">
      <c r="A31" s="50" t="s">
        <v>563</v>
      </c>
      <c r="B31" s="51">
        <v>95.28</v>
      </c>
      <c r="C31" s="51">
        <v>98.22</v>
      </c>
      <c r="D31" s="51">
        <v>131.03</v>
      </c>
      <c r="E31" s="51">
        <v>5.70</v>
      </c>
      <c r="F31" s="53" t="s">
        <v>8</v>
      </c>
      <c r="G31" s="51">
        <v>173.14</v>
      </c>
      <c r="H31" s="51">
        <v>53.36</v>
      </c>
      <c r="I31" s="51">
        <v>1.49</v>
      </c>
      <c r="J31" s="51">
        <v>0.08</v>
      </c>
      <c r="K31" s="51">
        <v>359.80</v>
      </c>
      <c r="L31" s="51">
        <v>20.95</v>
      </c>
      <c r="M31" s="51">
        <v>75</v>
      </c>
      <c r="N31" s="51">
        <v>4.80</v>
      </c>
      <c r="O31" s="51">
        <v>0</v>
      </c>
      <c r="P31" s="51">
        <v>2.93</v>
      </c>
      <c r="Q31" s="51">
        <v>52.54</v>
      </c>
      <c r="R31" s="43"/>
      <c r="S31" s="43"/>
      <c r="T31" s="43"/>
      <c r="U31" s="43"/>
    </row>
    <row r="32" spans="1:21" s="11" customFormat="1" ht="15">
      <c r="A32" s="50" t="s">
        <v>564</v>
      </c>
      <c r="B32" s="51">
        <v>118.58</v>
      </c>
      <c r="C32" s="51">
        <v>102.93</v>
      </c>
      <c r="D32" s="51">
        <v>152.31</v>
      </c>
      <c r="E32" s="51">
        <v>5.51</v>
      </c>
      <c r="F32" s="51">
        <v>0.06</v>
      </c>
      <c r="G32" s="51">
        <v>179.89</v>
      </c>
      <c r="H32" s="51">
        <v>58.69</v>
      </c>
      <c r="I32" s="51">
        <v>1.56</v>
      </c>
      <c r="J32" s="51">
        <v>0.40</v>
      </c>
      <c r="K32" s="51">
        <v>287.17</v>
      </c>
      <c r="L32" s="51">
        <v>21.33</v>
      </c>
      <c r="M32" s="51">
        <v>74</v>
      </c>
      <c r="N32" s="51">
        <v>4.5999999999999996</v>
      </c>
      <c r="O32" s="51">
        <v>0</v>
      </c>
      <c r="P32" s="51">
        <v>3.08</v>
      </c>
      <c r="Q32" s="51">
        <v>53.28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4.6100000000000003</v>
      </c>
      <c r="C34" s="28">
        <f t="shared" si="0"/>
        <v>70.840000000000003</v>
      </c>
      <c r="D34" s="28">
        <f t="shared" si="0"/>
        <v>47.219999999999999</v>
      </c>
      <c r="E34" s="28">
        <f t="shared" si="0"/>
        <v>3.7200000000000002</v>
      </c>
      <c r="F34" s="28">
        <f t="shared" si="0"/>
        <v>0.01</v>
      </c>
      <c r="G34" s="28">
        <f t="shared" si="0"/>
        <v>54.649999999999999</v>
      </c>
      <c r="H34" s="28">
        <f t="shared" si="0"/>
        <v>31.390000000000001</v>
      </c>
      <c r="I34" s="28">
        <f t="shared" si="0"/>
        <v>0.66000000000000003</v>
      </c>
      <c r="J34" s="28">
        <f t="shared" si="0"/>
        <v>0.080000000000000002</v>
      </c>
      <c r="K34" s="28">
        <f t="shared" si="0"/>
        <v>31.989999999999998</v>
      </c>
      <c r="L34" s="28">
        <f t="shared" si="0"/>
        <v>17.670000000000002</v>
      </c>
      <c r="M34" s="28">
        <f t="shared" si="0"/>
        <v>32</v>
      </c>
      <c r="N34" s="28">
        <f t="shared" si="0"/>
        <v>4.5</v>
      </c>
      <c r="O34" s="28">
        <f t="shared" si="0"/>
        <v>0</v>
      </c>
      <c r="P34" s="28">
        <f t="shared" si="0"/>
        <v>1.29</v>
      </c>
      <c r="Q34" s="28">
        <f t="shared" si="0"/>
        <v>41.630000000000003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118.58</v>
      </c>
      <c r="C35" s="29">
        <f t="shared" si="1"/>
        <v>102.93000000000001</v>
      </c>
      <c r="D35" s="29">
        <f t="shared" si="1"/>
        <v>152.31</v>
      </c>
      <c r="E35" s="29">
        <f t="shared" si="1"/>
        <v>9.3000000000000007</v>
      </c>
      <c r="F35" s="29">
        <f t="shared" si="1"/>
        <v>13.06</v>
      </c>
      <c r="G35" s="29">
        <f t="shared" si="1"/>
        <v>181.46000000000001</v>
      </c>
      <c r="H35" s="29">
        <f t="shared" si="1"/>
        <v>58.689999999999998</v>
      </c>
      <c r="I35" s="29">
        <f t="shared" si="1"/>
        <v>1.5900000000000001</v>
      </c>
      <c r="J35" s="29">
        <f t="shared" si="1"/>
        <v>0.95999999999999996</v>
      </c>
      <c r="K35" s="29">
        <f t="shared" si="1"/>
        <v>359.80000000000001</v>
      </c>
      <c r="L35" s="29">
        <f t="shared" si="1"/>
        <v>33.969999999999999</v>
      </c>
      <c r="M35" s="29">
        <f t="shared" si="1"/>
        <v>83</v>
      </c>
      <c r="N35" s="29">
        <f t="shared" si="1"/>
        <v>531.79999999999995</v>
      </c>
      <c r="O35" s="29">
        <f t="shared" si="1"/>
        <v>0</v>
      </c>
      <c r="P35" s="29">
        <f t="shared" si="1"/>
        <v>3.0800000000000001</v>
      </c>
      <c r="Q35" s="29">
        <f t="shared" si="1"/>
        <v>53.280000000000001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46.718750000000007</v>
      </c>
      <c r="C36" s="28">
        <f t="shared" si="2"/>
        <v>84.553333333333327</v>
      </c>
      <c r="D36" s="28">
        <f t="shared" si="2"/>
        <v>84.095000000000013</v>
      </c>
      <c r="E36" s="28">
        <f t="shared" si="2"/>
        <v>5.1029166666666663</v>
      </c>
      <c r="F36" s="28">
        <f t="shared" si="2"/>
        <v>2.928823529411765</v>
      </c>
      <c r="G36" s="28">
        <f t="shared" si="2"/>
        <v>95.329999999999998</v>
      </c>
      <c r="H36" s="28">
        <f t="shared" si="2"/>
        <v>40.459583333333335</v>
      </c>
      <c r="I36" s="28">
        <f t="shared" si="2"/>
        <v>0.97208333333333341</v>
      </c>
      <c r="J36" s="28">
        <f t="shared" si="2"/>
        <v>0.37874999999999998</v>
      </c>
      <c r="K36" s="28">
        <f t="shared" si="2"/>
        <v>273.05541666666664</v>
      </c>
      <c r="L36" s="28">
        <f t="shared" si="2"/>
        <v>24.632916666666674</v>
      </c>
      <c r="M36" s="28">
        <f t="shared" si="2"/>
        <v>60.833333333333336</v>
      </c>
      <c r="N36" s="28">
        <f t="shared" si="2"/>
        <v>162.24166666666665</v>
      </c>
      <c r="O36" s="28">
        <f t="shared" si="2"/>
        <v>0</v>
      </c>
      <c r="P36" s="28">
        <f t="shared" si="2"/>
        <v>1.8462500000000002</v>
      </c>
      <c r="Q36" s="28">
        <f t="shared" si="2"/>
        <v>45.957916666666669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31.06750522617256</v>
      </c>
      <c r="C37" s="28">
        <f t="shared" si="3" ref="C37:Q37">STDEV(C9:C32)</f>
        <v>9.9114442709543891</v>
      </c>
      <c r="D37" s="28">
        <f t="shared" si="3"/>
        <v>28.185639883674313</v>
      </c>
      <c r="E37" s="28">
        <f t="shared" si="3"/>
        <v>1.2630208066263255</v>
      </c>
      <c r="F37" s="28">
        <f t="shared" si="3"/>
        <v>4.2404891851544404</v>
      </c>
      <c r="G37" s="28">
        <f t="shared" si="3"/>
        <v>41.011624545073623</v>
      </c>
      <c r="H37" s="28">
        <f t="shared" si="3"/>
        <v>7.0505420569699089</v>
      </c>
      <c r="I37" s="28">
        <f t="shared" si="3"/>
        <v>0.32789154048075142</v>
      </c>
      <c r="J37" s="28">
        <f t="shared" si="3"/>
        <v>0.26878652431283445</v>
      </c>
      <c r="K37" s="28">
        <f t="shared" si="3"/>
        <v>105.6730073295906</v>
      </c>
      <c r="L37" s="28">
        <f t="shared" si="3"/>
        <v>5.7093946067303873</v>
      </c>
      <c r="M37" s="28">
        <f t="shared" si="3"/>
        <v>18.464223141846066</v>
      </c>
      <c r="N37" s="28">
        <f t="shared" si="3"/>
        <v>209.82333131069782</v>
      </c>
      <c r="O37" s="28">
        <f t="shared" si="3"/>
        <v>0</v>
      </c>
      <c r="P37" s="28">
        <f t="shared" si="3"/>
        <v>0.58592040192444583</v>
      </c>
      <c r="Q37" s="28">
        <f t="shared" si="3"/>
        <v>3.3595573973065407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COUNT(F9:F32)+7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2bfda2-1fce-4c42-896f-3a7d27dd53c3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22-01-2023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565</v>
      </c>
      <c r="B9" s="51">
        <v>110.97</v>
      </c>
      <c r="C9" s="51">
        <v>96.70</v>
      </c>
      <c r="D9" s="51">
        <v>142.78</v>
      </c>
      <c r="E9" s="51">
        <v>4.8600000000000003</v>
      </c>
      <c r="F9" s="51">
        <v>0.35</v>
      </c>
      <c r="G9" s="51">
        <v>157.56</v>
      </c>
      <c r="H9" s="51">
        <v>58.30</v>
      </c>
      <c r="I9" s="51">
        <v>1.53</v>
      </c>
      <c r="J9" s="51">
        <v>0.14000000000000001</v>
      </c>
      <c r="K9" s="51">
        <v>354.18</v>
      </c>
      <c r="L9" s="51">
        <v>21.81</v>
      </c>
      <c r="M9" s="51">
        <v>69</v>
      </c>
      <c r="N9" s="51">
        <v>5.0999999999999996</v>
      </c>
      <c r="O9" s="51">
        <v>0</v>
      </c>
      <c r="P9" s="51">
        <v>2.88</v>
      </c>
      <c r="Q9" s="51">
        <v>51.95</v>
      </c>
      <c r="R9" s="43"/>
      <c r="S9" s="43"/>
      <c r="T9" s="43"/>
      <c r="U9" s="43"/>
    </row>
    <row r="10" spans="1:21" s="11" customFormat="1" ht="15">
      <c r="A10" s="50" t="s">
        <v>566</v>
      </c>
      <c r="B10" s="51">
        <v>93.58</v>
      </c>
      <c r="C10" s="51">
        <v>92.09</v>
      </c>
      <c r="D10" s="51">
        <v>126.29</v>
      </c>
      <c r="E10" s="51">
        <v>5.0199999999999996</v>
      </c>
      <c r="F10" s="51">
        <v>0.26</v>
      </c>
      <c r="G10" s="51">
        <v>92.47</v>
      </c>
      <c r="H10" s="51">
        <v>53.80</v>
      </c>
      <c r="I10" s="51">
        <v>1.41</v>
      </c>
      <c r="J10" s="51">
        <v>0.11</v>
      </c>
      <c r="K10" s="51">
        <v>350.95</v>
      </c>
      <c r="L10" s="51">
        <v>19.30</v>
      </c>
      <c r="M10" s="51">
        <v>75</v>
      </c>
      <c r="N10" s="51">
        <v>5</v>
      </c>
      <c r="O10" s="51">
        <v>0</v>
      </c>
      <c r="P10" s="51">
        <v>2.39</v>
      </c>
      <c r="Q10" s="51">
        <v>51.15</v>
      </c>
      <c r="R10" s="43"/>
      <c r="S10" s="43"/>
      <c r="T10" s="43"/>
      <c r="U10" s="43"/>
    </row>
    <row r="11" spans="1:21" s="11" customFormat="1" ht="15">
      <c r="A11" s="50" t="s">
        <v>567</v>
      </c>
      <c r="B11" s="51">
        <v>76.89</v>
      </c>
      <c r="C11" s="51">
        <v>85.87</v>
      </c>
      <c r="D11" s="51">
        <v>109.16</v>
      </c>
      <c r="E11" s="51">
        <v>4.6500000000000004</v>
      </c>
      <c r="F11" s="51">
        <v>0.38</v>
      </c>
      <c r="G11" s="51">
        <v>61.52</v>
      </c>
      <c r="H11" s="51">
        <v>44.34</v>
      </c>
      <c r="I11" s="51">
        <v>1.20</v>
      </c>
      <c r="J11" s="51">
        <v>0.19</v>
      </c>
      <c r="K11" s="51">
        <v>353.87</v>
      </c>
      <c r="L11" s="51">
        <v>18.899999999999999</v>
      </c>
      <c r="M11" s="51">
        <v>81</v>
      </c>
      <c r="N11" s="51">
        <v>4.5999999999999996</v>
      </c>
      <c r="O11" s="51">
        <v>0</v>
      </c>
      <c r="P11" s="51">
        <v>2.09</v>
      </c>
      <c r="Q11" s="51">
        <v>50.5</v>
      </c>
      <c r="R11" s="43"/>
      <c r="S11" s="43"/>
      <c r="T11" s="43"/>
      <c r="U11" s="43"/>
    </row>
    <row r="12" spans="1:21" s="11" customFormat="1" ht="15">
      <c r="A12" s="50" t="s">
        <v>568</v>
      </c>
      <c r="B12" s="51">
        <v>60.41</v>
      </c>
      <c r="C12" s="51">
        <v>81.569999999999993</v>
      </c>
      <c r="D12" s="51">
        <v>93.87</v>
      </c>
      <c r="E12" s="51">
        <v>4.09</v>
      </c>
      <c r="F12" s="61" t="s">
        <v>14</v>
      </c>
      <c r="G12" s="51">
        <v>78.58</v>
      </c>
      <c r="H12" s="51">
        <v>40.880000000000003</v>
      </c>
      <c r="I12" s="51">
        <v>1.04</v>
      </c>
      <c r="J12" s="51">
        <v>0.19</v>
      </c>
      <c r="K12" s="51">
        <v>289.19</v>
      </c>
      <c r="L12" s="51">
        <v>18.059999999999999</v>
      </c>
      <c r="M12" s="51">
        <v>82</v>
      </c>
      <c r="N12" s="51">
        <v>4.4000000000000004</v>
      </c>
      <c r="O12" s="51">
        <v>0</v>
      </c>
      <c r="P12" s="51">
        <v>1.73</v>
      </c>
      <c r="Q12" s="51">
        <v>47.23</v>
      </c>
      <c r="R12" s="43"/>
      <c r="S12" s="43"/>
      <c r="T12" s="43"/>
      <c r="U12" s="43"/>
    </row>
    <row r="13" spans="1:21" s="11" customFormat="1" ht="15">
      <c r="A13" s="50" t="s">
        <v>569</v>
      </c>
      <c r="B13" s="51">
        <v>50.71</v>
      </c>
      <c r="C13" s="51">
        <v>76.97</v>
      </c>
      <c r="D13" s="51">
        <v>83.56</v>
      </c>
      <c r="E13" s="51">
        <v>4.1500000000000004</v>
      </c>
      <c r="F13" s="61" t="s">
        <v>14</v>
      </c>
      <c r="G13" s="51">
        <v>76.08</v>
      </c>
      <c r="H13" s="51">
        <v>39.51</v>
      </c>
      <c r="I13" s="51">
        <v>0.94</v>
      </c>
      <c r="J13" s="51">
        <v>0.10</v>
      </c>
      <c r="K13" s="51">
        <v>97.94</v>
      </c>
      <c r="L13" s="51">
        <v>18</v>
      </c>
      <c r="M13" s="51">
        <v>82</v>
      </c>
      <c r="N13" s="51">
        <v>4.5999999999999996</v>
      </c>
      <c r="O13" s="51">
        <v>0</v>
      </c>
      <c r="P13" s="51">
        <v>1.55</v>
      </c>
      <c r="Q13" s="51">
        <v>44.45</v>
      </c>
      <c r="R13" s="43"/>
      <c r="S13" s="43"/>
      <c r="T13" s="43"/>
      <c r="U13" s="43"/>
    </row>
    <row r="14" spans="1:21" s="11" customFormat="1" ht="15">
      <c r="A14" s="50" t="s">
        <v>570</v>
      </c>
      <c r="B14" s="51">
        <v>46.84</v>
      </c>
      <c r="C14" s="51">
        <v>74.20</v>
      </c>
      <c r="D14" s="51">
        <v>78.790000000000006</v>
      </c>
      <c r="E14" s="51">
        <v>4.3899999999999997</v>
      </c>
      <c r="F14" s="61" t="s">
        <v>14</v>
      </c>
      <c r="G14" s="51">
        <v>68.70</v>
      </c>
      <c r="H14" s="51">
        <v>38.979999999999997</v>
      </c>
      <c r="I14" s="51">
        <v>0.92</v>
      </c>
      <c r="J14" s="51">
        <v>0.15</v>
      </c>
      <c r="K14" s="51">
        <v>288.72000000000003</v>
      </c>
      <c r="L14" s="51">
        <v>17.91</v>
      </c>
      <c r="M14" s="51">
        <v>82</v>
      </c>
      <c r="N14" s="51">
        <v>4.5999999999999996</v>
      </c>
      <c r="O14" s="51">
        <v>0</v>
      </c>
      <c r="P14" s="51">
        <v>1.45</v>
      </c>
      <c r="Q14" s="51">
        <v>45.48</v>
      </c>
      <c r="R14" s="43"/>
      <c r="S14" s="43"/>
      <c r="T14" s="43"/>
      <c r="U14" s="43"/>
    </row>
    <row r="15" spans="1:21" s="11" customFormat="1" ht="15">
      <c r="A15" s="50" t="s">
        <v>571</v>
      </c>
      <c r="B15" s="51">
        <v>66.16</v>
      </c>
      <c r="C15" s="51">
        <v>80.83</v>
      </c>
      <c r="D15" s="51">
        <v>98.07</v>
      </c>
      <c r="E15" s="51">
        <v>4.29</v>
      </c>
      <c r="F15" s="61" t="s">
        <v>14</v>
      </c>
      <c r="G15" s="51">
        <v>94.72</v>
      </c>
      <c r="H15" s="51">
        <v>39.25</v>
      </c>
      <c r="I15" s="51">
        <v>0.88</v>
      </c>
      <c r="J15" s="51">
        <v>0.11</v>
      </c>
      <c r="K15" s="51">
        <v>326.70</v>
      </c>
      <c r="L15" s="51">
        <v>17.32</v>
      </c>
      <c r="M15" s="51">
        <v>86</v>
      </c>
      <c r="N15" s="51">
        <v>17.399999999999999</v>
      </c>
      <c r="O15" s="51">
        <v>0</v>
      </c>
      <c r="P15" s="51">
        <v>1.59</v>
      </c>
      <c r="Q15" s="51">
        <v>45.38</v>
      </c>
      <c r="R15" s="43"/>
      <c r="S15" s="43"/>
      <c r="T15" s="43"/>
      <c r="U15" s="43"/>
    </row>
    <row r="16" spans="1:21" s="11" customFormat="1" ht="15">
      <c r="A16" s="50" t="s">
        <v>572</v>
      </c>
      <c r="B16" s="51">
        <v>98.58</v>
      </c>
      <c r="C16" s="51">
        <v>93.30</v>
      </c>
      <c r="D16" s="51">
        <v>130.96</v>
      </c>
      <c r="E16" s="51">
        <v>4.66</v>
      </c>
      <c r="F16" s="51">
        <v>0.070000000000000007</v>
      </c>
      <c r="G16" s="51">
        <v>159.18</v>
      </c>
      <c r="H16" s="51">
        <v>53.59</v>
      </c>
      <c r="I16" s="51">
        <v>0.88</v>
      </c>
      <c r="J16" s="51">
        <v>0.19</v>
      </c>
      <c r="K16" s="51">
        <v>311.47000000000003</v>
      </c>
      <c r="L16" s="51">
        <v>20.79</v>
      </c>
      <c r="M16" s="51">
        <v>86</v>
      </c>
      <c r="N16" s="51">
        <v>135.5</v>
      </c>
      <c r="O16" s="51">
        <v>0</v>
      </c>
      <c r="P16" s="51">
        <v>1.92</v>
      </c>
      <c r="Q16" s="51">
        <v>45.69</v>
      </c>
      <c r="R16" s="43"/>
      <c r="S16" s="43"/>
      <c r="T16" s="43"/>
      <c r="U16" s="43"/>
    </row>
    <row r="17" spans="1:21" s="11" customFormat="1" ht="15">
      <c r="A17" s="50" t="s">
        <v>573</v>
      </c>
      <c r="B17" s="51">
        <v>101.14</v>
      </c>
      <c r="C17" s="51">
        <v>94.70</v>
      </c>
      <c r="D17" s="51">
        <v>133.79</v>
      </c>
      <c r="E17" s="51">
        <v>4.84</v>
      </c>
      <c r="F17" s="51">
        <v>0.11</v>
      </c>
      <c r="G17" s="51">
        <v>210.24</v>
      </c>
      <c r="H17" s="51">
        <v>75.209999999999994</v>
      </c>
      <c r="I17" s="51">
        <v>0.94</v>
      </c>
      <c r="J17" s="51">
        <v>0.73</v>
      </c>
      <c r="K17" s="51">
        <v>123.05</v>
      </c>
      <c r="L17" s="51">
        <v>23.95</v>
      </c>
      <c r="M17" s="51">
        <v>62</v>
      </c>
      <c r="N17" s="51">
        <v>323.39999999999998</v>
      </c>
      <c r="O17" s="51">
        <v>0</v>
      </c>
      <c r="P17" s="51">
        <v>2.08</v>
      </c>
      <c r="Q17" s="51">
        <v>48.17</v>
      </c>
      <c r="R17" s="43"/>
      <c r="S17" s="43"/>
      <c r="T17" s="43"/>
      <c r="U17" s="43"/>
    </row>
    <row r="18" spans="1:21" s="11" customFormat="1" ht="15">
      <c r="A18" s="50" t="s">
        <v>574</v>
      </c>
      <c r="B18" s="51">
        <v>88.78</v>
      </c>
      <c r="C18" s="51">
        <v>92.02</v>
      </c>
      <c r="D18" s="51">
        <v>121.63</v>
      </c>
      <c r="E18" s="51">
        <v>5.16</v>
      </c>
      <c r="F18" s="51">
        <v>0.02</v>
      </c>
      <c r="G18" s="51">
        <v>184.10</v>
      </c>
      <c r="H18" s="51">
        <v>73.760000000000005</v>
      </c>
      <c r="I18" s="51">
        <v>0.94</v>
      </c>
      <c r="J18" s="51">
        <v>0.98</v>
      </c>
      <c r="K18" s="51">
        <v>182.80</v>
      </c>
      <c r="L18" s="51">
        <v>26.95</v>
      </c>
      <c r="M18" s="51">
        <v>52</v>
      </c>
      <c r="N18" s="51">
        <v>467.70</v>
      </c>
      <c r="O18" s="51">
        <v>0</v>
      </c>
      <c r="P18" s="51">
        <v>2.0699999999999998</v>
      </c>
      <c r="Q18" s="51">
        <v>48.68</v>
      </c>
      <c r="R18" s="43"/>
      <c r="S18" s="43"/>
      <c r="T18" s="43"/>
      <c r="U18" s="43"/>
    </row>
    <row r="19" spans="1:21" s="11" customFormat="1" ht="15">
      <c r="A19" s="50" t="s">
        <v>575</v>
      </c>
      <c r="B19" s="51">
        <v>56.97</v>
      </c>
      <c r="C19" s="51">
        <v>92.32</v>
      </c>
      <c r="D19" s="51">
        <v>96.64</v>
      </c>
      <c r="E19" s="51">
        <v>4.09</v>
      </c>
      <c r="F19" s="51">
        <v>0.71</v>
      </c>
      <c r="G19" s="51">
        <v>105.56</v>
      </c>
      <c r="H19" s="51">
        <v>67.28</v>
      </c>
      <c r="I19" s="51">
        <v>0.86</v>
      </c>
      <c r="J19" s="51">
        <v>1.1599999999999999</v>
      </c>
      <c r="K19" s="51">
        <v>191.15</v>
      </c>
      <c r="L19" s="51">
        <v>28.57</v>
      </c>
      <c r="M19" s="51">
        <v>44</v>
      </c>
      <c r="N19" s="51">
        <v>540.5</v>
      </c>
      <c r="O19" s="51">
        <v>0</v>
      </c>
      <c r="P19" s="51">
        <v>1.76</v>
      </c>
      <c r="Q19" s="51">
        <v>46.29</v>
      </c>
      <c r="R19" s="43"/>
      <c r="S19" s="43"/>
      <c r="T19" s="43"/>
      <c r="U19" s="43"/>
    </row>
    <row r="20" spans="1:21" s="11" customFormat="1" ht="15">
      <c r="A20" s="50" t="s">
        <v>576</v>
      </c>
      <c r="B20" s="51">
        <v>33.76</v>
      </c>
      <c r="C20" s="51">
        <v>86.24</v>
      </c>
      <c r="D20" s="51">
        <v>74.430000000000007</v>
      </c>
      <c r="E20" s="51">
        <v>3.88</v>
      </c>
      <c r="F20" s="51">
        <v>2.0699999999999998</v>
      </c>
      <c r="G20" s="51">
        <v>62.05</v>
      </c>
      <c r="H20" s="51">
        <v>57.95</v>
      </c>
      <c r="I20" s="51">
        <v>0.76</v>
      </c>
      <c r="J20" s="51">
        <v>0.92</v>
      </c>
      <c r="K20" s="51">
        <v>174.04</v>
      </c>
      <c r="L20" s="51">
        <v>29.43</v>
      </c>
      <c r="M20" s="51">
        <v>39</v>
      </c>
      <c r="N20" s="51">
        <v>593.29999999999995</v>
      </c>
      <c r="O20" s="51">
        <v>0</v>
      </c>
      <c r="P20" s="51">
        <v>1.48</v>
      </c>
      <c r="Q20" s="51">
        <v>41.81</v>
      </c>
      <c r="R20" s="43"/>
      <c r="S20" s="43"/>
      <c r="T20" s="43"/>
      <c r="U20" s="43"/>
    </row>
    <row r="21" spans="1:21" s="11" customFormat="1" ht="15">
      <c r="A21" s="50" t="s">
        <v>577</v>
      </c>
      <c r="B21" s="51">
        <v>22.83</v>
      </c>
      <c r="C21" s="51">
        <v>78.94</v>
      </c>
      <c r="D21" s="51">
        <v>62.29</v>
      </c>
      <c r="E21" s="51">
        <v>3.53</v>
      </c>
      <c r="F21" s="51">
        <v>2.75</v>
      </c>
      <c r="G21" s="51">
        <v>50.39</v>
      </c>
      <c r="H21" s="51">
        <v>47.79</v>
      </c>
      <c r="I21" s="51">
        <v>0.74</v>
      </c>
      <c r="J21" s="51">
        <v>0.91</v>
      </c>
      <c r="K21" s="51">
        <v>359.92</v>
      </c>
      <c r="L21" s="51">
        <v>31.46</v>
      </c>
      <c r="M21" s="51">
        <v>33</v>
      </c>
      <c r="N21" s="51">
        <v>597.60</v>
      </c>
      <c r="O21" s="51">
        <v>0</v>
      </c>
      <c r="P21" s="51">
        <v>1.26</v>
      </c>
      <c r="Q21" s="51">
        <v>43.29</v>
      </c>
      <c r="R21" s="43"/>
      <c r="S21" s="43"/>
      <c r="T21" s="43"/>
      <c r="U21" s="43"/>
    </row>
    <row r="22" spans="1:21" s="11" customFormat="1" ht="15">
      <c r="A22" s="50" t="s">
        <v>578</v>
      </c>
      <c r="B22" s="51">
        <v>13.03</v>
      </c>
      <c r="C22" s="51">
        <v>80.06</v>
      </c>
      <c r="D22" s="51">
        <v>55.05</v>
      </c>
      <c r="E22" s="51">
        <v>3.57</v>
      </c>
      <c r="F22" s="51">
        <v>1.30</v>
      </c>
      <c r="G22" s="51">
        <v>39.700000000000003</v>
      </c>
      <c r="H22" s="51">
        <v>32.61</v>
      </c>
      <c r="I22" s="51">
        <v>0.71</v>
      </c>
      <c r="J22" s="51">
        <v>1.27</v>
      </c>
      <c r="K22" s="51">
        <v>174.62</v>
      </c>
      <c r="L22" s="51">
        <v>32.229999999999997</v>
      </c>
      <c r="M22" s="51">
        <v>30</v>
      </c>
      <c r="N22" s="51">
        <v>529.79999999999995</v>
      </c>
      <c r="O22" s="51">
        <v>0</v>
      </c>
      <c r="P22" s="51">
        <v>1.07</v>
      </c>
      <c r="Q22" s="51">
        <v>42.72</v>
      </c>
      <c r="R22" s="43"/>
      <c r="S22" s="43"/>
      <c r="T22" s="43"/>
      <c r="U22" s="43"/>
    </row>
    <row r="23" spans="1:21" s="11" customFormat="1" ht="15">
      <c r="A23" s="50" t="s">
        <v>579</v>
      </c>
      <c r="B23" s="51">
        <v>6.15</v>
      </c>
      <c r="C23" s="51">
        <v>69.27</v>
      </c>
      <c r="D23" s="51">
        <v>43.57</v>
      </c>
      <c r="E23" s="51">
        <v>3.46</v>
      </c>
      <c r="F23" s="51">
        <v>10.050000000000001</v>
      </c>
      <c r="G23" s="51">
        <v>37.67</v>
      </c>
      <c r="H23" s="51">
        <v>25.45</v>
      </c>
      <c r="I23" s="51">
        <v>0.65</v>
      </c>
      <c r="J23" s="51">
        <v>0.49</v>
      </c>
      <c r="K23" s="51">
        <v>83.78</v>
      </c>
      <c r="L23" s="51">
        <v>32.479999999999997</v>
      </c>
      <c r="M23" s="51">
        <v>27</v>
      </c>
      <c r="N23" s="51">
        <v>450.20</v>
      </c>
      <c r="O23" s="51">
        <v>0</v>
      </c>
      <c r="P23" s="51">
        <v>0.87</v>
      </c>
      <c r="Q23" s="51">
        <v>39.96</v>
      </c>
      <c r="R23" s="43"/>
      <c r="S23" s="43"/>
      <c r="T23" s="43"/>
      <c r="U23" s="43"/>
    </row>
    <row r="24" spans="1:21" s="11" customFormat="1" ht="15">
      <c r="A24" s="50" t="s">
        <v>580</v>
      </c>
      <c r="B24" s="51">
        <v>4.66</v>
      </c>
      <c r="C24" s="51">
        <v>64.23</v>
      </c>
      <c r="D24" s="51">
        <v>39.60</v>
      </c>
      <c r="E24" s="51">
        <v>3.64</v>
      </c>
      <c r="F24" s="51">
        <v>12.70</v>
      </c>
      <c r="G24" s="51">
        <v>37.590000000000003</v>
      </c>
      <c r="H24" s="51">
        <v>21.87</v>
      </c>
      <c r="I24" s="51">
        <v>0.61</v>
      </c>
      <c r="J24" s="51">
        <v>0.56999999999999995</v>
      </c>
      <c r="K24" s="51">
        <v>202.17</v>
      </c>
      <c r="L24" s="51">
        <v>30.78</v>
      </c>
      <c r="M24" s="51">
        <v>28</v>
      </c>
      <c r="N24" s="51">
        <v>299.30</v>
      </c>
      <c r="O24" s="51">
        <v>0</v>
      </c>
      <c r="P24" s="51">
        <v>0.79</v>
      </c>
      <c r="Q24" s="51">
        <v>39.10</v>
      </c>
      <c r="R24" s="43"/>
      <c r="S24" s="43"/>
      <c r="T24" s="43"/>
      <c r="U24" s="43"/>
    </row>
    <row r="25" spans="1:21" s="11" customFormat="1" ht="15">
      <c r="A25" s="50" t="s">
        <v>581</v>
      </c>
      <c r="B25" s="51">
        <v>3.53</v>
      </c>
      <c r="C25" s="51">
        <v>64.45</v>
      </c>
      <c r="D25" s="51">
        <v>38.479999999999997</v>
      </c>
      <c r="E25" s="51">
        <v>4.43</v>
      </c>
      <c r="F25" s="51">
        <v>4.55</v>
      </c>
      <c r="G25" s="51">
        <v>36.369999999999997</v>
      </c>
      <c r="H25" s="51">
        <v>17.57</v>
      </c>
      <c r="I25" s="51">
        <v>0.63</v>
      </c>
      <c r="J25" s="51">
        <v>0.51</v>
      </c>
      <c r="K25" s="51">
        <v>186.92</v>
      </c>
      <c r="L25" s="51">
        <v>29.19</v>
      </c>
      <c r="M25" s="51">
        <v>30</v>
      </c>
      <c r="N25" s="51">
        <v>166.60</v>
      </c>
      <c r="O25" s="51">
        <v>0</v>
      </c>
      <c r="P25" s="51">
        <v>0.73</v>
      </c>
      <c r="Q25" s="51">
        <v>41.60</v>
      </c>
      <c r="R25" s="43"/>
      <c r="S25" s="43"/>
      <c r="T25" s="43"/>
      <c r="U25" s="43"/>
    </row>
    <row r="26" spans="1:21" s="11" customFormat="1" ht="15">
      <c r="A26" s="50" t="s">
        <v>582</v>
      </c>
      <c r="B26" s="51">
        <v>18.70</v>
      </c>
      <c r="C26" s="51">
        <v>84.16</v>
      </c>
      <c r="D26" s="51">
        <v>61.86</v>
      </c>
      <c r="E26" s="51">
        <v>4.2300000000000004</v>
      </c>
      <c r="F26" s="51">
        <v>3.91</v>
      </c>
      <c r="G26" s="51">
        <v>36.08</v>
      </c>
      <c r="H26" s="51">
        <v>16.28</v>
      </c>
      <c r="I26" s="51">
        <v>0.61</v>
      </c>
      <c r="J26" s="51">
        <v>0.23</v>
      </c>
      <c r="K26" s="51">
        <v>353.94</v>
      </c>
      <c r="L26" s="51">
        <v>28.14</v>
      </c>
      <c r="M26" s="51">
        <v>44</v>
      </c>
      <c r="N26" s="51">
        <v>27.70</v>
      </c>
      <c r="O26" s="51">
        <v>0</v>
      </c>
      <c r="P26" s="51">
        <v>0.90</v>
      </c>
      <c r="Q26" s="51">
        <v>41.38</v>
      </c>
      <c r="R26" s="43"/>
      <c r="S26" s="43"/>
      <c r="T26" s="43"/>
      <c r="U26" s="43"/>
    </row>
    <row r="27" spans="1:21" s="11" customFormat="1" ht="15">
      <c r="A27" s="50" t="s">
        <v>583</v>
      </c>
      <c r="B27" s="51">
        <v>48.42</v>
      </c>
      <c r="C27" s="51">
        <v>88.53</v>
      </c>
      <c r="D27" s="51">
        <v>88.11</v>
      </c>
      <c r="E27" s="51">
        <v>4.4000000000000004</v>
      </c>
      <c r="F27" s="51">
        <v>0.20</v>
      </c>
      <c r="G27" s="51">
        <v>66.72</v>
      </c>
      <c r="H27" s="51">
        <v>24.96</v>
      </c>
      <c r="I27" s="51">
        <v>0.75</v>
      </c>
      <c r="J27" s="51">
        <v>0.17</v>
      </c>
      <c r="K27" s="51">
        <v>78.569999999999993</v>
      </c>
      <c r="L27" s="51">
        <v>24.38</v>
      </c>
      <c r="M27" s="51">
        <v>55</v>
      </c>
      <c r="N27" s="51">
        <v>4.5999999999999996</v>
      </c>
      <c r="O27" s="51">
        <v>0</v>
      </c>
      <c r="P27" s="51">
        <v>1.70</v>
      </c>
      <c r="Q27" s="51">
        <v>39.99</v>
      </c>
      <c r="R27" s="43"/>
      <c r="S27" s="43"/>
      <c r="T27" s="43"/>
      <c r="U27" s="43"/>
    </row>
    <row r="28" spans="1:21" s="11" customFormat="1" ht="15">
      <c r="A28" s="50" t="s">
        <v>584</v>
      </c>
      <c r="B28" s="51">
        <v>41.76</v>
      </c>
      <c r="C28" s="51">
        <v>84.75</v>
      </c>
      <c r="D28" s="51">
        <v>80.67</v>
      </c>
      <c r="E28" s="51">
        <v>5</v>
      </c>
      <c r="F28" s="51">
        <v>0.27</v>
      </c>
      <c r="G28" s="51">
        <v>147.66999999999999</v>
      </c>
      <c r="H28" s="51">
        <v>35.729999999999997</v>
      </c>
      <c r="I28" s="51">
        <v>0.86</v>
      </c>
      <c r="J28" s="51">
        <v>0.17</v>
      </c>
      <c r="K28" s="51">
        <v>326.57</v>
      </c>
      <c r="L28" s="51">
        <v>22.68</v>
      </c>
      <c r="M28" s="51">
        <v>59</v>
      </c>
      <c r="N28" s="51">
        <v>4.5999999999999996</v>
      </c>
      <c r="O28" s="51">
        <v>0</v>
      </c>
      <c r="P28" s="51">
        <v>1.62</v>
      </c>
      <c r="Q28" s="51">
        <v>46.82</v>
      </c>
      <c r="R28" s="43"/>
      <c r="S28" s="43"/>
      <c r="T28" s="43"/>
      <c r="U28" s="43"/>
    </row>
    <row r="29" spans="1:21" s="11" customFormat="1" ht="15">
      <c r="A29" s="50" t="s">
        <v>585</v>
      </c>
      <c r="B29" s="51">
        <v>72.989999999999995</v>
      </c>
      <c r="C29" s="51">
        <v>94.03</v>
      </c>
      <c r="D29" s="51">
        <v>110.84</v>
      </c>
      <c r="E29" s="51">
        <v>4.59</v>
      </c>
      <c r="F29" s="61" t="s">
        <v>14</v>
      </c>
      <c r="G29" s="51">
        <v>154.59</v>
      </c>
      <c r="H29" s="51">
        <v>40.49</v>
      </c>
      <c r="I29" s="51">
        <v>1.01</v>
      </c>
      <c r="J29" s="51">
        <v>0.08</v>
      </c>
      <c r="K29" s="51">
        <v>354.42</v>
      </c>
      <c r="L29" s="51">
        <v>21.60</v>
      </c>
      <c r="M29" s="51">
        <v>63</v>
      </c>
      <c r="N29" s="51">
        <v>4.5999999999999996</v>
      </c>
      <c r="O29" s="51">
        <v>0</v>
      </c>
      <c r="P29" s="51">
        <v>2.27</v>
      </c>
      <c r="Q29" s="51">
        <v>48.56</v>
      </c>
      <c r="R29" s="43"/>
      <c r="S29" s="43"/>
      <c r="T29" s="43"/>
      <c r="U29" s="43"/>
    </row>
    <row r="30" spans="1:21" s="11" customFormat="1" ht="15">
      <c r="A30" s="50" t="s">
        <v>586</v>
      </c>
      <c r="B30" s="51">
        <v>91.80</v>
      </c>
      <c r="C30" s="51">
        <v>103.03</v>
      </c>
      <c r="D30" s="51">
        <v>129.83000000000001</v>
      </c>
      <c r="E30" s="51">
        <v>5.05</v>
      </c>
      <c r="F30" s="61" t="s">
        <v>14</v>
      </c>
      <c r="G30" s="51">
        <v>157.44999999999999</v>
      </c>
      <c r="H30" s="51">
        <v>47.45</v>
      </c>
      <c r="I30" s="51">
        <v>1.39</v>
      </c>
      <c r="J30" s="51">
        <v>0.11</v>
      </c>
      <c r="K30" s="51">
        <v>359.08</v>
      </c>
      <c r="L30" s="51">
        <v>21.64</v>
      </c>
      <c r="M30" s="51">
        <v>57</v>
      </c>
      <c r="N30" s="51">
        <v>4.20</v>
      </c>
      <c r="O30" s="51">
        <v>0</v>
      </c>
      <c r="P30" s="51">
        <v>2.68</v>
      </c>
      <c r="Q30" s="51">
        <v>48.75</v>
      </c>
      <c r="R30" s="43"/>
      <c r="S30" s="43"/>
      <c r="T30" s="43"/>
      <c r="U30" s="43"/>
    </row>
    <row r="31" spans="1:21" s="11" customFormat="1" ht="15">
      <c r="A31" s="50" t="s">
        <v>587</v>
      </c>
      <c r="B31" s="51">
        <v>88.77</v>
      </c>
      <c r="C31" s="51">
        <v>97.82</v>
      </c>
      <c r="D31" s="51">
        <v>125.59</v>
      </c>
      <c r="E31" s="51">
        <v>4.87</v>
      </c>
      <c r="F31" s="51">
        <v>0.12</v>
      </c>
      <c r="G31" s="51">
        <v>145.76</v>
      </c>
      <c r="H31" s="51">
        <v>49.52</v>
      </c>
      <c r="I31" s="51">
        <v>1.43</v>
      </c>
      <c r="J31" s="51">
        <v>0.24</v>
      </c>
      <c r="K31" s="51">
        <v>319.95999999999998</v>
      </c>
      <c r="L31" s="51">
        <v>21.73</v>
      </c>
      <c r="M31" s="51">
        <v>59</v>
      </c>
      <c r="N31" s="51">
        <v>4.70</v>
      </c>
      <c r="O31" s="51">
        <v>0</v>
      </c>
      <c r="P31" s="51">
        <v>2.69</v>
      </c>
      <c r="Q31" s="51">
        <v>48.21</v>
      </c>
      <c r="R31" s="43"/>
      <c r="S31" s="43"/>
      <c r="T31" s="43"/>
      <c r="U31" s="43"/>
    </row>
    <row r="32" spans="1:21" s="11" customFormat="1" ht="15">
      <c r="A32" s="50" t="s">
        <v>588</v>
      </c>
      <c r="B32" s="51">
        <v>102.84</v>
      </c>
      <c r="C32" s="51">
        <v>95.57</v>
      </c>
      <c r="D32" s="51">
        <v>135.63</v>
      </c>
      <c r="E32" s="51">
        <v>4.92</v>
      </c>
      <c r="F32" s="51">
        <v>0.08</v>
      </c>
      <c r="G32" s="51">
        <v>117.28</v>
      </c>
      <c r="H32" s="51">
        <v>49.02</v>
      </c>
      <c r="I32" s="51">
        <v>1.45</v>
      </c>
      <c r="J32" s="51">
        <v>0.13</v>
      </c>
      <c r="K32" s="51">
        <v>339</v>
      </c>
      <c r="L32" s="51">
        <v>20.34</v>
      </c>
      <c r="M32" s="51">
        <v>63</v>
      </c>
      <c r="N32" s="51">
        <v>4.5999999999999996</v>
      </c>
      <c r="O32" s="51">
        <v>0</v>
      </c>
      <c r="P32" s="51">
        <v>2.76</v>
      </c>
      <c r="Q32" s="51">
        <v>50.81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3.5299999999999998</v>
      </c>
      <c r="C34" s="28">
        <f t="shared" si="0"/>
        <v>64.230000000000004</v>
      </c>
      <c r="D34" s="28">
        <f t="shared" si="0"/>
        <v>38.479999999999997</v>
      </c>
      <c r="E34" s="28">
        <f t="shared" si="0"/>
        <v>3.46</v>
      </c>
      <c r="F34" s="28">
        <f t="shared" si="0"/>
        <v>0.02</v>
      </c>
      <c r="G34" s="28">
        <f t="shared" si="0"/>
        <v>36.079999999999998</v>
      </c>
      <c r="H34" s="28">
        <f t="shared" si="0"/>
        <v>16.280000000000001</v>
      </c>
      <c r="I34" s="28">
        <f t="shared" si="0"/>
        <v>0.60999999999999999</v>
      </c>
      <c r="J34" s="28">
        <f t="shared" si="0"/>
        <v>0.080000000000000002</v>
      </c>
      <c r="K34" s="28">
        <f t="shared" si="0"/>
        <v>78.569999999999993</v>
      </c>
      <c r="L34" s="28">
        <f t="shared" si="0"/>
        <v>17.32</v>
      </c>
      <c r="M34" s="28">
        <f t="shared" si="0"/>
        <v>27</v>
      </c>
      <c r="N34" s="28">
        <f t="shared" si="0"/>
        <v>4.2000000000000002</v>
      </c>
      <c r="O34" s="28">
        <f t="shared" si="0"/>
        <v>0</v>
      </c>
      <c r="P34" s="28">
        <f t="shared" si="0"/>
        <v>0.72999999999999998</v>
      </c>
      <c r="Q34" s="28">
        <f t="shared" si="0"/>
        <v>39.100000000000001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110.97</v>
      </c>
      <c r="C35" s="29">
        <f t="shared" si="1"/>
        <v>103.03</v>
      </c>
      <c r="D35" s="29">
        <f t="shared" si="1"/>
        <v>142.78</v>
      </c>
      <c r="E35" s="29">
        <f t="shared" si="1"/>
        <v>5.1600000000000001</v>
      </c>
      <c r="F35" s="29">
        <f t="shared" si="1"/>
        <v>12.699999999999999</v>
      </c>
      <c r="G35" s="29">
        <f t="shared" si="1"/>
        <v>210.24000000000001</v>
      </c>
      <c r="H35" s="29">
        <f t="shared" si="1"/>
        <v>75.209999999999994</v>
      </c>
      <c r="I35" s="29">
        <f t="shared" si="1"/>
        <v>1.53</v>
      </c>
      <c r="J35" s="29">
        <f t="shared" si="1"/>
        <v>1.27</v>
      </c>
      <c r="K35" s="29">
        <f t="shared" si="1"/>
        <v>359.92000000000002</v>
      </c>
      <c r="L35" s="29">
        <f t="shared" si="1"/>
        <v>32.479999999999997</v>
      </c>
      <c r="M35" s="29">
        <f t="shared" si="1"/>
        <v>86</v>
      </c>
      <c r="N35" s="29">
        <f t="shared" si="1"/>
        <v>597.60000000000002</v>
      </c>
      <c r="O35" s="29">
        <f t="shared" si="1"/>
        <v>0</v>
      </c>
      <c r="P35" s="29">
        <f t="shared" si="1"/>
        <v>2.8799999999999999</v>
      </c>
      <c r="Q35" s="29">
        <f t="shared" si="1"/>
        <v>51.950000000000003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58.344583333333325</v>
      </c>
      <c r="C36" s="28">
        <f t="shared" si="2"/>
        <v>85.485416666666666</v>
      </c>
      <c r="D36" s="28">
        <f t="shared" si="2"/>
        <v>94.228749999999991</v>
      </c>
      <c r="E36" s="28">
        <f t="shared" si="2"/>
        <v>4.4070833333333344</v>
      </c>
      <c r="F36" s="28">
        <f t="shared" si="2"/>
        <v>2.2166666666666668</v>
      </c>
      <c r="G36" s="28">
        <f t="shared" si="2"/>
        <v>99.084583333333342</v>
      </c>
      <c r="H36" s="28">
        <f t="shared" si="2"/>
        <v>43.816250000000004</v>
      </c>
      <c r="I36" s="28">
        <f t="shared" si="2"/>
        <v>0.96416666666666651</v>
      </c>
      <c r="J36" s="28">
        <f t="shared" si="2"/>
        <v>0.41041666666666671</v>
      </c>
      <c r="K36" s="28">
        <f t="shared" si="2"/>
        <v>257.62541666666669</v>
      </c>
      <c r="L36" s="28">
        <f t="shared" si="2"/>
        <v>24.068333333333332</v>
      </c>
      <c r="M36" s="28">
        <f t="shared" si="2"/>
        <v>57.833333333333336</v>
      </c>
      <c r="N36" s="28">
        <f t="shared" si="2"/>
        <v>175.19166666666672</v>
      </c>
      <c r="O36" s="28">
        <f t="shared" si="2"/>
        <v>0</v>
      </c>
      <c r="P36" s="28">
        <f t="shared" si="2"/>
        <v>1.7637499999999999</v>
      </c>
      <c r="Q36" s="28">
        <f t="shared" si="2"/>
        <v>45.748750000000001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34.70623136370493</v>
      </c>
      <c r="C37" s="28">
        <f t="shared" si="3" ref="C37:Q37">STDEV(C9:C32)</f>
        <v>10.463390829216259</v>
      </c>
      <c r="D37" s="28">
        <f t="shared" si="3"/>
        <v>32.811477884701617</v>
      </c>
      <c r="E37" s="28">
        <f t="shared" si="3"/>
        <v>0.52253961086938139</v>
      </c>
      <c r="F37" s="28">
        <f t="shared" si="3"/>
        <v>3.6328986967952286</v>
      </c>
      <c r="G37" s="28">
        <f t="shared" si="3"/>
        <v>53.215320119971224</v>
      </c>
      <c r="H37" s="28">
        <f t="shared" si="3"/>
        <v>16.180275381248713</v>
      </c>
      <c r="I37" s="28">
        <f t="shared" si="3"/>
        <v>0.28892479338382127</v>
      </c>
      <c r="J37" s="28">
        <f t="shared" si="3"/>
        <v>0.37861853197330836</v>
      </c>
      <c r="K37" s="28">
        <f t="shared" si="3"/>
        <v>99.881354006039132</v>
      </c>
      <c r="L37" s="28">
        <f t="shared" si="3"/>
        <v>5.0744926211709824</v>
      </c>
      <c r="M37" s="28">
        <f t="shared" si="3"/>
        <v>19.951390202552115</v>
      </c>
      <c r="N37" s="28">
        <f t="shared" si="3"/>
        <v>229.21259529218651</v>
      </c>
      <c r="O37" s="28">
        <f t="shared" si="3"/>
        <v>0</v>
      </c>
      <c r="P37" s="28">
        <f t="shared" si="3"/>
        <v>0.64222989585539769</v>
      </c>
      <c r="Q37" s="28">
        <f t="shared" si="3"/>
        <v>3.826026787446851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COUNT(F9:F32)+6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8feb3b8-baf6-493b-9a6d-93997b89e7ca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23-01-2023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589</v>
      </c>
      <c r="B9" s="51">
        <v>104.87</v>
      </c>
      <c r="C9" s="51">
        <v>96.52</v>
      </c>
      <c r="D9" s="51">
        <v>137.79</v>
      </c>
      <c r="E9" s="51">
        <v>3.96</v>
      </c>
      <c r="F9" s="51">
        <v>0.01</v>
      </c>
      <c r="G9" s="51">
        <v>149.44</v>
      </c>
      <c r="H9" s="51">
        <v>47.63</v>
      </c>
      <c r="I9" s="51">
        <v>1.45</v>
      </c>
      <c r="J9" s="51">
        <v>0.14000000000000001</v>
      </c>
      <c r="K9" s="51">
        <v>350.75</v>
      </c>
      <c r="L9" s="51">
        <v>20.13</v>
      </c>
      <c r="M9" s="51">
        <v>63</v>
      </c>
      <c r="N9" s="51">
        <v>4.70</v>
      </c>
      <c r="O9" s="51">
        <v>0</v>
      </c>
      <c r="P9" s="51">
        <v>2.69</v>
      </c>
      <c r="Q9" s="51">
        <v>50.02</v>
      </c>
      <c r="R9" s="43"/>
      <c r="S9" s="43"/>
      <c r="T9" s="43"/>
      <c r="U9" s="43"/>
    </row>
    <row r="10" spans="1:21" s="11" customFormat="1" ht="15">
      <c r="A10" s="50" t="s">
        <v>590</v>
      </c>
      <c r="B10" s="51">
        <v>89.56</v>
      </c>
      <c r="C10" s="51">
        <v>89.86</v>
      </c>
      <c r="D10" s="51">
        <v>121.80</v>
      </c>
      <c r="E10" s="51">
        <v>4.12</v>
      </c>
      <c r="F10" s="51">
        <v>0.01</v>
      </c>
      <c r="G10" s="51">
        <v>129.78</v>
      </c>
      <c r="H10" s="51">
        <v>45.95</v>
      </c>
      <c r="I10" s="51">
        <v>1.35</v>
      </c>
      <c r="J10" s="51">
        <v>0.12</v>
      </c>
      <c r="K10" s="51">
        <v>318.18</v>
      </c>
      <c r="L10" s="51">
        <v>19.57</v>
      </c>
      <c r="M10" s="51">
        <v>66</v>
      </c>
      <c r="N10" s="51">
        <v>4.5</v>
      </c>
      <c r="O10" s="51">
        <v>0</v>
      </c>
      <c r="P10" s="51">
        <v>2.23</v>
      </c>
      <c r="Q10" s="51">
        <v>47.14</v>
      </c>
      <c r="R10" s="43"/>
      <c r="S10" s="43"/>
      <c r="T10" s="43"/>
      <c r="U10" s="43"/>
    </row>
    <row r="11" spans="1:21" s="11" customFormat="1" ht="15">
      <c r="A11" s="50" t="s">
        <v>591</v>
      </c>
      <c r="B11" s="51">
        <v>77.52</v>
      </c>
      <c r="C11" s="51">
        <v>85.54</v>
      </c>
      <c r="D11" s="51">
        <v>109.79</v>
      </c>
      <c r="E11" s="51">
        <v>4</v>
      </c>
      <c r="F11" s="51">
        <v>0.01</v>
      </c>
      <c r="G11" s="51">
        <v>78.53</v>
      </c>
      <c r="H11" s="51">
        <v>42.02</v>
      </c>
      <c r="I11" s="51">
        <v>1.1399999999999999</v>
      </c>
      <c r="J11" s="51">
        <v>0.17</v>
      </c>
      <c r="K11" s="51">
        <v>341.71</v>
      </c>
      <c r="L11" s="51">
        <v>18.54</v>
      </c>
      <c r="M11" s="51">
        <v>73</v>
      </c>
      <c r="N11" s="51">
        <v>4.5999999999999996</v>
      </c>
      <c r="O11" s="51">
        <v>0</v>
      </c>
      <c r="P11" s="51">
        <v>2</v>
      </c>
      <c r="Q11" s="51">
        <v>46.35</v>
      </c>
      <c r="R11" s="43"/>
      <c r="S11" s="43"/>
      <c r="T11" s="43"/>
      <c r="U11" s="43"/>
    </row>
    <row r="12" spans="1:21" s="11" customFormat="1" ht="15">
      <c r="A12" s="50" t="s">
        <v>592</v>
      </c>
      <c r="B12" s="51">
        <v>68.180000000000007</v>
      </c>
      <c r="C12" s="51">
        <v>80.78</v>
      </c>
      <c r="D12" s="51">
        <v>99.67</v>
      </c>
      <c r="E12" s="51">
        <v>3.81</v>
      </c>
      <c r="F12" s="53" t="s">
        <v>8</v>
      </c>
      <c r="G12" s="51">
        <v>74.39</v>
      </c>
      <c r="H12" s="51">
        <v>38.29</v>
      </c>
      <c r="I12" s="51">
        <v>1.1299999999999999</v>
      </c>
      <c r="J12" s="51">
        <v>0.21</v>
      </c>
      <c r="K12" s="51">
        <v>358.25</v>
      </c>
      <c r="L12" s="51">
        <v>17.579999999999998</v>
      </c>
      <c r="M12" s="51">
        <v>77</v>
      </c>
      <c r="N12" s="51">
        <v>4.5999999999999996</v>
      </c>
      <c r="O12" s="51">
        <v>0</v>
      </c>
      <c r="P12" s="51">
        <v>1.74</v>
      </c>
      <c r="Q12" s="51">
        <v>46.05</v>
      </c>
      <c r="R12" s="43"/>
      <c r="S12" s="43"/>
      <c r="T12" s="43"/>
      <c r="U12" s="43"/>
    </row>
    <row r="13" spans="1:21" s="11" customFormat="1" ht="15">
      <c r="A13" s="50" t="s">
        <v>593</v>
      </c>
      <c r="B13" s="51">
        <v>59.43</v>
      </c>
      <c r="C13" s="51">
        <v>76.489999999999995</v>
      </c>
      <c r="D13" s="51">
        <v>90.29</v>
      </c>
      <c r="E13" s="51">
        <v>3.52</v>
      </c>
      <c r="F13" s="51">
        <v>0.02</v>
      </c>
      <c r="G13" s="51">
        <v>76.62</v>
      </c>
      <c r="H13" s="51">
        <v>36.75</v>
      </c>
      <c r="I13" s="51">
        <v>0.99</v>
      </c>
      <c r="J13" s="51">
        <v>0.15</v>
      </c>
      <c r="K13" s="51">
        <v>348.82</v>
      </c>
      <c r="L13" s="51">
        <v>18.04</v>
      </c>
      <c r="M13" s="51">
        <v>77</v>
      </c>
      <c r="N13" s="51">
        <v>4.70</v>
      </c>
      <c r="O13" s="51">
        <v>0</v>
      </c>
      <c r="P13" s="51">
        <v>1.53</v>
      </c>
      <c r="Q13" s="51">
        <v>43.62</v>
      </c>
      <c r="R13" s="43"/>
      <c r="S13" s="43"/>
      <c r="T13" s="43"/>
      <c r="U13" s="43"/>
    </row>
    <row r="14" spans="1:21" s="11" customFormat="1" ht="15">
      <c r="A14" s="50" t="s">
        <v>594</v>
      </c>
      <c r="B14" s="51">
        <v>53.07</v>
      </c>
      <c r="C14" s="51">
        <v>74.72</v>
      </c>
      <c r="D14" s="51">
        <v>84.21</v>
      </c>
      <c r="E14" s="51">
        <v>3.29</v>
      </c>
      <c r="F14" s="51">
        <v>0.02</v>
      </c>
      <c r="G14" s="51">
        <v>73.400000000000006</v>
      </c>
      <c r="H14" s="51">
        <v>34.89</v>
      </c>
      <c r="I14" s="51">
        <v>0.92</v>
      </c>
      <c r="J14" s="51">
        <v>0.13</v>
      </c>
      <c r="K14" s="51">
        <v>333.37</v>
      </c>
      <c r="L14" s="51">
        <v>16.66</v>
      </c>
      <c r="M14" s="51">
        <v>78</v>
      </c>
      <c r="N14" s="51">
        <v>4.5</v>
      </c>
      <c r="O14" s="51">
        <v>0</v>
      </c>
      <c r="P14" s="51">
        <v>1.39</v>
      </c>
      <c r="Q14" s="51">
        <v>40.76</v>
      </c>
      <c r="R14" s="43"/>
      <c r="S14" s="43"/>
      <c r="T14" s="43"/>
      <c r="U14" s="43"/>
    </row>
    <row r="15" spans="1:21" s="11" customFormat="1" ht="15">
      <c r="A15" s="50" t="s">
        <v>595</v>
      </c>
      <c r="B15" s="51">
        <v>74.430000000000007</v>
      </c>
      <c r="C15" s="51">
        <v>79.319999999999993</v>
      </c>
      <c r="D15" s="51">
        <v>103.88</v>
      </c>
      <c r="E15" s="51">
        <v>3.96</v>
      </c>
      <c r="F15" s="53" t="s">
        <v>8</v>
      </c>
      <c r="G15" s="51">
        <v>74.48</v>
      </c>
      <c r="H15" s="51">
        <v>36.56</v>
      </c>
      <c r="I15" s="51">
        <v>0.87</v>
      </c>
      <c r="J15" s="51">
        <v>0.15</v>
      </c>
      <c r="K15" s="51">
        <v>344.27</v>
      </c>
      <c r="L15" s="51">
        <v>16.64</v>
      </c>
      <c r="M15" s="51">
        <v>82</v>
      </c>
      <c r="N15" s="51">
        <v>17.899999999999999</v>
      </c>
      <c r="O15" s="51">
        <v>0</v>
      </c>
      <c r="P15" s="51">
        <v>1.46</v>
      </c>
      <c r="Q15" s="51">
        <v>43.81</v>
      </c>
      <c r="R15" s="43"/>
      <c r="S15" s="43"/>
      <c r="T15" s="43"/>
      <c r="U15" s="43"/>
    </row>
    <row r="16" spans="1:21" s="11" customFormat="1" ht="15">
      <c r="A16" s="50" t="s">
        <v>596</v>
      </c>
      <c r="B16" s="51">
        <v>76.69</v>
      </c>
      <c r="C16" s="51">
        <v>82.02</v>
      </c>
      <c r="D16" s="51">
        <v>106.24</v>
      </c>
      <c r="E16" s="51">
        <v>3.82</v>
      </c>
      <c r="F16" s="51">
        <v>0.01</v>
      </c>
      <c r="G16" s="51">
        <v>117.38</v>
      </c>
      <c r="H16" s="51">
        <v>39.299999999999997</v>
      </c>
      <c r="I16" s="51">
        <v>0.88</v>
      </c>
      <c r="J16" s="51">
        <v>0.34</v>
      </c>
      <c r="K16" s="51">
        <v>104.17</v>
      </c>
      <c r="L16" s="51">
        <v>20.07</v>
      </c>
      <c r="M16" s="51">
        <v>73</v>
      </c>
      <c r="N16" s="51">
        <v>155.30000000000001</v>
      </c>
      <c r="O16" s="51">
        <v>0</v>
      </c>
      <c r="P16" s="51">
        <v>1.57</v>
      </c>
      <c r="Q16" s="51">
        <v>43.78</v>
      </c>
      <c r="R16" s="43"/>
      <c r="S16" s="43"/>
      <c r="T16" s="43"/>
      <c r="U16" s="43"/>
    </row>
    <row r="17" spans="1:21" s="11" customFormat="1" ht="15">
      <c r="A17" s="50" t="s">
        <v>597</v>
      </c>
      <c r="B17" s="51">
        <v>73.209999999999994</v>
      </c>
      <c r="C17" s="51">
        <v>81.19</v>
      </c>
      <c r="D17" s="51">
        <v>103.80</v>
      </c>
      <c r="E17" s="51">
        <v>3.75</v>
      </c>
      <c r="F17" s="51">
        <v>0.16</v>
      </c>
      <c r="G17" s="51">
        <v>111.64</v>
      </c>
      <c r="H17" s="51">
        <v>42.47</v>
      </c>
      <c r="I17" s="51">
        <v>0.86</v>
      </c>
      <c r="J17" s="51">
        <v>1.07</v>
      </c>
      <c r="K17" s="51">
        <v>114.97</v>
      </c>
      <c r="L17" s="51">
        <v>22.12</v>
      </c>
      <c r="M17" s="51">
        <v>61</v>
      </c>
      <c r="N17" s="51">
        <v>348</v>
      </c>
      <c r="O17" s="51">
        <v>0</v>
      </c>
      <c r="P17" s="51">
        <v>1.56</v>
      </c>
      <c r="Q17" s="51">
        <v>42.43</v>
      </c>
      <c r="R17" s="43"/>
      <c r="S17" s="43"/>
      <c r="T17" s="43"/>
      <c r="U17" s="43"/>
    </row>
    <row r="18" spans="1:21" s="11" customFormat="1" ht="15">
      <c r="A18" s="50" t="s">
        <v>598</v>
      </c>
      <c r="B18" s="51">
        <v>62.65</v>
      </c>
      <c r="C18" s="51">
        <v>80.31</v>
      </c>
      <c r="D18" s="51">
        <v>94.73</v>
      </c>
      <c r="E18" s="51">
        <v>3.96</v>
      </c>
      <c r="F18" s="51">
        <v>0.38</v>
      </c>
      <c r="G18" s="51">
        <v>88.99</v>
      </c>
      <c r="H18" s="51">
        <v>41.30</v>
      </c>
      <c r="I18" s="51">
        <v>0.86</v>
      </c>
      <c r="J18" s="51">
        <v>0.91</v>
      </c>
      <c r="K18" s="51">
        <v>180.40</v>
      </c>
      <c r="L18" s="51">
        <v>25.36</v>
      </c>
      <c r="M18" s="51">
        <v>56</v>
      </c>
      <c r="N18" s="51">
        <v>484.80</v>
      </c>
      <c r="O18" s="51">
        <v>0</v>
      </c>
      <c r="P18" s="51">
        <v>1.46</v>
      </c>
      <c r="Q18" s="51">
        <v>42.49</v>
      </c>
      <c r="R18" s="43"/>
      <c r="S18" s="43"/>
      <c r="T18" s="43"/>
      <c r="U18" s="43"/>
    </row>
    <row r="19" spans="1:21" s="11" customFormat="1" ht="15">
      <c r="A19" s="50" t="s">
        <v>599</v>
      </c>
      <c r="B19" s="51">
        <v>45.58</v>
      </c>
      <c r="C19" s="51">
        <v>79.84</v>
      </c>
      <c r="D19" s="51">
        <v>80.349999999999994</v>
      </c>
      <c r="E19" s="51">
        <v>3.84</v>
      </c>
      <c r="F19" s="51">
        <v>2.04</v>
      </c>
      <c r="G19" s="51">
        <v>63.65</v>
      </c>
      <c r="H19" s="51">
        <v>37.299999999999997</v>
      </c>
      <c r="I19" s="51">
        <v>0.82</v>
      </c>
      <c r="J19" s="51">
        <v>0.83</v>
      </c>
      <c r="K19" s="51">
        <v>190.14</v>
      </c>
      <c r="L19" s="51">
        <v>28</v>
      </c>
      <c r="M19" s="51">
        <v>48</v>
      </c>
      <c r="N19" s="51">
        <v>561.10</v>
      </c>
      <c r="O19" s="51">
        <v>0</v>
      </c>
      <c r="P19" s="51">
        <v>1.30</v>
      </c>
      <c r="Q19" s="51">
        <v>43.80</v>
      </c>
      <c r="R19" s="43"/>
      <c r="S19" s="43"/>
      <c r="T19" s="43"/>
      <c r="U19" s="43"/>
    </row>
    <row r="20" spans="1:21" s="11" customFormat="1" ht="15">
      <c r="A20" s="50" t="s">
        <v>600</v>
      </c>
      <c r="B20" s="51">
        <v>5.41</v>
      </c>
      <c r="C20" s="51">
        <v>68.78</v>
      </c>
      <c r="D20" s="51">
        <v>42.71</v>
      </c>
      <c r="E20" s="51">
        <v>2.85</v>
      </c>
      <c r="F20" s="51">
        <v>8.36</v>
      </c>
      <c r="G20" s="51">
        <v>51.68</v>
      </c>
      <c r="H20" s="51">
        <v>33.44</v>
      </c>
      <c r="I20" s="51">
        <v>0.62</v>
      </c>
      <c r="J20" s="51">
        <v>0.70</v>
      </c>
      <c r="K20" s="51">
        <v>137.54</v>
      </c>
      <c r="L20" s="51">
        <v>29.82</v>
      </c>
      <c r="M20" s="51">
        <v>41</v>
      </c>
      <c r="N20" s="51">
        <v>596.29999999999995</v>
      </c>
      <c r="O20" s="51">
        <v>0</v>
      </c>
      <c r="P20" s="51">
        <v>0.89</v>
      </c>
      <c r="Q20" s="51">
        <v>31.43</v>
      </c>
      <c r="R20" s="43"/>
      <c r="S20" s="43"/>
      <c r="T20" s="43"/>
      <c r="U20" s="43"/>
    </row>
    <row r="21" spans="1:21" s="11" customFormat="1" ht="15">
      <c r="A21" s="50" t="s">
        <v>601</v>
      </c>
      <c r="B21" s="51">
        <v>3</v>
      </c>
      <c r="C21" s="51">
        <v>57.76</v>
      </c>
      <c r="D21" s="51">
        <v>34.479999999999997</v>
      </c>
      <c r="E21" s="51">
        <v>4.20</v>
      </c>
      <c r="F21" s="51">
        <v>21.5</v>
      </c>
      <c r="G21" s="51">
        <v>47.21</v>
      </c>
      <c r="H21" s="51">
        <v>30.78</v>
      </c>
      <c r="I21" s="51">
        <v>0.55000000000000004</v>
      </c>
      <c r="J21" s="51">
        <v>0.68</v>
      </c>
      <c r="K21" s="51">
        <v>145.88999999999999</v>
      </c>
      <c r="L21" s="51">
        <v>31.57</v>
      </c>
      <c r="M21" s="51">
        <v>39</v>
      </c>
      <c r="N21" s="51">
        <v>589.40</v>
      </c>
      <c r="O21" s="51">
        <v>0</v>
      </c>
      <c r="P21" s="51">
        <v>0.81</v>
      </c>
      <c r="Q21" s="51">
        <v>26.15</v>
      </c>
      <c r="R21" s="43"/>
      <c r="S21" s="43"/>
      <c r="T21" s="43"/>
      <c r="U21" s="43"/>
    </row>
    <row r="22" spans="1:21" s="11" customFormat="1" ht="15">
      <c r="A22" s="50" t="s">
        <v>602</v>
      </c>
      <c r="B22" s="51">
        <v>2.48</v>
      </c>
      <c r="C22" s="51">
        <v>49.18</v>
      </c>
      <c r="D22" s="51">
        <v>29.55</v>
      </c>
      <c r="E22" s="51">
        <v>3.40</v>
      </c>
      <c r="F22" s="51">
        <v>10.45</v>
      </c>
      <c r="G22" s="51">
        <v>45.75</v>
      </c>
      <c r="H22" s="51">
        <v>29.82</v>
      </c>
      <c r="I22" s="51">
        <v>0.56999999999999995</v>
      </c>
      <c r="J22" s="51">
        <v>0.57999999999999996</v>
      </c>
      <c r="K22" s="51">
        <v>169.32</v>
      </c>
      <c r="L22" s="51">
        <v>33.049999999999997</v>
      </c>
      <c r="M22" s="51">
        <v>31</v>
      </c>
      <c r="N22" s="51">
        <v>547.5</v>
      </c>
      <c r="O22" s="51">
        <v>0</v>
      </c>
      <c r="P22" s="51">
        <v>0.73</v>
      </c>
      <c r="Q22" s="51">
        <v>27.08</v>
      </c>
      <c r="R22" s="43"/>
      <c r="S22" s="43"/>
      <c r="T22" s="43"/>
      <c r="U22" s="43"/>
    </row>
    <row r="23" spans="1:21" s="11" customFormat="1" ht="15">
      <c r="A23" s="50" t="s">
        <v>603</v>
      </c>
      <c r="B23" s="51">
        <v>2.77</v>
      </c>
      <c r="C23" s="51">
        <v>48.05</v>
      </c>
      <c r="D23" s="51">
        <v>29.14</v>
      </c>
      <c r="E23" s="51">
        <v>3.34</v>
      </c>
      <c r="F23" s="51">
        <v>9.4499999999999993</v>
      </c>
      <c r="G23" s="51">
        <v>38.700000000000003</v>
      </c>
      <c r="H23" s="51">
        <v>27.12</v>
      </c>
      <c r="I23" s="51">
        <v>0.54</v>
      </c>
      <c r="J23" s="51">
        <v>0.95</v>
      </c>
      <c r="K23" s="51">
        <v>118.32</v>
      </c>
      <c r="L23" s="51">
        <v>31.36</v>
      </c>
      <c r="M23" s="51">
        <v>30</v>
      </c>
      <c r="N23" s="51">
        <v>480.90</v>
      </c>
      <c r="O23" s="51">
        <v>0</v>
      </c>
      <c r="P23" s="51">
        <v>0.66</v>
      </c>
      <c r="Q23" s="51">
        <v>26.60</v>
      </c>
      <c r="R23" s="43"/>
      <c r="S23" s="43"/>
      <c r="T23" s="43"/>
      <c r="U23" s="43"/>
    </row>
    <row r="24" spans="1:21" s="11" customFormat="1" ht="15">
      <c r="A24" s="50" t="s">
        <v>604</v>
      </c>
      <c r="B24" s="51">
        <v>4.04</v>
      </c>
      <c r="C24" s="51">
        <v>41.92</v>
      </c>
      <c r="D24" s="51">
        <v>26.79</v>
      </c>
      <c r="E24" s="51">
        <v>4.09</v>
      </c>
      <c r="F24" s="51">
        <v>25.46</v>
      </c>
      <c r="G24" s="51">
        <v>30.79</v>
      </c>
      <c r="H24" s="51">
        <v>20.78</v>
      </c>
      <c r="I24" s="51">
        <v>0.5</v>
      </c>
      <c r="J24" s="51">
        <v>1.1200000000000001</v>
      </c>
      <c r="K24" s="51">
        <v>151.83000000000001</v>
      </c>
      <c r="L24" s="51">
        <v>31.5</v>
      </c>
      <c r="M24" s="51">
        <v>29</v>
      </c>
      <c r="N24" s="51">
        <v>249.80</v>
      </c>
      <c r="O24" s="51">
        <v>0</v>
      </c>
      <c r="P24" s="51">
        <v>0.61</v>
      </c>
      <c r="Q24" s="51">
        <v>24.32</v>
      </c>
      <c r="R24" s="43"/>
      <c r="S24" s="43"/>
      <c r="T24" s="43"/>
      <c r="U24" s="43"/>
    </row>
    <row r="25" spans="1:21" s="11" customFormat="1" ht="15">
      <c r="A25" s="50" t="s">
        <v>605</v>
      </c>
      <c r="B25" s="51">
        <v>2.76</v>
      </c>
      <c r="C25" s="51">
        <v>39.700000000000003</v>
      </c>
      <c r="D25" s="51">
        <v>24.36</v>
      </c>
      <c r="E25" s="51">
        <v>2.60</v>
      </c>
      <c r="F25" s="51">
        <v>22.14</v>
      </c>
      <c r="G25" s="51">
        <v>34.24</v>
      </c>
      <c r="H25" s="51">
        <v>21.62</v>
      </c>
      <c r="I25" s="51">
        <v>0.52</v>
      </c>
      <c r="J25" s="51">
        <v>0.72</v>
      </c>
      <c r="K25" s="51">
        <v>210.48</v>
      </c>
      <c r="L25" s="51">
        <v>29.43</v>
      </c>
      <c r="M25" s="51">
        <v>30</v>
      </c>
      <c r="N25" s="51">
        <v>173.30</v>
      </c>
      <c r="O25" s="51">
        <v>0</v>
      </c>
      <c r="P25" s="51">
        <v>0.53</v>
      </c>
      <c r="Q25" s="51">
        <v>24.74</v>
      </c>
      <c r="R25" s="43"/>
      <c r="S25" s="43"/>
      <c r="T25" s="43"/>
      <c r="U25" s="43"/>
    </row>
    <row r="26" spans="1:21" s="11" customFormat="1" ht="15">
      <c r="A26" s="50" t="s">
        <v>606</v>
      </c>
      <c r="B26" s="51">
        <v>3.12</v>
      </c>
      <c r="C26" s="51">
        <v>55.48</v>
      </c>
      <c r="D26" s="51">
        <v>33.54</v>
      </c>
      <c r="E26" s="51">
        <v>2.29</v>
      </c>
      <c r="F26" s="51">
        <v>12.16</v>
      </c>
      <c r="G26" s="51">
        <v>31.55</v>
      </c>
      <c r="H26" s="51">
        <v>21.08</v>
      </c>
      <c r="I26" s="51">
        <v>0.54</v>
      </c>
      <c r="J26" s="51">
        <v>0.23</v>
      </c>
      <c r="K26" s="51">
        <v>206.43</v>
      </c>
      <c r="L26" s="51">
        <v>28.26</v>
      </c>
      <c r="M26" s="51">
        <v>39</v>
      </c>
      <c r="N26" s="51">
        <v>27.80</v>
      </c>
      <c r="O26" s="51">
        <v>0</v>
      </c>
      <c r="P26" s="51">
        <v>0.57999999999999996</v>
      </c>
      <c r="Q26" s="51">
        <v>28.15</v>
      </c>
      <c r="R26" s="43"/>
      <c r="S26" s="43"/>
      <c r="T26" s="43"/>
      <c r="U26" s="43"/>
    </row>
    <row r="27" spans="1:21" s="11" customFormat="1" ht="15">
      <c r="A27" s="50" t="s">
        <v>607</v>
      </c>
      <c r="B27" s="51">
        <v>52</v>
      </c>
      <c r="C27" s="51">
        <v>89.03</v>
      </c>
      <c r="D27" s="51">
        <v>91.24</v>
      </c>
      <c r="E27" s="51">
        <v>2.11</v>
      </c>
      <c r="F27" s="51">
        <v>3.79</v>
      </c>
      <c r="G27" s="51">
        <v>45.25</v>
      </c>
      <c r="H27" s="51">
        <v>24.24</v>
      </c>
      <c r="I27" s="51">
        <v>0.63</v>
      </c>
      <c r="J27" s="51">
        <v>0.10</v>
      </c>
      <c r="K27" s="51">
        <v>340.16</v>
      </c>
      <c r="L27" s="51">
        <v>25.04</v>
      </c>
      <c r="M27" s="51">
        <v>52</v>
      </c>
      <c r="N27" s="51">
        <v>4.9000000000000004</v>
      </c>
      <c r="O27" s="51">
        <v>0</v>
      </c>
      <c r="P27" s="51">
        <v>1.45</v>
      </c>
      <c r="Q27" s="51">
        <v>34.04</v>
      </c>
      <c r="R27" s="43"/>
      <c r="S27" s="43"/>
      <c r="T27" s="43"/>
      <c r="U27" s="43"/>
    </row>
    <row r="28" spans="1:21" s="11" customFormat="1" ht="15">
      <c r="A28" s="50" t="s">
        <v>608</v>
      </c>
      <c r="B28" s="51">
        <v>72.98</v>
      </c>
      <c r="C28" s="51">
        <v>93.17</v>
      </c>
      <c r="D28" s="51">
        <v>110.32</v>
      </c>
      <c r="E28" s="51">
        <v>3.12</v>
      </c>
      <c r="F28" s="51">
        <v>3.60</v>
      </c>
      <c r="G28" s="51">
        <v>166.81</v>
      </c>
      <c r="H28" s="51">
        <v>33.49</v>
      </c>
      <c r="I28" s="51">
        <v>0.94</v>
      </c>
      <c r="J28" s="51">
        <v>0.11</v>
      </c>
      <c r="K28" s="51">
        <v>165.04</v>
      </c>
      <c r="L28" s="51">
        <v>22.94</v>
      </c>
      <c r="M28" s="51">
        <v>62</v>
      </c>
      <c r="N28" s="51">
        <v>4.4000000000000004</v>
      </c>
      <c r="O28" s="51">
        <v>0</v>
      </c>
      <c r="P28" s="51">
        <v>1.76</v>
      </c>
      <c r="Q28" s="51">
        <v>35.72</v>
      </c>
      <c r="R28" s="43"/>
      <c r="S28" s="43"/>
      <c r="T28" s="43"/>
      <c r="U28" s="43"/>
    </row>
    <row r="29" spans="1:21" s="11" customFormat="1" ht="15">
      <c r="A29" s="50" t="s">
        <v>609</v>
      </c>
      <c r="B29" s="51">
        <v>78.30</v>
      </c>
      <c r="C29" s="51">
        <v>92.23</v>
      </c>
      <c r="D29" s="51">
        <v>113.29</v>
      </c>
      <c r="E29" s="51">
        <v>4.63</v>
      </c>
      <c r="F29" s="51">
        <v>3.57</v>
      </c>
      <c r="G29" s="51">
        <v>166.25</v>
      </c>
      <c r="H29" s="51">
        <v>46.80</v>
      </c>
      <c r="I29" s="51">
        <v>1.18</v>
      </c>
      <c r="J29" s="51">
        <v>0.10</v>
      </c>
      <c r="K29" s="51">
        <v>341.83</v>
      </c>
      <c r="L29" s="51">
        <v>22.19</v>
      </c>
      <c r="M29" s="51">
        <v>62</v>
      </c>
      <c r="N29" s="51">
        <v>4.4000000000000004</v>
      </c>
      <c r="O29" s="51">
        <v>0</v>
      </c>
      <c r="P29" s="51">
        <v>2.19</v>
      </c>
      <c r="Q29" s="51">
        <v>42.54</v>
      </c>
      <c r="R29" s="43"/>
      <c r="S29" s="43"/>
      <c r="T29" s="43"/>
      <c r="U29" s="43"/>
    </row>
    <row r="30" spans="1:21" s="11" customFormat="1" ht="15">
      <c r="A30" s="50" t="s">
        <v>610</v>
      </c>
      <c r="B30" s="51">
        <v>126</v>
      </c>
      <c r="C30" s="51">
        <v>103.13</v>
      </c>
      <c r="D30" s="51">
        <v>158.37</v>
      </c>
      <c r="E30" s="51">
        <v>4.8499999999999996</v>
      </c>
      <c r="F30" s="51">
        <v>3.54</v>
      </c>
      <c r="G30" s="51">
        <v>191</v>
      </c>
      <c r="H30" s="51">
        <v>51.70</v>
      </c>
      <c r="I30" s="51">
        <v>1.45</v>
      </c>
      <c r="J30" s="51">
        <v>0.19</v>
      </c>
      <c r="K30" s="51">
        <v>358.15</v>
      </c>
      <c r="L30" s="51">
        <v>21.70</v>
      </c>
      <c r="M30" s="51">
        <v>63</v>
      </c>
      <c r="N30" s="51">
        <v>4.5</v>
      </c>
      <c r="O30" s="51">
        <v>0</v>
      </c>
      <c r="P30" s="51">
        <v>3.52</v>
      </c>
      <c r="Q30" s="51">
        <v>47.95</v>
      </c>
      <c r="R30" s="43"/>
      <c r="S30" s="43"/>
      <c r="T30" s="43"/>
      <c r="U30" s="43"/>
    </row>
    <row r="31" spans="1:21" s="11" customFormat="1" ht="15">
      <c r="A31" s="50" t="s">
        <v>611</v>
      </c>
      <c r="B31" s="51">
        <v>149.72</v>
      </c>
      <c r="C31" s="51">
        <v>107.18</v>
      </c>
      <c r="D31" s="51">
        <v>179.63</v>
      </c>
      <c r="E31" s="51">
        <v>5.25</v>
      </c>
      <c r="F31" s="51">
        <v>3.41</v>
      </c>
      <c r="G31" s="51">
        <v>214.74</v>
      </c>
      <c r="H31" s="51">
        <v>60.24</v>
      </c>
      <c r="I31" s="51">
        <v>1.78</v>
      </c>
      <c r="J31" s="51">
        <v>0.12</v>
      </c>
      <c r="K31" s="51">
        <v>358.73</v>
      </c>
      <c r="L31" s="51">
        <v>20.84</v>
      </c>
      <c r="M31" s="51">
        <v>69</v>
      </c>
      <c r="N31" s="51">
        <v>4.5999999999999996</v>
      </c>
      <c r="O31" s="51">
        <v>0</v>
      </c>
      <c r="P31" s="51">
        <v>4.08</v>
      </c>
      <c r="Q31" s="51">
        <v>48.86</v>
      </c>
      <c r="R31" s="43"/>
      <c r="S31" s="43"/>
      <c r="T31" s="43"/>
      <c r="U31" s="43"/>
    </row>
    <row r="32" spans="1:21" s="11" customFormat="1" ht="15">
      <c r="A32" s="50" t="s">
        <v>612</v>
      </c>
      <c r="B32" s="51">
        <v>150.19999999999999</v>
      </c>
      <c r="C32" s="51">
        <v>107.03</v>
      </c>
      <c r="D32" s="51">
        <v>178.42</v>
      </c>
      <c r="E32" s="51">
        <v>5.88</v>
      </c>
      <c r="F32" s="51">
        <v>3.49</v>
      </c>
      <c r="G32" s="51">
        <v>198.71</v>
      </c>
      <c r="H32" s="51">
        <v>61.07</v>
      </c>
      <c r="I32" s="51">
        <v>1.87</v>
      </c>
      <c r="J32" s="51">
        <v>0.19</v>
      </c>
      <c r="K32" s="51">
        <v>351.99</v>
      </c>
      <c r="L32" s="51">
        <v>20.5</v>
      </c>
      <c r="M32" s="51">
        <v>71</v>
      </c>
      <c r="N32" s="51">
        <v>4.5999999999999996</v>
      </c>
      <c r="O32" s="51">
        <v>0</v>
      </c>
      <c r="P32" s="51">
        <v>4.05</v>
      </c>
      <c r="Q32" s="51">
        <v>49.88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2.48</v>
      </c>
      <c r="C34" s="28">
        <f t="shared" si="0"/>
        <v>39.700000000000003</v>
      </c>
      <c r="D34" s="28">
        <f t="shared" si="0"/>
        <v>24.359999999999999</v>
      </c>
      <c r="E34" s="28">
        <f t="shared" si="0"/>
        <v>2.1099999999999999</v>
      </c>
      <c r="F34" s="28">
        <f t="shared" si="0"/>
        <v>0.01</v>
      </c>
      <c r="G34" s="28">
        <f t="shared" si="0"/>
        <v>30.789999999999999</v>
      </c>
      <c r="H34" s="28">
        <f t="shared" si="0"/>
        <v>20.780000000000001</v>
      </c>
      <c r="I34" s="28">
        <f t="shared" si="0"/>
        <v>0.5</v>
      </c>
      <c r="J34" s="28">
        <f t="shared" si="0"/>
        <v>0.10000000000000001</v>
      </c>
      <c r="K34" s="28">
        <f t="shared" si="0"/>
        <v>104.17</v>
      </c>
      <c r="L34" s="28">
        <f t="shared" si="0"/>
        <v>16.640000000000001</v>
      </c>
      <c r="M34" s="28">
        <f t="shared" si="0"/>
        <v>29</v>
      </c>
      <c r="N34" s="28">
        <f t="shared" si="0"/>
        <v>4.4000000000000004</v>
      </c>
      <c r="O34" s="28">
        <f t="shared" si="0"/>
        <v>0</v>
      </c>
      <c r="P34" s="28">
        <f t="shared" si="0"/>
        <v>0.53000000000000003</v>
      </c>
      <c r="Q34" s="28">
        <f t="shared" si="0"/>
        <v>24.32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150.19999999999999</v>
      </c>
      <c r="C35" s="29">
        <f t="shared" si="1"/>
        <v>107.18000000000001</v>
      </c>
      <c r="D35" s="29">
        <f t="shared" si="1"/>
        <v>179.63</v>
      </c>
      <c r="E35" s="29">
        <f t="shared" si="1"/>
        <v>5.8799999999999999</v>
      </c>
      <c r="F35" s="29">
        <f t="shared" si="1"/>
        <v>25.460000000000001</v>
      </c>
      <c r="G35" s="29">
        <f t="shared" si="1"/>
        <v>214.74000000000001</v>
      </c>
      <c r="H35" s="29">
        <f t="shared" si="1"/>
        <v>61.07</v>
      </c>
      <c r="I35" s="29">
        <f t="shared" si="1"/>
        <v>1.8700000000000001</v>
      </c>
      <c r="J35" s="29">
        <f t="shared" si="1"/>
        <v>1.1200000000000001</v>
      </c>
      <c r="K35" s="29">
        <f t="shared" si="1"/>
        <v>358.73000000000002</v>
      </c>
      <c r="L35" s="29">
        <f t="shared" si="1"/>
        <v>33.049999999999997</v>
      </c>
      <c r="M35" s="29">
        <f t="shared" si="1"/>
        <v>82</v>
      </c>
      <c r="N35" s="29">
        <f t="shared" si="1"/>
        <v>596.29999999999995</v>
      </c>
      <c r="O35" s="29">
        <f t="shared" si="1"/>
        <v>0</v>
      </c>
      <c r="P35" s="29">
        <f t="shared" si="1"/>
        <v>4.0800000000000001</v>
      </c>
      <c r="Q35" s="29">
        <f t="shared" si="1"/>
        <v>50.020000000000003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59.915416666666665</v>
      </c>
      <c r="C36" s="28">
        <f t="shared" si="2"/>
        <v>77.467916666666682</v>
      </c>
      <c r="D36" s="28">
        <f t="shared" si="2"/>
        <v>91.016249999999999</v>
      </c>
      <c r="E36" s="28">
        <f t="shared" si="2"/>
        <v>3.7766666666666668</v>
      </c>
      <c r="F36" s="28">
        <f t="shared" si="2"/>
        <v>6.0718181818181822</v>
      </c>
      <c r="G36" s="28">
        <f t="shared" si="2"/>
        <v>95.874166666666667</v>
      </c>
      <c r="H36" s="28">
        <f t="shared" si="2"/>
        <v>37.693333333333342</v>
      </c>
      <c r="I36" s="28">
        <f t="shared" si="2"/>
        <v>0.95666666666666667</v>
      </c>
      <c r="J36" s="28">
        <f t="shared" si="2"/>
        <v>0.41708333333333325</v>
      </c>
      <c r="K36" s="28">
        <f t="shared" si="2"/>
        <v>251.69749999999999</v>
      </c>
      <c r="L36" s="28">
        <f t="shared" si="2"/>
        <v>23.787916666666671</v>
      </c>
      <c r="M36" s="28">
        <f t="shared" si="2"/>
        <v>57.166666666666664</v>
      </c>
      <c r="N36" s="28">
        <f t="shared" si="2"/>
        <v>178.62916666666669</v>
      </c>
      <c r="O36" s="28">
        <f t="shared" si="2"/>
        <v>0</v>
      </c>
      <c r="P36" s="28">
        <f t="shared" si="2"/>
        <v>1.6995833333333332</v>
      </c>
      <c r="Q36" s="28">
        <f t="shared" si="2"/>
        <v>39.071249999999999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45.564406968899924</v>
      </c>
      <c r="C37" s="28">
        <f t="shared" si="3" ref="C37:Q37">STDEV(C9:C32)</f>
        <v>19.747707622419799</v>
      </c>
      <c r="D37" s="28">
        <f t="shared" si="3"/>
        <v>46.719878723459708</v>
      </c>
      <c r="E37" s="28">
        <f t="shared" si="3"/>
        <v>0.86793942218319975</v>
      </c>
      <c r="F37" s="28">
        <f t="shared" si="3"/>
        <v>7.8272099489163809</v>
      </c>
      <c r="G37" s="28">
        <f t="shared" si="3"/>
        <v>57.667450838682669</v>
      </c>
      <c r="H37" s="28">
        <f t="shared" si="3"/>
        <v>11.087133422856954</v>
      </c>
      <c r="I37" s="28">
        <f t="shared" si="3"/>
        <v>0.39573450329918042</v>
      </c>
      <c r="J37" s="28">
        <f t="shared" si="3"/>
        <v>0.35552140725207093</v>
      </c>
      <c r="K37" s="28">
        <f t="shared" si="3"/>
        <v>99.240875443013209</v>
      </c>
      <c r="L37" s="28">
        <f t="shared" si="3"/>
        <v>5.3123514642491365</v>
      </c>
      <c r="M37" s="28">
        <f t="shared" si="3"/>
        <v>17.27694283208659</v>
      </c>
      <c r="N37" s="28">
        <f t="shared" si="3"/>
        <v>233.78277074012004</v>
      </c>
      <c r="O37" s="28">
        <f t="shared" si="3"/>
        <v>0</v>
      </c>
      <c r="P37" s="28">
        <f t="shared" si="3"/>
        <v>1.0188846381200873</v>
      </c>
      <c r="Q37" s="28">
        <f t="shared" si="3"/>
        <v>8.8640678229334942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>COUNT(F9:F32)+2</f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304bea4-83c9-4eb2-a487-53a01d540ade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24-01-2023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614</v>
      </c>
      <c r="B9" s="51">
        <v>148.66</v>
      </c>
      <c r="C9" s="51">
        <v>100.67</v>
      </c>
      <c r="D9" s="51">
        <v>174.98</v>
      </c>
      <c r="E9" s="51">
        <v>5.75</v>
      </c>
      <c r="F9" s="51">
        <v>3.47</v>
      </c>
      <c r="G9" s="51">
        <v>155.60</v>
      </c>
      <c r="H9" s="51">
        <v>60.32</v>
      </c>
      <c r="I9" s="51">
        <v>1.89</v>
      </c>
      <c r="J9" s="51">
        <v>0.13</v>
      </c>
      <c r="K9" s="51">
        <v>352.81</v>
      </c>
      <c r="L9" s="51">
        <v>19.399999999999999</v>
      </c>
      <c r="M9" s="51">
        <v>68</v>
      </c>
      <c r="N9" s="51">
        <v>4.5999999999999996</v>
      </c>
      <c r="O9" s="51">
        <v>0</v>
      </c>
      <c r="P9" s="51">
        <v>4.01</v>
      </c>
      <c r="Q9" s="51">
        <v>52.09</v>
      </c>
      <c r="R9" s="43"/>
      <c r="S9" s="43"/>
      <c r="T9" s="43"/>
      <c r="U9" s="43"/>
    </row>
    <row r="10" spans="1:21" s="11" customFormat="1" ht="15">
      <c r="A10" s="50" t="s">
        <v>615</v>
      </c>
      <c r="B10" s="51">
        <v>126.95</v>
      </c>
      <c r="C10" s="51">
        <v>94.20</v>
      </c>
      <c r="D10" s="51">
        <v>154.21</v>
      </c>
      <c r="E10" s="51">
        <v>5.03</v>
      </c>
      <c r="F10" s="51">
        <v>3.38</v>
      </c>
      <c r="G10" s="51">
        <v>127.74</v>
      </c>
      <c r="H10" s="51">
        <v>56.30</v>
      </c>
      <c r="I10" s="51">
        <v>1.81</v>
      </c>
      <c r="J10" s="51">
        <v>0.23</v>
      </c>
      <c r="K10" s="51">
        <v>359.78</v>
      </c>
      <c r="L10" s="51">
        <v>19.78</v>
      </c>
      <c r="M10" s="51">
        <v>67</v>
      </c>
      <c r="N10" s="51">
        <v>4.80</v>
      </c>
      <c r="O10" s="51">
        <v>0</v>
      </c>
      <c r="P10" s="51">
        <v>3.18</v>
      </c>
      <c r="Q10" s="51">
        <v>50.13</v>
      </c>
      <c r="R10" s="43"/>
      <c r="S10" s="43"/>
      <c r="T10" s="43"/>
      <c r="U10" s="43"/>
    </row>
    <row r="11" spans="1:21" s="11" customFormat="1" ht="15">
      <c r="A11" s="50" t="s">
        <v>616</v>
      </c>
      <c r="B11" s="51">
        <v>95.64</v>
      </c>
      <c r="C11" s="51">
        <v>83.81</v>
      </c>
      <c r="D11" s="51">
        <v>122.40</v>
      </c>
      <c r="E11" s="51">
        <v>4.76</v>
      </c>
      <c r="F11" s="51">
        <v>3.45</v>
      </c>
      <c r="G11" s="51">
        <v>85.75</v>
      </c>
      <c r="H11" s="51">
        <v>48.22</v>
      </c>
      <c r="I11" s="51">
        <v>1.54</v>
      </c>
      <c r="J11" s="51">
        <v>0.12</v>
      </c>
      <c r="K11" s="51">
        <v>353.56</v>
      </c>
      <c r="L11" s="51">
        <v>18.46</v>
      </c>
      <c r="M11" s="51">
        <v>74</v>
      </c>
      <c r="N11" s="51">
        <v>4.5999999999999996</v>
      </c>
      <c r="O11" s="51">
        <v>0</v>
      </c>
      <c r="P11" s="51">
        <v>2.64</v>
      </c>
      <c r="Q11" s="51">
        <v>45.39</v>
      </c>
      <c r="R11" s="43"/>
      <c r="S11" s="43"/>
      <c r="T11" s="43"/>
      <c r="U11" s="43"/>
    </row>
    <row r="12" spans="1:21" s="11" customFormat="1" ht="15">
      <c r="A12" s="50" t="s">
        <v>617</v>
      </c>
      <c r="B12" s="51">
        <v>79.22</v>
      </c>
      <c r="C12" s="51">
        <v>79.569999999999993</v>
      </c>
      <c r="D12" s="51">
        <v>107.85</v>
      </c>
      <c r="E12" s="51">
        <v>4.03</v>
      </c>
      <c r="F12" s="51">
        <v>3.51</v>
      </c>
      <c r="G12" s="51">
        <v>71.819999999999993</v>
      </c>
      <c r="H12" s="51">
        <v>40.53</v>
      </c>
      <c r="I12" s="51">
        <v>1.36</v>
      </c>
      <c r="J12" s="51">
        <v>0.16</v>
      </c>
      <c r="K12" s="51">
        <v>352.89</v>
      </c>
      <c r="L12" s="51">
        <v>17.86</v>
      </c>
      <c r="M12" s="51">
        <v>77</v>
      </c>
      <c r="N12" s="51">
        <v>4.5999999999999996</v>
      </c>
      <c r="O12" s="51">
        <v>0</v>
      </c>
      <c r="P12" s="51">
        <v>2.2000000000000002</v>
      </c>
      <c r="Q12" s="51">
        <v>44.26</v>
      </c>
      <c r="R12" s="43"/>
      <c r="S12" s="43"/>
      <c r="T12" s="43"/>
      <c r="U12" s="43"/>
    </row>
    <row r="13" spans="1:21" s="11" customFormat="1" ht="15">
      <c r="A13" s="50" t="s">
        <v>618</v>
      </c>
      <c r="B13" s="51">
        <v>67.27</v>
      </c>
      <c r="C13" s="51">
        <v>74.790000000000006</v>
      </c>
      <c r="D13" s="51">
        <v>95.63</v>
      </c>
      <c r="E13" s="51">
        <v>3.79</v>
      </c>
      <c r="F13" s="51">
        <v>3.42</v>
      </c>
      <c r="G13" s="51">
        <v>70.62</v>
      </c>
      <c r="H13" s="51">
        <v>36.58</v>
      </c>
      <c r="I13" s="51">
        <v>1.21</v>
      </c>
      <c r="J13" s="51">
        <v>0.10</v>
      </c>
      <c r="K13" s="51">
        <v>304.93</v>
      </c>
      <c r="L13" s="51">
        <v>17.48</v>
      </c>
      <c r="M13" s="51">
        <v>76</v>
      </c>
      <c r="N13" s="51">
        <v>4.5999999999999996</v>
      </c>
      <c r="O13" s="51">
        <v>0</v>
      </c>
      <c r="P13" s="51">
        <v>1.79</v>
      </c>
      <c r="Q13" s="51">
        <v>44.84</v>
      </c>
      <c r="R13" s="43"/>
      <c r="S13" s="43"/>
      <c r="T13" s="43"/>
      <c r="U13" s="43"/>
    </row>
    <row r="14" spans="1:21" s="11" customFormat="1" ht="15">
      <c r="A14" s="50" t="s">
        <v>619</v>
      </c>
      <c r="B14" s="51">
        <v>64.040000000000006</v>
      </c>
      <c r="C14" s="51">
        <v>76.38</v>
      </c>
      <c r="D14" s="51">
        <v>93.92</v>
      </c>
      <c r="E14" s="51">
        <v>3.94</v>
      </c>
      <c r="F14" s="51">
        <v>3.47</v>
      </c>
      <c r="G14" s="51">
        <v>64.64</v>
      </c>
      <c r="H14" s="51">
        <v>31.80</v>
      </c>
      <c r="I14" s="51">
        <v>0.95</v>
      </c>
      <c r="J14" s="51">
        <v>0.17</v>
      </c>
      <c r="K14" s="51">
        <v>340.89</v>
      </c>
      <c r="L14" s="51">
        <v>17.010000000000002</v>
      </c>
      <c r="M14" s="51">
        <v>81</v>
      </c>
      <c r="N14" s="51">
        <v>4.5999999999999996</v>
      </c>
      <c r="O14" s="51">
        <v>0</v>
      </c>
      <c r="P14" s="51">
        <v>1.44</v>
      </c>
      <c r="Q14" s="51">
        <v>43.14</v>
      </c>
      <c r="R14" s="43"/>
      <c r="S14" s="43"/>
      <c r="T14" s="43"/>
      <c r="U14" s="43"/>
    </row>
    <row r="15" spans="1:21" s="11" customFormat="1" ht="15">
      <c r="A15" s="50" t="s">
        <v>620</v>
      </c>
      <c r="B15" s="51">
        <v>88.23</v>
      </c>
      <c r="C15" s="51">
        <v>81.88</v>
      </c>
      <c r="D15" s="51">
        <v>116.35</v>
      </c>
      <c r="E15" s="51">
        <v>4.07</v>
      </c>
      <c r="F15" s="51">
        <v>3.55</v>
      </c>
      <c r="G15" s="51">
        <v>96.27</v>
      </c>
      <c r="H15" s="51">
        <v>32.11</v>
      </c>
      <c r="I15" s="51">
        <v>0.86</v>
      </c>
      <c r="J15" s="51">
        <v>0.11</v>
      </c>
      <c r="K15" s="51">
        <v>354.65</v>
      </c>
      <c r="L15" s="51">
        <v>16.89</v>
      </c>
      <c r="M15" s="51">
        <v>82</v>
      </c>
      <c r="N15" s="51">
        <v>18.399999999999999</v>
      </c>
      <c r="O15" s="51">
        <v>0</v>
      </c>
      <c r="P15" s="51">
        <v>1.30</v>
      </c>
      <c r="Q15" s="51">
        <v>43.30</v>
      </c>
      <c r="R15" s="43"/>
      <c r="S15" s="43"/>
      <c r="T15" s="43"/>
      <c r="U15" s="43"/>
    </row>
    <row r="16" spans="1:21" s="11" customFormat="1" ht="15">
      <c r="A16" s="50" t="s">
        <v>621</v>
      </c>
      <c r="B16" s="51">
        <v>88.32</v>
      </c>
      <c r="C16" s="51">
        <v>81.64</v>
      </c>
      <c r="D16" s="51">
        <v>116.30</v>
      </c>
      <c r="E16" s="51">
        <v>4.13</v>
      </c>
      <c r="F16" s="51">
        <v>3.52</v>
      </c>
      <c r="G16" s="51">
        <v>94.81</v>
      </c>
      <c r="H16" s="51">
        <v>39.64</v>
      </c>
      <c r="I16" s="51">
        <v>0.85</v>
      </c>
      <c r="J16" s="51">
        <v>0.45</v>
      </c>
      <c r="K16" s="51">
        <v>258.43</v>
      </c>
      <c r="L16" s="51">
        <v>19.829999999999998</v>
      </c>
      <c r="M16" s="51">
        <v>76</v>
      </c>
      <c r="N16" s="51">
        <v>171.20</v>
      </c>
      <c r="O16" s="51">
        <v>0</v>
      </c>
      <c r="P16" s="51">
        <v>1.33</v>
      </c>
      <c r="Q16" s="51">
        <v>45.55</v>
      </c>
      <c r="R16" s="43"/>
      <c r="S16" s="43"/>
      <c r="T16" s="43"/>
      <c r="U16" s="43"/>
    </row>
    <row r="17" spans="1:21" s="11" customFormat="1" ht="15">
      <c r="A17" s="50" t="s">
        <v>622</v>
      </c>
      <c r="B17" s="51">
        <v>72.83</v>
      </c>
      <c r="C17" s="51">
        <v>80.39</v>
      </c>
      <c r="D17" s="51">
        <v>103.18</v>
      </c>
      <c r="E17" s="51">
        <v>3.61</v>
      </c>
      <c r="F17" s="51">
        <v>3.45</v>
      </c>
      <c r="G17" s="51">
        <v>85.01</v>
      </c>
      <c r="H17" s="51">
        <v>39.25</v>
      </c>
      <c r="I17" s="51">
        <v>0.81</v>
      </c>
      <c r="J17" s="51">
        <v>0.80</v>
      </c>
      <c r="K17" s="51">
        <v>202.47</v>
      </c>
      <c r="L17" s="51">
        <v>22.68</v>
      </c>
      <c r="M17" s="51">
        <v>66</v>
      </c>
      <c r="N17" s="51">
        <v>359.40</v>
      </c>
      <c r="O17" s="51">
        <v>0</v>
      </c>
      <c r="P17" s="51">
        <v>1.27</v>
      </c>
      <c r="Q17" s="51">
        <v>44.51</v>
      </c>
      <c r="R17" s="43"/>
      <c r="S17" s="43"/>
      <c r="T17" s="43"/>
      <c r="U17" s="43"/>
    </row>
    <row r="18" spans="1:21" s="11" customFormat="1" ht="15">
      <c r="A18" s="50" t="s">
        <v>623</v>
      </c>
      <c r="B18" s="51">
        <v>51.5</v>
      </c>
      <c r="C18" s="51">
        <v>78.069999999999993</v>
      </c>
      <c r="D18" s="51">
        <v>84.80</v>
      </c>
      <c r="E18" s="51">
        <v>3.39</v>
      </c>
      <c r="F18" s="51">
        <v>3.47</v>
      </c>
      <c r="G18" s="51">
        <v>70.040000000000006</v>
      </c>
      <c r="H18" s="51">
        <v>36.340000000000003</v>
      </c>
      <c r="I18" s="51">
        <v>0.75</v>
      </c>
      <c r="J18" s="51">
        <v>1.1599999999999999</v>
      </c>
      <c r="K18" s="51">
        <v>196.5</v>
      </c>
      <c r="L18" s="51">
        <v>26.40</v>
      </c>
      <c r="M18" s="51">
        <v>66</v>
      </c>
      <c r="N18" s="51">
        <v>492</v>
      </c>
      <c r="O18" s="51">
        <v>0</v>
      </c>
      <c r="P18" s="51">
        <v>1.17</v>
      </c>
      <c r="Q18" s="51">
        <v>42.30</v>
      </c>
      <c r="R18" s="43"/>
      <c r="S18" s="43"/>
      <c r="T18" s="43"/>
      <c r="U18" s="43"/>
    </row>
    <row r="19" spans="1:21" s="11" customFormat="1" ht="15">
      <c r="A19" s="50" t="s">
        <v>624</v>
      </c>
      <c r="B19" s="51">
        <v>36.369999999999997</v>
      </c>
      <c r="C19" s="51">
        <v>79.66</v>
      </c>
      <c r="D19" s="51">
        <v>72.760000000000005</v>
      </c>
      <c r="E19" s="51">
        <v>3.80</v>
      </c>
      <c r="F19" s="51">
        <v>3.97</v>
      </c>
      <c r="G19" s="59" t="s">
        <v>15</v>
      </c>
      <c r="H19" s="59" t="s">
        <v>15</v>
      </c>
      <c r="I19" s="51">
        <v>0.71</v>
      </c>
      <c r="J19" s="51">
        <v>0.54</v>
      </c>
      <c r="K19" s="51">
        <v>189.18</v>
      </c>
      <c r="L19" s="51">
        <v>31.79</v>
      </c>
      <c r="M19" s="51">
        <v>46</v>
      </c>
      <c r="N19" s="51">
        <v>543.10</v>
      </c>
      <c r="O19" s="51">
        <v>0</v>
      </c>
      <c r="P19" s="51">
        <v>1.1000000000000001</v>
      </c>
      <c r="Q19" s="51">
        <v>40.520000000000003</v>
      </c>
      <c r="R19" s="43"/>
      <c r="S19" s="43"/>
      <c r="T19" s="43"/>
      <c r="U19" s="43"/>
    </row>
    <row r="20" spans="1:21" s="11" customFormat="1" ht="15">
      <c r="A20" s="50" t="s">
        <v>625</v>
      </c>
      <c r="B20" s="51">
        <v>10.81</v>
      </c>
      <c r="C20" s="51">
        <v>77.75</v>
      </c>
      <c r="D20" s="51">
        <v>51.99</v>
      </c>
      <c r="E20" s="51">
        <v>15.19</v>
      </c>
      <c r="F20" s="51">
        <v>23.11</v>
      </c>
      <c r="G20" s="59" t="s">
        <v>15</v>
      </c>
      <c r="H20" s="59" t="s">
        <v>15</v>
      </c>
      <c r="I20" s="51">
        <v>0.70</v>
      </c>
      <c r="J20" s="51">
        <v>0.86</v>
      </c>
      <c r="K20" s="51">
        <v>12.61</v>
      </c>
      <c r="L20" s="51">
        <v>32.89</v>
      </c>
      <c r="M20" s="51">
        <v>38</v>
      </c>
      <c r="N20" s="51">
        <v>545.70000000000005</v>
      </c>
      <c r="O20" s="51">
        <v>0</v>
      </c>
      <c r="P20" s="51">
        <v>2.41</v>
      </c>
      <c r="Q20" s="51">
        <v>32.340000000000003</v>
      </c>
      <c r="R20" s="43"/>
      <c r="S20" s="43"/>
      <c r="T20" s="43"/>
      <c r="U20" s="43"/>
    </row>
    <row r="21" spans="1:21" s="11" customFormat="1" ht="15">
      <c r="A21" s="50" t="s">
        <v>626</v>
      </c>
      <c r="B21" s="51">
        <v>2.40</v>
      </c>
      <c r="C21" s="51">
        <v>64.55</v>
      </c>
      <c r="D21" s="51">
        <v>37.049999999999997</v>
      </c>
      <c r="E21" s="51">
        <v>4.04</v>
      </c>
      <c r="F21" s="51">
        <v>15.68</v>
      </c>
      <c r="G21" s="51">
        <v>55.23</v>
      </c>
      <c r="H21" s="51">
        <v>49.03</v>
      </c>
      <c r="I21" s="51">
        <v>0.51</v>
      </c>
      <c r="J21" s="51">
        <v>0.93</v>
      </c>
      <c r="K21" s="51">
        <v>353.54</v>
      </c>
      <c r="L21" s="51">
        <v>33.51</v>
      </c>
      <c r="M21" s="51">
        <v>34</v>
      </c>
      <c r="N21" s="51">
        <v>557.5</v>
      </c>
      <c r="O21" s="51">
        <v>0</v>
      </c>
      <c r="P21" s="51">
        <v>1.61</v>
      </c>
      <c r="Q21" s="51">
        <v>25.59</v>
      </c>
      <c r="R21" s="43"/>
      <c r="S21" s="43"/>
      <c r="T21" s="43"/>
      <c r="U21" s="43"/>
    </row>
    <row r="22" spans="1:21" s="11" customFormat="1" ht="15">
      <c r="A22" s="50" t="s">
        <v>627</v>
      </c>
      <c r="B22" s="51">
        <v>4.97</v>
      </c>
      <c r="C22" s="51">
        <v>55.45</v>
      </c>
      <c r="D22" s="51">
        <v>34.76</v>
      </c>
      <c r="E22" s="51">
        <v>7.67</v>
      </c>
      <c r="F22" s="51">
        <v>29.09</v>
      </c>
      <c r="G22" s="51">
        <v>55.23</v>
      </c>
      <c r="H22" s="51">
        <v>49.03</v>
      </c>
      <c r="I22" s="51">
        <v>0.52</v>
      </c>
      <c r="J22" s="51">
        <v>0.51</v>
      </c>
      <c r="K22" s="51">
        <v>64.69</v>
      </c>
      <c r="L22" s="51">
        <v>32.450000000000003</v>
      </c>
      <c r="M22" s="51">
        <v>34</v>
      </c>
      <c r="N22" s="51">
        <v>506.40</v>
      </c>
      <c r="O22" s="51">
        <v>0</v>
      </c>
      <c r="P22" s="51">
        <v>0.99</v>
      </c>
      <c r="Q22" s="51">
        <v>23.95</v>
      </c>
      <c r="R22" s="43"/>
      <c r="S22" s="43"/>
      <c r="T22" s="43"/>
      <c r="U22" s="43"/>
    </row>
    <row r="23" spans="1:21" s="11" customFormat="1" ht="15">
      <c r="A23" s="50" t="s">
        <v>628</v>
      </c>
      <c r="B23" s="51">
        <v>3.86</v>
      </c>
      <c r="C23" s="51">
        <v>59.06</v>
      </c>
      <c r="D23" s="51">
        <v>35.880000000000003</v>
      </c>
      <c r="E23" s="51">
        <v>6.88</v>
      </c>
      <c r="F23" s="51">
        <v>22.07</v>
      </c>
      <c r="G23" s="51">
        <v>58.14</v>
      </c>
      <c r="H23" s="51">
        <v>39.60</v>
      </c>
      <c r="I23" s="51">
        <v>0.55000000000000004</v>
      </c>
      <c r="J23" s="51">
        <v>0.28999999999999998</v>
      </c>
      <c r="K23" s="51">
        <v>336.22</v>
      </c>
      <c r="L23" s="51">
        <v>31.97</v>
      </c>
      <c r="M23" s="51">
        <v>34</v>
      </c>
      <c r="N23" s="51">
        <v>435.90</v>
      </c>
      <c r="O23" s="51">
        <v>0</v>
      </c>
      <c r="P23" s="51">
        <v>0.94</v>
      </c>
      <c r="Q23" s="51">
        <v>26.24</v>
      </c>
      <c r="R23" s="43"/>
      <c r="S23" s="43"/>
      <c r="T23" s="43"/>
      <c r="U23" s="43"/>
    </row>
    <row r="24" spans="1:21" s="11" customFormat="1" ht="15">
      <c r="A24" s="50" t="s">
        <v>629</v>
      </c>
      <c r="B24" s="51">
        <v>2.88</v>
      </c>
      <c r="C24" s="51">
        <v>59.71</v>
      </c>
      <c r="D24" s="51">
        <v>35.68</v>
      </c>
      <c r="E24" s="51">
        <v>3.5</v>
      </c>
      <c r="F24" s="51">
        <v>7.68</v>
      </c>
      <c r="G24" s="51">
        <v>59.66</v>
      </c>
      <c r="H24" s="51">
        <v>37.340000000000003</v>
      </c>
      <c r="I24" s="51">
        <v>0.54</v>
      </c>
      <c r="J24" s="51">
        <v>0.14000000000000001</v>
      </c>
      <c r="K24" s="51">
        <v>308.93</v>
      </c>
      <c r="L24" s="51">
        <v>31.09</v>
      </c>
      <c r="M24" s="51">
        <v>37</v>
      </c>
      <c r="N24" s="51">
        <v>197.30</v>
      </c>
      <c r="O24" s="51">
        <v>0</v>
      </c>
      <c r="P24" s="51">
        <v>0.90</v>
      </c>
      <c r="Q24" s="51">
        <v>30.16</v>
      </c>
      <c r="R24" s="43"/>
      <c r="S24" s="43"/>
      <c r="T24" s="43"/>
      <c r="U24" s="43"/>
    </row>
    <row r="25" spans="1:21" s="11" customFormat="1" ht="15">
      <c r="A25" s="50" t="s">
        <v>630</v>
      </c>
      <c r="B25" s="51">
        <v>2.3199999999999998</v>
      </c>
      <c r="C25" s="51">
        <v>58.73</v>
      </c>
      <c r="D25" s="51">
        <v>34.69</v>
      </c>
      <c r="E25" s="51">
        <v>7.85</v>
      </c>
      <c r="F25" s="51">
        <v>33.700000000000003</v>
      </c>
      <c r="G25" s="51">
        <v>59.66</v>
      </c>
      <c r="H25" s="51">
        <v>36.770000000000003</v>
      </c>
      <c r="I25" s="51">
        <v>0.56000000000000005</v>
      </c>
      <c r="J25" s="51">
        <v>0.08</v>
      </c>
      <c r="K25" s="51">
        <v>298.04000000000002</v>
      </c>
      <c r="L25" s="51">
        <v>29.11</v>
      </c>
      <c r="M25" s="51">
        <v>38</v>
      </c>
      <c r="N25" s="51">
        <v>89</v>
      </c>
      <c r="O25" s="51">
        <v>0</v>
      </c>
      <c r="P25" s="51">
        <v>0.89</v>
      </c>
      <c r="Q25" s="51">
        <v>32.86</v>
      </c>
      <c r="R25" s="43"/>
      <c r="S25" s="43"/>
      <c r="T25" s="43"/>
      <c r="U25" s="43"/>
    </row>
    <row r="26" spans="1:21" s="11" customFormat="1" ht="15">
      <c r="A26" s="50" t="s">
        <v>631</v>
      </c>
      <c r="B26" s="51">
        <v>10.119999999999999</v>
      </c>
      <c r="C26" s="51">
        <v>70.12</v>
      </c>
      <c r="D26" s="51">
        <v>46.07</v>
      </c>
      <c r="E26" s="51">
        <v>8.65</v>
      </c>
      <c r="F26" s="51">
        <v>32.880000000000003</v>
      </c>
      <c r="G26" s="51">
        <v>62.11</v>
      </c>
      <c r="H26" s="51">
        <v>35.71</v>
      </c>
      <c r="I26" s="51">
        <v>0.53</v>
      </c>
      <c r="J26" s="51">
        <v>0.22</v>
      </c>
      <c r="K26" s="51">
        <v>340.22</v>
      </c>
      <c r="L26" s="51">
        <v>28.38</v>
      </c>
      <c r="M26" s="51">
        <v>48</v>
      </c>
      <c r="N26" s="51">
        <v>25.90</v>
      </c>
      <c r="O26" s="51">
        <v>0</v>
      </c>
      <c r="P26" s="51">
        <v>1.1299999999999999</v>
      </c>
      <c r="Q26" s="51">
        <v>30.23</v>
      </c>
      <c r="R26" s="43"/>
      <c r="S26" s="43"/>
      <c r="T26" s="43"/>
      <c r="U26" s="43"/>
    </row>
    <row r="27" spans="1:21" s="11" customFormat="1" ht="15">
      <c r="A27" s="50" t="s">
        <v>632</v>
      </c>
      <c r="B27" s="51">
        <v>26.77</v>
      </c>
      <c r="C27" s="51">
        <v>85.14</v>
      </c>
      <c r="D27" s="51">
        <v>68.87</v>
      </c>
      <c r="E27" s="51">
        <v>4.17</v>
      </c>
      <c r="F27" s="51">
        <v>4.01</v>
      </c>
      <c r="G27" s="51">
        <v>151.06</v>
      </c>
      <c r="H27" s="51">
        <v>37.75</v>
      </c>
      <c r="I27" s="51">
        <v>0.66</v>
      </c>
      <c r="J27" s="51">
        <v>0.23</v>
      </c>
      <c r="K27" s="51">
        <v>99.28</v>
      </c>
      <c r="L27" s="51">
        <v>26.42</v>
      </c>
      <c r="M27" s="51">
        <v>53</v>
      </c>
      <c r="N27" s="51">
        <v>5</v>
      </c>
      <c r="O27" s="51">
        <v>0</v>
      </c>
      <c r="P27" s="51">
        <v>1.53</v>
      </c>
      <c r="Q27" s="51">
        <v>39.159999999999997</v>
      </c>
      <c r="R27" s="43"/>
      <c r="S27" s="43"/>
      <c r="T27" s="43"/>
      <c r="U27" s="43"/>
    </row>
    <row r="28" spans="1:21" s="11" customFormat="1" ht="15">
      <c r="A28" s="50" t="s">
        <v>633</v>
      </c>
      <c r="B28" s="51">
        <v>47.21</v>
      </c>
      <c r="C28" s="51">
        <v>103.79</v>
      </c>
      <c r="D28" s="51">
        <v>95.55</v>
      </c>
      <c r="E28" s="51">
        <v>3.73</v>
      </c>
      <c r="F28" s="51">
        <v>3.59</v>
      </c>
      <c r="G28" s="51">
        <v>179.91</v>
      </c>
      <c r="H28" s="51">
        <v>50.20</v>
      </c>
      <c r="I28" s="51">
        <v>0.86</v>
      </c>
      <c r="J28" s="51">
        <v>0.30</v>
      </c>
      <c r="K28" s="51">
        <v>101.02</v>
      </c>
      <c r="L28" s="51">
        <v>25.82</v>
      </c>
      <c r="M28" s="51">
        <v>58</v>
      </c>
      <c r="N28" s="51">
        <v>5</v>
      </c>
      <c r="O28" s="51">
        <v>0</v>
      </c>
      <c r="P28" s="51">
        <v>2.77</v>
      </c>
      <c r="Q28" s="51">
        <v>41.15</v>
      </c>
      <c r="R28" s="43"/>
      <c r="S28" s="43"/>
      <c r="T28" s="43"/>
      <c r="U28" s="43"/>
    </row>
    <row r="29" spans="1:21" s="11" customFormat="1" ht="15">
      <c r="A29" s="50" t="s">
        <v>634</v>
      </c>
      <c r="B29" s="51">
        <v>52.56</v>
      </c>
      <c r="C29" s="51">
        <v>100.47</v>
      </c>
      <c r="D29" s="51">
        <v>97.21</v>
      </c>
      <c r="E29" s="51">
        <v>6.24</v>
      </c>
      <c r="F29" s="51">
        <v>3.66</v>
      </c>
      <c r="G29" s="51">
        <v>179.91</v>
      </c>
      <c r="H29" s="51">
        <v>60.90</v>
      </c>
      <c r="I29" s="51">
        <v>1.29</v>
      </c>
      <c r="J29" s="51">
        <v>0.40</v>
      </c>
      <c r="K29" s="51">
        <v>113.14</v>
      </c>
      <c r="L29" s="51">
        <v>25.38</v>
      </c>
      <c r="M29" s="51">
        <v>55</v>
      </c>
      <c r="N29" s="51">
        <v>4.80</v>
      </c>
      <c r="O29" s="51">
        <v>0</v>
      </c>
      <c r="P29" s="51">
        <v>2.99</v>
      </c>
      <c r="Q29" s="51">
        <v>41.67</v>
      </c>
      <c r="R29" s="43"/>
      <c r="S29" s="43"/>
      <c r="T29" s="43"/>
      <c r="U29" s="43"/>
    </row>
    <row r="30" spans="1:21" s="11" customFormat="1" ht="15">
      <c r="A30" s="50" t="s">
        <v>635</v>
      </c>
      <c r="B30" s="51">
        <v>63.5</v>
      </c>
      <c r="C30" s="51">
        <v>97.61</v>
      </c>
      <c r="D30" s="51">
        <v>105.05</v>
      </c>
      <c r="E30" s="51">
        <v>5.21</v>
      </c>
      <c r="F30" s="51">
        <v>3.60</v>
      </c>
      <c r="G30" s="51">
        <v>191.84</v>
      </c>
      <c r="H30" s="51">
        <v>62.60</v>
      </c>
      <c r="I30" s="51">
        <v>1.33</v>
      </c>
      <c r="J30" s="51">
        <v>0.12</v>
      </c>
      <c r="K30" s="51">
        <v>121.52</v>
      </c>
      <c r="L30" s="51">
        <v>24.32</v>
      </c>
      <c r="M30" s="51">
        <v>67</v>
      </c>
      <c r="N30" s="51">
        <v>5</v>
      </c>
      <c r="O30" s="51">
        <v>0</v>
      </c>
      <c r="P30" s="51">
        <v>2.98</v>
      </c>
      <c r="Q30" s="51">
        <v>46.86</v>
      </c>
      <c r="R30" s="43"/>
      <c r="S30" s="43"/>
      <c r="T30" s="43"/>
      <c r="U30" s="43"/>
    </row>
    <row r="31" spans="1:21" s="11" customFormat="1" ht="15">
      <c r="A31" s="50" t="s">
        <v>636</v>
      </c>
      <c r="B31" s="51">
        <v>75.760000000000005</v>
      </c>
      <c r="C31" s="51">
        <v>102.74</v>
      </c>
      <c r="D31" s="51">
        <v>117.34</v>
      </c>
      <c r="E31" s="51">
        <v>4.8099999999999996</v>
      </c>
      <c r="F31" s="51">
        <v>3.61</v>
      </c>
      <c r="G31" s="51">
        <v>191.84</v>
      </c>
      <c r="H31" s="51">
        <v>65.34</v>
      </c>
      <c r="I31" s="51">
        <v>1.49</v>
      </c>
      <c r="J31" s="51">
        <v>0.33</v>
      </c>
      <c r="K31" s="51">
        <v>130.27000000000001</v>
      </c>
      <c r="L31" s="51">
        <v>23.32</v>
      </c>
      <c r="M31" s="51">
        <v>69</v>
      </c>
      <c r="N31" s="51">
        <v>4.70</v>
      </c>
      <c r="O31" s="51">
        <v>0</v>
      </c>
      <c r="P31" s="51">
        <v>3.41</v>
      </c>
      <c r="Q31" s="51">
        <v>50.03</v>
      </c>
      <c r="R31" s="43"/>
      <c r="S31" s="43"/>
      <c r="T31" s="43"/>
      <c r="U31" s="43"/>
    </row>
    <row r="32" spans="1:21" s="11" customFormat="1" ht="15">
      <c r="A32" s="50" t="s">
        <v>637</v>
      </c>
      <c r="B32" s="51">
        <v>72.900000000000006</v>
      </c>
      <c r="C32" s="51">
        <v>103.17</v>
      </c>
      <c r="D32" s="51">
        <v>115.81</v>
      </c>
      <c r="E32" s="51">
        <v>4.12</v>
      </c>
      <c r="F32" s="51">
        <v>3.76</v>
      </c>
      <c r="G32" s="51">
        <v>189.78</v>
      </c>
      <c r="H32" s="51">
        <v>65.34</v>
      </c>
      <c r="I32" s="51">
        <v>1.53</v>
      </c>
      <c r="J32" s="51">
        <v>0.23</v>
      </c>
      <c r="K32" s="51">
        <v>343.01</v>
      </c>
      <c r="L32" s="51">
        <v>22.40</v>
      </c>
      <c r="M32" s="51">
        <v>68</v>
      </c>
      <c r="N32" s="51">
        <v>4.80</v>
      </c>
      <c r="O32" s="51">
        <v>0</v>
      </c>
      <c r="P32" s="51">
        <v>3.38</v>
      </c>
      <c r="Q32" s="51">
        <v>49.99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2.3199999999999998</v>
      </c>
      <c r="C34" s="28">
        <f t="shared" si="0"/>
        <v>55.450000000000003</v>
      </c>
      <c r="D34" s="28">
        <f t="shared" si="0"/>
        <v>34.689999999999998</v>
      </c>
      <c r="E34" s="28">
        <f t="shared" si="0"/>
        <v>3.3900000000000001</v>
      </c>
      <c r="F34" s="28">
        <f t="shared" si="0"/>
        <v>3.3799999999999999</v>
      </c>
      <c r="G34" s="28">
        <f t="shared" si="0"/>
        <v>55.229999999999997</v>
      </c>
      <c r="H34" s="28">
        <f t="shared" si="0"/>
        <v>31.800000000000001</v>
      </c>
      <c r="I34" s="28">
        <f t="shared" si="0"/>
        <v>0.51000000000000001</v>
      </c>
      <c r="J34" s="28">
        <f t="shared" si="0"/>
        <v>0.080000000000000002</v>
      </c>
      <c r="K34" s="28">
        <f t="shared" si="0"/>
        <v>12.609999999999999</v>
      </c>
      <c r="L34" s="28">
        <f t="shared" si="0"/>
        <v>16.890000000000001</v>
      </c>
      <c r="M34" s="28">
        <f t="shared" si="0"/>
        <v>34</v>
      </c>
      <c r="N34" s="28">
        <f t="shared" si="0"/>
        <v>4.5999999999999996</v>
      </c>
      <c r="O34" s="28">
        <f t="shared" si="0"/>
        <v>0</v>
      </c>
      <c r="P34" s="28">
        <f t="shared" si="0"/>
        <v>0.89000000000000001</v>
      </c>
      <c r="Q34" s="28">
        <f t="shared" si="0"/>
        <v>23.949999999999999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148.66</v>
      </c>
      <c r="C35" s="29">
        <f t="shared" si="1"/>
        <v>103.79000000000001</v>
      </c>
      <c r="D35" s="29">
        <f t="shared" si="1"/>
        <v>174.97999999999999</v>
      </c>
      <c r="E35" s="29">
        <f t="shared" si="1"/>
        <v>15.19</v>
      </c>
      <c r="F35" s="29">
        <f t="shared" si="1"/>
        <v>33.700000000000003</v>
      </c>
      <c r="G35" s="29">
        <f t="shared" si="1"/>
        <v>191.84</v>
      </c>
      <c r="H35" s="29">
        <f t="shared" si="1"/>
        <v>65.340000000000003</v>
      </c>
      <c r="I35" s="29">
        <f t="shared" si="1"/>
        <v>1.8899999999999999</v>
      </c>
      <c r="J35" s="29">
        <f t="shared" si="1"/>
        <v>1.1599999999999999</v>
      </c>
      <c r="K35" s="29">
        <f t="shared" si="1"/>
        <v>359.77999999999997</v>
      </c>
      <c r="L35" s="29">
        <f t="shared" si="1"/>
        <v>33.509999999999998</v>
      </c>
      <c r="M35" s="29">
        <f t="shared" si="1"/>
        <v>82</v>
      </c>
      <c r="N35" s="29">
        <f t="shared" si="1"/>
        <v>557.5</v>
      </c>
      <c r="O35" s="29">
        <f t="shared" si="1"/>
        <v>0</v>
      </c>
      <c r="P35" s="29">
        <f t="shared" si="1"/>
        <v>4.0099999999999998</v>
      </c>
      <c r="Q35" s="29">
        <f t="shared" si="1"/>
        <v>52.090000000000003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53.962083333333332</v>
      </c>
      <c r="C36" s="28">
        <f t="shared" si="2"/>
        <v>81.222916666666663</v>
      </c>
      <c r="D36" s="28">
        <f t="shared" si="2"/>
        <v>88.263750000000002</v>
      </c>
      <c r="E36" s="28">
        <f t="shared" si="2"/>
        <v>5.3483333333333327</v>
      </c>
      <c r="F36" s="28">
        <f t="shared" si="2"/>
        <v>9.3791666666666664</v>
      </c>
      <c r="G36" s="28">
        <f t="shared" si="2"/>
        <v>107.12136363636365</v>
      </c>
      <c r="H36" s="28">
        <f t="shared" si="2"/>
        <v>45.940909090909095</v>
      </c>
      <c r="I36" s="28">
        <f t="shared" si="2"/>
        <v>0.99208333333333332</v>
      </c>
      <c r="J36" s="28">
        <f t="shared" si="2"/>
        <v>0.35874999999999996</v>
      </c>
      <c r="K36" s="28">
        <f t="shared" si="2"/>
        <v>245.35750000000007</v>
      </c>
      <c r="L36" s="28">
        <f t="shared" si="2"/>
        <v>24.776666666666671</v>
      </c>
      <c r="M36" s="28">
        <f t="shared" si="2"/>
        <v>58.833333333333336</v>
      </c>
      <c r="N36" s="28">
        <f t="shared" si="2"/>
        <v>166.62083333333337</v>
      </c>
      <c r="O36" s="28">
        <f t="shared" si="2"/>
        <v>0</v>
      </c>
      <c r="P36" s="28">
        <f t="shared" si="2"/>
        <v>1.9733333333333336</v>
      </c>
      <c r="Q36" s="28">
        <f t="shared" si="2"/>
        <v>40.260833333333331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40.815727571735685</v>
      </c>
      <c r="C37" s="28">
        <f t="shared" si="3" ref="C37:Q37">STDEV(C9:C32)</f>
        <v>15.151837448960158</v>
      </c>
      <c r="D37" s="28">
        <f t="shared" si="3"/>
        <v>38.959063779093569</v>
      </c>
      <c r="E37" s="28">
        <f t="shared" si="3"/>
        <v>2.5760901730549226</v>
      </c>
      <c r="F37" s="28">
        <f t="shared" si="3"/>
        <v>10.41816929451981</v>
      </c>
      <c r="G37" s="28">
        <f t="shared" si="3"/>
        <v>52.453249597046309</v>
      </c>
      <c r="H37" s="28">
        <f t="shared" si="3"/>
        <v>11.265833686772057</v>
      </c>
      <c r="I37" s="28">
        <f t="shared" si="3"/>
        <v>0.43626855676657289</v>
      </c>
      <c r="J37" s="28">
        <f t="shared" si="3"/>
        <v>0.2988283279162427</v>
      </c>
      <c r="K37" s="28">
        <f t="shared" si="3"/>
        <v>114.29189089306809</v>
      </c>
      <c r="L37" s="28">
        <f t="shared" si="3"/>
        <v>5.6512358530383784</v>
      </c>
      <c r="M37" s="28">
        <f t="shared" si="3"/>
        <v>16.433440632274561</v>
      </c>
      <c r="N37" s="28">
        <f t="shared" si="3"/>
        <v>221.8865299106665</v>
      </c>
      <c r="O37" s="28">
        <f t="shared" si="3"/>
        <v>0</v>
      </c>
      <c r="P37" s="28">
        <f t="shared" si="3"/>
        <v>0.96691201284279693</v>
      </c>
      <c r="Q37" s="28">
        <f t="shared" si="3"/>
        <v>8.3510727853771272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22</v>
      </c>
      <c r="H38" s="32">
        <f t="shared" si="4"/>
        <v>22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e75ad20-d922-4846-bce7-b151c4a5fb6f}">
  <sheetPr codeName=""/>
  <dimension ref="A1:U119"/>
  <sheetViews>
    <sheetView workbookViewId="0" topLeftCell="A1">
      <pane xSplit="1" ySplit="8" topLeftCell="B24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H39" sqref="H3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25-01-2023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638</v>
      </c>
      <c r="B9" s="51">
        <v>65.209999999999994</v>
      </c>
      <c r="C9" s="51">
        <v>99.26</v>
      </c>
      <c r="D9" s="51">
        <v>107.49</v>
      </c>
      <c r="E9" s="51">
        <v>4.21</v>
      </c>
      <c r="F9" s="51">
        <v>3.5</v>
      </c>
      <c r="G9" s="51">
        <v>138.56</v>
      </c>
      <c r="H9" s="51">
        <v>61.57</v>
      </c>
      <c r="I9" s="51">
        <v>1.47</v>
      </c>
      <c r="J9" s="51">
        <v>0.14000000000000001</v>
      </c>
      <c r="K9" s="51">
        <v>352.25</v>
      </c>
      <c r="L9" s="51">
        <v>21.13</v>
      </c>
      <c r="M9" s="51">
        <v>73</v>
      </c>
      <c r="N9" s="51">
        <v>4.5999999999999996</v>
      </c>
      <c r="O9" s="51">
        <v>0</v>
      </c>
      <c r="P9" s="51">
        <v>3.25</v>
      </c>
      <c r="Q9" s="51">
        <v>46.77</v>
      </c>
      <c r="R9" s="43"/>
      <c r="S9" s="43"/>
      <c r="T9" s="43"/>
      <c r="U9" s="43"/>
    </row>
    <row r="10" spans="1:21" s="11" customFormat="1" ht="15">
      <c r="A10" s="50" t="s">
        <v>639</v>
      </c>
      <c r="B10" s="51">
        <v>62.12</v>
      </c>
      <c r="C10" s="51">
        <v>91.79</v>
      </c>
      <c r="D10" s="51">
        <v>100.88</v>
      </c>
      <c r="E10" s="51">
        <v>4.63</v>
      </c>
      <c r="F10" s="51">
        <v>3.44</v>
      </c>
      <c r="G10" s="51">
        <v>138.56</v>
      </c>
      <c r="H10" s="51">
        <v>56.72</v>
      </c>
      <c r="I10" s="51">
        <v>1.47</v>
      </c>
      <c r="J10" s="51">
        <v>0.34</v>
      </c>
      <c r="K10" s="51">
        <v>339.09</v>
      </c>
      <c r="L10" s="51">
        <v>21.66</v>
      </c>
      <c r="M10" s="51">
        <v>77</v>
      </c>
      <c r="N10" s="51">
        <v>4.5</v>
      </c>
      <c r="O10" s="51">
        <v>0</v>
      </c>
      <c r="P10" s="51">
        <v>2.89</v>
      </c>
      <c r="Q10" s="51">
        <v>48.98</v>
      </c>
      <c r="R10" s="43"/>
      <c r="S10" s="43"/>
      <c r="T10" s="43"/>
      <c r="U10" s="43"/>
    </row>
    <row r="11" spans="1:21" s="11" customFormat="1" ht="15">
      <c r="A11" s="50" t="s">
        <v>640</v>
      </c>
      <c r="B11" s="51">
        <v>51.27</v>
      </c>
      <c r="C11" s="51">
        <v>87.34</v>
      </c>
      <c r="D11" s="51">
        <v>89.73</v>
      </c>
      <c r="E11" s="51">
        <v>3.74</v>
      </c>
      <c r="F11" s="51">
        <v>3.67</v>
      </c>
      <c r="G11" s="51">
        <v>118.97</v>
      </c>
      <c r="H11" s="51">
        <v>53.77</v>
      </c>
      <c r="I11" s="51">
        <v>1.39</v>
      </c>
      <c r="J11" s="51">
        <v>0.26</v>
      </c>
      <c r="K11" s="51">
        <v>329.08</v>
      </c>
      <c r="L11" s="51">
        <v>20.88</v>
      </c>
      <c r="M11" s="51">
        <v>74</v>
      </c>
      <c r="N11" s="51">
        <v>4.70</v>
      </c>
      <c r="O11" s="51">
        <v>0</v>
      </c>
      <c r="P11" s="51">
        <v>2.4700000000000002</v>
      </c>
      <c r="Q11" s="51">
        <v>48.68</v>
      </c>
      <c r="R11" s="43"/>
      <c r="S11" s="43"/>
      <c r="T11" s="43"/>
      <c r="U11" s="43"/>
    </row>
    <row r="12" spans="1:21" s="11" customFormat="1" ht="15">
      <c r="A12" s="50" t="s">
        <v>641</v>
      </c>
      <c r="B12" s="51">
        <v>39.35</v>
      </c>
      <c r="C12" s="51">
        <v>76.739999999999995</v>
      </c>
      <c r="D12" s="51">
        <v>73.430000000000007</v>
      </c>
      <c r="E12" s="51">
        <v>3.52</v>
      </c>
      <c r="F12" s="51">
        <v>3.43</v>
      </c>
      <c r="G12" s="51">
        <v>67.430000000000007</v>
      </c>
      <c r="H12" s="51">
        <v>45.79</v>
      </c>
      <c r="I12" s="51">
        <v>1.1200000000000001</v>
      </c>
      <c r="J12" s="51">
        <v>0.20</v>
      </c>
      <c r="K12" s="51">
        <v>331.82</v>
      </c>
      <c r="L12" s="51">
        <v>19.30</v>
      </c>
      <c r="M12" s="51">
        <v>81</v>
      </c>
      <c r="N12" s="51">
        <v>4.80</v>
      </c>
      <c r="O12" s="51">
        <v>0</v>
      </c>
      <c r="P12" s="51">
        <v>2.0699999999999998</v>
      </c>
      <c r="Q12" s="51">
        <v>44.48</v>
      </c>
      <c r="R12" s="43"/>
      <c r="S12" s="43"/>
      <c r="T12" s="43"/>
      <c r="U12" s="43"/>
    </row>
    <row r="13" spans="1:21" s="11" customFormat="1" ht="15">
      <c r="A13" s="50" t="s">
        <v>642</v>
      </c>
      <c r="B13" s="51">
        <v>35.06</v>
      </c>
      <c r="C13" s="51">
        <v>75.28</v>
      </c>
      <c r="D13" s="51">
        <v>70.069999999999993</v>
      </c>
      <c r="E13" s="51">
        <v>3</v>
      </c>
      <c r="F13" s="51">
        <v>3.49</v>
      </c>
      <c r="G13" s="51">
        <v>67.430000000000007</v>
      </c>
      <c r="H13" s="51">
        <v>44.47</v>
      </c>
      <c r="I13" s="51">
        <v>1.05</v>
      </c>
      <c r="J13" s="51">
        <v>0.34</v>
      </c>
      <c r="K13" s="51">
        <v>341.41</v>
      </c>
      <c r="L13" s="51">
        <v>19.350000000000001</v>
      </c>
      <c r="M13" s="51">
        <v>77</v>
      </c>
      <c r="N13" s="51">
        <v>4.70</v>
      </c>
      <c r="O13" s="51">
        <v>0</v>
      </c>
      <c r="P13" s="51">
        <v>1.83</v>
      </c>
      <c r="Q13" s="51">
        <v>43.5</v>
      </c>
      <c r="R13" s="43"/>
      <c r="S13" s="43"/>
      <c r="T13" s="43"/>
      <c r="U13" s="43"/>
    </row>
    <row r="14" spans="1:21" s="11" customFormat="1" ht="15">
      <c r="A14" s="50" t="s">
        <v>643</v>
      </c>
      <c r="B14" s="51">
        <v>33.46</v>
      </c>
      <c r="C14" s="51">
        <v>73.17</v>
      </c>
      <c r="D14" s="51">
        <v>67.63</v>
      </c>
      <c r="E14" s="51">
        <v>3.01</v>
      </c>
      <c r="F14" s="51">
        <v>3.39</v>
      </c>
      <c r="G14" s="51">
        <v>76.11</v>
      </c>
      <c r="H14" s="51">
        <v>35.450000000000003</v>
      </c>
      <c r="I14" s="51">
        <v>0.98</v>
      </c>
      <c r="J14" s="51">
        <v>0.43</v>
      </c>
      <c r="K14" s="51">
        <v>207.67</v>
      </c>
      <c r="L14" s="51">
        <v>18.80</v>
      </c>
      <c r="M14" s="51">
        <v>84</v>
      </c>
      <c r="N14" s="51">
        <v>4.5999999999999996</v>
      </c>
      <c r="O14" s="51">
        <v>0</v>
      </c>
      <c r="P14" s="51">
        <v>1.59</v>
      </c>
      <c r="Q14" s="51">
        <v>45.65</v>
      </c>
      <c r="R14" s="43"/>
      <c r="S14" s="43"/>
      <c r="T14" s="43"/>
      <c r="U14" s="43"/>
    </row>
    <row r="15" spans="1:21" s="11" customFormat="1" ht="15">
      <c r="A15" s="50" t="s">
        <v>644</v>
      </c>
      <c r="B15" s="51">
        <v>29.15</v>
      </c>
      <c r="C15" s="51">
        <v>70.14</v>
      </c>
      <c r="D15" s="51">
        <v>62.5</v>
      </c>
      <c r="E15" s="51">
        <v>2.5499999999999998</v>
      </c>
      <c r="F15" s="51">
        <v>3.41</v>
      </c>
      <c r="G15" s="51">
        <v>76.11</v>
      </c>
      <c r="H15" s="51">
        <v>34.83</v>
      </c>
      <c r="I15" s="51">
        <v>0.87</v>
      </c>
      <c r="J15" s="51">
        <v>0.49</v>
      </c>
      <c r="K15" s="51">
        <v>349.58</v>
      </c>
      <c r="L15" s="51">
        <v>19.18</v>
      </c>
      <c r="M15" s="51">
        <v>85</v>
      </c>
      <c r="N15" s="51">
        <v>25.30</v>
      </c>
      <c r="O15" s="51">
        <v>0</v>
      </c>
      <c r="P15" s="51">
        <v>1.38</v>
      </c>
      <c r="Q15" s="51">
        <v>44.13</v>
      </c>
      <c r="R15" s="43"/>
      <c r="S15" s="43"/>
      <c r="T15" s="43"/>
      <c r="U15" s="43"/>
    </row>
    <row r="16" spans="1:21" s="11" customFormat="1" ht="15">
      <c r="A16" s="50" t="s">
        <v>645</v>
      </c>
      <c r="B16" s="51">
        <v>29.58</v>
      </c>
      <c r="C16" s="51">
        <v>68.849999999999994</v>
      </c>
      <c r="D16" s="51">
        <v>62.13</v>
      </c>
      <c r="E16" s="51">
        <v>2.99</v>
      </c>
      <c r="F16" s="51">
        <v>3.44</v>
      </c>
      <c r="G16" s="51">
        <v>89.02</v>
      </c>
      <c r="H16" s="51">
        <v>37.22</v>
      </c>
      <c r="I16" s="51">
        <v>0.79</v>
      </c>
      <c r="J16" s="51">
        <v>0.67</v>
      </c>
      <c r="K16" s="51">
        <v>268.93</v>
      </c>
      <c r="L16" s="51">
        <v>20.46</v>
      </c>
      <c r="M16" s="51">
        <v>81</v>
      </c>
      <c r="N16" s="51">
        <v>167.90</v>
      </c>
      <c r="O16" s="51">
        <v>0</v>
      </c>
      <c r="P16" s="51">
        <v>1.41</v>
      </c>
      <c r="Q16" s="51">
        <v>41.53</v>
      </c>
      <c r="R16" s="43"/>
      <c r="S16" s="43"/>
      <c r="T16" s="43"/>
      <c r="U16" s="43"/>
    </row>
    <row r="17" spans="1:21" s="11" customFormat="1" ht="15">
      <c r="A17" s="50" t="s">
        <v>646</v>
      </c>
      <c r="B17" s="51">
        <v>26.40</v>
      </c>
      <c r="C17" s="51">
        <v>68.92</v>
      </c>
      <c r="D17" s="51">
        <v>58.83</v>
      </c>
      <c r="E17" s="51">
        <v>4.3600000000000003</v>
      </c>
      <c r="F17" s="51">
        <v>3.43</v>
      </c>
      <c r="G17" s="51">
        <v>89.02</v>
      </c>
      <c r="H17" s="51">
        <v>37.22</v>
      </c>
      <c r="I17" s="51">
        <v>0.76</v>
      </c>
      <c r="J17" s="51">
        <v>0.33</v>
      </c>
      <c r="K17" s="51">
        <v>342.29</v>
      </c>
      <c r="L17" s="51">
        <v>24.27</v>
      </c>
      <c r="M17" s="51">
        <v>73</v>
      </c>
      <c r="N17" s="51">
        <v>351.40</v>
      </c>
      <c r="O17" s="51">
        <v>0</v>
      </c>
      <c r="P17" s="51">
        <v>1.33</v>
      </c>
      <c r="Q17" s="51">
        <v>42.93</v>
      </c>
      <c r="R17" s="43"/>
      <c r="S17" s="43"/>
      <c r="T17" s="43"/>
      <c r="U17" s="43"/>
    </row>
    <row r="18" spans="1:21" s="11" customFormat="1" ht="15">
      <c r="A18" s="50" t="s">
        <v>647</v>
      </c>
      <c r="B18" s="51">
        <v>20.73</v>
      </c>
      <c r="C18" s="51">
        <v>69.650000000000006</v>
      </c>
      <c r="D18" s="51">
        <v>55.14</v>
      </c>
      <c r="E18" s="51">
        <v>4.12</v>
      </c>
      <c r="F18" s="51">
        <v>3.56</v>
      </c>
      <c r="G18" s="51">
        <v>68.81</v>
      </c>
      <c r="H18" s="51">
        <v>34.19</v>
      </c>
      <c r="I18" s="51">
        <v>0.73</v>
      </c>
      <c r="J18" s="51">
        <v>0.98</v>
      </c>
      <c r="K18" s="51">
        <v>192.14</v>
      </c>
      <c r="L18" s="51">
        <v>26.38</v>
      </c>
      <c r="M18" s="51">
        <v>65</v>
      </c>
      <c r="N18" s="51">
        <v>481.10</v>
      </c>
      <c r="O18" s="51">
        <v>0</v>
      </c>
      <c r="P18" s="51">
        <v>1.24</v>
      </c>
      <c r="Q18" s="51">
        <v>43.08</v>
      </c>
      <c r="R18" s="43"/>
      <c r="S18" s="43"/>
      <c r="T18" s="43"/>
      <c r="U18" s="43"/>
    </row>
    <row r="19" spans="1:21" s="11" customFormat="1" ht="15">
      <c r="A19" s="50" t="s">
        <v>648</v>
      </c>
      <c r="B19" s="51">
        <v>12.53</v>
      </c>
      <c r="C19" s="51">
        <v>74.66</v>
      </c>
      <c r="D19" s="51">
        <v>49.70</v>
      </c>
      <c r="E19" s="51">
        <v>5.25</v>
      </c>
      <c r="F19" s="51">
        <v>5.87</v>
      </c>
      <c r="G19" s="51">
        <v>66.930000000000007</v>
      </c>
      <c r="H19" s="51">
        <v>32.799999999999997</v>
      </c>
      <c r="I19" s="51">
        <v>0.69</v>
      </c>
      <c r="J19" s="51">
        <v>0.44</v>
      </c>
      <c r="K19" s="51">
        <v>355.31</v>
      </c>
      <c r="L19" s="51">
        <v>30.38</v>
      </c>
      <c r="M19" s="51">
        <v>53</v>
      </c>
      <c r="N19" s="51">
        <v>536.90</v>
      </c>
      <c r="O19" s="51">
        <v>0</v>
      </c>
      <c r="P19" s="51">
        <v>1.21</v>
      </c>
      <c r="Q19" s="51">
        <v>42.72</v>
      </c>
      <c r="R19" s="43"/>
      <c r="S19" s="43"/>
      <c r="T19" s="43"/>
      <c r="U19" s="43"/>
    </row>
    <row r="20" spans="1:21" s="11" customFormat="1" ht="15">
      <c r="A20" s="50" t="s">
        <v>649</v>
      </c>
      <c r="B20" s="51">
        <v>4.9800000000000004</v>
      </c>
      <c r="C20" s="51">
        <v>78.30</v>
      </c>
      <c r="D20" s="51">
        <v>47.06</v>
      </c>
      <c r="E20" s="51">
        <v>15.45</v>
      </c>
      <c r="F20" s="51">
        <v>30.75</v>
      </c>
      <c r="G20" s="51">
        <v>66.930000000000007</v>
      </c>
      <c r="H20" s="51">
        <v>31.89</v>
      </c>
      <c r="I20" s="51">
        <v>0.68</v>
      </c>
      <c r="J20" s="51">
        <v>0.64</v>
      </c>
      <c r="K20" s="51">
        <v>14.16</v>
      </c>
      <c r="L20" s="51">
        <v>33.15</v>
      </c>
      <c r="M20" s="51">
        <v>42</v>
      </c>
      <c r="N20" s="51">
        <v>605.10</v>
      </c>
      <c r="O20" s="51">
        <v>0</v>
      </c>
      <c r="P20" s="51">
        <v>2.57</v>
      </c>
      <c r="Q20" s="51">
        <v>33.56</v>
      </c>
      <c r="R20" s="43"/>
      <c r="S20" s="43"/>
      <c r="T20" s="43"/>
      <c r="U20" s="43"/>
    </row>
    <row r="21" spans="1:21" s="11" customFormat="1" ht="15">
      <c r="A21" s="50" t="s">
        <v>650</v>
      </c>
      <c r="B21" s="51">
        <v>1.5</v>
      </c>
      <c r="C21" s="51">
        <v>73.31</v>
      </c>
      <c r="D21" s="51">
        <v>42.08</v>
      </c>
      <c r="E21" s="51">
        <v>8.01</v>
      </c>
      <c r="F21" s="51">
        <v>19.66</v>
      </c>
      <c r="G21" s="58" t="s">
        <v>12</v>
      </c>
      <c r="H21" s="58" t="s">
        <v>12</v>
      </c>
      <c r="I21" s="51">
        <v>0.52</v>
      </c>
      <c r="J21" s="51">
        <v>0.45</v>
      </c>
      <c r="K21" s="51">
        <v>179.59</v>
      </c>
      <c r="L21" s="51">
        <v>33.159999999999997</v>
      </c>
      <c r="M21" s="51">
        <v>34</v>
      </c>
      <c r="N21" s="51">
        <v>682.80</v>
      </c>
      <c r="O21" s="51">
        <v>0</v>
      </c>
      <c r="P21" s="51">
        <v>2.42</v>
      </c>
      <c r="Q21" s="51">
        <v>25.91</v>
      </c>
      <c r="R21" s="43"/>
      <c r="S21" s="43"/>
      <c r="T21" s="43"/>
      <c r="U21" s="43"/>
    </row>
    <row r="22" spans="1:21" s="11" customFormat="1" ht="15">
      <c r="A22" s="50" t="s">
        <v>651</v>
      </c>
      <c r="B22" s="51">
        <v>2.88</v>
      </c>
      <c r="C22" s="51">
        <v>48.91</v>
      </c>
      <c r="D22" s="51">
        <v>29.5</v>
      </c>
      <c r="E22" s="51">
        <v>5.81</v>
      </c>
      <c r="F22" s="51">
        <v>20.04</v>
      </c>
      <c r="G22" s="58" t="s">
        <v>12</v>
      </c>
      <c r="H22" s="58" t="s">
        <v>12</v>
      </c>
      <c r="I22" s="51">
        <v>0.51</v>
      </c>
      <c r="J22" s="51">
        <v>0.97</v>
      </c>
      <c r="K22" s="51">
        <v>149.72</v>
      </c>
      <c r="L22" s="51">
        <v>34.200000000000003</v>
      </c>
      <c r="M22" s="51">
        <v>30</v>
      </c>
      <c r="N22" s="51">
        <v>553.29999999999995</v>
      </c>
      <c r="O22" s="51">
        <v>0</v>
      </c>
      <c r="P22" s="51">
        <v>1.07</v>
      </c>
      <c r="Q22" s="51">
        <v>26.31</v>
      </c>
      <c r="R22" s="43"/>
      <c r="S22" s="43"/>
      <c r="T22" s="43"/>
      <c r="U22" s="43"/>
    </row>
    <row r="23" spans="1:21" s="11" customFormat="1" ht="15">
      <c r="A23" s="50" t="s">
        <v>652</v>
      </c>
      <c r="B23" s="51">
        <v>5.53</v>
      </c>
      <c r="C23" s="51">
        <v>55.07</v>
      </c>
      <c r="D23" s="51">
        <v>34.369999999999997</v>
      </c>
      <c r="E23" s="51">
        <v>5.97</v>
      </c>
      <c r="F23" s="51">
        <v>20.55</v>
      </c>
      <c r="G23" s="58" t="s">
        <v>12</v>
      </c>
      <c r="H23" s="58" t="s">
        <v>12</v>
      </c>
      <c r="I23" s="51">
        <v>0.52</v>
      </c>
      <c r="J23" s="51">
        <v>0.79</v>
      </c>
      <c r="K23" s="51">
        <v>86.07</v>
      </c>
      <c r="L23" s="51">
        <v>34.43</v>
      </c>
      <c r="M23" s="51">
        <v>28</v>
      </c>
      <c r="N23" s="51">
        <v>472.20</v>
      </c>
      <c r="O23" s="51">
        <v>0</v>
      </c>
      <c r="P23" s="51">
        <v>0.99</v>
      </c>
      <c r="Q23" s="51">
        <v>30.42</v>
      </c>
      <c r="R23" s="43"/>
      <c r="S23" s="43"/>
      <c r="T23" s="43"/>
      <c r="U23" s="43"/>
    </row>
    <row r="24" spans="1:21" s="11" customFormat="1" ht="15">
      <c r="A24" s="50" t="s">
        <v>653</v>
      </c>
      <c r="B24" s="51">
        <v>7.14</v>
      </c>
      <c r="C24" s="51">
        <v>60.06</v>
      </c>
      <c r="D24" s="51">
        <v>37.67</v>
      </c>
      <c r="E24" s="51">
        <v>5.14</v>
      </c>
      <c r="F24" s="51">
        <v>20.77</v>
      </c>
      <c r="G24" s="51">
        <v>61.72</v>
      </c>
      <c r="H24" s="51">
        <v>26.35</v>
      </c>
      <c r="I24" s="51">
        <v>0.55000000000000004</v>
      </c>
      <c r="J24" s="51">
        <v>0.73</v>
      </c>
      <c r="K24" s="51">
        <v>131.91999999999999</v>
      </c>
      <c r="L24" s="51">
        <v>32.69</v>
      </c>
      <c r="M24" s="51">
        <v>25</v>
      </c>
      <c r="N24" s="51">
        <v>213</v>
      </c>
      <c r="O24" s="51">
        <v>0</v>
      </c>
      <c r="P24" s="51">
        <v>0.97</v>
      </c>
      <c r="Q24" s="51">
        <v>35.74</v>
      </c>
      <c r="R24" s="43"/>
      <c r="S24" s="43"/>
      <c r="T24" s="43"/>
      <c r="U24" s="43"/>
    </row>
    <row r="25" spans="1:21" s="11" customFormat="1" ht="15">
      <c r="A25" s="50" t="s">
        <v>654</v>
      </c>
      <c r="B25" s="51">
        <v>3.98</v>
      </c>
      <c r="C25" s="51">
        <v>57.64</v>
      </c>
      <c r="D25" s="51">
        <v>35.409999999999997</v>
      </c>
      <c r="E25" s="51">
        <v>3.94</v>
      </c>
      <c r="F25" s="51">
        <v>16.559999999999999</v>
      </c>
      <c r="G25" s="51">
        <v>61.72</v>
      </c>
      <c r="H25" s="51">
        <v>26.35</v>
      </c>
      <c r="I25" s="51">
        <v>0.59</v>
      </c>
      <c r="J25" s="51">
        <v>0.56999999999999995</v>
      </c>
      <c r="K25" s="51">
        <v>293.37</v>
      </c>
      <c r="L25" s="51">
        <v>30.42</v>
      </c>
      <c r="M25" s="51">
        <v>27</v>
      </c>
      <c r="N25" s="51">
        <v>162.69999999999999</v>
      </c>
      <c r="O25" s="51">
        <v>0</v>
      </c>
      <c r="P25" s="51">
        <v>0.88</v>
      </c>
      <c r="Q25" s="51">
        <v>38.700000000000003</v>
      </c>
      <c r="R25" s="43"/>
      <c r="S25" s="43"/>
      <c r="T25" s="43"/>
      <c r="U25" s="43"/>
    </row>
    <row r="26" spans="1:21" s="11" customFormat="1" ht="15">
      <c r="A26" s="50" t="s">
        <v>655</v>
      </c>
      <c r="B26" s="51">
        <v>19.63</v>
      </c>
      <c r="C26" s="51">
        <v>93.23</v>
      </c>
      <c r="D26" s="51">
        <v>63.55</v>
      </c>
      <c r="E26" s="51">
        <v>9.77</v>
      </c>
      <c r="F26" s="51">
        <v>12.26</v>
      </c>
      <c r="G26" s="51">
        <v>48.37</v>
      </c>
      <c r="H26" s="51">
        <v>22.5</v>
      </c>
      <c r="I26" s="51">
        <v>0.63</v>
      </c>
      <c r="J26" s="51">
        <v>0.19</v>
      </c>
      <c r="K26" s="51">
        <v>345.77</v>
      </c>
      <c r="L26" s="51">
        <v>29.40</v>
      </c>
      <c r="M26" s="51">
        <v>41</v>
      </c>
      <c r="N26" s="51">
        <v>29.90</v>
      </c>
      <c r="O26" s="51">
        <v>0</v>
      </c>
      <c r="P26" s="51">
        <v>1.67</v>
      </c>
      <c r="Q26" s="51">
        <v>39.07</v>
      </c>
      <c r="R26" s="43"/>
      <c r="S26" s="43"/>
      <c r="T26" s="43"/>
      <c r="U26" s="43"/>
    </row>
    <row r="27" spans="1:21" s="11" customFormat="1" ht="15">
      <c r="A27" s="50" t="s">
        <v>656</v>
      </c>
      <c r="B27" s="51">
        <v>19.809999999999999</v>
      </c>
      <c r="C27" s="51">
        <v>100.28</v>
      </c>
      <c r="D27" s="51">
        <v>69.22</v>
      </c>
      <c r="E27" s="51">
        <v>8.44</v>
      </c>
      <c r="F27" s="51">
        <v>9.4600000000000009</v>
      </c>
      <c r="G27" s="51">
        <v>176.38</v>
      </c>
      <c r="H27" s="51">
        <v>37.47</v>
      </c>
      <c r="I27" s="51">
        <v>0.81</v>
      </c>
      <c r="J27" s="51">
        <v>0.41</v>
      </c>
      <c r="K27" s="51">
        <v>130.24</v>
      </c>
      <c r="L27" s="51">
        <v>27.39</v>
      </c>
      <c r="M27" s="51">
        <v>55</v>
      </c>
      <c r="N27" s="51">
        <v>5</v>
      </c>
      <c r="O27" s="51">
        <v>0</v>
      </c>
      <c r="P27" s="51">
        <v>2.14</v>
      </c>
      <c r="Q27" s="51">
        <v>41.81</v>
      </c>
      <c r="R27" s="43"/>
      <c r="S27" s="43"/>
      <c r="T27" s="43"/>
      <c r="U27" s="43"/>
    </row>
    <row r="28" spans="1:21" s="11" customFormat="1" ht="15">
      <c r="A28" s="50" t="s">
        <v>657</v>
      </c>
      <c r="B28" s="51">
        <v>17.12</v>
      </c>
      <c r="C28" s="51">
        <v>88.24</v>
      </c>
      <c r="D28" s="51">
        <v>62.84</v>
      </c>
      <c r="E28" s="51">
        <v>11.35</v>
      </c>
      <c r="F28" s="51">
        <v>7.23</v>
      </c>
      <c r="G28" s="51">
        <v>189.35</v>
      </c>
      <c r="H28" s="51">
        <v>50.43</v>
      </c>
      <c r="I28" s="51">
        <v>0.87</v>
      </c>
      <c r="J28" s="51">
        <v>0.51</v>
      </c>
      <c r="K28" s="51">
        <v>73.03</v>
      </c>
      <c r="L28" s="51">
        <v>26.95</v>
      </c>
      <c r="M28" s="51">
        <v>48</v>
      </c>
      <c r="N28" s="51">
        <v>5</v>
      </c>
      <c r="O28" s="51">
        <v>0</v>
      </c>
      <c r="P28" s="51">
        <v>1.98</v>
      </c>
      <c r="Q28" s="51">
        <v>46.88</v>
      </c>
      <c r="R28" s="43"/>
      <c r="S28" s="43"/>
      <c r="T28" s="43"/>
      <c r="U28" s="43"/>
    </row>
    <row r="29" spans="1:21" s="11" customFormat="1" ht="15">
      <c r="A29" s="50" t="s">
        <v>658</v>
      </c>
      <c r="B29" s="51">
        <v>38.01</v>
      </c>
      <c r="C29" s="51">
        <v>104.25</v>
      </c>
      <c r="D29" s="51">
        <v>88.43</v>
      </c>
      <c r="E29" s="51">
        <v>4.9400000000000004</v>
      </c>
      <c r="F29" s="51">
        <v>3.86</v>
      </c>
      <c r="G29" s="51">
        <v>189.35</v>
      </c>
      <c r="H29" s="51">
        <v>63.74</v>
      </c>
      <c r="I29" s="51">
        <v>0.93</v>
      </c>
      <c r="J29" s="51">
        <v>0.10</v>
      </c>
      <c r="K29" s="51">
        <v>104.86</v>
      </c>
      <c r="L29" s="51">
        <v>26.37</v>
      </c>
      <c r="M29" s="51">
        <v>54</v>
      </c>
      <c r="N29" s="51">
        <v>5</v>
      </c>
      <c r="O29" s="51">
        <v>0</v>
      </c>
      <c r="P29" s="51">
        <v>2.75</v>
      </c>
      <c r="Q29" s="51">
        <v>48.42</v>
      </c>
      <c r="R29" s="43"/>
      <c r="S29" s="43"/>
      <c r="T29" s="43"/>
      <c r="U29" s="43"/>
    </row>
    <row r="30" spans="1:21" s="11" customFormat="1" ht="15">
      <c r="A30" s="50" t="s">
        <v>659</v>
      </c>
      <c r="B30" s="51">
        <v>63.12</v>
      </c>
      <c r="C30" s="51">
        <v>109.12</v>
      </c>
      <c r="D30" s="51">
        <v>109.20</v>
      </c>
      <c r="E30" s="51">
        <v>9.76</v>
      </c>
      <c r="F30" s="51">
        <v>3.71</v>
      </c>
      <c r="G30" s="51">
        <v>195.97</v>
      </c>
      <c r="H30" s="51">
        <v>72.23</v>
      </c>
      <c r="I30" s="51">
        <v>1.26</v>
      </c>
      <c r="J30" s="51">
        <v>0.10</v>
      </c>
      <c r="K30" s="51">
        <v>352.55</v>
      </c>
      <c r="L30" s="51">
        <v>24.97</v>
      </c>
      <c r="M30" s="51">
        <v>64</v>
      </c>
      <c r="N30" s="51">
        <v>4.9000000000000004</v>
      </c>
      <c r="O30" s="51">
        <v>0</v>
      </c>
      <c r="P30" s="51">
        <v>3.17</v>
      </c>
      <c r="Q30" s="51">
        <v>48.53</v>
      </c>
      <c r="R30" s="43"/>
      <c r="S30" s="43"/>
      <c r="T30" s="43"/>
      <c r="U30" s="43"/>
    </row>
    <row r="31" spans="1:21" s="11" customFormat="1" ht="15">
      <c r="A31" s="50" t="s">
        <v>660</v>
      </c>
      <c r="B31" s="51">
        <v>43.47</v>
      </c>
      <c r="C31" s="51">
        <v>97.69</v>
      </c>
      <c r="D31" s="51">
        <v>89.19</v>
      </c>
      <c r="E31" s="51">
        <v>6.18</v>
      </c>
      <c r="F31" s="51">
        <v>5.99</v>
      </c>
      <c r="G31" s="51">
        <v>218.17</v>
      </c>
      <c r="H31" s="51">
        <v>81.63</v>
      </c>
      <c r="I31" s="51">
        <v>1.33</v>
      </c>
      <c r="J31" s="51">
        <v>0.79</v>
      </c>
      <c r="K31" s="51">
        <v>141.35</v>
      </c>
      <c r="L31" s="51">
        <v>24.85</v>
      </c>
      <c r="M31" s="51">
        <v>61</v>
      </c>
      <c r="N31" s="51">
        <v>4.9000000000000004</v>
      </c>
      <c r="O31" s="51">
        <v>0</v>
      </c>
      <c r="P31" s="51">
        <v>2.91</v>
      </c>
      <c r="Q31" s="51">
        <v>52.91</v>
      </c>
      <c r="R31" s="43"/>
      <c r="S31" s="43"/>
      <c r="T31" s="43"/>
      <c r="U31" s="43"/>
    </row>
    <row r="32" spans="1:21" s="11" customFormat="1" ht="15">
      <c r="A32" s="50" t="s">
        <v>661</v>
      </c>
      <c r="B32" s="51">
        <v>42.49</v>
      </c>
      <c r="C32" s="51">
        <v>93.52</v>
      </c>
      <c r="D32" s="51">
        <v>86.10</v>
      </c>
      <c r="E32" s="51">
        <v>4.13</v>
      </c>
      <c r="F32" s="51">
        <v>3.74</v>
      </c>
      <c r="G32" s="51">
        <v>218.17</v>
      </c>
      <c r="H32" s="51">
        <v>81.63</v>
      </c>
      <c r="I32" s="51">
        <v>1.18</v>
      </c>
      <c r="J32" s="51">
        <v>0.20</v>
      </c>
      <c r="K32" s="51">
        <v>344.69</v>
      </c>
      <c r="L32" s="51">
        <v>22.54</v>
      </c>
      <c r="M32" s="51">
        <v>69</v>
      </c>
      <c r="N32" s="51">
        <v>5</v>
      </c>
      <c r="O32" s="51">
        <v>0</v>
      </c>
      <c r="P32" s="51">
        <v>2.92</v>
      </c>
      <c r="Q32" s="51">
        <v>53.53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1.5</v>
      </c>
      <c r="C34" s="28">
        <f t="shared" si="0"/>
        <v>48.909999999999997</v>
      </c>
      <c r="D34" s="28">
        <f t="shared" si="0"/>
        <v>29.5</v>
      </c>
      <c r="E34" s="28">
        <f t="shared" si="0"/>
        <v>2.5499999999999998</v>
      </c>
      <c r="F34" s="28">
        <f t="shared" si="0"/>
        <v>3.3900000000000001</v>
      </c>
      <c r="G34" s="28">
        <f t="shared" si="0"/>
        <v>48.369999999999997</v>
      </c>
      <c r="H34" s="28">
        <f t="shared" si="0"/>
        <v>22.5</v>
      </c>
      <c r="I34" s="28">
        <f t="shared" si="0"/>
        <v>0.51000000000000001</v>
      </c>
      <c r="J34" s="28">
        <f t="shared" si="0"/>
        <v>0.10000000000000001</v>
      </c>
      <c r="K34" s="28">
        <f t="shared" si="0"/>
        <v>14.16</v>
      </c>
      <c r="L34" s="28">
        <f t="shared" si="0"/>
        <v>18.800000000000001</v>
      </c>
      <c r="M34" s="28">
        <f t="shared" si="0"/>
        <v>25</v>
      </c>
      <c r="N34" s="28">
        <f t="shared" si="0"/>
        <v>4.5</v>
      </c>
      <c r="O34" s="28">
        <f t="shared" si="0"/>
        <v>0</v>
      </c>
      <c r="P34" s="28">
        <f t="shared" si="0"/>
        <v>0.88</v>
      </c>
      <c r="Q34" s="28">
        <f t="shared" si="0"/>
        <v>25.91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65.209999999999994</v>
      </c>
      <c r="C35" s="29">
        <f t="shared" si="1"/>
        <v>109.12</v>
      </c>
      <c r="D35" s="29">
        <f t="shared" si="1"/>
        <v>109.2</v>
      </c>
      <c r="E35" s="29">
        <f t="shared" si="1"/>
        <v>15.449999999999999</v>
      </c>
      <c r="F35" s="29">
        <f t="shared" si="1"/>
        <v>30.75</v>
      </c>
      <c r="G35" s="29">
        <f t="shared" si="1"/>
        <v>218.16999999999999</v>
      </c>
      <c r="H35" s="29">
        <f t="shared" si="1"/>
        <v>81.629999999999995</v>
      </c>
      <c r="I35" s="29">
        <f t="shared" si="1"/>
        <v>1.47</v>
      </c>
      <c r="J35" s="29">
        <f t="shared" si="1"/>
        <v>0.97999999999999998</v>
      </c>
      <c r="K35" s="29">
        <f t="shared" si="1"/>
        <v>355.31</v>
      </c>
      <c r="L35" s="29">
        <f t="shared" si="1"/>
        <v>34.43</v>
      </c>
      <c r="M35" s="29">
        <f t="shared" si="1"/>
        <v>85</v>
      </c>
      <c r="N35" s="29">
        <f t="shared" si="1"/>
        <v>682.79999999999995</v>
      </c>
      <c r="O35" s="29">
        <f t="shared" si="1"/>
        <v>0</v>
      </c>
      <c r="P35" s="29">
        <f t="shared" si="1"/>
        <v>3.25</v>
      </c>
      <c r="Q35" s="29">
        <f t="shared" si="1"/>
        <v>53.530000000000001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28.105</v>
      </c>
      <c r="C36" s="28">
        <f t="shared" si="2"/>
        <v>79.80916666666667</v>
      </c>
      <c r="D36" s="28">
        <f t="shared" si="2"/>
        <v>66.339583333333337</v>
      </c>
      <c r="E36" s="28">
        <f t="shared" si="2"/>
        <v>5.8445833333333326</v>
      </c>
      <c r="F36" s="28">
        <f t="shared" si="2"/>
        <v>8.9670833333333348</v>
      </c>
      <c r="G36" s="28">
        <f t="shared" si="2"/>
        <v>115.3847619047619</v>
      </c>
      <c r="H36" s="28">
        <f t="shared" si="2"/>
        <v>46.107142857142854</v>
      </c>
      <c r="I36" s="28">
        <f t="shared" si="2"/>
        <v>0.90416666666666679</v>
      </c>
      <c r="J36" s="28">
        <f t="shared" si="2"/>
        <v>0.46124999999999988</v>
      </c>
      <c r="K36" s="28">
        <f t="shared" si="2"/>
        <v>239.87041666666664</v>
      </c>
      <c r="L36" s="28">
        <f t="shared" si="2"/>
        <v>25.929583333333337</v>
      </c>
      <c r="M36" s="28">
        <f t="shared" si="2"/>
        <v>58.375</v>
      </c>
      <c r="N36" s="28">
        <f t="shared" si="2"/>
        <v>180.80416666666659</v>
      </c>
      <c r="O36" s="28">
        <f t="shared" si="2"/>
        <v>0</v>
      </c>
      <c r="P36" s="28">
        <f t="shared" si="2"/>
        <v>1.9629166666666666</v>
      </c>
      <c r="Q36" s="28">
        <f t="shared" si="2"/>
        <v>42.259999999999998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19.798557040086653</v>
      </c>
      <c r="C37" s="28">
        <f t="shared" si="3" ref="C37:Q37">STDEV(C9:C32)</f>
        <v>16.473614454284373</v>
      </c>
      <c r="D37" s="28">
        <f t="shared" si="3"/>
        <v>23.195289341694515</v>
      </c>
      <c r="E37" s="28">
        <f t="shared" si="3"/>
        <v>3.1442894810401469</v>
      </c>
      <c r="F37" s="28">
        <f t="shared" si="3"/>
        <v>7.9611909089284971</v>
      </c>
      <c r="G37" s="28">
        <f t="shared" si="3"/>
        <v>58.9758517207719</v>
      </c>
      <c r="H37" s="28">
        <f t="shared" si="3"/>
        <v>17.722177671735789</v>
      </c>
      <c r="I37" s="28">
        <f t="shared" si="3"/>
        <v>0.31318721539050404</v>
      </c>
      <c r="J37" s="28">
        <f t="shared" si="3"/>
        <v>0.26147262721479814</v>
      </c>
      <c r="K37" s="28">
        <f t="shared" si="3"/>
        <v>112.82385596021753</v>
      </c>
      <c r="L37" s="28">
        <f t="shared" si="3"/>
        <v>5.2873848875673017</v>
      </c>
      <c r="M37" s="28">
        <f t="shared" si="3"/>
        <v>19.89933907576264</v>
      </c>
      <c r="N37" s="28">
        <f t="shared" si="3"/>
        <v>239.74220299089504</v>
      </c>
      <c r="O37" s="28">
        <f t="shared" si="3"/>
        <v>0</v>
      </c>
      <c r="P37" s="28">
        <f t="shared" si="3"/>
        <v>0.76794179561297227</v>
      </c>
      <c r="Q37" s="28">
        <f t="shared" si="3"/>
        <v>7.4373826625746497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>COUNT(G9:G32)+3</f>
        <v>24</v>
      </c>
      <c r="H38" s="32">
        <f>COUNT(H9:H32)+3</f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60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1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5eff27d-920e-4f9e-902a-7ba4a341314f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B44" sqref="B44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26-01-2023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55" t="s">
        <v>21</v>
      </c>
      <c r="B7" s="56" t="s">
        <v>58</v>
      </c>
      <c r="C7" s="56" t="s">
        <v>43</v>
      </c>
      <c r="D7" s="56" t="s">
        <v>44</v>
      </c>
      <c r="E7" s="56" t="s">
        <v>45</v>
      </c>
      <c r="F7" s="56" t="s">
        <v>46</v>
      </c>
      <c r="G7" s="56" t="s">
        <v>47</v>
      </c>
      <c r="H7" s="56" t="s">
        <v>48</v>
      </c>
      <c r="I7" s="56" t="s">
        <v>49</v>
      </c>
      <c r="J7" s="56" t="s">
        <v>50</v>
      </c>
      <c r="K7" s="56" t="s">
        <v>51</v>
      </c>
      <c r="L7" s="56" t="s">
        <v>52</v>
      </c>
      <c r="M7" s="56" t="s">
        <v>53</v>
      </c>
      <c r="N7" s="56" t="s">
        <v>54</v>
      </c>
      <c r="O7" s="56" t="s">
        <v>55</v>
      </c>
      <c r="P7" s="56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62"/>
      <c r="B8" s="63" t="s">
        <v>22</v>
      </c>
      <c r="C8" s="63" t="s">
        <v>22</v>
      </c>
      <c r="D8" s="63" t="s">
        <v>613</v>
      </c>
      <c r="E8" s="63" t="s">
        <v>22</v>
      </c>
      <c r="F8" s="63" t="s">
        <v>22</v>
      </c>
      <c r="G8" s="63" t="s">
        <v>23</v>
      </c>
      <c r="H8" s="63" t="s">
        <v>22</v>
      </c>
      <c r="I8" s="63" t="s">
        <v>22</v>
      </c>
      <c r="J8" s="63" t="s">
        <v>24</v>
      </c>
      <c r="K8" s="63" t="s">
        <v>25</v>
      </c>
      <c r="L8" s="62" t="s">
        <v>27</v>
      </c>
      <c r="M8" s="63" t="s">
        <v>26</v>
      </c>
      <c r="N8" s="63" t="s">
        <v>28</v>
      </c>
      <c r="O8" s="62" t="s">
        <v>29</v>
      </c>
      <c r="P8" s="63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662</v>
      </c>
      <c r="B9" s="51">
        <v>42.06</v>
      </c>
      <c r="C9" s="51">
        <v>93.60</v>
      </c>
      <c r="D9" s="51">
        <v>85.80</v>
      </c>
      <c r="E9" s="51">
        <v>3.85</v>
      </c>
      <c r="F9" s="51">
        <v>3.95</v>
      </c>
      <c r="G9" s="51">
        <v>166.52</v>
      </c>
      <c r="H9" s="51">
        <v>77.67</v>
      </c>
      <c r="I9" s="51">
        <v>1.1499999999999999</v>
      </c>
      <c r="J9" s="51">
        <v>0.14000000000000001</v>
      </c>
      <c r="K9" s="51">
        <v>319.08</v>
      </c>
      <c r="L9" s="51">
        <v>21.23</v>
      </c>
      <c r="M9" s="51">
        <v>73</v>
      </c>
      <c r="N9" s="51">
        <v>4.5999999999999996</v>
      </c>
      <c r="O9" s="51">
        <v>0</v>
      </c>
      <c r="P9" s="51">
        <v>2.88</v>
      </c>
      <c r="Q9" s="51">
        <v>53.48</v>
      </c>
      <c r="R9" s="43"/>
      <c r="S9" s="43"/>
      <c r="T9" s="43"/>
      <c r="U9" s="43"/>
    </row>
    <row r="10" spans="1:21" s="11" customFormat="1" ht="15">
      <c r="A10" s="50" t="s">
        <v>663</v>
      </c>
      <c r="B10" s="51">
        <v>38.79</v>
      </c>
      <c r="C10" s="51">
        <v>87.89</v>
      </c>
      <c r="D10" s="51">
        <v>80.03</v>
      </c>
      <c r="E10" s="51">
        <v>3.99</v>
      </c>
      <c r="F10" s="51">
        <v>3.52</v>
      </c>
      <c r="G10" s="51">
        <v>167.53</v>
      </c>
      <c r="H10" s="51">
        <v>71.88</v>
      </c>
      <c r="I10" s="51">
        <v>1.1100000000000001</v>
      </c>
      <c r="J10" s="51">
        <v>0.14000000000000001</v>
      </c>
      <c r="K10" s="51">
        <v>313.54000000000002</v>
      </c>
      <c r="L10" s="51">
        <v>20.23</v>
      </c>
      <c r="M10" s="51">
        <v>78</v>
      </c>
      <c r="N10" s="51">
        <v>4.5999999999999996</v>
      </c>
      <c r="O10" s="51">
        <v>0</v>
      </c>
      <c r="P10" s="51">
        <v>2.66</v>
      </c>
      <c r="Q10" s="51">
        <v>50.98</v>
      </c>
      <c r="R10" s="43"/>
      <c r="S10" s="43"/>
      <c r="T10" s="43"/>
      <c r="U10" s="43"/>
    </row>
    <row r="11" spans="1:21" s="11" customFormat="1" ht="15">
      <c r="A11" s="50" t="s">
        <v>664</v>
      </c>
      <c r="B11" s="51">
        <v>35.04</v>
      </c>
      <c r="C11" s="51">
        <v>81.96</v>
      </c>
      <c r="D11" s="51">
        <v>73.739999999999995</v>
      </c>
      <c r="E11" s="51">
        <v>3.79</v>
      </c>
      <c r="F11" s="51">
        <v>3.60</v>
      </c>
      <c r="G11" s="51">
        <v>167.53</v>
      </c>
      <c r="H11" s="51">
        <v>71.88</v>
      </c>
      <c r="I11" s="51">
        <v>1.1000000000000001</v>
      </c>
      <c r="J11" s="51">
        <v>0.21</v>
      </c>
      <c r="K11" s="51">
        <v>335.77</v>
      </c>
      <c r="L11" s="51">
        <v>20.37</v>
      </c>
      <c r="M11" s="51">
        <v>79</v>
      </c>
      <c r="N11" s="51">
        <v>4.80</v>
      </c>
      <c r="O11" s="51">
        <v>0</v>
      </c>
      <c r="P11" s="51">
        <v>2.54</v>
      </c>
      <c r="Q11" s="51">
        <v>51.87</v>
      </c>
      <c r="R11" s="43"/>
      <c r="S11" s="43"/>
      <c r="T11" s="43"/>
      <c r="U11" s="43"/>
    </row>
    <row r="12" spans="1:21" s="11" customFormat="1" ht="15">
      <c r="A12" s="50" t="s">
        <v>665</v>
      </c>
      <c r="B12" s="51">
        <v>29.84</v>
      </c>
      <c r="C12" s="51">
        <v>76.98</v>
      </c>
      <c r="D12" s="51">
        <v>66.819999999999993</v>
      </c>
      <c r="E12" s="51">
        <v>3.79</v>
      </c>
      <c r="F12" s="51">
        <v>3.52</v>
      </c>
      <c r="G12" s="51">
        <v>137.66</v>
      </c>
      <c r="H12" s="51">
        <v>69.239999999999995</v>
      </c>
      <c r="I12" s="51">
        <v>1.06</v>
      </c>
      <c r="J12" s="51">
        <v>0.13</v>
      </c>
      <c r="K12" s="51">
        <v>354.49</v>
      </c>
      <c r="L12" s="51">
        <v>19.25</v>
      </c>
      <c r="M12" s="51">
        <v>81</v>
      </c>
      <c r="N12" s="51">
        <v>4.5</v>
      </c>
      <c r="O12" s="51">
        <v>0</v>
      </c>
      <c r="P12" s="51">
        <v>2.2999999999999998</v>
      </c>
      <c r="Q12" s="51">
        <v>51.38</v>
      </c>
      <c r="R12" s="43"/>
      <c r="S12" s="43"/>
      <c r="T12" s="43"/>
      <c r="U12" s="43"/>
    </row>
    <row r="13" spans="1:21" s="11" customFormat="1" ht="15">
      <c r="A13" s="50" t="s">
        <v>666</v>
      </c>
      <c r="B13" s="51">
        <v>25.73</v>
      </c>
      <c r="C13" s="51">
        <v>73.55</v>
      </c>
      <c r="D13" s="51">
        <v>61.33</v>
      </c>
      <c r="E13" s="51">
        <v>4.5599999999999996</v>
      </c>
      <c r="F13" s="51">
        <v>3.55</v>
      </c>
      <c r="G13" s="51">
        <v>105.72</v>
      </c>
      <c r="H13" s="51">
        <v>60.5</v>
      </c>
      <c r="I13" s="51">
        <v>0.95</v>
      </c>
      <c r="J13" s="51">
        <v>0.72</v>
      </c>
      <c r="K13" s="51">
        <v>270.98</v>
      </c>
      <c r="L13" s="51">
        <v>19.5</v>
      </c>
      <c r="M13" s="51">
        <v>77</v>
      </c>
      <c r="N13" s="51">
        <v>4.5999999999999996</v>
      </c>
      <c r="O13" s="51">
        <v>0</v>
      </c>
      <c r="P13" s="51">
        <v>2.0099999999999998</v>
      </c>
      <c r="Q13" s="51">
        <v>49.40</v>
      </c>
      <c r="R13" s="43"/>
      <c r="S13" s="43"/>
      <c r="T13" s="43"/>
      <c r="U13" s="43"/>
    </row>
    <row r="14" spans="1:21" s="11" customFormat="1" ht="15">
      <c r="A14" s="50" t="s">
        <v>667</v>
      </c>
      <c r="B14" s="51">
        <v>22.38</v>
      </c>
      <c r="C14" s="51">
        <v>72.31</v>
      </c>
      <c r="D14" s="51">
        <v>58.27</v>
      </c>
      <c r="E14" s="51">
        <v>4.4800000000000004</v>
      </c>
      <c r="F14" s="51">
        <v>3.59</v>
      </c>
      <c r="G14" s="51">
        <v>103.82</v>
      </c>
      <c r="H14" s="51">
        <v>55.76</v>
      </c>
      <c r="I14" s="51">
        <v>0.89</v>
      </c>
      <c r="J14" s="51">
        <v>0.19</v>
      </c>
      <c r="K14" s="51">
        <v>339.88</v>
      </c>
      <c r="L14" s="51">
        <v>19.11</v>
      </c>
      <c r="M14" s="51">
        <v>78</v>
      </c>
      <c r="N14" s="51">
        <v>4.70</v>
      </c>
      <c r="O14" s="51">
        <v>0</v>
      </c>
      <c r="P14" s="51">
        <v>1.79</v>
      </c>
      <c r="Q14" s="51">
        <v>47.88</v>
      </c>
      <c r="R14" s="43"/>
      <c r="S14" s="43"/>
      <c r="T14" s="43"/>
      <c r="U14" s="43"/>
    </row>
    <row r="15" spans="1:21" s="11" customFormat="1" ht="15">
      <c r="A15" s="50" t="s">
        <v>668</v>
      </c>
      <c r="B15" s="51">
        <v>23.70</v>
      </c>
      <c r="C15" s="51">
        <v>69.98</v>
      </c>
      <c r="D15" s="51">
        <v>57.99</v>
      </c>
      <c r="E15" s="51">
        <v>4.34</v>
      </c>
      <c r="F15" s="51">
        <v>3.53</v>
      </c>
      <c r="G15" s="51">
        <v>77.319999999999993</v>
      </c>
      <c r="H15" s="51">
        <v>46.91</v>
      </c>
      <c r="I15" s="51">
        <v>0.86</v>
      </c>
      <c r="J15" s="51">
        <v>0.72</v>
      </c>
      <c r="K15" s="51">
        <v>245.49</v>
      </c>
      <c r="L15" s="51">
        <v>18.79</v>
      </c>
      <c r="M15" s="51">
        <v>78</v>
      </c>
      <c r="N15" s="51">
        <v>17</v>
      </c>
      <c r="O15" s="51">
        <v>0</v>
      </c>
      <c r="P15" s="51">
        <v>1.61</v>
      </c>
      <c r="Q15" s="51">
        <v>49.56</v>
      </c>
      <c r="R15" s="43"/>
      <c r="S15" s="43"/>
      <c r="T15" s="43"/>
      <c r="U15" s="43"/>
    </row>
    <row r="16" spans="1:21" s="11" customFormat="1" ht="15">
      <c r="A16" s="50" t="s">
        <v>669</v>
      </c>
      <c r="B16" s="51">
        <v>23.51</v>
      </c>
      <c r="C16" s="51">
        <v>68.540000000000006</v>
      </c>
      <c r="D16" s="51">
        <v>56.63</v>
      </c>
      <c r="E16" s="51">
        <v>4.68</v>
      </c>
      <c r="F16" s="51">
        <v>3.46</v>
      </c>
      <c r="G16" s="51">
        <v>77.319999999999993</v>
      </c>
      <c r="H16" s="51">
        <v>43.07</v>
      </c>
      <c r="I16" s="51">
        <v>0.81</v>
      </c>
      <c r="J16" s="51">
        <v>0.24</v>
      </c>
      <c r="K16" s="51">
        <v>237.39</v>
      </c>
      <c r="L16" s="51">
        <v>20.55</v>
      </c>
      <c r="M16" s="51">
        <v>81</v>
      </c>
      <c r="N16" s="51">
        <v>160.80000000000001</v>
      </c>
      <c r="O16" s="51">
        <v>0</v>
      </c>
      <c r="P16" s="51">
        <v>1.41</v>
      </c>
      <c r="Q16" s="51">
        <v>48.38</v>
      </c>
      <c r="R16" s="43"/>
      <c r="S16" s="43"/>
      <c r="T16" s="43"/>
      <c r="U16" s="43"/>
    </row>
    <row r="17" spans="1:21" s="11" customFormat="1" ht="15">
      <c r="A17" s="50" t="s">
        <v>670</v>
      </c>
      <c r="B17" s="51">
        <v>25.13</v>
      </c>
      <c r="C17" s="51">
        <v>69.680000000000007</v>
      </c>
      <c r="D17" s="51">
        <v>58.40</v>
      </c>
      <c r="E17" s="51">
        <v>3.35</v>
      </c>
      <c r="F17" s="51">
        <v>3.71</v>
      </c>
      <c r="G17" s="51">
        <v>84.27</v>
      </c>
      <c r="H17" s="51">
        <v>43.83</v>
      </c>
      <c r="I17" s="51">
        <v>0.77</v>
      </c>
      <c r="J17" s="51">
        <v>0.52</v>
      </c>
      <c r="K17" s="51">
        <v>353.31</v>
      </c>
      <c r="L17" s="51">
        <v>27.54</v>
      </c>
      <c r="M17" s="51">
        <v>64</v>
      </c>
      <c r="N17" s="51">
        <v>347.60</v>
      </c>
      <c r="O17" s="51">
        <v>0</v>
      </c>
      <c r="P17" s="51">
        <v>1.40</v>
      </c>
      <c r="Q17" s="51">
        <v>46.55</v>
      </c>
      <c r="R17" s="43"/>
      <c r="S17" s="43"/>
      <c r="T17" s="43"/>
      <c r="U17" s="43"/>
    </row>
    <row r="18" spans="1:21" s="11" customFormat="1" ht="15">
      <c r="A18" s="50" t="s">
        <v>671</v>
      </c>
      <c r="B18" s="51">
        <v>20.18</v>
      </c>
      <c r="C18" s="51">
        <v>72.20</v>
      </c>
      <c r="D18" s="51">
        <v>55.37</v>
      </c>
      <c r="E18" s="51">
        <v>3.54</v>
      </c>
      <c r="F18" s="51">
        <v>3.94</v>
      </c>
      <c r="G18" s="51">
        <v>84.27</v>
      </c>
      <c r="H18" s="51">
        <v>43.83</v>
      </c>
      <c r="I18" s="51">
        <v>0.76</v>
      </c>
      <c r="J18" s="51">
        <v>0.74</v>
      </c>
      <c r="K18" s="51">
        <v>352.31</v>
      </c>
      <c r="L18" s="51">
        <v>31.79</v>
      </c>
      <c r="M18" s="51">
        <v>44</v>
      </c>
      <c r="N18" s="51">
        <v>496.10</v>
      </c>
      <c r="O18" s="51">
        <v>0</v>
      </c>
      <c r="P18" s="51">
        <v>1.29</v>
      </c>
      <c r="Q18" s="51">
        <v>46.15</v>
      </c>
      <c r="R18" s="43"/>
      <c r="S18" s="43"/>
      <c r="T18" s="43"/>
      <c r="U18" s="43"/>
    </row>
    <row r="19" spans="1:21" s="11" customFormat="1" ht="15">
      <c r="A19" s="50" t="s">
        <v>672</v>
      </c>
      <c r="B19" s="51">
        <v>11.61</v>
      </c>
      <c r="C19" s="51">
        <v>75.06</v>
      </c>
      <c r="D19" s="51">
        <v>50.80</v>
      </c>
      <c r="E19" s="51">
        <v>2.88</v>
      </c>
      <c r="F19" s="51">
        <v>4.74</v>
      </c>
      <c r="G19" s="51">
        <v>61.11</v>
      </c>
      <c r="H19" s="51">
        <v>40.56</v>
      </c>
      <c r="I19" s="51">
        <v>0.72</v>
      </c>
      <c r="J19" s="51">
        <v>0.77</v>
      </c>
      <c r="K19" s="51">
        <v>359.75</v>
      </c>
      <c r="L19" s="51">
        <v>33.020000000000003</v>
      </c>
      <c r="M19" s="51">
        <v>36</v>
      </c>
      <c r="N19" s="51">
        <v>577.29999999999995</v>
      </c>
      <c r="O19" s="51">
        <v>0</v>
      </c>
      <c r="P19" s="51">
        <v>1.1499999999999999</v>
      </c>
      <c r="Q19" s="51">
        <v>45.73</v>
      </c>
      <c r="R19" s="43"/>
      <c r="S19" s="43"/>
      <c r="T19" s="43"/>
      <c r="U19" s="43"/>
    </row>
    <row r="20" spans="1:21" s="11" customFormat="1" ht="15">
      <c r="A20" s="50" t="s">
        <v>673</v>
      </c>
      <c r="B20" s="51">
        <v>3.79</v>
      </c>
      <c r="C20" s="51">
        <v>73.98</v>
      </c>
      <c r="D20" s="51">
        <v>44.28</v>
      </c>
      <c r="E20" s="51">
        <v>2.90</v>
      </c>
      <c r="F20" s="51">
        <v>4.88</v>
      </c>
      <c r="G20" s="51">
        <v>61.11</v>
      </c>
      <c r="H20" s="51">
        <v>35.450000000000003</v>
      </c>
      <c r="I20" s="51">
        <v>0.66</v>
      </c>
      <c r="J20" s="51">
        <v>0.92</v>
      </c>
      <c r="K20" s="51">
        <v>356.26</v>
      </c>
      <c r="L20" s="51">
        <v>34.47</v>
      </c>
      <c r="M20" s="51">
        <v>31</v>
      </c>
      <c r="N20" s="51">
        <v>683.70</v>
      </c>
      <c r="O20" s="51">
        <v>0</v>
      </c>
      <c r="P20" s="51">
        <v>0.95</v>
      </c>
      <c r="Q20" s="51">
        <v>42.45</v>
      </c>
      <c r="R20" s="43"/>
      <c r="S20" s="43"/>
      <c r="T20" s="43"/>
      <c r="U20" s="43"/>
    </row>
    <row r="21" spans="1:21" s="11" customFormat="1" ht="15">
      <c r="A21" s="50" t="s">
        <v>674</v>
      </c>
      <c r="B21" s="51">
        <v>4.0199999999999996</v>
      </c>
      <c r="C21" s="51">
        <v>70.03</v>
      </c>
      <c r="D21" s="51">
        <v>41.97</v>
      </c>
      <c r="E21" s="51">
        <v>3.83</v>
      </c>
      <c r="F21" s="51">
        <v>7.36</v>
      </c>
      <c r="G21" s="51">
        <v>49.49</v>
      </c>
      <c r="H21" s="51">
        <v>31.06</v>
      </c>
      <c r="I21" s="51">
        <v>0.62</v>
      </c>
      <c r="J21" s="51">
        <v>1.04</v>
      </c>
      <c r="K21" s="51">
        <v>110.20</v>
      </c>
      <c r="L21" s="51">
        <v>34.869999999999997</v>
      </c>
      <c r="M21" s="51">
        <v>32</v>
      </c>
      <c r="N21" s="51">
        <v>697.40</v>
      </c>
      <c r="O21" s="51">
        <v>0</v>
      </c>
      <c r="P21" s="51">
        <v>0.86</v>
      </c>
      <c r="Q21" s="51">
        <v>39.380000000000003</v>
      </c>
      <c r="R21" s="43"/>
      <c r="S21" s="43"/>
      <c r="T21" s="43"/>
      <c r="U21" s="43"/>
    </row>
    <row r="22" spans="1:21" s="11" customFormat="1" ht="15">
      <c r="A22" s="50" t="s">
        <v>675</v>
      </c>
      <c r="B22" s="51">
        <v>3.54</v>
      </c>
      <c r="C22" s="51">
        <v>67.33</v>
      </c>
      <c r="D22" s="51">
        <v>40.130000000000003</v>
      </c>
      <c r="E22" s="51">
        <v>3.75</v>
      </c>
      <c r="F22" s="51">
        <v>5.58</v>
      </c>
      <c r="G22" s="51">
        <v>47.52</v>
      </c>
      <c r="H22" s="51">
        <v>27.75</v>
      </c>
      <c r="I22" s="51">
        <v>0.63</v>
      </c>
      <c r="J22" s="51">
        <v>0.67</v>
      </c>
      <c r="K22" s="51">
        <v>352.14</v>
      </c>
      <c r="L22" s="51">
        <v>35.22</v>
      </c>
      <c r="M22" s="51">
        <v>28</v>
      </c>
      <c r="N22" s="51">
        <v>613.29999999999995</v>
      </c>
      <c r="O22" s="51">
        <v>0</v>
      </c>
      <c r="P22" s="51">
        <v>0.88</v>
      </c>
      <c r="Q22" s="51">
        <v>42.81</v>
      </c>
      <c r="R22" s="43"/>
      <c r="S22" s="43"/>
      <c r="T22" s="43"/>
      <c r="U22" s="43"/>
    </row>
    <row r="23" spans="1:21" s="11" customFormat="1" ht="15">
      <c r="A23" s="50" t="s">
        <v>676</v>
      </c>
      <c r="B23" s="51">
        <v>4.4800000000000004</v>
      </c>
      <c r="C23" s="51">
        <v>63.60</v>
      </c>
      <c r="D23" s="51">
        <v>37.64</v>
      </c>
      <c r="E23" s="51">
        <v>3.84</v>
      </c>
      <c r="F23" s="51">
        <v>12.65</v>
      </c>
      <c r="G23" s="51">
        <v>35.83</v>
      </c>
      <c r="H23" s="51">
        <v>25.18</v>
      </c>
      <c r="I23" s="51">
        <v>0.64</v>
      </c>
      <c r="J23" s="51">
        <v>0.55000000000000004</v>
      </c>
      <c r="K23" s="51">
        <v>324.97000000000003</v>
      </c>
      <c r="L23" s="51">
        <v>34.61</v>
      </c>
      <c r="M23" s="51">
        <v>29</v>
      </c>
      <c r="N23" s="51">
        <v>460.40</v>
      </c>
      <c r="O23" s="51">
        <v>0</v>
      </c>
      <c r="P23" s="51">
        <v>0.83</v>
      </c>
      <c r="Q23" s="51">
        <v>42.55</v>
      </c>
      <c r="R23" s="43"/>
      <c r="S23" s="43"/>
      <c r="T23" s="43"/>
      <c r="U23" s="43"/>
    </row>
    <row r="24" spans="1:21" s="11" customFormat="1" ht="15">
      <c r="A24" s="50" t="s">
        <v>677</v>
      </c>
      <c r="B24" s="51">
        <v>5.01</v>
      </c>
      <c r="C24" s="51">
        <v>62.24</v>
      </c>
      <c r="D24" s="51">
        <v>38.78</v>
      </c>
      <c r="E24" s="51">
        <v>4.67</v>
      </c>
      <c r="F24" s="51">
        <v>20.65</v>
      </c>
      <c r="G24" s="51">
        <v>35.60</v>
      </c>
      <c r="H24" s="51">
        <v>18.899999999999999</v>
      </c>
      <c r="I24" s="51">
        <v>0.60</v>
      </c>
      <c r="J24" s="51">
        <v>0.57999999999999996</v>
      </c>
      <c r="K24" s="51">
        <v>140.24</v>
      </c>
      <c r="L24" s="51">
        <v>34.43</v>
      </c>
      <c r="M24" s="51">
        <v>30</v>
      </c>
      <c r="N24" s="51">
        <v>220</v>
      </c>
      <c r="O24" s="51">
        <v>0</v>
      </c>
      <c r="P24" s="51">
        <v>0.77</v>
      </c>
      <c r="Q24" s="51">
        <v>42.99</v>
      </c>
      <c r="R24" s="43"/>
      <c r="S24" s="43"/>
      <c r="T24" s="43"/>
      <c r="U24" s="43"/>
    </row>
    <row r="25" spans="1:21" s="11" customFormat="1" ht="15">
      <c r="A25" s="50" t="s">
        <v>678</v>
      </c>
      <c r="B25" s="51">
        <v>6.94</v>
      </c>
      <c r="C25" s="51">
        <v>66.67</v>
      </c>
      <c r="D25" s="51">
        <v>42.06</v>
      </c>
      <c r="E25" s="51">
        <v>5.77</v>
      </c>
      <c r="F25" s="51">
        <v>21.51</v>
      </c>
      <c r="G25" s="51">
        <v>39.049999999999997</v>
      </c>
      <c r="H25" s="51">
        <v>20.059999999999999</v>
      </c>
      <c r="I25" s="51">
        <v>0.56999999999999995</v>
      </c>
      <c r="J25" s="51">
        <v>0.66</v>
      </c>
      <c r="K25" s="51">
        <v>29.54</v>
      </c>
      <c r="L25" s="51">
        <v>31.12</v>
      </c>
      <c r="M25" s="51">
        <v>34</v>
      </c>
      <c r="N25" s="51">
        <v>123.30</v>
      </c>
      <c r="O25" s="51">
        <v>0</v>
      </c>
      <c r="P25" s="51">
        <v>0.81</v>
      </c>
      <c r="Q25" s="51">
        <v>45.92</v>
      </c>
      <c r="R25" s="43"/>
      <c r="S25" s="43"/>
      <c r="T25" s="43"/>
      <c r="U25" s="43"/>
    </row>
    <row r="26" spans="1:21" s="11" customFormat="1" ht="15">
      <c r="A26" s="50" t="s">
        <v>679</v>
      </c>
      <c r="B26" s="51">
        <v>10.37</v>
      </c>
      <c r="C26" s="51">
        <v>76.73</v>
      </c>
      <c r="D26" s="51">
        <v>50.37</v>
      </c>
      <c r="E26" s="51">
        <v>5.23</v>
      </c>
      <c r="F26" s="51">
        <v>7.39</v>
      </c>
      <c r="G26" s="51">
        <v>39.049999999999997</v>
      </c>
      <c r="H26" s="51">
        <v>20.79</v>
      </c>
      <c r="I26" s="51">
        <v>0.65</v>
      </c>
      <c r="J26" s="51">
        <v>0.63</v>
      </c>
      <c r="K26" s="51">
        <v>36.69</v>
      </c>
      <c r="L26" s="51">
        <v>29.03</v>
      </c>
      <c r="M26" s="51">
        <v>42</v>
      </c>
      <c r="N26" s="51">
        <v>28</v>
      </c>
      <c r="O26" s="51">
        <v>0</v>
      </c>
      <c r="P26" s="51">
        <v>1.04</v>
      </c>
      <c r="Q26" s="51">
        <v>47.26</v>
      </c>
      <c r="R26" s="43"/>
      <c r="S26" s="43"/>
      <c r="T26" s="43"/>
      <c r="U26" s="43"/>
    </row>
    <row r="27" spans="1:21" s="11" customFormat="1" ht="15">
      <c r="A27" s="50" t="s">
        <v>680</v>
      </c>
      <c r="B27" s="51">
        <v>15.46</v>
      </c>
      <c r="C27" s="51">
        <v>80.89</v>
      </c>
      <c r="D27" s="51">
        <v>57.45</v>
      </c>
      <c r="E27" s="51">
        <v>7.46</v>
      </c>
      <c r="F27" s="51">
        <v>10.18</v>
      </c>
      <c r="G27" s="51">
        <v>64.510000000000005</v>
      </c>
      <c r="H27" s="51">
        <v>21.55</v>
      </c>
      <c r="I27" s="51">
        <v>0.67</v>
      </c>
      <c r="J27" s="51">
        <v>0.71</v>
      </c>
      <c r="K27" s="51">
        <v>33.799999999999997</v>
      </c>
      <c r="L27" s="51">
        <v>27.10</v>
      </c>
      <c r="M27" s="51">
        <v>47</v>
      </c>
      <c r="N27" s="51">
        <v>4.5999999999999996</v>
      </c>
      <c r="O27" s="51">
        <v>0</v>
      </c>
      <c r="P27" s="51">
        <v>1.58</v>
      </c>
      <c r="Q27" s="51">
        <v>47.15</v>
      </c>
      <c r="R27" s="43"/>
      <c r="S27" s="43"/>
      <c r="T27" s="43"/>
      <c r="U27" s="43"/>
    </row>
    <row r="28" spans="1:21" s="11" customFormat="1" ht="15">
      <c r="A28" s="50" t="s">
        <v>681</v>
      </c>
      <c r="B28" s="51">
        <v>35.94</v>
      </c>
      <c r="C28" s="51">
        <v>92.02</v>
      </c>
      <c r="D28" s="51">
        <v>80.02</v>
      </c>
      <c r="E28" s="51">
        <v>6.58</v>
      </c>
      <c r="F28" s="51">
        <v>8.0399999999999991</v>
      </c>
      <c r="G28" s="51">
        <v>86.93</v>
      </c>
      <c r="H28" s="51">
        <v>30.10</v>
      </c>
      <c r="I28" s="51">
        <v>0.79</v>
      </c>
      <c r="J28" s="51">
        <v>0.12</v>
      </c>
      <c r="K28" s="51">
        <v>331.21</v>
      </c>
      <c r="L28" s="51">
        <v>25.34</v>
      </c>
      <c r="M28" s="51">
        <v>57</v>
      </c>
      <c r="N28" s="51">
        <v>4.70</v>
      </c>
      <c r="O28" s="51">
        <v>0</v>
      </c>
      <c r="P28" s="51">
        <v>2.0099999999999998</v>
      </c>
      <c r="Q28" s="51">
        <v>47.35</v>
      </c>
      <c r="R28" s="43"/>
      <c r="S28" s="43"/>
      <c r="T28" s="43"/>
      <c r="U28" s="43"/>
    </row>
    <row r="29" spans="1:21" s="11" customFormat="1" ht="15">
      <c r="A29" s="50" t="s">
        <v>682</v>
      </c>
      <c r="B29" s="51">
        <v>35.659999999999997</v>
      </c>
      <c r="C29" s="51">
        <v>88.46</v>
      </c>
      <c r="D29" s="51">
        <v>76.459999999999994</v>
      </c>
      <c r="E29" s="51">
        <v>4.32</v>
      </c>
      <c r="F29" s="51">
        <v>3.70</v>
      </c>
      <c r="G29" s="51">
        <v>115.84</v>
      </c>
      <c r="H29" s="51">
        <v>38.619999999999997</v>
      </c>
      <c r="I29" s="51">
        <v>0.91</v>
      </c>
      <c r="J29" s="51">
        <v>0.09</v>
      </c>
      <c r="K29" s="51">
        <v>357.48</v>
      </c>
      <c r="L29" s="51">
        <v>23.77</v>
      </c>
      <c r="M29" s="51">
        <v>63</v>
      </c>
      <c r="N29" s="51">
        <v>4.70</v>
      </c>
      <c r="O29" s="51">
        <v>0</v>
      </c>
      <c r="P29" s="51">
        <v>2.06</v>
      </c>
      <c r="Q29" s="51">
        <v>52.14</v>
      </c>
      <c r="R29" s="43"/>
      <c r="S29" s="43"/>
      <c r="T29" s="43"/>
      <c r="U29" s="43"/>
    </row>
    <row r="30" spans="1:21" s="11" customFormat="1" ht="15">
      <c r="A30" s="50" t="s">
        <v>683</v>
      </c>
      <c r="B30" s="51">
        <v>47.37</v>
      </c>
      <c r="C30" s="51">
        <v>88.21</v>
      </c>
      <c r="D30" s="51">
        <v>86.81</v>
      </c>
      <c r="E30" s="51">
        <v>3.88</v>
      </c>
      <c r="F30" s="51">
        <v>3.48</v>
      </c>
      <c r="G30" s="51">
        <v>187.41</v>
      </c>
      <c r="H30" s="51">
        <v>54.75</v>
      </c>
      <c r="I30" s="51">
        <v>1.03</v>
      </c>
      <c r="J30" s="51">
        <v>0.20</v>
      </c>
      <c r="K30" s="51">
        <v>336.62</v>
      </c>
      <c r="L30" s="51">
        <v>23.25</v>
      </c>
      <c r="M30" s="51">
        <v>69</v>
      </c>
      <c r="N30" s="51">
        <v>4.5999999999999996</v>
      </c>
      <c r="O30" s="51">
        <v>0</v>
      </c>
      <c r="P30" s="51">
        <v>2.36</v>
      </c>
      <c r="Q30" s="51">
        <v>53.5</v>
      </c>
      <c r="R30" s="43"/>
      <c r="S30" s="43"/>
      <c r="T30" s="43"/>
      <c r="U30" s="43"/>
    </row>
    <row r="31" spans="1:21" s="11" customFormat="1" ht="15">
      <c r="A31" s="50" t="s">
        <v>684</v>
      </c>
      <c r="B31" s="51">
        <v>59.68</v>
      </c>
      <c r="C31" s="51">
        <v>89.61</v>
      </c>
      <c r="D31" s="51">
        <v>96.68</v>
      </c>
      <c r="E31" s="51">
        <v>4.28</v>
      </c>
      <c r="F31" s="51">
        <v>3.5</v>
      </c>
      <c r="G31" s="51">
        <v>187.41</v>
      </c>
      <c r="H31" s="51">
        <v>56.36</v>
      </c>
      <c r="I31" s="51">
        <v>1.06</v>
      </c>
      <c r="J31" s="51">
        <v>0.13</v>
      </c>
      <c r="K31" s="51">
        <v>339.59</v>
      </c>
      <c r="L31" s="51">
        <v>22.07</v>
      </c>
      <c r="M31" s="51">
        <v>70</v>
      </c>
      <c r="N31" s="51">
        <v>4.5</v>
      </c>
      <c r="O31" s="51">
        <v>0</v>
      </c>
      <c r="P31" s="51">
        <v>2.4300000000000002</v>
      </c>
      <c r="Q31" s="51">
        <v>53.38</v>
      </c>
      <c r="R31" s="43"/>
      <c r="S31" s="43"/>
      <c r="T31" s="43"/>
      <c r="U31" s="43"/>
    </row>
    <row r="32" spans="1:21" s="11" customFormat="1" ht="15">
      <c r="A32" s="50" t="s">
        <v>685</v>
      </c>
      <c r="B32" s="51">
        <v>66.73</v>
      </c>
      <c r="C32" s="51">
        <v>87</v>
      </c>
      <c r="D32" s="51">
        <v>101.11</v>
      </c>
      <c r="E32" s="51">
        <v>4.13</v>
      </c>
      <c r="F32" s="51">
        <v>3.53</v>
      </c>
      <c r="G32" s="51">
        <v>135.74</v>
      </c>
      <c r="H32" s="51">
        <v>56.36</v>
      </c>
      <c r="I32" s="51">
        <v>1.1100000000000001</v>
      </c>
      <c r="J32" s="51">
        <v>0.06</v>
      </c>
      <c r="K32" s="51">
        <v>325.42</v>
      </c>
      <c r="L32" s="51">
        <v>21.02</v>
      </c>
      <c r="M32" s="51">
        <v>73</v>
      </c>
      <c r="N32" s="51">
        <v>4.5999999999999996</v>
      </c>
      <c r="O32" s="51">
        <v>0</v>
      </c>
      <c r="P32" s="51">
        <v>2.38</v>
      </c>
      <c r="Q32" s="51">
        <v>54.01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3.54</v>
      </c>
      <c r="C34" s="28">
        <f t="shared" si="0"/>
        <v>62.240000000000002</v>
      </c>
      <c r="D34" s="28">
        <f t="shared" si="0"/>
        <v>37.640000000000001</v>
      </c>
      <c r="E34" s="28">
        <f t="shared" si="0"/>
        <v>2.8799999999999999</v>
      </c>
      <c r="F34" s="28">
        <f t="shared" si="0"/>
        <v>3.46</v>
      </c>
      <c r="G34" s="28">
        <f t="shared" si="0"/>
        <v>35.600000000000001</v>
      </c>
      <c r="H34" s="28">
        <f t="shared" si="0"/>
        <v>18.899999999999999</v>
      </c>
      <c r="I34" s="28">
        <f t="shared" si="0"/>
        <v>0.56999999999999995</v>
      </c>
      <c r="J34" s="28">
        <f t="shared" si="0"/>
        <v>0.059999999999999998</v>
      </c>
      <c r="K34" s="28">
        <f t="shared" si="0"/>
        <v>29.539999999999999</v>
      </c>
      <c r="L34" s="28">
        <f t="shared" si="0"/>
        <v>18.789999999999999</v>
      </c>
      <c r="M34" s="28">
        <f t="shared" si="0"/>
        <v>28</v>
      </c>
      <c r="N34" s="28">
        <f t="shared" si="0"/>
        <v>4.5</v>
      </c>
      <c r="O34" s="28">
        <f t="shared" si="0"/>
        <v>0</v>
      </c>
      <c r="P34" s="28">
        <f t="shared" si="0"/>
        <v>0.77000000000000002</v>
      </c>
      <c r="Q34" s="28">
        <f t="shared" si="0"/>
        <v>39.380000000000003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66.730000000000004</v>
      </c>
      <c r="C35" s="29">
        <f t="shared" si="1"/>
        <v>93.599999999999994</v>
      </c>
      <c r="D35" s="29">
        <f t="shared" si="1"/>
        <v>101.11</v>
      </c>
      <c r="E35" s="29">
        <f t="shared" si="1"/>
        <v>7.46</v>
      </c>
      <c r="F35" s="29">
        <f t="shared" si="1"/>
        <v>21.510000000000002</v>
      </c>
      <c r="G35" s="29">
        <f t="shared" si="1"/>
        <v>187.41</v>
      </c>
      <c r="H35" s="29">
        <f t="shared" si="1"/>
        <v>77.670000000000002</v>
      </c>
      <c r="I35" s="29">
        <f t="shared" si="1"/>
        <v>1.1499999999999999</v>
      </c>
      <c r="J35" s="29">
        <f t="shared" si="1"/>
        <v>1.04</v>
      </c>
      <c r="K35" s="29">
        <f t="shared" si="1"/>
        <v>359.75</v>
      </c>
      <c r="L35" s="29">
        <f t="shared" si="1"/>
        <v>35.219999999999999</v>
      </c>
      <c r="M35" s="29">
        <f t="shared" si="1"/>
        <v>81</v>
      </c>
      <c r="N35" s="29">
        <f t="shared" si="1"/>
        <v>697.39999999999998</v>
      </c>
      <c r="O35" s="29">
        <f t="shared" si="1"/>
        <v>0</v>
      </c>
      <c r="P35" s="29">
        <f t="shared" si="1"/>
        <v>2.8799999999999999</v>
      </c>
      <c r="Q35" s="29">
        <f t="shared" si="1"/>
        <v>54.009999999999998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24.873333333333331</v>
      </c>
      <c r="C36" s="28">
        <f t="shared" si="2"/>
        <v>77.021666666666661</v>
      </c>
      <c r="D36" s="28">
        <f t="shared" si="2"/>
        <v>62.455833333333324</v>
      </c>
      <c r="E36" s="28">
        <f t="shared" si="2"/>
        <v>4.3287499999999994</v>
      </c>
      <c r="F36" s="28">
        <f t="shared" si="2"/>
        <v>6.3983333333333325</v>
      </c>
      <c r="G36" s="28">
        <f t="shared" si="2"/>
        <v>96.606666666666641</v>
      </c>
      <c r="H36" s="28">
        <f t="shared" si="2"/>
        <v>44.252499999999998</v>
      </c>
      <c r="I36" s="28">
        <f t="shared" si="2"/>
        <v>0.83833333333333337</v>
      </c>
      <c r="J36" s="28">
        <f t="shared" si="2"/>
        <v>0.45333333333333337</v>
      </c>
      <c r="K36" s="28">
        <f t="shared" si="2"/>
        <v>273.17291666666671</v>
      </c>
      <c r="L36" s="28">
        <f t="shared" si="2"/>
        <v>26.15333333333334</v>
      </c>
      <c r="M36" s="28">
        <f t="shared" si="2"/>
        <v>57.25</v>
      </c>
      <c r="N36" s="28">
        <f t="shared" si="2"/>
        <v>186.68333333333337</v>
      </c>
      <c r="O36" s="28">
        <f t="shared" si="2"/>
        <v>0</v>
      </c>
      <c r="P36" s="28">
        <f t="shared" si="2"/>
        <v>1.6666666666666663</v>
      </c>
      <c r="Q36" s="28">
        <f t="shared" si="2"/>
        <v>48.010416666666664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17.814464974251706</v>
      </c>
      <c r="C37" s="28">
        <f t="shared" si="3" ref="C37:Q37">STDEV(C9:C32)</f>
        <v>9.4777298082843053</v>
      </c>
      <c r="D37" s="28">
        <f t="shared" si="3"/>
        <v>18.708879063083963</v>
      </c>
      <c r="E37" s="28">
        <f t="shared" si="3"/>
        <v>1.0589014508483301</v>
      </c>
      <c r="F37" s="28">
        <f t="shared" si="3"/>
        <v>5.1251151984225167</v>
      </c>
      <c r="G37" s="28">
        <f t="shared" si="3"/>
        <v>50.442924756312657</v>
      </c>
      <c r="H37" s="28">
        <f t="shared" si="3"/>
        <v>18.062036153213715</v>
      </c>
      <c r="I37" s="28">
        <f t="shared" si="3"/>
        <v>0.19243670143184952</v>
      </c>
      <c r="J37" s="28">
        <f t="shared" si="3"/>
        <v>0.30536744319314524</v>
      </c>
      <c r="K37" s="28">
        <f t="shared" si="3"/>
        <v>113.29569850536612</v>
      </c>
      <c r="L37" s="28">
        <f t="shared" si="3"/>
        <v>6.1140271128145587</v>
      </c>
      <c r="M37" s="28">
        <f t="shared" si="3"/>
        <v>20.201700315868809</v>
      </c>
      <c r="N37" s="28">
        <f t="shared" si="3"/>
        <v>255.07944656120577</v>
      </c>
      <c r="O37" s="28">
        <f t="shared" si="3"/>
        <v>0</v>
      </c>
      <c r="P37" s="28">
        <f t="shared" si="3"/>
        <v>0.67794232579287328</v>
      </c>
      <c r="Q37" s="28">
        <f t="shared" si="3"/>
        <v>4.0959072670874406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>COUNT(L9:L32)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60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8518103-5490-43ad-8438-b91cb08a97f8}">
  <sheetPr codeName=""/>
  <dimension ref="A1:U119"/>
  <sheetViews>
    <sheetView workbookViewId="0" topLeftCell="A1">
      <pane xSplit="1" ySplit="8" topLeftCell="B27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9" sqref="D9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59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27-01-2023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52" t="s">
        <v>58</v>
      </c>
      <c r="C7" s="52" t="s">
        <v>43</v>
      </c>
      <c r="D7" s="52" t="s">
        <v>44</v>
      </c>
      <c r="E7" s="52" t="s">
        <v>45</v>
      </c>
      <c r="F7" s="52" t="s">
        <v>46</v>
      </c>
      <c r="G7" s="52" t="s">
        <v>47</v>
      </c>
      <c r="H7" s="52" t="s">
        <v>48</v>
      </c>
      <c r="I7" s="52" t="s">
        <v>49</v>
      </c>
      <c r="J7" s="52" t="s">
        <v>50</v>
      </c>
      <c r="K7" s="52" t="s">
        <v>51</v>
      </c>
      <c r="L7" s="52" t="s">
        <v>52</v>
      </c>
      <c r="M7" s="52" t="s">
        <v>53</v>
      </c>
      <c r="N7" s="52" t="s">
        <v>54</v>
      </c>
      <c r="O7" s="52" t="s">
        <v>55</v>
      </c>
      <c r="P7" s="52" t="s">
        <v>56</v>
      </c>
      <c r="Q7" s="52" t="s">
        <v>57</v>
      </c>
      <c r="R7" s="27"/>
      <c r="S7" s="29"/>
      <c r="T7" s="27"/>
      <c r="U7" s="27"/>
    </row>
    <row r="8" spans="1:21" s="21" customFormat="1" ht="15">
      <c r="A8" s="25"/>
      <c r="B8" s="54" t="s">
        <v>22</v>
      </c>
      <c r="C8" s="54" t="s">
        <v>22</v>
      </c>
      <c r="D8" s="54" t="s">
        <v>613</v>
      </c>
      <c r="E8" s="54" t="s">
        <v>22</v>
      </c>
      <c r="F8" s="54" t="s">
        <v>22</v>
      </c>
      <c r="G8" s="54" t="s">
        <v>23</v>
      </c>
      <c r="H8" s="54" t="s">
        <v>22</v>
      </c>
      <c r="I8" s="54" t="s">
        <v>22</v>
      </c>
      <c r="J8" s="54" t="s">
        <v>24</v>
      </c>
      <c r="K8" s="54" t="s">
        <v>25</v>
      </c>
      <c r="L8" s="25" t="s">
        <v>27</v>
      </c>
      <c r="M8" s="54" t="s">
        <v>26</v>
      </c>
      <c r="N8" s="54" t="s">
        <v>28</v>
      </c>
      <c r="O8" s="25" t="s">
        <v>29</v>
      </c>
      <c r="P8" s="54" t="s">
        <v>22</v>
      </c>
      <c r="Q8" s="54" t="s">
        <v>22</v>
      </c>
      <c r="R8" s="27"/>
      <c r="S8" s="29"/>
      <c r="T8" s="27"/>
      <c r="U8" s="27"/>
    </row>
    <row r="9" spans="1:21" s="11" customFormat="1" ht="15">
      <c r="A9" s="50" t="s">
        <v>686</v>
      </c>
      <c r="B9" s="51">
        <v>68.67</v>
      </c>
      <c r="C9" s="51">
        <v>85.77</v>
      </c>
      <c r="D9" s="51">
        <v>102.82</v>
      </c>
      <c r="E9" s="51">
        <v>4.12</v>
      </c>
      <c r="F9" s="51">
        <v>3.58</v>
      </c>
      <c r="G9" s="51">
        <v>146.01</v>
      </c>
      <c r="H9" s="51">
        <v>55.41</v>
      </c>
      <c r="I9" s="51">
        <v>1.1299999999999999</v>
      </c>
      <c r="J9" s="51">
        <v>0.12</v>
      </c>
      <c r="K9" s="51">
        <v>349.76</v>
      </c>
      <c r="L9" s="51">
        <v>20.71</v>
      </c>
      <c r="M9" s="51">
        <v>72</v>
      </c>
      <c r="N9" s="51">
        <v>4.5999999999999996</v>
      </c>
      <c r="O9" s="51">
        <v>0</v>
      </c>
      <c r="P9" s="51">
        <v>2.2999999999999998</v>
      </c>
      <c r="Q9" s="51">
        <v>55.44</v>
      </c>
      <c r="R9" s="43"/>
      <c r="S9" s="43"/>
      <c r="T9" s="43"/>
      <c r="U9" s="43"/>
    </row>
    <row r="10" spans="1:21" s="11" customFormat="1" ht="15">
      <c r="A10" s="50" t="s">
        <v>687</v>
      </c>
      <c r="B10" s="51">
        <v>57.12</v>
      </c>
      <c r="C10" s="51">
        <v>84.36</v>
      </c>
      <c r="D10" s="51">
        <v>92.77</v>
      </c>
      <c r="E10" s="51">
        <v>3.48</v>
      </c>
      <c r="F10" s="51">
        <v>4</v>
      </c>
      <c r="G10" s="51">
        <v>146.01</v>
      </c>
      <c r="H10" s="51">
        <v>55.05</v>
      </c>
      <c r="I10" s="51">
        <v>1.1000000000000001</v>
      </c>
      <c r="J10" s="51">
        <v>0.08</v>
      </c>
      <c r="K10" s="51">
        <v>335.31</v>
      </c>
      <c r="L10" s="51">
        <v>20.77</v>
      </c>
      <c r="M10" s="51">
        <v>68</v>
      </c>
      <c r="N10" s="51">
        <v>4.5999999999999996</v>
      </c>
      <c r="O10" s="51">
        <v>0</v>
      </c>
      <c r="P10" s="51">
        <v>1.87</v>
      </c>
      <c r="Q10" s="51">
        <v>53.76</v>
      </c>
      <c r="R10" s="43"/>
      <c r="S10" s="43"/>
      <c r="T10" s="43"/>
      <c r="U10" s="43"/>
    </row>
    <row r="11" spans="1:21" s="11" customFormat="1" ht="15">
      <c r="A11" s="50" t="s">
        <v>688</v>
      </c>
      <c r="B11" s="51">
        <v>41.60</v>
      </c>
      <c r="C11" s="51">
        <v>78.19</v>
      </c>
      <c r="D11" s="51">
        <v>76.92</v>
      </c>
      <c r="E11" s="51">
        <v>4.01</v>
      </c>
      <c r="F11" s="51">
        <v>4.33</v>
      </c>
      <c r="G11" s="51">
        <v>80.48</v>
      </c>
      <c r="H11" s="51">
        <v>50.69</v>
      </c>
      <c r="I11" s="51">
        <v>0.98</v>
      </c>
      <c r="J11" s="51">
        <v>0.39</v>
      </c>
      <c r="K11" s="51">
        <v>116.63</v>
      </c>
      <c r="L11" s="51">
        <v>20.96</v>
      </c>
      <c r="M11" s="51">
        <v>69</v>
      </c>
      <c r="N11" s="51">
        <v>4.20</v>
      </c>
      <c r="O11" s="51">
        <v>0</v>
      </c>
      <c r="P11" s="51">
        <v>1.67</v>
      </c>
      <c r="Q11" s="51">
        <v>51.16</v>
      </c>
      <c r="R11" s="43"/>
      <c r="S11" s="43"/>
      <c r="T11" s="43"/>
      <c r="U11" s="43"/>
    </row>
    <row r="12" spans="1:21" s="11" customFormat="1" ht="15">
      <c r="A12" s="50" t="s">
        <v>689</v>
      </c>
      <c r="B12" s="51">
        <v>36.51</v>
      </c>
      <c r="C12" s="51">
        <v>75.83</v>
      </c>
      <c r="D12" s="51">
        <v>71.55</v>
      </c>
      <c r="E12" s="51">
        <v>3.98</v>
      </c>
      <c r="F12" s="51">
        <v>3.60</v>
      </c>
      <c r="G12" s="51">
        <v>102.32</v>
      </c>
      <c r="H12" s="51">
        <v>49.20</v>
      </c>
      <c r="I12" s="51">
        <v>0.96</v>
      </c>
      <c r="J12" s="51">
        <v>0.42</v>
      </c>
      <c r="K12" s="51">
        <v>353.76</v>
      </c>
      <c r="L12" s="51">
        <v>20.91</v>
      </c>
      <c r="M12" s="51">
        <v>76</v>
      </c>
      <c r="N12" s="51">
        <v>5</v>
      </c>
      <c r="O12" s="51">
        <v>0</v>
      </c>
      <c r="P12" s="51">
        <v>1.57</v>
      </c>
      <c r="Q12" s="51">
        <v>51.86</v>
      </c>
      <c r="R12" s="43"/>
      <c r="S12" s="43"/>
      <c r="T12" s="43"/>
      <c r="U12" s="43"/>
    </row>
    <row r="13" spans="1:21" s="11" customFormat="1" ht="15">
      <c r="A13" s="50" t="s">
        <v>690</v>
      </c>
      <c r="B13" s="51">
        <v>32.06</v>
      </c>
      <c r="C13" s="51">
        <v>74.430000000000007</v>
      </c>
      <c r="D13" s="51">
        <v>66.73</v>
      </c>
      <c r="E13" s="51">
        <v>3.02</v>
      </c>
      <c r="F13" s="51">
        <v>3.54</v>
      </c>
      <c r="G13" s="51">
        <v>105.68</v>
      </c>
      <c r="H13" s="51">
        <v>50.72</v>
      </c>
      <c r="I13" s="51">
        <v>0.94</v>
      </c>
      <c r="J13" s="51">
        <v>0.25</v>
      </c>
      <c r="K13" s="51">
        <v>265.69</v>
      </c>
      <c r="L13" s="51">
        <v>19.29</v>
      </c>
      <c r="M13" s="51">
        <v>77</v>
      </c>
      <c r="N13" s="51">
        <v>4.5</v>
      </c>
      <c r="O13" s="51">
        <v>0</v>
      </c>
      <c r="P13" s="51">
        <v>1.57</v>
      </c>
      <c r="Q13" s="51">
        <v>51.32</v>
      </c>
      <c r="R13" s="43"/>
      <c r="S13" s="43"/>
      <c r="T13" s="43"/>
      <c r="U13" s="43"/>
    </row>
    <row r="14" spans="1:21" s="11" customFormat="1" ht="15">
      <c r="A14" s="50" t="s">
        <v>691</v>
      </c>
      <c r="B14" s="51">
        <v>32.46</v>
      </c>
      <c r="C14" s="51">
        <v>70.599999999999994</v>
      </c>
      <c r="D14" s="51">
        <v>65.06</v>
      </c>
      <c r="E14" s="51">
        <v>3.31</v>
      </c>
      <c r="F14" s="51">
        <v>3.60</v>
      </c>
      <c r="G14" s="51">
        <v>105.68</v>
      </c>
      <c r="H14" s="51">
        <v>50.72</v>
      </c>
      <c r="I14" s="51">
        <v>0.89</v>
      </c>
      <c r="J14" s="51">
        <v>0.13</v>
      </c>
      <c r="K14" s="51">
        <v>298.26</v>
      </c>
      <c r="L14" s="51">
        <v>18.850000000000001</v>
      </c>
      <c r="M14" s="51">
        <v>82</v>
      </c>
      <c r="N14" s="51">
        <v>4.70</v>
      </c>
      <c r="O14" s="51">
        <v>0</v>
      </c>
      <c r="P14" s="51">
        <v>1.46</v>
      </c>
      <c r="Q14" s="51">
        <v>50.09</v>
      </c>
      <c r="R14" s="43"/>
      <c r="S14" s="43"/>
      <c r="T14" s="43"/>
      <c r="U14" s="43"/>
    </row>
    <row r="15" spans="1:21" s="11" customFormat="1" ht="15">
      <c r="A15" s="50" t="s">
        <v>692</v>
      </c>
      <c r="B15" s="51">
        <v>53.66</v>
      </c>
      <c r="C15" s="51">
        <v>73.36</v>
      </c>
      <c r="D15" s="51">
        <v>83.93</v>
      </c>
      <c r="E15" s="51">
        <v>3.90</v>
      </c>
      <c r="F15" s="51">
        <v>3.52</v>
      </c>
      <c r="G15" s="51">
        <v>94.29</v>
      </c>
      <c r="H15" s="51">
        <v>44.92</v>
      </c>
      <c r="I15" s="51">
        <v>0.85</v>
      </c>
      <c r="J15" s="51">
        <v>0.15</v>
      </c>
      <c r="K15" s="51">
        <v>348.02</v>
      </c>
      <c r="L15" s="51">
        <v>18.190000000000001</v>
      </c>
      <c r="M15" s="51">
        <v>86</v>
      </c>
      <c r="N15" s="51">
        <v>17.5</v>
      </c>
      <c r="O15" s="51">
        <v>0</v>
      </c>
      <c r="P15" s="51">
        <v>1.42</v>
      </c>
      <c r="Q15" s="51">
        <v>48.10</v>
      </c>
      <c r="R15" s="43"/>
      <c r="S15" s="43"/>
      <c r="T15" s="43"/>
      <c r="U15" s="43"/>
    </row>
    <row r="16" spans="1:21" s="11" customFormat="1" ht="15">
      <c r="A16" s="50" t="s">
        <v>693</v>
      </c>
      <c r="B16" s="51">
        <v>67.27</v>
      </c>
      <c r="C16" s="51">
        <v>76.44</v>
      </c>
      <c r="D16" s="51">
        <v>96.55</v>
      </c>
      <c r="E16" s="51">
        <v>3.45</v>
      </c>
      <c r="F16" s="51">
        <v>3.54</v>
      </c>
      <c r="G16" s="51">
        <v>137.03</v>
      </c>
      <c r="H16" s="51">
        <v>48.56</v>
      </c>
      <c r="I16" s="51">
        <v>0.86</v>
      </c>
      <c r="J16" s="51">
        <v>0.13</v>
      </c>
      <c r="K16" s="51">
        <v>358.36</v>
      </c>
      <c r="L16" s="51">
        <v>21.16</v>
      </c>
      <c r="M16" s="51">
        <v>82</v>
      </c>
      <c r="N16" s="51">
        <v>151.80000000000001</v>
      </c>
      <c r="O16" s="51">
        <v>0</v>
      </c>
      <c r="P16" s="51">
        <v>1.46</v>
      </c>
      <c r="Q16" s="51">
        <v>50.99</v>
      </c>
      <c r="R16" s="43"/>
      <c r="S16" s="43"/>
      <c r="T16" s="43"/>
      <c r="U16" s="43"/>
    </row>
    <row r="17" spans="1:21" s="11" customFormat="1" ht="15">
      <c r="A17" s="50" t="s">
        <v>694</v>
      </c>
      <c r="B17" s="51">
        <v>63.36</v>
      </c>
      <c r="C17" s="51">
        <v>79.569999999999993</v>
      </c>
      <c r="D17" s="51">
        <v>93.96</v>
      </c>
      <c r="E17" s="51">
        <v>3.31</v>
      </c>
      <c r="F17" s="51">
        <v>3.58</v>
      </c>
      <c r="G17" s="51">
        <v>137.03</v>
      </c>
      <c r="H17" s="51">
        <v>48.56</v>
      </c>
      <c r="I17" s="51">
        <v>0.84</v>
      </c>
      <c r="J17" s="51">
        <v>0.33</v>
      </c>
      <c r="K17" s="51">
        <v>32.08</v>
      </c>
      <c r="L17" s="51">
        <v>26.74</v>
      </c>
      <c r="M17" s="51">
        <v>66</v>
      </c>
      <c r="N17" s="51">
        <v>281.30</v>
      </c>
      <c r="O17" s="51">
        <v>0</v>
      </c>
      <c r="P17" s="51">
        <v>1.5</v>
      </c>
      <c r="Q17" s="51">
        <v>50.31</v>
      </c>
      <c r="R17" s="43"/>
      <c r="S17" s="43"/>
      <c r="T17" s="43"/>
      <c r="U17" s="43"/>
    </row>
    <row r="18" spans="1:21" s="11" customFormat="1" ht="15">
      <c r="A18" s="50" t="s">
        <v>695</v>
      </c>
      <c r="B18" s="51">
        <v>53.41</v>
      </c>
      <c r="C18" s="51">
        <v>88.21</v>
      </c>
      <c r="D18" s="51">
        <v>88.41</v>
      </c>
      <c r="E18" s="51">
        <v>5.19</v>
      </c>
      <c r="F18" s="51">
        <v>4.18</v>
      </c>
      <c r="G18" s="51">
        <v>151.34</v>
      </c>
      <c r="H18" s="51">
        <v>59.88</v>
      </c>
      <c r="I18" s="51">
        <v>0.81</v>
      </c>
      <c r="J18" s="51">
        <v>1.30</v>
      </c>
      <c r="K18" s="51">
        <v>24</v>
      </c>
      <c r="L18" s="51">
        <v>30.30</v>
      </c>
      <c r="M18" s="51">
        <v>50</v>
      </c>
      <c r="N18" s="51">
        <v>434.30</v>
      </c>
      <c r="O18" s="51">
        <v>0</v>
      </c>
      <c r="P18" s="51">
        <v>1.71</v>
      </c>
      <c r="Q18" s="51">
        <v>47.97</v>
      </c>
      <c r="R18" s="43"/>
      <c r="S18" s="43"/>
      <c r="T18" s="43"/>
      <c r="U18" s="43"/>
    </row>
    <row r="19" spans="1:21" s="11" customFormat="1" ht="15">
      <c r="A19" s="50" t="s">
        <v>696</v>
      </c>
      <c r="B19" s="51">
        <v>38.159999999999997</v>
      </c>
      <c r="C19" s="51">
        <v>91.05</v>
      </c>
      <c r="D19" s="51">
        <v>79.819999999999993</v>
      </c>
      <c r="E19" s="51">
        <v>8.5500000000000007</v>
      </c>
      <c r="F19" s="51">
        <v>12.31</v>
      </c>
      <c r="G19" s="51">
        <v>151.34</v>
      </c>
      <c r="H19" s="51">
        <v>61.29</v>
      </c>
      <c r="I19" s="51">
        <v>0.79</v>
      </c>
      <c r="J19" s="51">
        <v>1.0900000000000001</v>
      </c>
      <c r="K19" s="51">
        <v>57.12</v>
      </c>
      <c r="L19" s="51">
        <v>31.53</v>
      </c>
      <c r="M19" s="51">
        <v>40</v>
      </c>
      <c r="N19" s="51">
        <v>547</v>
      </c>
      <c r="O19" s="51">
        <v>0</v>
      </c>
      <c r="P19" s="51">
        <v>1.72</v>
      </c>
      <c r="Q19" s="51">
        <v>45.95</v>
      </c>
      <c r="R19" s="43"/>
      <c r="S19" s="43"/>
      <c r="T19" s="43"/>
      <c r="U19" s="43"/>
    </row>
    <row r="20" spans="1:21" s="11" customFormat="1" ht="15">
      <c r="A20" s="50" t="s">
        <v>697</v>
      </c>
      <c r="B20" s="51">
        <v>5.09</v>
      </c>
      <c r="C20" s="51">
        <v>83.55</v>
      </c>
      <c r="D20" s="51">
        <v>50.61</v>
      </c>
      <c r="E20" s="51">
        <v>17.25</v>
      </c>
      <c r="F20" s="53" t="s">
        <v>8</v>
      </c>
      <c r="G20" s="53" t="s">
        <v>8</v>
      </c>
      <c r="H20" s="53" t="s">
        <v>8</v>
      </c>
      <c r="I20" s="51">
        <v>0.60</v>
      </c>
      <c r="J20" s="51">
        <v>1.02</v>
      </c>
      <c r="K20" s="51">
        <v>35.770000000000003</v>
      </c>
      <c r="L20" s="51">
        <v>33.21</v>
      </c>
      <c r="M20" s="51">
        <v>35</v>
      </c>
      <c r="N20" s="51">
        <v>636.20000000000005</v>
      </c>
      <c r="O20" s="51">
        <v>0</v>
      </c>
      <c r="P20" s="51">
        <v>1.33</v>
      </c>
      <c r="Q20" s="51">
        <v>22.15</v>
      </c>
      <c r="R20" s="43"/>
      <c r="S20" s="43"/>
      <c r="T20" s="43"/>
      <c r="U20" s="43"/>
    </row>
    <row r="21" spans="1:21" s="11" customFormat="1" ht="15">
      <c r="A21" s="50" t="s">
        <v>698</v>
      </c>
      <c r="B21" s="53" t="s">
        <v>8</v>
      </c>
      <c r="C21" s="53" t="s">
        <v>8</v>
      </c>
      <c r="D21" s="53" t="s">
        <v>8</v>
      </c>
      <c r="E21" s="51">
        <v>19.46</v>
      </c>
      <c r="F21" s="51">
        <v>40.799999999999997</v>
      </c>
      <c r="G21" s="53" t="s">
        <v>8</v>
      </c>
      <c r="H21" s="53" t="s">
        <v>8</v>
      </c>
      <c r="I21" s="51">
        <v>0.53</v>
      </c>
      <c r="J21" s="51">
        <v>1.03</v>
      </c>
      <c r="K21" s="51">
        <v>14.58</v>
      </c>
      <c r="L21" s="51">
        <v>35.40</v>
      </c>
      <c r="M21" s="51">
        <v>28</v>
      </c>
      <c r="N21" s="51">
        <v>667</v>
      </c>
      <c r="O21" s="51">
        <v>0</v>
      </c>
      <c r="P21" s="51">
        <v>1.1000000000000001</v>
      </c>
      <c r="Q21" s="51">
        <v>22.64</v>
      </c>
      <c r="R21" s="43"/>
      <c r="S21" s="43"/>
      <c r="T21" s="43"/>
      <c r="U21" s="43"/>
    </row>
    <row r="22" spans="1:21" s="11" customFormat="1" ht="15">
      <c r="A22" s="50" t="s">
        <v>699</v>
      </c>
      <c r="B22" s="53" t="s">
        <v>8</v>
      </c>
      <c r="C22" s="53" t="s">
        <v>8</v>
      </c>
      <c r="D22" s="53" t="s">
        <v>8</v>
      </c>
      <c r="E22" s="51">
        <v>17.739999999999998</v>
      </c>
      <c r="F22" s="51">
        <v>27.67</v>
      </c>
      <c r="G22" s="51">
        <v>46</v>
      </c>
      <c r="H22" s="53" t="s">
        <v>8</v>
      </c>
      <c r="I22" s="51">
        <v>0.5</v>
      </c>
      <c r="J22" s="51">
        <v>1.22</v>
      </c>
      <c r="K22" s="51">
        <v>348.92</v>
      </c>
      <c r="L22" s="51">
        <v>34.14</v>
      </c>
      <c r="M22" s="51">
        <v>27</v>
      </c>
      <c r="N22" s="51">
        <v>575.70000000000005</v>
      </c>
      <c r="O22" s="51">
        <v>0</v>
      </c>
      <c r="P22" s="51">
        <v>0.66</v>
      </c>
      <c r="Q22" s="51">
        <v>19.5</v>
      </c>
      <c r="R22" s="43"/>
      <c r="S22" s="43"/>
      <c r="T22" s="43"/>
      <c r="U22" s="43"/>
    </row>
    <row r="23" spans="1:21" s="11" customFormat="1" ht="15">
      <c r="A23" s="50" t="s">
        <v>700</v>
      </c>
      <c r="B23" s="53" t="s">
        <v>8</v>
      </c>
      <c r="C23" s="53" t="s">
        <v>8</v>
      </c>
      <c r="D23" s="53" t="s">
        <v>8</v>
      </c>
      <c r="E23" s="53" t="s">
        <v>8</v>
      </c>
      <c r="F23" s="53" t="s">
        <v>8</v>
      </c>
      <c r="G23" s="53" t="s">
        <v>8</v>
      </c>
      <c r="H23" s="53" t="s">
        <v>8</v>
      </c>
      <c r="I23" s="53" t="s">
        <v>8</v>
      </c>
      <c r="J23" s="51">
        <v>0.74</v>
      </c>
      <c r="K23" s="51">
        <v>14.49</v>
      </c>
      <c r="L23" s="51">
        <v>31.67</v>
      </c>
      <c r="M23" s="51">
        <v>32</v>
      </c>
      <c r="N23" s="51">
        <v>154.69999999999999</v>
      </c>
      <c r="O23" s="51">
        <v>0</v>
      </c>
      <c r="P23" s="53" t="s">
        <v>8</v>
      </c>
      <c r="Q23" s="53" t="s">
        <v>8</v>
      </c>
      <c r="R23" s="43"/>
      <c r="S23" s="43"/>
      <c r="T23" s="43"/>
      <c r="U23" s="43"/>
    </row>
    <row r="24" spans="1:21" s="11" customFormat="1" ht="15">
      <c r="A24" s="50" t="s">
        <v>701</v>
      </c>
      <c r="B24" s="53" t="s">
        <v>8</v>
      </c>
      <c r="C24" s="53" t="s">
        <v>8</v>
      </c>
      <c r="D24" s="53" t="s">
        <v>8</v>
      </c>
      <c r="E24" s="53" t="s">
        <v>8</v>
      </c>
      <c r="F24" s="51">
        <v>45.34</v>
      </c>
      <c r="G24" s="51">
        <v>45.23</v>
      </c>
      <c r="H24" s="51">
        <v>22.39</v>
      </c>
      <c r="I24" s="53" t="s">
        <v>8</v>
      </c>
      <c r="J24" s="51">
        <v>1.1100000000000001</v>
      </c>
      <c r="K24" s="51">
        <v>18.80</v>
      </c>
      <c r="L24" s="51">
        <v>33.04</v>
      </c>
      <c r="M24" s="51">
        <v>30</v>
      </c>
      <c r="N24" s="51">
        <v>181.60</v>
      </c>
      <c r="O24" s="51">
        <v>0</v>
      </c>
      <c r="P24" s="51">
        <v>1.06</v>
      </c>
      <c r="Q24" s="53" t="s">
        <v>8</v>
      </c>
      <c r="R24" s="43"/>
      <c r="S24" s="43"/>
      <c r="T24" s="43"/>
      <c r="U24" s="43"/>
    </row>
    <row r="25" spans="1:21" s="11" customFormat="1" ht="15">
      <c r="A25" s="50" t="s">
        <v>702</v>
      </c>
      <c r="B25" s="53" t="s">
        <v>8</v>
      </c>
      <c r="C25" s="53" t="s">
        <v>8</v>
      </c>
      <c r="D25" s="53" t="s">
        <v>8</v>
      </c>
      <c r="E25" s="53" t="s">
        <v>8</v>
      </c>
      <c r="F25" s="51">
        <v>8.01</v>
      </c>
      <c r="G25" s="51">
        <v>24.09</v>
      </c>
      <c r="H25" s="51">
        <v>20.02</v>
      </c>
      <c r="I25" s="53" t="s">
        <v>8</v>
      </c>
      <c r="J25" s="51">
        <v>1.1000000000000001</v>
      </c>
      <c r="K25" s="51">
        <v>3.44</v>
      </c>
      <c r="L25" s="51">
        <v>29.45</v>
      </c>
      <c r="M25" s="51">
        <v>35</v>
      </c>
      <c r="N25" s="51">
        <v>39.5</v>
      </c>
      <c r="O25" s="51">
        <v>0</v>
      </c>
      <c r="P25" s="51">
        <v>1.05</v>
      </c>
      <c r="Q25" s="53" t="s">
        <v>8</v>
      </c>
      <c r="R25" s="43"/>
      <c r="S25" s="43"/>
      <c r="T25" s="43"/>
      <c r="U25" s="43"/>
    </row>
    <row r="26" spans="1:21" s="11" customFormat="1" ht="15">
      <c r="A26" s="50" t="s">
        <v>703</v>
      </c>
      <c r="B26" s="53" t="s">
        <v>8</v>
      </c>
      <c r="C26" s="53" t="s">
        <v>8</v>
      </c>
      <c r="D26" s="53" t="s">
        <v>8</v>
      </c>
      <c r="E26" s="53" t="s">
        <v>8</v>
      </c>
      <c r="F26" s="51">
        <v>7.51</v>
      </c>
      <c r="G26" s="51">
        <v>108.17</v>
      </c>
      <c r="H26" s="51">
        <v>20.04</v>
      </c>
      <c r="I26" s="53" t="s">
        <v>8</v>
      </c>
      <c r="J26" s="51">
        <v>0.79</v>
      </c>
      <c r="K26" s="51">
        <v>85.46</v>
      </c>
      <c r="L26" s="51">
        <v>29.19</v>
      </c>
      <c r="M26" s="51">
        <v>41</v>
      </c>
      <c r="N26" s="51">
        <v>27.70</v>
      </c>
      <c r="O26" s="51">
        <v>0</v>
      </c>
      <c r="P26" s="51">
        <v>1.31</v>
      </c>
      <c r="Q26" s="51">
        <v>68.36</v>
      </c>
      <c r="R26" s="43"/>
      <c r="S26" s="43"/>
      <c r="T26" s="43"/>
      <c r="U26" s="43"/>
    </row>
    <row r="27" spans="1:21" s="11" customFormat="1" ht="15">
      <c r="A27" s="50" t="s">
        <v>704</v>
      </c>
      <c r="B27" s="53" t="s">
        <v>8</v>
      </c>
      <c r="C27" s="53" t="s">
        <v>8</v>
      </c>
      <c r="D27" s="53" t="s">
        <v>8</v>
      </c>
      <c r="E27" s="53" t="s">
        <v>8</v>
      </c>
      <c r="F27" s="51">
        <v>4.37</v>
      </c>
      <c r="G27" s="51">
        <v>108.17</v>
      </c>
      <c r="H27" s="51">
        <v>28.39</v>
      </c>
      <c r="I27" s="53" t="s">
        <v>8</v>
      </c>
      <c r="J27" s="51">
        <v>0.11</v>
      </c>
      <c r="K27" s="51">
        <v>342.29</v>
      </c>
      <c r="L27" s="51">
        <v>26.24</v>
      </c>
      <c r="M27" s="51">
        <v>57</v>
      </c>
      <c r="N27" s="51">
        <v>5</v>
      </c>
      <c r="O27" s="51">
        <v>0</v>
      </c>
      <c r="P27" s="51">
        <v>2.31</v>
      </c>
      <c r="Q27" s="51">
        <v>56.5</v>
      </c>
      <c r="R27" s="43"/>
      <c r="S27" s="43"/>
      <c r="T27" s="43"/>
      <c r="U27" s="43"/>
    </row>
    <row r="28" spans="1:21" s="11" customFormat="1" ht="15">
      <c r="A28" s="50" t="s">
        <v>705</v>
      </c>
      <c r="B28" s="53" t="s">
        <v>8</v>
      </c>
      <c r="C28" s="53" t="s">
        <v>8</v>
      </c>
      <c r="D28" s="53" t="s">
        <v>8</v>
      </c>
      <c r="E28" s="53" t="s">
        <v>8</v>
      </c>
      <c r="F28" s="51">
        <v>3.87</v>
      </c>
      <c r="G28" s="51">
        <v>193.71</v>
      </c>
      <c r="H28" s="51">
        <v>52.56</v>
      </c>
      <c r="I28" s="53" t="s">
        <v>8</v>
      </c>
      <c r="J28" s="51">
        <v>0.09</v>
      </c>
      <c r="K28" s="51">
        <v>183.44</v>
      </c>
      <c r="L28" s="51">
        <v>23.84</v>
      </c>
      <c r="M28" s="51">
        <v>60</v>
      </c>
      <c r="N28" s="51">
        <v>4.5999999999999996</v>
      </c>
      <c r="O28" s="51">
        <v>0</v>
      </c>
      <c r="P28" s="51">
        <v>2.74</v>
      </c>
      <c r="Q28" s="51">
        <v>40.96</v>
      </c>
      <c r="R28" s="43"/>
      <c r="S28" s="43"/>
      <c r="T28" s="43"/>
      <c r="U28" s="43"/>
    </row>
    <row r="29" spans="1:21" s="11" customFormat="1" ht="15">
      <c r="A29" s="50" t="s">
        <v>706</v>
      </c>
      <c r="B29" s="53" t="s">
        <v>8</v>
      </c>
      <c r="C29" s="53" t="s">
        <v>8</v>
      </c>
      <c r="D29" s="53" t="s">
        <v>8</v>
      </c>
      <c r="E29" s="53" t="s">
        <v>8</v>
      </c>
      <c r="F29" s="51">
        <v>3.85</v>
      </c>
      <c r="G29" s="51">
        <v>201.94</v>
      </c>
      <c r="H29" s="51">
        <v>60.36</v>
      </c>
      <c r="I29" s="53" t="s">
        <v>8</v>
      </c>
      <c r="J29" s="51">
        <v>0.12</v>
      </c>
      <c r="K29" s="51">
        <v>281.05</v>
      </c>
      <c r="L29" s="51">
        <v>23.40</v>
      </c>
      <c r="M29" s="51">
        <v>61</v>
      </c>
      <c r="N29" s="51">
        <v>4.5</v>
      </c>
      <c r="O29" s="51">
        <v>0</v>
      </c>
      <c r="P29" s="51">
        <v>2.81</v>
      </c>
      <c r="Q29" s="51">
        <v>49.09</v>
      </c>
      <c r="R29" s="43"/>
      <c r="S29" s="43"/>
      <c r="T29" s="43"/>
      <c r="U29" s="43"/>
    </row>
    <row r="30" spans="1:21" s="11" customFormat="1" ht="15">
      <c r="A30" s="50" t="s">
        <v>707</v>
      </c>
      <c r="B30" s="53" t="s">
        <v>8</v>
      </c>
      <c r="C30" s="53" t="s">
        <v>8</v>
      </c>
      <c r="D30" s="53" t="s">
        <v>8</v>
      </c>
      <c r="E30" s="53" t="s">
        <v>8</v>
      </c>
      <c r="F30" s="51">
        <v>3.71</v>
      </c>
      <c r="G30" s="51">
        <v>201.94</v>
      </c>
      <c r="H30" s="51">
        <v>65.98</v>
      </c>
      <c r="I30" s="53" t="s">
        <v>8</v>
      </c>
      <c r="J30" s="51">
        <v>0.10</v>
      </c>
      <c r="K30" s="51">
        <v>357.13</v>
      </c>
      <c r="L30" s="51">
        <v>22.64</v>
      </c>
      <c r="M30" s="51">
        <v>64</v>
      </c>
      <c r="N30" s="51">
        <v>4.5999999999999996</v>
      </c>
      <c r="O30" s="51">
        <v>0</v>
      </c>
      <c r="P30" s="51">
        <v>3.38</v>
      </c>
      <c r="Q30" s="51">
        <v>50.32</v>
      </c>
      <c r="R30" s="43"/>
      <c r="S30" s="43"/>
      <c r="T30" s="43"/>
      <c r="U30" s="43"/>
    </row>
    <row r="31" spans="1:21" s="11" customFormat="1" ht="15">
      <c r="A31" s="50" t="s">
        <v>708</v>
      </c>
      <c r="B31" s="53" t="s">
        <v>8</v>
      </c>
      <c r="C31" s="53" t="s">
        <v>8</v>
      </c>
      <c r="D31" s="53" t="s">
        <v>8</v>
      </c>
      <c r="E31" s="53" t="s">
        <v>8</v>
      </c>
      <c r="F31" s="51">
        <v>3.70</v>
      </c>
      <c r="G31" s="51">
        <v>191.37</v>
      </c>
      <c r="H31" s="51">
        <v>72.02</v>
      </c>
      <c r="I31" s="53" t="s">
        <v>8</v>
      </c>
      <c r="J31" s="51">
        <v>0.12</v>
      </c>
      <c r="K31" s="51">
        <v>311.35000000000002</v>
      </c>
      <c r="L31" s="51">
        <v>22.64</v>
      </c>
      <c r="M31" s="51">
        <v>62</v>
      </c>
      <c r="N31" s="51">
        <v>4.5999999999999996</v>
      </c>
      <c r="O31" s="51">
        <v>0</v>
      </c>
      <c r="P31" s="51">
        <v>3.48</v>
      </c>
      <c r="Q31" s="51">
        <v>49.81</v>
      </c>
      <c r="R31" s="43"/>
      <c r="S31" s="43"/>
      <c r="T31" s="43"/>
      <c r="U31" s="43"/>
    </row>
    <row r="32" spans="1:21" s="11" customFormat="1" ht="15">
      <c r="A32" s="50" t="s">
        <v>709</v>
      </c>
      <c r="B32" s="53" t="s">
        <v>8</v>
      </c>
      <c r="C32" s="53" t="s">
        <v>8</v>
      </c>
      <c r="D32" s="53" t="s">
        <v>8</v>
      </c>
      <c r="E32" s="53" t="s">
        <v>8</v>
      </c>
      <c r="F32" s="51">
        <v>5.31</v>
      </c>
      <c r="G32" s="51">
        <v>176.23</v>
      </c>
      <c r="H32" s="51">
        <v>72.02</v>
      </c>
      <c r="I32" s="53" t="s">
        <v>8</v>
      </c>
      <c r="J32" s="51">
        <v>0.69</v>
      </c>
      <c r="K32" s="51">
        <v>318.55</v>
      </c>
      <c r="L32" s="51">
        <v>22.14</v>
      </c>
      <c r="M32" s="51">
        <v>69</v>
      </c>
      <c r="N32" s="51">
        <v>4.5999999999999996</v>
      </c>
      <c r="O32" s="51">
        <v>0</v>
      </c>
      <c r="P32" s="51">
        <v>3.43</v>
      </c>
      <c r="Q32" s="51">
        <v>49.39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5.0899999999999999</v>
      </c>
      <c r="C34" s="28">
        <f t="shared" si="0"/>
        <v>70.599999999999994</v>
      </c>
      <c r="D34" s="28">
        <f t="shared" si="0"/>
        <v>50.609999999999999</v>
      </c>
      <c r="E34" s="28">
        <f t="shared" si="0"/>
        <v>3.02</v>
      </c>
      <c r="F34" s="28">
        <f t="shared" si="0"/>
        <v>3.52</v>
      </c>
      <c r="G34" s="28">
        <f t="shared" si="0"/>
        <v>24.09</v>
      </c>
      <c r="H34" s="28">
        <f t="shared" si="0"/>
        <v>20.02</v>
      </c>
      <c r="I34" s="28">
        <f t="shared" si="0"/>
        <v>0.5</v>
      </c>
      <c r="J34" s="28">
        <f t="shared" si="0"/>
        <v>0.080000000000000002</v>
      </c>
      <c r="K34" s="28">
        <f t="shared" si="0"/>
        <v>3.4399999999999999</v>
      </c>
      <c r="L34" s="28">
        <f t="shared" si="0"/>
        <v>18.190000000000001</v>
      </c>
      <c r="M34" s="28">
        <f t="shared" si="0"/>
        <v>27</v>
      </c>
      <c r="N34" s="28">
        <f t="shared" si="0"/>
        <v>4.2000000000000002</v>
      </c>
      <c r="O34" s="28">
        <f t="shared" si="0"/>
        <v>0</v>
      </c>
      <c r="P34" s="28">
        <f t="shared" si="0"/>
        <v>0.66000000000000003</v>
      </c>
      <c r="Q34" s="28">
        <f t="shared" si="0"/>
        <v>19.5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68.670000000000002</v>
      </c>
      <c r="C35" s="29">
        <f t="shared" si="1"/>
        <v>91.049999999999997</v>
      </c>
      <c r="D35" s="29">
        <f t="shared" si="1"/>
        <v>102.81999999999999</v>
      </c>
      <c r="E35" s="29">
        <f t="shared" si="1"/>
        <v>19.460000000000001</v>
      </c>
      <c r="F35" s="29">
        <f t="shared" si="1"/>
        <v>45.340000000000003</v>
      </c>
      <c r="G35" s="29">
        <f t="shared" si="1"/>
        <v>201.94</v>
      </c>
      <c r="H35" s="29">
        <f t="shared" si="1"/>
        <v>72.019999999999996</v>
      </c>
      <c r="I35" s="29">
        <f t="shared" si="1"/>
        <v>1.1299999999999999</v>
      </c>
      <c r="J35" s="29">
        <f t="shared" si="1"/>
        <v>1.3</v>
      </c>
      <c r="K35" s="29">
        <f t="shared" si="1"/>
        <v>358.36000000000001</v>
      </c>
      <c r="L35" s="29">
        <f t="shared" si="1"/>
        <v>35.399999999999999</v>
      </c>
      <c r="M35" s="29">
        <f t="shared" si="1"/>
        <v>86</v>
      </c>
      <c r="N35" s="29">
        <f t="shared" si="1"/>
        <v>667</v>
      </c>
      <c r="O35" s="29">
        <f t="shared" si="1"/>
        <v>0</v>
      </c>
      <c r="P35" s="29">
        <f t="shared" si="1"/>
        <v>3.48</v>
      </c>
      <c r="Q35" s="29">
        <f t="shared" si="1"/>
        <v>68.359999999999999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45.780833333333327</v>
      </c>
      <c r="C36" s="28">
        <f t="shared" si="2"/>
        <v>80.11333333333333</v>
      </c>
      <c r="D36" s="28">
        <f t="shared" si="2"/>
        <v>80.760833333333338</v>
      </c>
      <c r="E36" s="28">
        <f t="shared" si="2"/>
        <v>7.197857142857143</v>
      </c>
      <c r="F36" s="28">
        <f t="shared" si="2"/>
        <v>9.2690909090909077</v>
      </c>
      <c r="G36" s="28">
        <f t="shared" si="2"/>
        <v>126.38380952380952</v>
      </c>
      <c r="H36" s="28">
        <f t="shared" si="2"/>
        <v>49.438999999999993</v>
      </c>
      <c r="I36" s="28">
        <f t="shared" si="2"/>
        <v>0.8414285714285713</v>
      </c>
      <c r="J36" s="28">
        <f t="shared" si="2"/>
        <v>0.52624999999999977</v>
      </c>
      <c r="K36" s="28">
        <f t="shared" si="2"/>
        <v>202.26083333333338</v>
      </c>
      <c r="L36" s="28">
        <f t="shared" si="2"/>
        <v>25.68375</v>
      </c>
      <c r="M36" s="28">
        <f t="shared" si="2"/>
        <v>57.041666666666664</v>
      </c>
      <c r="N36" s="28">
        <f t="shared" si="2"/>
        <v>157.07499999999996</v>
      </c>
      <c r="O36" s="28">
        <f t="shared" si="2"/>
        <v>0</v>
      </c>
      <c r="P36" s="28">
        <f t="shared" si="2"/>
        <v>1.8656521739130434</v>
      </c>
      <c r="Q36" s="28">
        <f t="shared" si="2"/>
        <v>46.936666666666675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18.405883673105176</v>
      </c>
      <c r="C37" s="28">
        <f t="shared" si="3" ref="C37:Q37">STDEV(C9:C32)</f>
        <v>6.4049374893455617</v>
      </c>
      <c r="D37" s="28">
        <f t="shared" si="3"/>
        <v>15.302483136782536</v>
      </c>
      <c r="E37" s="28">
        <f t="shared" si="3"/>
        <v>6.1068853682625246</v>
      </c>
      <c r="F37" s="28">
        <f t="shared" si="3"/>
        <v>12.176679471174518</v>
      </c>
      <c r="G37" s="28">
        <f t="shared" si="3"/>
        <v>51.792548351687685</v>
      </c>
      <c r="H37" s="28">
        <f t="shared" si="3"/>
        <v>15.678298410625843</v>
      </c>
      <c r="I37" s="28">
        <f t="shared" si="3"/>
        <v>0.19041885583980628</v>
      </c>
      <c r="J37" s="28">
        <f t="shared" si="3"/>
        <v>0.44463773725506556</v>
      </c>
      <c r="K37" s="28">
        <f t="shared" si="3"/>
        <v>146.33450854319935</v>
      </c>
      <c r="L37" s="28">
        <f t="shared" si="3"/>
        <v>5.4922394359440769</v>
      </c>
      <c r="M37" s="28">
        <f t="shared" si="3"/>
        <v>19.022821915351788</v>
      </c>
      <c r="N37" s="28">
        <f t="shared" si="3"/>
        <v>232.07276267135069</v>
      </c>
      <c r="O37" s="28">
        <f t="shared" si="3"/>
        <v>0</v>
      </c>
      <c r="P37" s="28">
        <f t="shared" si="3"/>
        <v>0.80506253899905511</v>
      </c>
      <c r="Q37" s="28">
        <f t="shared" si="3"/>
        <v>11.822170415508833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COUNT(B9:B32)+12</f>
        <v>24</v>
      </c>
      <c r="C38" s="32">
        <f>COUNT(C9:C32)+12</f>
        <v>24</v>
      </c>
      <c r="D38" s="32">
        <f>COUNT(D9:D32)+12</f>
        <v>24</v>
      </c>
      <c r="E38" s="32">
        <f>COUNT(E9:E32)+10</f>
        <v>24</v>
      </c>
      <c r="F38" s="32">
        <f>COUNT(F9:F32)+2</f>
        <v>24</v>
      </c>
      <c r="G38" s="32">
        <f>COUNT(G9:G32)+3</f>
        <v>24</v>
      </c>
      <c r="H38" s="32">
        <f>COUNT(H9:H32)+4</f>
        <v>24</v>
      </c>
      <c r="I38" s="32">
        <f>COUNT(I9:I32)+10</f>
        <v>24</v>
      </c>
      <c r="J38" s="32">
        <f t="shared" si="4" ref="J38:O38">COUNT(J9:J32)</f>
        <v>24</v>
      </c>
      <c r="K38" s="32">
        <f t="shared" si="4"/>
        <v>24</v>
      </c>
      <c r="L38" s="32">
        <f>COUNT(L9:L32)</f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>COUNT(P9:P32)+1</f>
        <v>24</v>
      </c>
      <c r="Q38" s="32">
        <f>COUNT(Q9:Q32)+3</f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669291338582677" right="2.63779527559055" top="0.196850393700787" bottom="2.08661417322835" header="0.31496062992126" footer="0.15748031496063"/>
  <pageSetup orientation="landscape" paperSize="9" scale="9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c2417f7-a2d3-45f3-b97f-e629a292b696}">
  <sheetPr codeName=""/>
  <dimension ref="A1:U119"/>
  <sheetViews>
    <sheetView workbookViewId="0" topLeftCell="A1">
      <pane xSplit="1" ySplit="8" topLeftCell="B9" activePane="bottomRight" state="frozen"/>
      <selection pane="topLeft" activeCell="B38" sqref="B38:U38"/>
      <selection pane="topRight" activeCell="B38" sqref="B38:U38"/>
      <selection pane="bottomLeft" activeCell="B38" sqref="B38:U38"/>
      <selection pane="bottomRigh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28-01-2023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1" t="s">
        <v>710</v>
      </c>
      <c r="B9" s="8" t="s">
        <v>8</v>
      </c>
      <c r="C9" s="8" t="s">
        <v>8</v>
      </c>
      <c r="D9" s="8" t="s">
        <v>8</v>
      </c>
      <c r="E9" s="8" t="s">
        <v>8</v>
      </c>
      <c r="F9" s="64">
        <v>4.42</v>
      </c>
      <c r="G9" s="64">
        <v>125.79</v>
      </c>
      <c r="H9" s="64">
        <v>63.51</v>
      </c>
      <c r="I9" s="5" t="s">
        <v>14</v>
      </c>
      <c r="J9" s="64">
        <v>1.17</v>
      </c>
      <c r="K9" s="64">
        <v>19.02</v>
      </c>
      <c r="L9" s="64">
        <v>22.30</v>
      </c>
      <c r="M9" s="64">
        <v>64</v>
      </c>
      <c r="N9" s="64">
        <v>4.5</v>
      </c>
      <c r="O9" s="64">
        <v>0</v>
      </c>
      <c r="P9" s="64">
        <v>3.14</v>
      </c>
      <c r="Q9" s="64">
        <v>50.37</v>
      </c>
      <c r="R9" s="43"/>
      <c r="S9" s="43"/>
      <c r="T9" s="43"/>
      <c r="U9" s="43"/>
    </row>
    <row r="10" spans="1:21" s="11" customFormat="1" ht="15">
      <c r="A10" s="51" t="s">
        <v>711</v>
      </c>
      <c r="B10" s="8" t="s">
        <v>8</v>
      </c>
      <c r="C10" s="8" t="s">
        <v>8</v>
      </c>
      <c r="D10" s="8" t="s">
        <v>8</v>
      </c>
      <c r="E10" s="8" t="s">
        <v>8</v>
      </c>
      <c r="F10" s="64">
        <v>4.2699999999999996</v>
      </c>
      <c r="G10" s="64">
        <v>108.19</v>
      </c>
      <c r="H10" s="64">
        <v>56.64</v>
      </c>
      <c r="I10" s="5" t="s">
        <v>14</v>
      </c>
      <c r="J10" s="64">
        <v>1.17</v>
      </c>
      <c r="K10" s="64">
        <v>20.93</v>
      </c>
      <c r="L10" s="64">
        <v>21.97</v>
      </c>
      <c r="M10" s="64">
        <v>70</v>
      </c>
      <c r="N10" s="64">
        <v>4.80</v>
      </c>
      <c r="O10" s="64">
        <v>0</v>
      </c>
      <c r="P10" s="64">
        <v>2.35</v>
      </c>
      <c r="Q10" s="64">
        <v>46.32</v>
      </c>
      <c r="R10" s="43"/>
      <c r="S10" s="43"/>
      <c r="T10" s="43"/>
      <c r="U10" s="43"/>
    </row>
    <row r="11" spans="1:21" s="11" customFormat="1" ht="15">
      <c r="A11" s="51" t="s">
        <v>712</v>
      </c>
      <c r="B11" s="8" t="s">
        <v>8</v>
      </c>
      <c r="C11" s="8" t="s">
        <v>8</v>
      </c>
      <c r="D11" s="8" t="s">
        <v>8</v>
      </c>
      <c r="E11" s="8" t="s">
        <v>8</v>
      </c>
      <c r="F11" s="64">
        <v>4.3099999999999996</v>
      </c>
      <c r="G11" s="64">
        <v>96.39</v>
      </c>
      <c r="H11" s="64">
        <v>53</v>
      </c>
      <c r="I11" s="5" t="s">
        <v>14</v>
      </c>
      <c r="J11" s="64">
        <v>0.79</v>
      </c>
      <c r="K11" s="64">
        <v>26.88</v>
      </c>
      <c r="L11" s="64">
        <v>21.31</v>
      </c>
      <c r="M11" s="64">
        <v>74</v>
      </c>
      <c r="N11" s="64">
        <v>4.5999999999999996</v>
      </c>
      <c r="O11" s="64">
        <v>0</v>
      </c>
      <c r="P11" s="64">
        <v>2.0499999999999998</v>
      </c>
      <c r="Q11" s="64">
        <v>40.54</v>
      </c>
      <c r="R11" s="43"/>
      <c r="S11" s="43"/>
      <c r="T11" s="43"/>
      <c r="U11" s="43"/>
    </row>
    <row r="12" spans="1:21" s="11" customFormat="1" ht="15">
      <c r="A12" s="51" t="s">
        <v>713</v>
      </c>
      <c r="B12" s="8" t="s">
        <v>8</v>
      </c>
      <c r="C12" s="8" t="s">
        <v>8</v>
      </c>
      <c r="D12" s="8" t="s">
        <v>8</v>
      </c>
      <c r="E12" s="8" t="s">
        <v>8</v>
      </c>
      <c r="F12" s="64">
        <v>5.15</v>
      </c>
      <c r="G12" s="64">
        <v>96.24</v>
      </c>
      <c r="H12" s="64">
        <v>50.77</v>
      </c>
      <c r="I12" s="5" t="s">
        <v>14</v>
      </c>
      <c r="J12" s="64">
        <v>0.81</v>
      </c>
      <c r="K12" s="64">
        <v>31.05</v>
      </c>
      <c r="L12" s="64">
        <v>20.61</v>
      </c>
      <c r="M12" s="64">
        <v>77</v>
      </c>
      <c r="N12" s="64">
        <v>4.5</v>
      </c>
      <c r="O12" s="64">
        <v>0</v>
      </c>
      <c r="P12" s="64">
        <v>1.71</v>
      </c>
      <c r="Q12" s="64">
        <v>41.15</v>
      </c>
      <c r="R12" s="43"/>
      <c r="S12" s="43"/>
      <c r="T12" s="43"/>
      <c r="U12" s="43"/>
    </row>
    <row r="13" spans="1:21" s="11" customFormat="1" ht="15">
      <c r="A13" s="51" t="s">
        <v>714</v>
      </c>
      <c r="B13" s="8" t="s">
        <v>8</v>
      </c>
      <c r="C13" s="8" t="s">
        <v>8</v>
      </c>
      <c r="D13" s="8" t="s">
        <v>8</v>
      </c>
      <c r="E13" s="8" t="s">
        <v>8</v>
      </c>
      <c r="F13" s="64">
        <v>3.76</v>
      </c>
      <c r="G13" s="64">
        <v>65.150000000000006</v>
      </c>
      <c r="H13" s="64">
        <v>44.05</v>
      </c>
      <c r="I13" s="5" t="s">
        <v>14</v>
      </c>
      <c r="J13" s="64">
        <v>1.1499999999999999</v>
      </c>
      <c r="K13" s="64">
        <v>21.91</v>
      </c>
      <c r="L13" s="64">
        <v>20.149999999999999</v>
      </c>
      <c r="M13" s="64">
        <v>79</v>
      </c>
      <c r="N13" s="64">
        <v>4.4000000000000004</v>
      </c>
      <c r="O13" s="64">
        <v>0</v>
      </c>
      <c r="P13" s="64">
        <v>1.40</v>
      </c>
      <c r="Q13" s="64">
        <v>41.27</v>
      </c>
      <c r="R13" s="43"/>
      <c r="S13" s="43"/>
      <c r="T13" s="43"/>
      <c r="U13" s="43"/>
    </row>
    <row r="14" spans="1:21" s="11" customFormat="1" ht="15">
      <c r="A14" s="51" t="s">
        <v>715</v>
      </c>
      <c r="B14" s="8" t="s">
        <v>8</v>
      </c>
      <c r="C14" s="8" t="s">
        <v>8</v>
      </c>
      <c r="D14" s="8" t="s">
        <v>8</v>
      </c>
      <c r="E14" s="8" t="s">
        <v>8</v>
      </c>
      <c r="F14" s="64">
        <v>4.29</v>
      </c>
      <c r="G14" s="64">
        <v>53.09</v>
      </c>
      <c r="H14" s="64">
        <v>36.159999999999997</v>
      </c>
      <c r="I14" s="5" t="s">
        <v>14</v>
      </c>
      <c r="J14" s="64">
        <v>1.25</v>
      </c>
      <c r="K14" s="64">
        <v>24.36</v>
      </c>
      <c r="L14" s="64">
        <v>19.78</v>
      </c>
      <c r="M14" s="64">
        <v>80</v>
      </c>
      <c r="N14" s="64">
        <v>4.5</v>
      </c>
      <c r="O14" s="64">
        <v>0</v>
      </c>
      <c r="P14" s="64">
        <v>1.1000000000000001</v>
      </c>
      <c r="Q14" s="64">
        <v>38.68</v>
      </c>
      <c r="R14" s="43"/>
      <c r="S14" s="43"/>
      <c r="T14" s="43"/>
      <c r="U14" s="43"/>
    </row>
    <row r="15" spans="1:21" s="11" customFormat="1" ht="15">
      <c r="A15" s="51" t="s">
        <v>716</v>
      </c>
      <c r="B15" s="8" t="s">
        <v>8</v>
      </c>
      <c r="C15" s="8" t="s">
        <v>8</v>
      </c>
      <c r="D15" s="8" t="s">
        <v>8</v>
      </c>
      <c r="E15" s="8" t="s">
        <v>8</v>
      </c>
      <c r="F15" s="64">
        <v>4.07</v>
      </c>
      <c r="G15" s="64">
        <v>50.84</v>
      </c>
      <c r="H15" s="64">
        <v>34.090000000000003</v>
      </c>
      <c r="I15" s="5" t="s">
        <v>14</v>
      </c>
      <c r="J15" s="64">
        <v>0.80</v>
      </c>
      <c r="K15" s="64">
        <v>47.57</v>
      </c>
      <c r="L15" s="64">
        <v>19.440000000000001</v>
      </c>
      <c r="M15" s="64">
        <v>81</v>
      </c>
      <c r="N15" s="64">
        <v>18.100000000000001</v>
      </c>
      <c r="O15" s="64">
        <v>0</v>
      </c>
      <c r="P15" s="64">
        <v>0.91</v>
      </c>
      <c r="Q15" s="64">
        <v>34.450000000000003</v>
      </c>
      <c r="R15" s="43"/>
      <c r="S15" s="43"/>
      <c r="T15" s="43"/>
      <c r="U15" s="43"/>
    </row>
    <row r="16" spans="1:21" s="11" customFormat="1" ht="15">
      <c r="A16" s="51" t="s">
        <v>717</v>
      </c>
      <c r="B16" s="8" t="s">
        <v>8</v>
      </c>
      <c r="C16" s="8" t="s">
        <v>8</v>
      </c>
      <c r="D16" s="8" t="s">
        <v>8</v>
      </c>
      <c r="E16" s="8" t="s">
        <v>8</v>
      </c>
      <c r="F16" s="64">
        <v>3.67</v>
      </c>
      <c r="G16" s="64">
        <v>60.75</v>
      </c>
      <c r="H16" s="64">
        <v>34.090000000000003</v>
      </c>
      <c r="I16" s="5" t="s">
        <v>14</v>
      </c>
      <c r="J16" s="64">
        <v>0.41</v>
      </c>
      <c r="K16" s="64">
        <v>64.23</v>
      </c>
      <c r="L16" s="64">
        <v>20.88</v>
      </c>
      <c r="M16" s="64">
        <v>81</v>
      </c>
      <c r="N16" s="64">
        <v>143.40</v>
      </c>
      <c r="O16" s="64">
        <v>0</v>
      </c>
      <c r="P16" s="64">
        <v>1</v>
      </c>
      <c r="Q16" s="64">
        <v>38.44</v>
      </c>
      <c r="R16" s="43"/>
      <c r="S16" s="43"/>
      <c r="T16" s="43"/>
      <c r="U16" s="43"/>
    </row>
    <row r="17" spans="1:21" s="11" customFormat="1" ht="15">
      <c r="A17" s="51" t="s">
        <v>718</v>
      </c>
      <c r="B17" s="8" t="s">
        <v>8</v>
      </c>
      <c r="C17" s="8" t="s">
        <v>8</v>
      </c>
      <c r="D17" s="8" t="s">
        <v>8</v>
      </c>
      <c r="E17" s="8" t="s">
        <v>8</v>
      </c>
      <c r="F17" s="64">
        <v>3.61</v>
      </c>
      <c r="G17" s="64">
        <v>71.510000000000005</v>
      </c>
      <c r="H17" s="64">
        <v>35.72</v>
      </c>
      <c r="I17" s="5" t="s">
        <v>14</v>
      </c>
      <c r="J17" s="64">
        <v>0.71</v>
      </c>
      <c r="K17" s="64">
        <v>104.79</v>
      </c>
      <c r="L17" s="64">
        <v>23.46</v>
      </c>
      <c r="M17" s="64">
        <v>72</v>
      </c>
      <c r="N17" s="64">
        <v>313.39999999999998</v>
      </c>
      <c r="O17" s="64">
        <v>0</v>
      </c>
      <c r="P17" s="64">
        <v>1.02</v>
      </c>
      <c r="Q17" s="64">
        <v>38.26</v>
      </c>
      <c r="R17" s="43"/>
      <c r="S17" s="43"/>
      <c r="T17" s="43"/>
      <c r="U17" s="43"/>
    </row>
    <row r="18" spans="1:21" s="11" customFormat="1" ht="15">
      <c r="A18" s="51" t="s">
        <v>719</v>
      </c>
      <c r="B18" s="8" t="s">
        <v>8</v>
      </c>
      <c r="C18" s="8" t="s">
        <v>8</v>
      </c>
      <c r="D18" s="8" t="s">
        <v>8</v>
      </c>
      <c r="E18" s="8" t="s">
        <v>8</v>
      </c>
      <c r="F18" s="64">
        <v>3.81</v>
      </c>
      <c r="G18" s="64">
        <v>71.510000000000005</v>
      </c>
      <c r="H18" s="64">
        <v>35.72</v>
      </c>
      <c r="I18" s="5" t="s">
        <v>14</v>
      </c>
      <c r="J18" s="64">
        <v>1.32</v>
      </c>
      <c r="K18" s="64">
        <v>121.83</v>
      </c>
      <c r="L18" s="64">
        <v>25.30</v>
      </c>
      <c r="M18" s="64">
        <v>67</v>
      </c>
      <c r="N18" s="64">
        <v>451.40</v>
      </c>
      <c r="O18" s="64">
        <v>0</v>
      </c>
      <c r="P18" s="64">
        <v>1.01</v>
      </c>
      <c r="Q18" s="64">
        <v>36.65</v>
      </c>
      <c r="R18" s="43"/>
      <c r="S18" s="43"/>
      <c r="T18" s="43"/>
      <c r="U18" s="43"/>
    </row>
    <row r="19" spans="1:21" s="11" customFormat="1" ht="15">
      <c r="A19" s="51" t="s">
        <v>720</v>
      </c>
      <c r="B19" s="8" t="s">
        <v>8</v>
      </c>
      <c r="C19" s="8" t="s">
        <v>8</v>
      </c>
      <c r="D19" s="8" t="s">
        <v>8</v>
      </c>
      <c r="E19" s="8" t="s">
        <v>8</v>
      </c>
      <c r="F19" s="64">
        <v>6.72</v>
      </c>
      <c r="G19" s="64">
        <v>68.38</v>
      </c>
      <c r="H19" s="64">
        <v>35.15</v>
      </c>
      <c r="I19" s="5" t="s">
        <v>14</v>
      </c>
      <c r="J19" s="64">
        <v>1.01</v>
      </c>
      <c r="K19" s="64">
        <v>121.65</v>
      </c>
      <c r="L19" s="64">
        <v>27.33</v>
      </c>
      <c r="M19" s="64">
        <v>56</v>
      </c>
      <c r="N19" s="64">
        <v>535.90</v>
      </c>
      <c r="O19" s="64">
        <v>0</v>
      </c>
      <c r="P19" s="64">
        <v>0.95</v>
      </c>
      <c r="Q19" s="64">
        <v>38.549999999999997</v>
      </c>
      <c r="R19" s="43"/>
      <c r="S19" s="43"/>
      <c r="T19" s="43"/>
      <c r="U19" s="43"/>
    </row>
    <row r="20" spans="1:21" s="11" customFormat="1" ht="15">
      <c r="A20" s="51" t="s">
        <v>721</v>
      </c>
      <c r="B20" s="64">
        <v>5.08</v>
      </c>
      <c r="C20" s="64">
        <v>67.58</v>
      </c>
      <c r="D20" s="64">
        <v>41.78</v>
      </c>
      <c r="E20" s="8" t="s">
        <v>8</v>
      </c>
      <c r="F20" s="64">
        <v>52.37</v>
      </c>
      <c r="G20" s="64">
        <v>64.98</v>
      </c>
      <c r="H20" s="64">
        <v>35.15</v>
      </c>
      <c r="I20" s="5" t="s">
        <v>14</v>
      </c>
      <c r="J20" s="64">
        <v>0.57999999999999996</v>
      </c>
      <c r="K20" s="64">
        <v>136.12</v>
      </c>
      <c r="L20" s="64">
        <v>30.76</v>
      </c>
      <c r="M20" s="64">
        <v>46</v>
      </c>
      <c r="N20" s="64">
        <v>606.90</v>
      </c>
      <c r="O20" s="64">
        <v>0</v>
      </c>
      <c r="P20" s="64">
        <v>0.99</v>
      </c>
      <c r="Q20" s="64">
        <v>29.54</v>
      </c>
      <c r="R20" s="43"/>
      <c r="S20" s="43"/>
      <c r="T20" s="43"/>
      <c r="U20" s="43"/>
    </row>
    <row r="21" spans="1:21" s="11" customFormat="1" ht="15">
      <c r="A21" s="51" t="s">
        <v>722</v>
      </c>
      <c r="B21" s="64">
        <v>1.34</v>
      </c>
      <c r="C21" s="64">
        <v>49.32</v>
      </c>
      <c r="D21" s="64">
        <v>27.84</v>
      </c>
      <c r="E21" s="8" t="s">
        <v>8</v>
      </c>
      <c r="F21" s="64">
        <v>71.17</v>
      </c>
      <c r="G21" s="64">
        <v>78.41</v>
      </c>
      <c r="H21" s="64">
        <v>35.36</v>
      </c>
      <c r="I21" s="5" t="s">
        <v>14</v>
      </c>
      <c r="J21" s="64">
        <v>0.89</v>
      </c>
      <c r="K21" s="64">
        <v>134.19999999999999</v>
      </c>
      <c r="L21" s="64">
        <v>30.71</v>
      </c>
      <c r="M21" s="64">
        <v>43</v>
      </c>
      <c r="N21" s="64">
        <v>604.90</v>
      </c>
      <c r="O21" s="64">
        <v>0</v>
      </c>
      <c r="P21" s="64">
        <v>0.87</v>
      </c>
      <c r="Q21" s="64">
        <v>20.63</v>
      </c>
      <c r="R21" s="43"/>
      <c r="S21" s="43"/>
      <c r="T21" s="43"/>
      <c r="U21" s="43"/>
    </row>
    <row r="22" spans="1:21" s="11" customFormat="1" ht="15">
      <c r="A22" s="51" t="s">
        <v>723</v>
      </c>
      <c r="B22" s="64">
        <v>0.78</v>
      </c>
      <c r="C22" s="64">
        <v>46.27</v>
      </c>
      <c r="D22" s="64">
        <v>26.49</v>
      </c>
      <c r="E22" s="64">
        <v>32.17</v>
      </c>
      <c r="F22" s="64">
        <v>64.569999999999993</v>
      </c>
      <c r="G22" s="64">
        <v>78.41</v>
      </c>
      <c r="H22" s="64">
        <v>35.36</v>
      </c>
      <c r="I22" s="5" t="s">
        <v>14</v>
      </c>
      <c r="J22" s="64">
        <v>1.07</v>
      </c>
      <c r="K22" s="64">
        <v>134.81</v>
      </c>
      <c r="L22" s="64">
        <v>30.60</v>
      </c>
      <c r="M22" s="64">
        <v>39</v>
      </c>
      <c r="N22" s="64">
        <v>544.90</v>
      </c>
      <c r="O22" s="64">
        <v>0</v>
      </c>
      <c r="P22" s="64">
        <v>0.69</v>
      </c>
      <c r="Q22" s="64">
        <v>17.61</v>
      </c>
      <c r="R22" s="43"/>
      <c r="S22" s="43"/>
      <c r="T22" s="43"/>
      <c r="U22" s="43"/>
    </row>
    <row r="23" spans="1:21" s="11" customFormat="1" ht="15">
      <c r="A23" s="51" t="s">
        <v>724</v>
      </c>
      <c r="B23" s="64">
        <v>1.74</v>
      </c>
      <c r="C23" s="64">
        <v>58.22</v>
      </c>
      <c r="D23" s="64">
        <v>33.07</v>
      </c>
      <c r="E23" s="64">
        <v>43.27</v>
      </c>
      <c r="F23" s="64">
        <v>66.77</v>
      </c>
      <c r="G23" s="64">
        <v>72.86</v>
      </c>
      <c r="H23" s="64">
        <v>32.549999999999997</v>
      </c>
      <c r="I23" s="64">
        <v>0.45</v>
      </c>
      <c r="J23" s="64">
        <v>0.89</v>
      </c>
      <c r="K23" s="64">
        <v>140.32</v>
      </c>
      <c r="L23" s="64">
        <v>31.23</v>
      </c>
      <c r="M23" s="64">
        <v>37</v>
      </c>
      <c r="N23" s="64">
        <v>442.60</v>
      </c>
      <c r="O23" s="64">
        <v>0</v>
      </c>
      <c r="P23" s="64">
        <v>0.82</v>
      </c>
      <c r="Q23" s="64">
        <v>18.54</v>
      </c>
      <c r="R23" s="43"/>
      <c r="S23" s="43"/>
      <c r="T23" s="43"/>
      <c r="U23" s="43"/>
    </row>
    <row r="24" spans="1:21" s="11" customFormat="1" ht="15">
      <c r="A24" s="51" t="s">
        <v>725</v>
      </c>
      <c r="B24" s="64">
        <v>3.13</v>
      </c>
      <c r="C24" s="64">
        <v>66.17</v>
      </c>
      <c r="D24" s="64">
        <v>39.450000000000003</v>
      </c>
      <c r="E24" s="64">
        <v>12.65</v>
      </c>
      <c r="F24" s="64">
        <v>12.07</v>
      </c>
      <c r="G24" s="64">
        <v>63.07</v>
      </c>
      <c r="H24" s="64">
        <v>31.93</v>
      </c>
      <c r="I24" s="64">
        <v>0.48</v>
      </c>
      <c r="J24" s="64">
        <v>1.5</v>
      </c>
      <c r="K24" s="64">
        <v>136.75</v>
      </c>
      <c r="L24" s="64">
        <v>30.62</v>
      </c>
      <c r="M24" s="64">
        <v>36</v>
      </c>
      <c r="N24" s="64">
        <v>217</v>
      </c>
      <c r="O24" s="64">
        <v>0</v>
      </c>
      <c r="P24" s="64">
        <v>0.81</v>
      </c>
      <c r="Q24" s="64">
        <v>24.84</v>
      </c>
      <c r="R24" s="43"/>
      <c r="S24" s="43"/>
      <c r="T24" s="43"/>
      <c r="U24" s="43"/>
    </row>
    <row r="25" spans="1:21" s="11" customFormat="1" ht="15">
      <c r="A25" s="51" t="s">
        <v>726</v>
      </c>
      <c r="B25" s="64">
        <v>8.5399999999999991</v>
      </c>
      <c r="C25" s="64">
        <v>81.14</v>
      </c>
      <c r="D25" s="64">
        <v>52.04</v>
      </c>
      <c r="E25" s="64">
        <v>15.29</v>
      </c>
      <c r="F25" s="64">
        <v>21.31</v>
      </c>
      <c r="G25" s="64">
        <v>61.28</v>
      </c>
      <c r="H25" s="64">
        <v>30.33</v>
      </c>
      <c r="I25" s="64">
        <v>0.5</v>
      </c>
      <c r="J25" s="64">
        <v>0.61</v>
      </c>
      <c r="K25" s="64">
        <v>77.66</v>
      </c>
      <c r="L25" s="64">
        <v>30.15</v>
      </c>
      <c r="M25" s="64">
        <v>38</v>
      </c>
      <c r="N25" s="64">
        <v>97.30</v>
      </c>
      <c r="O25" s="64">
        <v>0</v>
      </c>
      <c r="P25" s="64">
        <v>1.06</v>
      </c>
      <c r="Q25" s="64">
        <v>27.57</v>
      </c>
      <c r="R25" s="43"/>
      <c r="S25" s="43"/>
      <c r="T25" s="43"/>
      <c r="U25" s="43"/>
    </row>
    <row r="26" spans="1:21" s="11" customFormat="1" ht="15">
      <c r="A26" s="51" t="s">
        <v>727</v>
      </c>
      <c r="B26" s="64">
        <v>13.89</v>
      </c>
      <c r="C26" s="64">
        <v>95.89</v>
      </c>
      <c r="D26" s="64">
        <v>64.48</v>
      </c>
      <c r="E26" s="64">
        <v>15.46</v>
      </c>
      <c r="F26" s="64">
        <v>22.20</v>
      </c>
      <c r="G26" s="64">
        <v>72.430000000000007</v>
      </c>
      <c r="H26" s="64">
        <v>31.59</v>
      </c>
      <c r="I26" s="64">
        <v>0.60</v>
      </c>
      <c r="J26" s="64">
        <v>0.23</v>
      </c>
      <c r="K26" s="64">
        <v>92.05</v>
      </c>
      <c r="L26" s="64">
        <v>29.12</v>
      </c>
      <c r="M26" s="64">
        <v>45</v>
      </c>
      <c r="N26" s="64">
        <v>32.299999999999997</v>
      </c>
      <c r="O26" s="64">
        <v>0</v>
      </c>
      <c r="P26" s="64">
        <v>1.23</v>
      </c>
      <c r="Q26" s="64">
        <v>32.56</v>
      </c>
      <c r="R26" s="43"/>
      <c r="S26" s="43"/>
      <c r="T26" s="43"/>
      <c r="U26" s="43"/>
    </row>
    <row r="27" spans="1:21" s="11" customFormat="1" ht="15">
      <c r="A27" s="51" t="s">
        <v>728</v>
      </c>
      <c r="B27" s="64">
        <v>14.42</v>
      </c>
      <c r="C27" s="64">
        <v>91.86</v>
      </c>
      <c r="D27" s="64">
        <v>62.67</v>
      </c>
      <c r="E27" s="64">
        <v>6.93</v>
      </c>
      <c r="F27" s="64">
        <v>6.70</v>
      </c>
      <c r="G27" s="64">
        <v>78.23</v>
      </c>
      <c r="H27" s="64">
        <v>33.32</v>
      </c>
      <c r="I27" s="64">
        <v>0.65</v>
      </c>
      <c r="J27" s="64">
        <v>0.15</v>
      </c>
      <c r="K27" s="64">
        <v>130.08000000000001</v>
      </c>
      <c r="L27" s="64">
        <v>26.64</v>
      </c>
      <c r="M27" s="64">
        <v>56</v>
      </c>
      <c r="N27" s="64">
        <v>4.80</v>
      </c>
      <c r="O27" s="64">
        <v>0</v>
      </c>
      <c r="P27" s="64">
        <v>1.1299999999999999</v>
      </c>
      <c r="Q27" s="64">
        <v>36.590000000000003</v>
      </c>
      <c r="R27" s="43"/>
      <c r="S27" s="43"/>
      <c r="T27" s="43"/>
      <c r="U27" s="43"/>
    </row>
    <row r="28" spans="1:21" s="11" customFormat="1" ht="15">
      <c r="A28" s="51" t="s">
        <v>729</v>
      </c>
      <c r="B28" s="64">
        <v>52.95</v>
      </c>
      <c r="C28" s="64">
        <v>118.05</v>
      </c>
      <c r="D28" s="64">
        <v>108.02</v>
      </c>
      <c r="E28" s="64">
        <v>5.30</v>
      </c>
      <c r="F28" s="64">
        <v>3.87</v>
      </c>
      <c r="G28" s="64">
        <v>111.33</v>
      </c>
      <c r="H28" s="64">
        <v>41.45</v>
      </c>
      <c r="I28" s="64">
        <v>0.78</v>
      </c>
      <c r="J28" s="64">
        <v>0.05</v>
      </c>
      <c r="K28" s="64">
        <v>348.79</v>
      </c>
      <c r="L28" s="64">
        <v>25.47</v>
      </c>
      <c r="M28" s="64">
        <v>57</v>
      </c>
      <c r="N28" s="64">
        <v>4.70</v>
      </c>
      <c r="O28" s="64">
        <v>0</v>
      </c>
      <c r="P28" s="64">
        <v>1.76</v>
      </c>
      <c r="Q28" s="64">
        <v>37.74</v>
      </c>
      <c r="R28" s="43"/>
      <c r="S28" s="43"/>
      <c r="T28" s="43"/>
      <c r="U28" s="43"/>
    </row>
    <row r="29" spans="1:21" s="11" customFormat="1" ht="15">
      <c r="A29" s="51" t="s">
        <v>730</v>
      </c>
      <c r="B29" s="64">
        <v>73.36</v>
      </c>
      <c r="C29" s="64">
        <v>130.25</v>
      </c>
      <c r="D29" s="64">
        <v>131.12</v>
      </c>
      <c r="E29" s="64">
        <v>6.07</v>
      </c>
      <c r="F29" s="64">
        <v>3.78</v>
      </c>
      <c r="G29" s="64">
        <v>182.21</v>
      </c>
      <c r="H29" s="64">
        <v>44.80</v>
      </c>
      <c r="I29" s="64">
        <v>1.1299999999999999</v>
      </c>
      <c r="J29" s="64">
        <v>0.18</v>
      </c>
      <c r="K29" s="64">
        <v>296.38</v>
      </c>
      <c r="L29" s="64">
        <v>24.04</v>
      </c>
      <c r="M29" s="64">
        <v>60</v>
      </c>
      <c r="N29" s="64">
        <v>4.5999999999999996</v>
      </c>
      <c r="O29" s="64">
        <v>0</v>
      </c>
      <c r="P29" s="64">
        <v>1.97</v>
      </c>
      <c r="Q29" s="64">
        <v>39.89</v>
      </c>
      <c r="R29" s="43"/>
      <c r="S29" s="43"/>
      <c r="T29" s="43"/>
      <c r="U29" s="43"/>
    </row>
    <row r="30" spans="1:21" s="11" customFormat="1" ht="15">
      <c r="A30" s="51" t="s">
        <v>731</v>
      </c>
      <c r="B30" s="64">
        <v>78.400000000000006</v>
      </c>
      <c r="C30" s="64">
        <v>117.32</v>
      </c>
      <c r="D30" s="64">
        <v>125.42</v>
      </c>
      <c r="E30" s="64">
        <v>5.41</v>
      </c>
      <c r="F30" s="64">
        <v>3.79</v>
      </c>
      <c r="G30" s="64">
        <v>182.21</v>
      </c>
      <c r="H30" s="64">
        <v>54.88</v>
      </c>
      <c r="I30" s="64">
        <v>1.22</v>
      </c>
      <c r="J30" s="64">
        <v>0.20</v>
      </c>
      <c r="K30" s="64">
        <v>357.49</v>
      </c>
      <c r="L30" s="64">
        <v>23.34</v>
      </c>
      <c r="M30" s="64">
        <v>67</v>
      </c>
      <c r="N30" s="64">
        <v>4.80</v>
      </c>
      <c r="O30" s="64">
        <v>0</v>
      </c>
      <c r="P30" s="64">
        <v>2.29</v>
      </c>
      <c r="Q30" s="64">
        <v>45</v>
      </c>
      <c r="R30" s="43"/>
      <c r="S30" s="43"/>
      <c r="T30" s="43"/>
      <c r="U30" s="43"/>
    </row>
    <row r="31" spans="1:21" s="11" customFormat="1" ht="15">
      <c r="A31" s="51" t="s">
        <v>732</v>
      </c>
      <c r="B31" s="64">
        <v>92.22</v>
      </c>
      <c r="C31" s="64">
        <v>128.84</v>
      </c>
      <c r="D31" s="64">
        <v>144.80000000000001</v>
      </c>
      <c r="E31" s="64">
        <v>5.04</v>
      </c>
      <c r="F31" s="64">
        <v>3.74</v>
      </c>
      <c r="G31" s="64">
        <v>176.17</v>
      </c>
      <c r="H31" s="64">
        <v>58.63</v>
      </c>
      <c r="I31" s="64">
        <v>1.38</v>
      </c>
      <c r="J31" s="64">
        <v>0.40</v>
      </c>
      <c r="K31" s="64">
        <v>51.14</v>
      </c>
      <c r="L31" s="64">
        <v>23.19</v>
      </c>
      <c r="M31" s="64">
        <v>68</v>
      </c>
      <c r="N31" s="64">
        <v>4.4000000000000004</v>
      </c>
      <c r="O31" s="64">
        <v>0</v>
      </c>
      <c r="P31" s="64">
        <v>2.64</v>
      </c>
      <c r="Q31" s="64">
        <v>46.65</v>
      </c>
      <c r="R31" s="43"/>
      <c r="S31" s="43"/>
      <c r="T31" s="43"/>
      <c r="U31" s="43"/>
    </row>
    <row r="32" spans="1:21" s="11" customFormat="1" ht="15">
      <c r="A32" s="51" t="s">
        <v>733</v>
      </c>
      <c r="B32" s="64">
        <v>76.900000000000006</v>
      </c>
      <c r="C32" s="64">
        <v>116.25</v>
      </c>
      <c r="D32" s="64">
        <v>126.24</v>
      </c>
      <c r="E32" s="64">
        <v>6.76</v>
      </c>
      <c r="F32" s="64">
        <v>5.66</v>
      </c>
      <c r="G32" s="64">
        <v>176.17</v>
      </c>
      <c r="H32" s="64">
        <v>58.63</v>
      </c>
      <c r="I32" s="64">
        <v>1.39</v>
      </c>
      <c r="J32" s="64">
        <v>0.67</v>
      </c>
      <c r="K32" s="64">
        <v>102.52</v>
      </c>
      <c r="L32" s="64">
        <v>23.74</v>
      </c>
      <c r="M32" s="64">
        <v>56</v>
      </c>
      <c r="N32" s="64">
        <v>4.20</v>
      </c>
      <c r="O32" s="64">
        <v>0</v>
      </c>
      <c r="P32" s="64">
        <v>2.4500000000000002</v>
      </c>
      <c r="Q32" s="64">
        <v>45.37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0.78000000000000003</v>
      </c>
      <c r="C34" s="28">
        <f t="shared" si="0"/>
        <v>46.270000000000003</v>
      </c>
      <c r="D34" s="28">
        <f t="shared" si="0"/>
        <v>26.489999999999998</v>
      </c>
      <c r="E34" s="28">
        <f t="shared" si="0"/>
        <v>5.04</v>
      </c>
      <c r="F34" s="28">
        <f t="shared" si="0"/>
        <v>3.6099999999999999</v>
      </c>
      <c r="G34" s="28">
        <f t="shared" si="0"/>
        <v>50.840000000000003</v>
      </c>
      <c r="H34" s="28">
        <f t="shared" si="0"/>
        <v>30.329999999999998</v>
      </c>
      <c r="I34" s="28">
        <f t="shared" si="0"/>
        <v>0.45000000000000001</v>
      </c>
      <c r="J34" s="28">
        <f t="shared" si="0"/>
        <v>0.050000000000000003</v>
      </c>
      <c r="K34" s="28">
        <f t="shared" si="0"/>
        <v>19.02</v>
      </c>
      <c r="L34" s="28">
        <f t="shared" si="0"/>
        <v>19.440000000000001</v>
      </c>
      <c r="M34" s="28">
        <f t="shared" si="0"/>
        <v>36</v>
      </c>
      <c r="N34" s="28">
        <f t="shared" si="0"/>
        <v>4.2000000000000002</v>
      </c>
      <c r="O34" s="28">
        <f t="shared" si="0"/>
        <v>0</v>
      </c>
      <c r="P34" s="28">
        <f t="shared" si="0"/>
        <v>0.68999999999999995</v>
      </c>
      <c r="Q34" s="28">
        <f t="shared" si="0"/>
        <v>17.609999999999999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92.219999999999999</v>
      </c>
      <c r="C35" s="29">
        <f t="shared" si="1"/>
        <v>130.25</v>
      </c>
      <c r="D35" s="29">
        <f t="shared" si="1"/>
        <v>144.80000000000001</v>
      </c>
      <c r="E35" s="29">
        <f t="shared" si="1"/>
        <v>43.270000000000003</v>
      </c>
      <c r="F35" s="29">
        <f t="shared" si="1"/>
        <v>71.170000000000002</v>
      </c>
      <c r="G35" s="29">
        <f t="shared" si="1"/>
        <v>182.21000000000001</v>
      </c>
      <c r="H35" s="29">
        <f t="shared" si="1"/>
        <v>63.509999999999998</v>
      </c>
      <c r="I35" s="29">
        <f t="shared" si="1"/>
        <v>1.3899999999999999</v>
      </c>
      <c r="J35" s="29">
        <f t="shared" si="1"/>
        <v>1.5</v>
      </c>
      <c r="K35" s="29">
        <f t="shared" si="1"/>
        <v>357.49000000000001</v>
      </c>
      <c r="L35" s="29">
        <f t="shared" si="1"/>
        <v>31.23</v>
      </c>
      <c r="M35" s="29">
        <f t="shared" si="1"/>
        <v>81</v>
      </c>
      <c r="N35" s="29">
        <f t="shared" si="1"/>
        <v>606.89999999999998</v>
      </c>
      <c r="O35" s="29">
        <f t="shared" si="1"/>
        <v>0</v>
      </c>
      <c r="P35" s="29">
        <f t="shared" si="1"/>
        <v>3.1400000000000001</v>
      </c>
      <c r="Q35" s="29">
        <f t="shared" si="1"/>
        <v>50.369999999999997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32.519230769230766</v>
      </c>
      <c r="C36" s="28">
        <f t="shared" si="2"/>
        <v>89.781538461538446</v>
      </c>
      <c r="D36" s="28">
        <f t="shared" si="2"/>
        <v>75.64769230769231</v>
      </c>
      <c r="E36" s="28">
        <f t="shared" si="2"/>
        <v>14.031818181818181</v>
      </c>
      <c r="F36" s="28">
        <f t="shared" si="2"/>
        <v>16.086666666666666</v>
      </c>
      <c r="G36" s="28">
        <f t="shared" si="2"/>
        <v>94.399999999999991</v>
      </c>
      <c r="H36" s="28">
        <f t="shared" si="2"/>
        <v>41.786666666666669</v>
      </c>
      <c r="I36" s="28">
        <f t="shared" si="2"/>
        <v>0.85799999999999998</v>
      </c>
      <c r="J36" s="28">
        <f t="shared" si="2"/>
        <v>0.75041666666666673</v>
      </c>
      <c r="K36" s="28">
        <f t="shared" si="2"/>
        <v>114.27208333333333</v>
      </c>
      <c r="L36" s="28">
        <f t="shared" si="2"/>
        <v>25.089166666666671</v>
      </c>
      <c r="M36" s="28">
        <f t="shared" si="2"/>
        <v>60.375</v>
      </c>
      <c r="N36" s="28">
        <f t="shared" si="2"/>
        <v>169.28750000000002</v>
      </c>
      <c r="O36" s="28">
        <f t="shared" si="2"/>
        <v>0</v>
      </c>
      <c r="P36" s="28">
        <f t="shared" si="2"/>
        <v>1.4729166666666667</v>
      </c>
      <c r="Q36" s="28">
        <f t="shared" si="2"/>
        <v>36.133749999999999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35.959955381307708</v>
      </c>
      <c r="C37" s="28">
        <f t="shared" si="3" ref="C37:Q37">STDEV(C9:C32)</f>
        <v>30.433746851741699</v>
      </c>
      <c r="D37" s="28">
        <f t="shared" si="3"/>
        <v>44.50348079155274</v>
      </c>
      <c r="E37" s="28">
        <f t="shared" si="3"/>
        <v>12.59974588488341</v>
      </c>
      <c r="F37" s="28">
        <f t="shared" si="3"/>
        <v>22.525248571068104</v>
      </c>
      <c r="G37" s="28">
        <f t="shared" si="3"/>
        <v>42.856517641402306</v>
      </c>
      <c r="H37" s="28">
        <f t="shared" si="3"/>
        <v>10.500379151194505</v>
      </c>
      <c r="I37" s="28">
        <f t="shared" si="3"/>
        <v>0.38209364762523279</v>
      </c>
      <c r="J37" s="28">
        <f t="shared" si="3"/>
        <v>0.41228397944880768</v>
      </c>
      <c r="K37" s="28">
        <f t="shared" si="3"/>
        <v>96.035232437809313</v>
      </c>
      <c r="L37" s="28">
        <f t="shared" si="3"/>
        <v>4.055082604280221</v>
      </c>
      <c r="M37" s="28">
        <f t="shared" si="3"/>
        <v>15.242425060964887</v>
      </c>
      <c r="N37" s="28">
        <f t="shared" si="3"/>
        <v>229.09613761855334</v>
      </c>
      <c r="O37" s="28">
        <f t="shared" si="3"/>
        <v>0</v>
      </c>
      <c r="P37" s="28">
        <f t="shared" si="3"/>
        <v>0.69319348680215387</v>
      </c>
      <c r="Q37" s="28">
        <f t="shared" si="3"/>
        <v>8.9545508529607769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>COUNT(B9:B32)+11</f>
        <v>24</v>
      </c>
      <c r="C38" s="32">
        <f>COUNT(C9:C32)+11</f>
        <v>24</v>
      </c>
      <c r="D38" s="32">
        <f>COUNT(D9:D32)+11</f>
        <v>24</v>
      </c>
      <c r="E38" s="32">
        <f>COUNT(E9:E32)+13</f>
        <v>24</v>
      </c>
      <c r="F38" s="32">
        <f t="shared" si="4" ref="F38:Q38">COUNT(F9:F32)</f>
        <v>24</v>
      </c>
      <c r="G38" s="32">
        <f t="shared" si="4"/>
        <v>24</v>
      </c>
      <c r="H38" s="32">
        <f t="shared" si="4"/>
        <v>24</v>
      </c>
      <c r="I38" s="32">
        <f t="shared" si="4"/>
        <v>10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&lt;90%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LESS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734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b74162e-62fd-464e-b4b9-9178825448b8}">
  <sheetPr codeName=""/>
  <dimension ref="A1:U119"/>
  <sheetViews>
    <sheetView workbookViewId="0" topLeftCell="A1">
      <selection pane="topLef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29-01-2023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1" t="s">
        <v>735</v>
      </c>
      <c r="B9" s="64">
        <v>63.19</v>
      </c>
      <c r="C9" s="64">
        <v>108.28</v>
      </c>
      <c r="D9" s="64">
        <v>110.84</v>
      </c>
      <c r="E9" s="64">
        <v>9.52</v>
      </c>
      <c r="F9" s="64">
        <v>4.66</v>
      </c>
      <c r="G9" s="64">
        <v>115.02</v>
      </c>
      <c r="H9" s="64">
        <v>57.55</v>
      </c>
      <c r="I9" s="64">
        <v>1.22</v>
      </c>
      <c r="J9" s="64">
        <v>0.56000000000000005</v>
      </c>
      <c r="K9" s="64">
        <v>96.02</v>
      </c>
      <c r="L9" s="64">
        <v>23.66</v>
      </c>
      <c r="M9" s="64">
        <v>48</v>
      </c>
      <c r="N9" s="64">
        <v>4.5</v>
      </c>
      <c r="O9" s="64">
        <v>0</v>
      </c>
      <c r="P9" s="64">
        <v>2.16</v>
      </c>
      <c r="Q9" s="64">
        <v>43.18</v>
      </c>
      <c r="R9" s="43"/>
      <c r="S9" s="43"/>
      <c r="T9" s="43"/>
      <c r="U9" s="43"/>
    </row>
    <row r="10" spans="1:21" s="11" customFormat="1" ht="15">
      <c r="A10" s="51" t="s">
        <v>736</v>
      </c>
      <c r="B10" s="64">
        <v>55.37</v>
      </c>
      <c r="C10" s="64">
        <v>101.85</v>
      </c>
      <c r="D10" s="64">
        <v>101.02</v>
      </c>
      <c r="E10" s="64">
        <v>7.14</v>
      </c>
      <c r="F10" s="64">
        <v>3.97</v>
      </c>
      <c r="G10" s="64">
        <v>74.91</v>
      </c>
      <c r="H10" s="64">
        <v>47.87</v>
      </c>
      <c r="I10" s="64">
        <v>1.1100000000000001</v>
      </c>
      <c r="J10" s="64">
        <v>0.79</v>
      </c>
      <c r="K10" s="64">
        <v>98.62</v>
      </c>
      <c r="L10" s="64">
        <v>23.14</v>
      </c>
      <c r="M10" s="64">
        <v>49</v>
      </c>
      <c r="N10" s="64">
        <v>4.70</v>
      </c>
      <c r="O10" s="64">
        <v>0</v>
      </c>
      <c r="P10" s="64">
        <v>1.79</v>
      </c>
      <c r="Q10" s="64">
        <v>43.64</v>
      </c>
      <c r="R10" s="43"/>
      <c r="S10" s="43"/>
      <c r="T10" s="43"/>
      <c r="U10" s="43"/>
    </row>
    <row r="11" spans="1:21" s="11" customFormat="1" ht="15">
      <c r="A11" s="51" t="s">
        <v>737</v>
      </c>
      <c r="B11" s="64">
        <v>43.93</v>
      </c>
      <c r="C11" s="64">
        <v>95.53</v>
      </c>
      <c r="D11" s="64">
        <v>88.37</v>
      </c>
      <c r="E11" s="64">
        <v>5.49</v>
      </c>
      <c r="F11" s="64">
        <v>3.68</v>
      </c>
      <c r="G11" s="64">
        <v>64.19</v>
      </c>
      <c r="H11" s="64">
        <v>34.72</v>
      </c>
      <c r="I11" s="64">
        <v>0.94</v>
      </c>
      <c r="J11" s="64">
        <v>0.76</v>
      </c>
      <c r="K11" s="64">
        <v>125.97</v>
      </c>
      <c r="L11" s="64">
        <v>22.26</v>
      </c>
      <c r="M11" s="64">
        <v>58</v>
      </c>
      <c r="N11" s="64">
        <v>5.0999999999999996</v>
      </c>
      <c r="O11" s="64">
        <v>0</v>
      </c>
      <c r="P11" s="64">
        <v>1.47</v>
      </c>
      <c r="Q11" s="64">
        <v>43.02</v>
      </c>
      <c r="R11" s="43"/>
      <c r="S11" s="43"/>
      <c r="T11" s="43"/>
      <c r="U11" s="43"/>
    </row>
    <row r="12" spans="1:21" s="11" customFormat="1" ht="15">
      <c r="A12" s="51" t="s">
        <v>738</v>
      </c>
      <c r="B12" s="64">
        <v>34.479999999999997</v>
      </c>
      <c r="C12" s="64">
        <v>87.62</v>
      </c>
      <c r="D12" s="64">
        <v>76.42</v>
      </c>
      <c r="E12" s="64">
        <v>5.82</v>
      </c>
      <c r="F12" s="64">
        <v>3.93</v>
      </c>
      <c r="G12" s="64">
        <v>52.24</v>
      </c>
      <c r="H12" s="64">
        <v>33.51</v>
      </c>
      <c r="I12" s="64">
        <v>0.82</v>
      </c>
      <c r="J12" s="64">
        <v>0.38</v>
      </c>
      <c r="K12" s="64">
        <v>69.819999999999993</v>
      </c>
      <c r="L12" s="64">
        <v>21.05</v>
      </c>
      <c r="M12" s="64">
        <v>59</v>
      </c>
      <c r="N12" s="64">
        <v>4.4000000000000004</v>
      </c>
      <c r="O12" s="64">
        <v>0</v>
      </c>
      <c r="P12" s="64">
        <v>1.22</v>
      </c>
      <c r="Q12" s="64">
        <v>39.659999999999997</v>
      </c>
      <c r="R12" s="43"/>
      <c r="S12" s="43"/>
      <c r="T12" s="43"/>
      <c r="U12" s="43"/>
    </row>
    <row r="13" spans="1:21" s="11" customFormat="1" ht="15">
      <c r="A13" s="51" t="s">
        <v>739</v>
      </c>
      <c r="B13" s="64">
        <v>28.41</v>
      </c>
      <c r="C13" s="64">
        <v>82.36</v>
      </c>
      <c r="D13" s="64">
        <v>68.650000000000006</v>
      </c>
      <c r="E13" s="64">
        <v>5.32</v>
      </c>
      <c r="F13" s="64">
        <v>3.90</v>
      </c>
      <c r="G13" s="64">
        <v>55.34</v>
      </c>
      <c r="H13" s="64">
        <v>31.03</v>
      </c>
      <c r="I13" s="64">
        <v>0.77</v>
      </c>
      <c r="J13" s="64">
        <v>0.49</v>
      </c>
      <c r="K13" s="64">
        <v>46.58</v>
      </c>
      <c r="L13" s="64">
        <v>20.76</v>
      </c>
      <c r="M13" s="64">
        <v>61</v>
      </c>
      <c r="N13" s="64">
        <v>4.4000000000000004</v>
      </c>
      <c r="O13" s="64">
        <v>0</v>
      </c>
      <c r="P13" s="64">
        <v>1.08</v>
      </c>
      <c r="Q13" s="64">
        <v>39.93</v>
      </c>
      <c r="R13" s="43"/>
      <c r="S13" s="43"/>
      <c r="T13" s="43"/>
      <c r="U13" s="43"/>
    </row>
    <row r="14" spans="1:21" s="11" customFormat="1" ht="15">
      <c r="A14" s="51" t="s">
        <v>740</v>
      </c>
      <c r="B14" s="64">
        <v>27.92</v>
      </c>
      <c r="C14" s="64">
        <v>83.05</v>
      </c>
      <c r="D14" s="64">
        <v>68.38</v>
      </c>
      <c r="E14" s="64">
        <v>5.14</v>
      </c>
      <c r="F14" s="64">
        <v>3.62</v>
      </c>
      <c r="G14" s="64">
        <v>65.010000000000005</v>
      </c>
      <c r="H14" s="64">
        <v>31.03</v>
      </c>
      <c r="I14" s="64">
        <v>0.75</v>
      </c>
      <c r="J14" s="64">
        <v>0.42</v>
      </c>
      <c r="K14" s="64">
        <v>51.70</v>
      </c>
      <c r="L14" s="64">
        <v>20.37</v>
      </c>
      <c r="M14" s="64">
        <v>65</v>
      </c>
      <c r="N14" s="64">
        <v>4.4000000000000004</v>
      </c>
      <c r="O14" s="64">
        <v>0</v>
      </c>
      <c r="P14" s="64">
        <v>0.99</v>
      </c>
      <c r="Q14" s="64">
        <v>40.06</v>
      </c>
      <c r="R14" s="43"/>
      <c r="S14" s="43"/>
      <c r="T14" s="43"/>
      <c r="U14" s="43"/>
    </row>
    <row r="15" spans="1:21" s="11" customFormat="1" ht="15">
      <c r="A15" s="51" t="s">
        <v>741</v>
      </c>
      <c r="B15" s="64">
        <v>27.44</v>
      </c>
      <c r="C15" s="64">
        <v>83.33</v>
      </c>
      <c r="D15" s="64">
        <v>68.41</v>
      </c>
      <c r="E15" s="64">
        <v>4.6399999999999997</v>
      </c>
      <c r="F15" s="64">
        <v>3.61</v>
      </c>
      <c r="G15" s="64">
        <v>65.010000000000005</v>
      </c>
      <c r="H15" s="64">
        <v>27.19</v>
      </c>
      <c r="I15" s="64">
        <v>0.69</v>
      </c>
      <c r="J15" s="64">
        <v>0.56000000000000005</v>
      </c>
      <c r="K15" s="64">
        <v>190.49</v>
      </c>
      <c r="L15" s="64">
        <v>20.010000000000002</v>
      </c>
      <c r="M15" s="64">
        <v>68</v>
      </c>
      <c r="N15" s="64">
        <v>18.70</v>
      </c>
      <c r="O15" s="64">
        <v>0</v>
      </c>
      <c r="P15" s="64">
        <v>0.92</v>
      </c>
      <c r="Q15" s="64">
        <v>38.67</v>
      </c>
      <c r="R15" s="43"/>
      <c r="S15" s="43"/>
      <c r="T15" s="43"/>
      <c r="U15" s="43"/>
    </row>
    <row r="16" spans="1:21" s="11" customFormat="1" ht="15">
      <c r="A16" s="51" t="s">
        <v>742</v>
      </c>
      <c r="B16" s="64">
        <v>28.86</v>
      </c>
      <c r="C16" s="64">
        <v>82.55</v>
      </c>
      <c r="D16" s="64">
        <v>68.39</v>
      </c>
      <c r="E16" s="64">
        <v>4.6399999999999997</v>
      </c>
      <c r="F16" s="64">
        <v>3.65</v>
      </c>
      <c r="G16" s="64">
        <v>76.53</v>
      </c>
      <c r="H16" s="64">
        <v>31</v>
      </c>
      <c r="I16" s="64">
        <v>0.68</v>
      </c>
      <c r="J16" s="64">
        <v>0.64</v>
      </c>
      <c r="K16" s="64">
        <v>119.44</v>
      </c>
      <c r="L16" s="64">
        <v>21.16</v>
      </c>
      <c r="M16" s="64">
        <v>68</v>
      </c>
      <c r="N16" s="64">
        <v>157.5</v>
      </c>
      <c r="O16" s="64">
        <v>0</v>
      </c>
      <c r="P16" s="64">
        <v>0.94</v>
      </c>
      <c r="Q16" s="64">
        <v>36.53</v>
      </c>
      <c r="R16" s="43"/>
      <c r="S16" s="43"/>
      <c r="T16" s="43"/>
      <c r="U16" s="43"/>
    </row>
    <row r="17" spans="1:21" s="11" customFormat="1" ht="15">
      <c r="A17" s="51" t="s">
        <v>743</v>
      </c>
      <c r="B17" s="64">
        <v>28.41</v>
      </c>
      <c r="C17" s="64">
        <v>81.28</v>
      </c>
      <c r="D17" s="64">
        <v>68.03</v>
      </c>
      <c r="E17" s="64">
        <v>5.82</v>
      </c>
      <c r="F17" s="64">
        <v>3.84</v>
      </c>
      <c r="G17" s="64">
        <v>76.53</v>
      </c>
      <c r="H17" s="64">
        <v>33.36</v>
      </c>
      <c r="I17" s="64">
        <v>0.69</v>
      </c>
      <c r="J17" s="64">
        <v>1.31</v>
      </c>
      <c r="K17" s="64">
        <v>117.83</v>
      </c>
      <c r="L17" s="64">
        <v>23.15</v>
      </c>
      <c r="M17" s="64">
        <v>60</v>
      </c>
      <c r="N17" s="64">
        <v>316.60000000000002</v>
      </c>
      <c r="O17" s="64">
        <v>0</v>
      </c>
      <c r="P17" s="64">
        <v>0.94</v>
      </c>
      <c r="Q17" s="64">
        <v>38.619999999999997</v>
      </c>
      <c r="R17" s="43"/>
      <c r="S17" s="43"/>
      <c r="T17" s="43"/>
      <c r="U17" s="43"/>
    </row>
    <row r="18" spans="1:21" s="11" customFormat="1" ht="15">
      <c r="A18" s="51" t="s">
        <v>744</v>
      </c>
      <c r="B18" s="64">
        <v>22.15</v>
      </c>
      <c r="C18" s="64">
        <v>83.23</v>
      </c>
      <c r="D18" s="64">
        <v>63.18</v>
      </c>
      <c r="E18" s="64">
        <v>5.81</v>
      </c>
      <c r="F18" s="64">
        <v>4.8600000000000003</v>
      </c>
      <c r="G18" s="64">
        <v>74.459999999999994</v>
      </c>
      <c r="H18" s="64">
        <v>33.36</v>
      </c>
      <c r="I18" s="64">
        <v>0.68</v>
      </c>
      <c r="J18" s="64">
        <v>1.05</v>
      </c>
      <c r="K18" s="64">
        <v>150.77000000000001</v>
      </c>
      <c r="L18" s="64">
        <v>26.09</v>
      </c>
      <c r="M18" s="64">
        <v>53</v>
      </c>
      <c r="N18" s="64">
        <v>445.5</v>
      </c>
      <c r="O18" s="64">
        <v>0</v>
      </c>
      <c r="P18" s="64">
        <v>0.91</v>
      </c>
      <c r="Q18" s="64">
        <v>38.549999999999997</v>
      </c>
      <c r="R18" s="43"/>
      <c r="S18" s="43"/>
      <c r="T18" s="43"/>
      <c r="U18" s="43"/>
    </row>
    <row r="19" spans="1:21" s="11" customFormat="1" ht="15">
      <c r="A19" s="51" t="s">
        <v>745</v>
      </c>
      <c r="B19" s="64">
        <v>12.57</v>
      </c>
      <c r="C19" s="64">
        <v>80.39</v>
      </c>
      <c r="D19" s="64">
        <v>53.69</v>
      </c>
      <c r="E19" s="64">
        <v>6.68</v>
      </c>
      <c r="F19" s="64">
        <v>6.58</v>
      </c>
      <c r="G19" s="64">
        <v>63.98</v>
      </c>
      <c r="H19" s="64">
        <v>32.409999999999997</v>
      </c>
      <c r="I19" s="64">
        <v>0.66</v>
      </c>
      <c r="J19" s="64">
        <v>0.92</v>
      </c>
      <c r="K19" s="64">
        <v>176.76</v>
      </c>
      <c r="L19" s="64">
        <v>28.72</v>
      </c>
      <c r="M19" s="64">
        <v>44</v>
      </c>
      <c r="N19" s="64">
        <v>522</v>
      </c>
      <c r="O19" s="64">
        <v>0</v>
      </c>
      <c r="P19" s="64">
        <v>0.84</v>
      </c>
      <c r="Q19" s="64">
        <v>36.81</v>
      </c>
      <c r="R19" s="43"/>
      <c r="S19" s="43"/>
      <c r="T19" s="43"/>
      <c r="U19" s="43"/>
    </row>
    <row r="20" spans="1:21" s="11" customFormat="1" ht="15">
      <c r="A20" s="51" t="s">
        <v>746</v>
      </c>
      <c r="B20" s="64">
        <v>7.39</v>
      </c>
      <c r="C20" s="64">
        <v>83.07</v>
      </c>
      <c r="D20" s="64">
        <v>51.74</v>
      </c>
      <c r="E20" s="64">
        <v>5.93</v>
      </c>
      <c r="F20" s="64">
        <v>9.0299999999999994</v>
      </c>
      <c r="G20" s="64">
        <v>63.98</v>
      </c>
      <c r="H20" s="64">
        <v>33.880000000000003</v>
      </c>
      <c r="I20" s="64">
        <v>0.62</v>
      </c>
      <c r="J20" s="64">
        <v>1.64</v>
      </c>
      <c r="K20" s="64">
        <v>175.34</v>
      </c>
      <c r="L20" s="64">
        <v>30.22</v>
      </c>
      <c r="M20" s="64">
        <v>40</v>
      </c>
      <c r="N20" s="64">
        <v>586.40</v>
      </c>
      <c r="O20" s="64">
        <v>0</v>
      </c>
      <c r="P20" s="64">
        <v>0.78</v>
      </c>
      <c r="Q20" s="64">
        <v>34.99</v>
      </c>
      <c r="R20" s="43"/>
      <c r="S20" s="43"/>
      <c r="T20" s="43"/>
      <c r="U20" s="43"/>
    </row>
    <row r="21" spans="1:21" s="11" customFormat="1" ht="15">
      <c r="A21" s="51" t="s">
        <v>747</v>
      </c>
      <c r="B21" s="64">
        <v>1.94</v>
      </c>
      <c r="C21" s="64">
        <v>79.09</v>
      </c>
      <c r="D21" s="64">
        <v>45.62</v>
      </c>
      <c r="E21" s="64">
        <v>5.87</v>
      </c>
      <c r="F21" s="64">
        <v>8.0299999999999994</v>
      </c>
      <c r="G21" s="64">
        <v>62.85</v>
      </c>
      <c r="H21" s="64">
        <v>34.200000000000003</v>
      </c>
      <c r="I21" s="64">
        <v>0.60</v>
      </c>
      <c r="J21" s="64">
        <v>0.92</v>
      </c>
      <c r="K21" s="64">
        <v>170.26</v>
      </c>
      <c r="L21" s="64">
        <v>30.93</v>
      </c>
      <c r="M21" s="64">
        <v>38</v>
      </c>
      <c r="N21" s="64">
        <v>611</v>
      </c>
      <c r="O21" s="64">
        <v>0</v>
      </c>
      <c r="P21" s="64">
        <v>0.71</v>
      </c>
      <c r="Q21" s="64">
        <v>36.159999999999997</v>
      </c>
      <c r="R21" s="43"/>
      <c r="S21" s="43"/>
      <c r="T21" s="43"/>
      <c r="U21" s="43"/>
    </row>
    <row r="22" spans="1:21" s="11" customFormat="1" ht="15">
      <c r="A22" s="51" t="s">
        <v>748</v>
      </c>
      <c r="B22" s="64">
        <v>2.5299999999999998</v>
      </c>
      <c r="C22" s="64">
        <v>73.260000000000005</v>
      </c>
      <c r="D22" s="64">
        <v>41.77</v>
      </c>
      <c r="E22" s="64">
        <v>8.93</v>
      </c>
      <c r="F22" s="64">
        <v>15.81</v>
      </c>
      <c r="G22" s="64">
        <v>62.85</v>
      </c>
      <c r="H22" s="64">
        <v>34.200000000000003</v>
      </c>
      <c r="I22" s="64">
        <v>0.57999999999999996</v>
      </c>
      <c r="J22" s="64">
        <v>0.93</v>
      </c>
      <c r="K22" s="64">
        <v>138.86000000000001</v>
      </c>
      <c r="L22" s="64">
        <v>33.119999999999997</v>
      </c>
      <c r="M22" s="64">
        <v>32</v>
      </c>
      <c r="N22" s="64">
        <v>540.29999999999995</v>
      </c>
      <c r="O22" s="64">
        <v>0</v>
      </c>
      <c r="P22" s="64">
        <v>0.68</v>
      </c>
      <c r="Q22" s="64">
        <v>35.619999999999997</v>
      </c>
      <c r="R22" s="43"/>
      <c r="S22" s="43"/>
      <c r="T22" s="43"/>
      <c r="U22" s="43"/>
    </row>
    <row r="23" spans="1:21" s="11" customFormat="1" ht="15">
      <c r="A23" s="51" t="s">
        <v>749</v>
      </c>
      <c r="B23" s="64">
        <v>2.61</v>
      </c>
      <c r="C23" s="64">
        <v>69.62</v>
      </c>
      <c r="D23" s="64">
        <v>40.42</v>
      </c>
      <c r="E23" s="64">
        <v>11.19</v>
      </c>
      <c r="F23" s="64">
        <v>16.78</v>
      </c>
      <c r="G23" s="64">
        <v>55.09</v>
      </c>
      <c r="H23" s="64">
        <v>33.130000000000003</v>
      </c>
      <c r="I23" s="64">
        <v>0.61</v>
      </c>
      <c r="J23" s="64">
        <v>0.85</v>
      </c>
      <c r="K23" s="64">
        <v>187.20</v>
      </c>
      <c r="L23" s="64">
        <v>33.15</v>
      </c>
      <c r="M23" s="64">
        <v>31</v>
      </c>
      <c r="N23" s="64">
        <v>448.80</v>
      </c>
      <c r="O23" s="64">
        <v>0</v>
      </c>
      <c r="P23" s="64">
        <v>0.68</v>
      </c>
      <c r="Q23" s="64">
        <v>35.17</v>
      </c>
      <c r="R23" s="43"/>
      <c r="S23" s="43"/>
      <c r="T23" s="43"/>
      <c r="U23" s="43"/>
    </row>
    <row r="24" spans="1:21" s="11" customFormat="1" ht="15">
      <c r="A24" s="51" t="s">
        <v>750</v>
      </c>
      <c r="B24" s="64">
        <v>2.27</v>
      </c>
      <c r="C24" s="64">
        <v>68.38</v>
      </c>
      <c r="D24" s="64">
        <v>39.60</v>
      </c>
      <c r="E24" s="64">
        <v>9.58</v>
      </c>
      <c r="F24" s="64">
        <v>17.05</v>
      </c>
      <c r="G24" s="64">
        <v>52.38</v>
      </c>
      <c r="H24" s="64">
        <v>32.29</v>
      </c>
      <c r="I24" s="64">
        <v>0.59</v>
      </c>
      <c r="J24" s="64">
        <v>1.32</v>
      </c>
      <c r="K24" s="64">
        <v>178.81</v>
      </c>
      <c r="L24" s="64">
        <v>31.19</v>
      </c>
      <c r="M24" s="64">
        <v>31</v>
      </c>
      <c r="N24" s="64">
        <v>215</v>
      </c>
      <c r="O24" s="64">
        <v>0</v>
      </c>
      <c r="P24" s="64">
        <v>0.63</v>
      </c>
      <c r="Q24" s="64">
        <v>37.89</v>
      </c>
      <c r="R24" s="43"/>
      <c r="S24" s="43"/>
      <c r="T24" s="43"/>
      <c r="U24" s="43"/>
    </row>
    <row r="25" spans="1:21" s="11" customFormat="1" ht="15">
      <c r="A25" s="51" t="s">
        <v>751</v>
      </c>
      <c r="B25" s="64">
        <v>2.1800000000000002</v>
      </c>
      <c r="C25" s="64">
        <v>75.069999999999993</v>
      </c>
      <c r="D25" s="64">
        <v>43.60</v>
      </c>
      <c r="E25" s="64">
        <v>7.17</v>
      </c>
      <c r="F25" s="64">
        <v>13.49</v>
      </c>
      <c r="G25" s="64">
        <v>42.74</v>
      </c>
      <c r="H25" s="64">
        <v>30.64</v>
      </c>
      <c r="I25" s="64">
        <v>0.60</v>
      </c>
      <c r="J25" s="64">
        <v>0.62</v>
      </c>
      <c r="K25" s="64">
        <v>121.77</v>
      </c>
      <c r="L25" s="64">
        <v>30.17</v>
      </c>
      <c r="M25" s="64">
        <v>34</v>
      </c>
      <c r="N25" s="64">
        <v>105.5</v>
      </c>
      <c r="O25" s="64">
        <v>0</v>
      </c>
      <c r="P25" s="64">
        <v>0.66</v>
      </c>
      <c r="Q25" s="64">
        <v>37.53</v>
      </c>
      <c r="R25" s="43"/>
      <c r="S25" s="43"/>
      <c r="T25" s="43"/>
      <c r="U25" s="43"/>
    </row>
    <row r="26" spans="1:21" s="11" customFormat="1" ht="15">
      <c r="A26" s="51" t="s">
        <v>752</v>
      </c>
      <c r="B26" s="64">
        <v>2.76</v>
      </c>
      <c r="C26" s="64">
        <v>73.239999999999995</v>
      </c>
      <c r="D26" s="64">
        <v>43.05</v>
      </c>
      <c r="E26" s="64">
        <v>12.32</v>
      </c>
      <c r="F26" s="64">
        <v>25.36</v>
      </c>
      <c r="G26" s="64">
        <v>56.30</v>
      </c>
      <c r="H26" s="64">
        <v>28.79</v>
      </c>
      <c r="I26" s="64">
        <v>0.62</v>
      </c>
      <c r="J26" s="64">
        <v>0.81</v>
      </c>
      <c r="K26" s="64">
        <v>134.53</v>
      </c>
      <c r="L26" s="64">
        <v>29.09</v>
      </c>
      <c r="M26" s="64">
        <v>37</v>
      </c>
      <c r="N26" s="64">
        <v>30.60</v>
      </c>
      <c r="O26" s="64">
        <v>0</v>
      </c>
      <c r="P26" s="64">
        <v>0.81</v>
      </c>
      <c r="Q26" s="64">
        <v>36.17</v>
      </c>
      <c r="R26" s="43"/>
      <c r="S26" s="43"/>
      <c r="T26" s="43"/>
      <c r="U26" s="43"/>
    </row>
    <row r="27" spans="1:21" s="11" customFormat="1" ht="15">
      <c r="A27" s="51" t="s">
        <v>753</v>
      </c>
      <c r="B27" s="64">
        <v>9.91</v>
      </c>
      <c r="C27" s="64">
        <v>91.95</v>
      </c>
      <c r="D27" s="64">
        <v>59.10</v>
      </c>
      <c r="E27" s="64">
        <v>12.29</v>
      </c>
      <c r="F27" s="64">
        <v>19.309999999999999</v>
      </c>
      <c r="G27" s="64">
        <v>56.30</v>
      </c>
      <c r="H27" s="64">
        <v>29.10</v>
      </c>
      <c r="I27" s="64">
        <v>0.62</v>
      </c>
      <c r="J27" s="64">
        <v>0.35</v>
      </c>
      <c r="K27" s="64">
        <v>86.82</v>
      </c>
      <c r="L27" s="64">
        <v>27.46</v>
      </c>
      <c r="M27" s="64">
        <v>42</v>
      </c>
      <c r="N27" s="64">
        <v>4.70</v>
      </c>
      <c r="O27" s="64">
        <v>0</v>
      </c>
      <c r="P27" s="64">
        <v>1.1499999999999999</v>
      </c>
      <c r="Q27" s="64">
        <v>37.17</v>
      </c>
      <c r="R27" s="43"/>
      <c r="S27" s="43"/>
      <c r="T27" s="43"/>
      <c r="U27" s="43"/>
    </row>
    <row r="28" spans="1:21" s="11" customFormat="1" ht="15">
      <c r="A28" s="51" t="s">
        <v>754</v>
      </c>
      <c r="B28" s="64">
        <v>15.97</v>
      </c>
      <c r="C28" s="64">
        <v>95.96</v>
      </c>
      <c r="D28" s="64">
        <v>66.180000000000007</v>
      </c>
      <c r="E28" s="64">
        <v>5.65</v>
      </c>
      <c r="F28" s="64">
        <v>4.6900000000000004</v>
      </c>
      <c r="G28" s="64">
        <v>85.17</v>
      </c>
      <c r="H28" s="64">
        <v>36.450000000000003</v>
      </c>
      <c r="I28" s="64">
        <v>0.74</v>
      </c>
      <c r="J28" s="64">
        <v>0.35</v>
      </c>
      <c r="K28" s="64">
        <v>98.03</v>
      </c>
      <c r="L28" s="64">
        <v>25.80</v>
      </c>
      <c r="M28" s="64">
        <v>49</v>
      </c>
      <c r="N28" s="64">
        <v>4.70</v>
      </c>
      <c r="O28" s="64">
        <v>0</v>
      </c>
      <c r="P28" s="64">
        <v>1.44</v>
      </c>
      <c r="Q28" s="64">
        <v>41.12</v>
      </c>
      <c r="R28" s="43"/>
      <c r="S28" s="43"/>
      <c r="T28" s="43"/>
      <c r="U28" s="43"/>
    </row>
    <row r="29" spans="1:21" s="11" customFormat="1" ht="15">
      <c r="A29" s="51" t="s">
        <v>755</v>
      </c>
      <c r="B29" s="64">
        <v>18.70</v>
      </c>
      <c r="C29" s="64">
        <v>103.12</v>
      </c>
      <c r="D29" s="64">
        <v>72.319999999999993</v>
      </c>
      <c r="E29" s="64">
        <v>7.06</v>
      </c>
      <c r="F29" s="64">
        <v>6.90</v>
      </c>
      <c r="G29" s="64">
        <v>113.01</v>
      </c>
      <c r="H29" s="64">
        <v>45.55</v>
      </c>
      <c r="I29" s="64">
        <v>0.80</v>
      </c>
      <c r="J29" s="64">
        <v>0.40</v>
      </c>
      <c r="K29" s="64">
        <v>94.84</v>
      </c>
      <c r="L29" s="64">
        <v>25.24</v>
      </c>
      <c r="M29" s="64">
        <v>47</v>
      </c>
      <c r="N29" s="64">
        <v>4.5999999999999996</v>
      </c>
      <c r="O29" s="64">
        <v>0</v>
      </c>
      <c r="P29" s="64">
        <v>1.68</v>
      </c>
      <c r="Q29" s="64">
        <v>40.869999999999997</v>
      </c>
      <c r="R29" s="43"/>
      <c r="S29" s="43"/>
      <c r="T29" s="43"/>
      <c r="U29" s="43"/>
    </row>
    <row r="30" spans="1:21" s="11" customFormat="1" ht="15">
      <c r="A30" s="51" t="s">
        <v>756</v>
      </c>
      <c r="B30" s="64">
        <v>19.78</v>
      </c>
      <c r="C30" s="64">
        <v>102.59</v>
      </c>
      <c r="D30" s="64">
        <v>72.20</v>
      </c>
      <c r="E30" s="64">
        <v>6.77</v>
      </c>
      <c r="F30" s="64">
        <v>6.46</v>
      </c>
      <c r="G30" s="64">
        <v>113.01</v>
      </c>
      <c r="H30" s="64">
        <v>45.55</v>
      </c>
      <c r="I30" s="64">
        <v>0.83</v>
      </c>
      <c r="J30" s="64">
        <v>0.28999999999999998</v>
      </c>
      <c r="K30" s="64">
        <v>98.73</v>
      </c>
      <c r="L30" s="64">
        <v>24.72</v>
      </c>
      <c r="M30" s="64">
        <v>50</v>
      </c>
      <c r="N30" s="64">
        <v>4.5999999999999996</v>
      </c>
      <c r="O30" s="64">
        <v>0</v>
      </c>
      <c r="P30" s="64">
        <v>1.70</v>
      </c>
      <c r="Q30" s="64">
        <v>39.43</v>
      </c>
      <c r="R30" s="43"/>
      <c r="S30" s="43"/>
      <c r="T30" s="43"/>
      <c r="U30" s="43"/>
    </row>
    <row r="31" spans="1:21" s="11" customFormat="1" ht="15">
      <c r="A31" s="51" t="s">
        <v>757</v>
      </c>
      <c r="B31" s="64">
        <v>19.670000000000002</v>
      </c>
      <c r="C31" s="64">
        <v>93.40</v>
      </c>
      <c r="D31" s="64">
        <v>67.73</v>
      </c>
      <c r="E31" s="64">
        <v>6.06</v>
      </c>
      <c r="F31" s="64">
        <v>6.75</v>
      </c>
      <c r="G31" s="64">
        <v>110.12</v>
      </c>
      <c r="H31" s="64">
        <v>44.08</v>
      </c>
      <c r="I31" s="64">
        <v>0.84</v>
      </c>
      <c r="J31" s="64">
        <v>0.91</v>
      </c>
      <c r="K31" s="64">
        <v>121.11</v>
      </c>
      <c r="L31" s="64">
        <v>23.99</v>
      </c>
      <c r="M31" s="64">
        <v>50</v>
      </c>
      <c r="N31" s="64">
        <v>4.20</v>
      </c>
      <c r="O31" s="64">
        <v>0</v>
      </c>
      <c r="P31" s="64">
        <v>1.63</v>
      </c>
      <c r="Q31" s="64">
        <v>41.62</v>
      </c>
      <c r="R31" s="43"/>
      <c r="S31" s="43"/>
      <c r="T31" s="43"/>
      <c r="U31" s="43"/>
    </row>
    <row r="32" spans="1:21" s="11" customFormat="1" ht="15">
      <c r="A32" s="51" t="s">
        <v>758</v>
      </c>
      <c r="B32" s="64">
        <v>15</v>
      </c>
      <c r="C32" s="64">
        <v>91.45</v>
      </c>
      <c r="D32" s="64">
        <v>62.91</v>
      </c>
      <c r="E32" s="64">
        <v>4.2699999999999996</v>
      </c>
      <c r="F32" s="64">
        <v>4.12</v>
      </c>
      <c r="G32" s="64">
        <v>97.68</v>
      </c>
      <c r="H32" s="64">
        <v>44.08</v>
      </c>
      <c r="I32" s="64">
        <v>0.85</v>
      </c>
      <c r="J32" s="64">
        <v>1.22</v>
      </c>
      <c r="K32" s="64">
        <v>123.05</v>
      </c>
      <c r="L32" s="64">
        <v>23.64</v>
      </c>
      <c r="M32" s="64">
        <v>55</v>
      </c>
      <c r="N32" s="64">
        <v>4.5</v>
      </c>
      <c r="O32" s="64">
        <v>0</v>
      </c>
      <c r="P32" s="64">
        <v>1.51</v>
      </c>
      <c r="Q32" s="64">
        <v>41.46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1.9399999999999999</v>
      </c>
      <c r="C34" s="28">
        <f t="shared" si="0"/>
        <v>68.379999999999995</v>
      </c>
      <c r="D34" s="28">
        <f t="shared" si="0"/>
        <v>39.600000000000001</v>
      </c>
      <c r="E34" s="28">
        <f t="shared" si="0"/>
        <v>4.2699999999999996</v>
      </c>
      <c r="F34" s="28">
        <f t="shared" si="0"/>
        <v>3.6099999999999999</v>
      </c>
      <c r="G34" s="28">
        <f t="shared" si="0"/>
        <v>42.740000000000002</v>
      </c>
      <c r="H34" s="28">
        <f t="shared" si="0"/>
        <v>27.190000000000001</v>
      </c>
      <c r="I34" s="28">
        <f t="shared" si="0"/>
        <v>0.57999999999999996</v>
      </c>
      <c r="J34" s="28">
        <f t="shared" si="0"/>
        <v>0.28999999999999998</v>
      </c>
      <c r="K34" s="28">
        <f t="shared" si="0"/>
        <v>46.579999999999998</v>
      </c>
      <c r="L34" s="28">
        <f t="shared" si="0"/>
        <v>20.010000000000002</v>
      </c>
      <c r="M34" s="28">
        <f t="shared" si="0"/>
        <v>31</v>
      </c>
      <c r="N34" s="28">
        <f t="shared" si="0"/>
        <v>4.2000000000000002</v>
      </c>
      <c r="O34" s="28">
        <f t="shared" si="0"/>
        <v>0</v>
      </c>
      <c r="P34" s="28">
        <f t="shared" si="0"/>
        <v>0.63</v>
      </c>
      <c r="Q34" s="28">
        <f t="shared" si="0"/>
        <v>34.990000000000002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63.189999999999998</v>
      </c>
      <c r="C35" s="29">
        <f t="shared" si="1"/>
        <v>108.28</v>
      </c>
      <c r="D35" s="29">
        <f t="shared" si="1"/>
        <v>110.84</v>
      </c>
      <c r="E35" s="29">
        <f t="shared" si="1"/>
        <v>12.32</v>
      </c>
      <c r="F35" s="29">
        <f t="shared" si="1"/>
        <v>25.359999999999999</v>
      </c>
      <c r="G35" s="29">
        <f t="shared" si="1"/>
        <v>115.02</v>
      </c>
      <c r="H35" s="29">
        <f t="shared" si="1"/>
        <v>57.549999999999997</v>
      </c>
      <c r="I35" s="29">
        <f t="shared" si="1"/>
        <v>1.22</v>
      </c>
      <c r="J35" s="29">
        <f t="shared" si="1"/>
        <v>1.6399999999999999</v>
      </c>
      <c r="K35" s="29">
        <f t="shared" si="1"/>
        <v>190.49000000000001</v>
      </c>
      <c r="L35" s="29">
        <f t="shared" si="1"/>
        <v>33.149999999999999</v>
      </c>
      <c r="M35" s="29">
        <f t="shared" si="1"/>
        <v>68</v>
      </c>
      <c r="N35" s="29">
        <f t="shared" si="1"/>
        <v>611</v>
      </c>
      <c r="O35" s="29">
        <f t="shared" si="1"/>
        <v>0</v>
      </c>
      <c r="P35" s="29">
        <f t="shared" si="1"/>
        <v>2.1600000000000001</v>
      </c>
      <c r="Q35" s="29">
        <f t="shared" si="1"/>
        <v>43.640000000000001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20.559999999999999</v>
      </c>
      <c r="C36" s="28">
        <f t="shared" si="2"/>
        <v>86.236249999999998</v>
      </c>
      <c r="D36" s="28">
        <f t="shared" si="2"/>
        <v>64.234166666666653</v>
      </c>
      <c r="E36" s="28">
        <f t="shared" si="2"/>
        <v>7.0462500000000015</v>
      </c>
      <c r="F36" s="28">
        <f t="shared" si="2"/>
        <v>8.3366666666666678</v>
      </c>
      <c r="G36" s="28">
        <f t="shared" si="2"/>
        <v>73.112499999999997</v>
      </c>
      <c r="H36" s="28">
        <f t="shared" si="2"/>
        <v>36.040416666666665</v>
      </c>
      <c r="I36" s="28">
        <f t="shared" si="2"/>
        <v>0.74624999999999986</v>
      </c>
      <c r="J36" s="28">
        <f t="shared" si="2"/>
        <v>0.77041666666666642</v>
      </c>
      <c r="K36" s="28">
        <f t="shared" si="2"/>
        <v>123.88958333333339</v>
      </c>
      <c r="L36" s="28">
        <f t="shared" si="2"/>
        <v>25.795416666666668</v>
      </c>
      <c r="M36" s="28">
        <f t="shared" si="2"/>
        <v>48.708333333333336</v>
      </c>
      <c r="N36" s="28">
        <f t="shared" si="2"/>
        <v>168.86249999999998</v>
      </c>
      <c r="O36" s="28">
        <f t="shared" si="2"/>
        <v>0</v>
      </c>
      <c r="P36" s="28">
        <f t="shared" si="2"/>
        <v>1.138333333333333</v>
      </c>
      <c r="Q36" s="28">
        <f t="shared" si="2"/>
        <v>38.911249999999995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16.753809430537959</v>
      </c>
      <c r="C37" s="28">
        <f t="shared" si="3" ref="C37:Q37">STDEV(C9:C32)</f>
        <v>11.051686006531064</v>
      </c>
      <c r="D37" s="28">
        <f t="shared" si="3"/>
        <v>18.276986459971294</v>
      </c>
      <c r="E37" s="28">
        <f t="shared" si="3"/>
        <v>2.3518111660738263</v>
      </c>
      <c r="F37" s="28">
        <f t="shared" si="3"/>
        <v>6.1675988327969931</v>
      </c>
      <c r="G37" s="28">
        <f t="shared" si="3"/>
        <v>21.537731754537973</v>
      </c>
      <c r="H37" s="28">
        <f t="shared" si="3"/>
        <v>7.4203694266213205</v>
      </c>
      <c r="I37" s="28">
        <f t="shared" si="3"/>
        <v>0.16332982102109433</v>
      </c>
      <c r="J37" s="28">
        <f t="shared" si="3"/>
        <v>0.35699810213436212</v>
      </c>
      <c r="K37" s="28">
        <f t="shared" si="3"/>
        <v>41.301133838437998</v>
      </c>
      <c r="L37" s="28">
        <f t="shared" si="3"/>
        <v>4.1542570927608251</v>
      </c>
      <c r="M37" s="28">
        <f t="shared" si="3"/>
        <v>11.540021726551274</v>
      </c>
      <c r="N37" s="28">
        <f t="shared" si="3"/>
        <v>226.60736166041838</v>
      </c>
      <c r="O37" s="28">
        <f t="shared" si="3"/>
        <v>0</v>
      </c>
      <c r="P37" s="28">
        <f t="shared" si="3"/>
        <v>0.43162651595489632</v>
      </c>
      <c r="Q37" s="28">
        <f t="shared" si="3"/>
        <v>2.5945784821431013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734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cad6ff-4fcc-44d4-91af-3c5d8ae3d77a}">
  <sheetPr codeName=""/>
  <dimension ref="A1:U119"/>
  <sheetViews>
    <sheetView workbookViewId="0" topLeftCell="A1">
      <selection pane="topLeft" activeCell="D8" sqref="D8"/>
    </sheetView>
  </sheetViews>
  <sheetFormatPr defaultColWidth="8.85881696428571" defaultRowHeight="15"/>
  <cols>
    <col min="1" max="1" width="18.2857142857143" style="26" customWidth="1"/>
    <col min="2" max="2" width="12.7142857142857" style="20" customWidth="1"/>
    <col min="3" max="12" width="9.14285714285714" style="20" customWidth="1"/>
    <col min="13" max="13" width="10" style="20" customWidth="1"/>
    <col min="14" max="16" width="9.14285714285714" style="20" customWidth="1"/>
    <col min="17" max="17" width="16.4285714285714" style="20" customWidth="1"/>
    <col min="18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30-01-2023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1" t="s">
        <v>759</v>
      </c>
      <c r="B9" s="64">
        <v>7.78</v>
      </c>
      <c r="C9" s="64">
        <v>88.37</v>
      </c>
      <c r="D9" s="64">
        <v>55.42</v>
      </c>
      <c r="E9" s="64">
        <v>4.5199999999999996</v>
      </c>
      <c r="F9" s="64">
        <v>5.37</v>
      </c>
      <c r="G9" s="64">
        <v>81.83</v>
      </c>
      <c r="H9" s="64">
        <v>39.53</v>
      </c>
      <c r="I9" s="64">
        <v>0.77</v>
      </c>
      <c r="J9" s="64">
        <v>1.59</v>
      </c>
      <c r="K9" s="64">
        <v>141.72999999999999</v>
      </c>
      <c r="L9" s="64">
        <v>23.18</v>
      </c>
      <c r="M9" s="64">
        <v>58</v>
      </c>
      <c r="N9" s="64">
        <v>4.30</v>
      </c>
      <c r="O9" s="64">
        <v>0</v>
      </c>
      <c r="P9" s="64">
        <v>1.28</v>
      </c>
      <c r="Q9" s="64">
        <v>39.76</v>
      </c>
      <c r="R9" s="43"/>
      <c r="S9" s="43"/>
      <c r="T9" s="43"/>
      <c r="U9" s="43"/>
    </row>
    <row r="10" spans="1:21" s="11" customFormat="1" ht="15">
      <c r="A10" s="51" t="s">
        <v>760</v>
      </c>
      <c r="B10" s="64">
        <v>5.37</v>
      </c>
      <c r="C10" s="64">
        <v>78.680000000000007</v>
      </c>
      <c r="D10" s="64">
        <v>48.15</v>
      </c>
      <c r="E10" s="64">
        <v>4.57</v>
      </c>
      <c r="F10" s="64">
        <v>5.13</v>
      </c>
      <c r="G10" s="64">
        <v>69.84</v>
      </c>
      <c r="H10" s="64">
        <v>35.67</v>
      </c>
      <c r="I10" s="64">
        <v>0.73</v>
      </c>
      <c r="J10" s="64">
        <v>1.52</v>
      </c>
      <c r="K10" s="64">
        <v>139.05000000000001</v>
      </c>
      <c r="L10" s="64">
        <v>22.89</v>
      </c>
      <c r="M10" s="64">
        <v>60</v>
      </c>
      <c r="N10" s="64">
        <v>4.70</v>
      </c>
      <c r="O10" s="64">
        <v>0</v>
      </c>
      <c r="P10" s="64">
        <v>1.08</v>
      </c>
      <c r="Q10" s="64">
        <v>36.94</v>
      </c>
      <c r="R10" s="43"/>
      <c r="S10" s="43"/>
      <c r="T10" s="43"/>
      <c r="U10" s="43"/>
    </row>
    <row r="11" spans="1:21" s="11" customFormat="1" ht="15">
      <c r="A11" s="51" t="s">
        <v>761</v>
      </c>
      <c r="B11" s="64">
        <v>5.1100000000000003</v>
      </c>
      <c r="C11" s="64">
        <v>75.27</v>
      </c>
      <c r="D11" s="64">
        <v>45.89</v>
      </c>
      <c r="E11" s="64">
        <v>4.3099999999999996</v>
      </c>
      <c r="F11" s="64">
        <v>4.3099999999999996</v>
      </c>
      <c r="G11" s="64">
        <v>56.57</v>
      </c>
      <c r="H11" s="64">
        <v>33.11</v>
      </c>
      <c r="I11" s="64">
        <v>0.70</v>
      </c>
      <c r="J11" s="64">
        <v>1.36</v>
      </c>
      <c r="K11" s="64">
        <v>314.89999999999998</v>
      </c>
      <c r="L11" s="64">
        <v>22.74</v>
      </c>
      <c r="M11" s="64">
        <v>66</v>
      </c>
      <c r="N11" s="64">
        <v>5.0999999999999996</v>
      </c>
      <c r="O11" s="64">
        <v>0</v>
      </c>
      <c r="P11" s="64">
        <v>0.98</v>
      </c>
      <c r="Q11" s="64">
        <v>38.24</v>
      </c>
      <c r="R11" s="43"/>
      <c r="S11" s="43"/>
      <c r="T11" s="43"/>
      <c r="U11" s="43"/>
    </row>
    <row r="12" spans="1:21" s="11" customFormat="1" ht="15">
      <c r="A12" s="51" t="s">
        <v>762</v>
      </c>
      <c r="B12" s="64">
        <v>3.79</v>
      </c>
      <c r="C12" s="64">
        <v>75.33</v>
      </c>
      <c r="D12" s="64">
        <v>45.03</v>
      </c>
      <c r="E12" s="64">
        <v>3.87</v>
      </c>
      <c r="F12" s="64">
        <v>4.6900000000000004</v>
      </c>
      <c r="G12" s="64">
        <v>56.57</v>
      </c>
      <c r="H12" s="64">
        <v>31.97</v>
      </c>
      <c r="I12" s="64">
        <v>0.67</v>
      </c>
      <c r="J12" s="64">
        <v>0.12</v>
      </c>
      <c r="K12" s="64">
        <v>336.76</v>
      </c>
      <c r="L12" s="64">
        <v>20.77</v>
      </c>
      <c r="M12" s="64">
        <v>74</v>
      </c>
      <c r="N12" s="64">
        <v>4.9000000000000004</v>
      </c>
      <c r="O12" s="64">
        <v>0</v>
      </c>
      <c r="P12" s="64">
        <v>0.88</v>
      </c>
      <c r="Q12" s="64">
        <v>38.14</v>
      </c>
      <c r="R12" s="43"/>
      <c r="S12" s="43"/>
      <c r="T12" s="43"/>
      <c r="U12" s="43"/>
    </row>
    <row r="13" spans="1:21" s="11" customFormat="1" ht="15">
      <c r="A13" s="51" t="s">
        <v>763</v>
      </c>
      <c r="B13" s="64">
        <v>7.30</v>
      </c>
      <c r="C13" s="64">
        <v>76.27</v>
      </c>
      <c r="D13" s="64">
        <v>48.36</v>
      </c>
      <c r="E13" s="64">
        <v>2.80</v>
      </c>
      <c r="F13" s="64">
        <v>4.16</v>
      </c>
      <c r="G13" s="64">
        <v>55.84</v>
      </c>
      <c r="H13" s="64">
        <v>32.729999999999997</v>
      </c>
      <c r="I13" s="64">
        <v>0.64</v>
      </c>
      <c r="J13" s="64">
        <v>0.13</v>
      </c>
      <c r="K13" s="64">
        <v>333.25</v>
      </c>
      <c r="L13" s="64">
        <v>19.70</v>
      </c>
      <c r="M13" s="64">
        <v>78</v>
      </c>
      <c r="N13" s="64">
        <v>4.5999999999999996</v>
      </c>
      <c r="O13" s="64">
        <v>0</v>
      </c>
      <c r="P13" s="64">
        <v>0.81</v>
      </c>
      <c r="Q13" s="64">
        <v>35.60</v>
      </c>
      <c r="R13" s="43"/>
      <c r="S13" s="43"/>
      <c r="T13" s="43"/>
      <c r="U13" s="43"/>
    </row>
    <row r="14" spans="1:21" s="11" customFormat="1" ht="15">
      <c r="A14" s="51" t="s">
        <v>764</v>
      </c>
      <c r="B14" s="64">
        <v>13.59</v>
      </c>
      <c r="C14" s="64">
        <v>79.63</v>
      </c>
      <c r="D14" s="64">
        <v>55.22</v>
      </c>
      <c r="E14" s="64">
        <v>3.11</v>
      </c>
      <c r="F14" s="64">
        <v>3.62</v>
      </c>
      <c r="G14" s="64">
        <v>66.23</v>
      </c>
      <c r="H14" s="64">
        <v>32.729999999999997</v>
      </c>
      <c r="I14" s="64">
        <v>0.67</v>
      </c>
      <c r="J14" s="64">
        <v>0.26</v>
      </c>
      <c r="K14" s="64">
        <v>247.10</v>
      </c>
      <c r="L14" s="64">
        <v>20.03</v>
      </c>
      <c r="M14" s="64">
        <v>77</v>
      </c>
      <c r="N14" s="64">
        <v>4.5999999999999996</v>
      </c>
      <c r="O14" s="64">
        <v>0</v>
      </c>
      <c r="P14" s="64">
        <v>0.86</v>
      </c>
      <c r="Q14" s="64">
        <v>37.44</v>
      </c>
      <c r="R14" s="43"/>
      <c r="S14" s="43"/>
      <c r="T14" s="43"/>
      <c r="U14" s="43"/>
    </row>
    <row r="15" spans="1:21" s="11" customFormat="1" ht="15">
      <c r="A15" s="51" t="s">
        <v>765</v>
      </c>
      <c r="B15" s="64">
        <v>23.14</v>
      </c>
      <c r="C15" s="64">
        <v>87.06</v>
      </c>
      <c r="D15" s="64">
        <v>67.02</v>
      </c>
      <c r="E15" s="64">
        <v>3.35</v>
      </c>
      <c r="F15" s="64">
        <v>3.66</v>
      </c>
      <c r="G15" s="64">
        <v>87.16</v>
      </c>
      <c r="H15" s="64">
        <v>42.78</v>
      </c>
      <c r="I15" s="64">
        <v>0.68</v>
      </c>
      <c r="J15" s="64">
        <v>0.25</v>
      </c>
      <c r="K15" s="64">
        <v>280.01</v>
      </c>
      <c r="L15" s="64">
        <v>19.79</v>
      </c>
      <c r="M15" s="64">
        <v>77</v>
      </c>
      <c r="N15" s="64">
        <v>17.899999999999999</v>
      </c>
      <c r="O15" s="64">
        <v>0</v>
      </c>
      <c r="P15" s="64">
        <v>1.02</v>
      </c>
      <c r="Q15" s="64">
        <v>37.96</v>
      </c>
      <c r="R15" s="43"/>
      <c r="S15" s="43"/>
      <c r="T15" s="43"/>
      <c r="U15" s="43"/>
    </row>
    <row r="16" spans="1:21" s="11" customFormat="1" ht="15">
      <c r="A16" s="51" t="s">
        <v>766</v>
      </c>
      <c r="B16" s="64">
        <v>31.40</v>
      </c>
      <c r="C16" s="64">
        <v>90.37</v>
      </c>
      <c r="D16" s="64">
        <v>75.47</v>
      </c>
      <c r="E16" s="64">
        <v>3.5</v>
      </c>
      <c r="F16" s="64">
        <v>3.63</v>
      </c>
      <c r="G16" s="64">
        <v>170.05</v>
      </c>
      <c r="H16" s="64">
        <v>60.38</v>
      </c>
      <c r="I16" s="64">
        <v>0.69</v>
      </c>
      <c r="J16" s="64">
        <v>0.5</v>
      </c>
      <c r="K16" s="64">
        <v>88.34</v>
      </c>
      <c r="L16" s="64">
        <v>21.59</v>
      </c>
      <c r="M16" s="64">
        <v>73</v>
      </c>
      <c r="N16" s="64">
        <v>133.40</v>
      </c>
      <c r="O16" s="64">
        <v>0</v>
      </c>
      <c r="P16" s="64">
        <v>1.39</v>
      </c>
      <c r="Q16" s="64">
        <v>38.130000000000003</v>
      </c>
      <c r="R16" s="43"/>
      <c r="S16" s="43"/>
      <c r="T16" s="43"/>
      <c r="U16" s="43"/>
    </row>
    <row r="17" spans="1:21" s="11" customFormat="1" ht="15">
      <c r="A17" s="51" t="s">
        <v>767</v>
      </c>
      <c r="B17" s="64">
        <v>34.049999999999997</v>
      </c>
      <c r="C17" s="64">
        <v>91.57</v>
      </c>
      <c r="D17" s="64">
        <v>77.22</v>
      </c>
      <c r="E17" s="64">
        <v>5.42</v>
      </c>
      <c r="F17" s="64">
        <v>3.79</v>
      </c>
      <c r="G17" s="64">
        <v>221.95</v>
      </c>
      <c r="H17" s="64">
        <v>79.77</v>
      </c>
      <c r="I17" s="64">
        <v>0.72</v>
      </c>
      <c r="J17" s="64">
        <v>0.98</v>
      </c>
      <c r="K17" s="64">
        <v>130.36000000000001</v>
      </c>
      <c r="L17" s="64">
        <v>24.44</v>
      </c>
      <c r="M17" s="64">
        <v>64</v>
      </c>
      <c r="N17" s="64">
        <v>299.5</v>
      </c>
      <c r="O17" s="64">
        <v>0</v>
      </c>
      <c r="P17" s="64">
        <v>1.48</v>
      </c>
      <c r="Q17" s="64">
        <v>37.32</v>
      </c>
      <c r="R17" s="43"/>
      <c r="S17" s="43"/>
      <c r="T17" s="43"/>
      <c r="U17" s="43"/>
    </row>
    <row r="18" spans="1:21" s="11" customFormat="1" ht="15">
      <c r="A18" s="51" t="s">
        <v>768</v>
      </c>
      <c r="B18" s="64">
        <v>29.07</v>
      </c>
      <c r="C18" s="64">
        <v>93.83</v>
      </c>
      <c r="D18" s="64">
        <v>74.09</v>
      </c>
      <c r="E18" s="64">
        <v>5.52</v>
      </c>
      <c r="F18" s="64">
        <v>4.63</v>
      </c>
      <c r="G18" s="64">
        <v>221.95</v>
      </c>
      <c r="H18" s="64">
        <v>79.77</v>
      </c>
      <c r="I18" s="64">
        <v>0.73</v>
      </c>
      <c r="J18" s="64">
        <v>1.1499999999999999</v>
      </c>
      <c r="K18" s="64">
        <v>146.72999999999999</v>
      </c>
      <c r="L18" s="64">
        <v>26.49</v>
      </c>
      <c r="M18" s="64">
        <v>54</v>
      </c>
      <c r="N18" s="64">
        <v>398.80</v>
      </c>
      <c r="O18" s="64">
        <v>0</v>
      </c>
      <c r="P18" s="64">
        <v>1.48</v>
      </c>
      <c r="Q18" s="64">
        <v>39.49</v>
      </c>
      <c r="R18" s="43"/>
      <c r="S18" s="43"/>
      <c r="T18" s="43"/>
      <c r="U18" s="43"/>
    </row>
    <row r="19" spans="1:21" s="11" customFormat="1" ht="15">
      <c r="A19" s="51" t="s">
        <v>769</v>
      </c>
      <c r="B19" s="64">
        <v>18.36</v>
      </c>
      <c r="C19" s="64">
        <v>96.10</v>
      </c>
      <c r="D19" s="64">
        <v>67.099999999999994</v>
      </c>
      <c r="E19" s="64">
        <v>5.16</v>
      </c>
      <c r="F19" s="64">
        <v>4.28</v>
      </c>
      <c r="G19" s="64">
        <v>114.58</v>
      </c>
      <c r="H19" s="64">
        <v>69.44</v>
      </c>
      <c r="I19" s="64">
        <v>0.72</v>
      </c>
      <c r="J19" s="64">
        <v>0.80</v>
      </c>
      <c r="K19" s="64">
        <v>174.81</v>
      </c>
      <c r="L19" s="64">
        <v>29.99</v>
      </c>
      <c r="M19" s="64">
        <v>51</v>
      </c>
      <c r="N19" s="64">
        <v>543.79999999999995</v>
      </c>
      <c r="O19" s="64">
        <v>0</v>
      </c>
      <c r="P19" s="64">
        <v>1.38</v>
      </c>
      <c r="Q19" s="64">
        <v>39.369999999999997</v>
      </c>
      <c r="R19" s="43"/>
      <c r="S19" s="43"/>
      <c r="T19" s="43"/>
      <c r="U19" s="43"/>
    </row>
    <row r="20" spans="1:21" s="11" customFormat="1" ht="15">
      <c r="A20" s="51" t="s">
        <v>770</v>
      </c>
      <c r="B20" s="64">
        <v>7.07</v>
      </c>
      <c r="C20" s="64">
        <v>87.64</v>
      </c>
      <c r="D20" s="64">
        <v>54.45</v>
      </c>
      <c r="E20" s="64">
        <v>5.18</v>
      </c>
      <c r="F20" s="64">
        <v>7.38</v>
      </c>
      <c r="G20" s="64">
        <v>89.15</v>
      </c>
      <c r="H20" s="64">
        <v>55.30</v>
      </c>
      <c r="I20" s="64">
        <v>0.69</v>
      </c>
      <c r="J20" s="64">
        <v>1.19</v>
      </c>
      <c r="K20" s="64">
        <v>217.93</v>
      </c>
      <c r="L20" s="64">
        <v>32.200000000000003</v>
      </c>
      <c r="M20" s="64">
        <v>34</v>
      </c>
      <c r="N20" s="64">
        <v>632.29999999999995</v>
      </c>
      <c r="O20" s="64">
        <v>0</v>
      </c>
      <c r="P20" s="64">
        <v>1.24</v>
      </c>
      <c r="Q20" s="64">
        <v>37.42</v>
      </c>
      <c r="R20" s="43"/>
      <c r="S20" s="43"/>
      <c r="T20" s="43"/>
      <c r="U20" s="43"/>
    </row>
    <row r="21" spans="1:21" s="11" customFormat="1" ht="15">
      <c r="A21" s="51" t="s">
        <v>771</v>
      </c>
      <c r="B21" s="64">
        <v>3.61</v>
      </c>
      <c r="C21" s="64">
        <v>84.06</v>
      </c>
      <c r="D21" s="64">
        <v>49.70</v>
      </c>
      <c r="E21" s="64">
        <v>4.7300000000000004</v>
      </c>
      <c r="F21" s="64">
        <v>8.06</v>
      </c>
      <c r="G21" s="64">
        <v>58.70</v>
      </c>
      <c r="H21" s="64">
        <v>37.21</v>
      </c>
      <c r="I21" s="64">
        <v>0.66</v>
      </c>
      <c r="J21" s="64">
        <v>0.73</v>
      </c>
      <c r="K21" s="64">
        <v>193.22</v>
      </c>
      <c r="L21" s="64">
        <v>32.130000000000003</v>
      </c>
      <c r="M21" s="64">
        <v>33</v>
      </c>
      <c r="N21" s="64">
        <v>688</v>
      </c>
      <c r="O21" s="64">
        <v>0</v>
      </c>
      <c r="P21" s="64">
        <v>1.07</v>
      </c>
      <c r="Q21" s="64">
        <v>35.799999999999997</v>
      </c>
      <c r="R21" s="43"/>
      <c r="S21" s="43"/>
      <c r="T21" s="43"/>
      <c r="U21" s="43"/>
    </row>
    <row r="22" spans="1:21" s="11" customFormat="1" ht="15">
      <c r="A22" s="51" t="s">
        <v>772</v>
      </c>
      <c r="B22" s="64">
        <v>2.63</v>
      </c>
      <c r="C22" s="64">
        <v>79.739999999999995</v>
      </c>
      <c r="D22" s="64">
        <v>46.53</v>
      </c>
      <c r="E22" s="64">
        <v>4.8099999999999996</v>
      </c>
      <c r="F22" s="64">
        <v>6.69</v>
      </c>
      <c r="G22" s="64">
        <v>44.09</v>
      </c>
      <c r="H22" s="64">
        <v>31.21</v>
      </c>
      <c r="I22" s="64">
        <v>0.66</v>
      </c>
      <c r="J22" s="64">
        <v>0.64</v>
      </c>
      <c r="K22" s="64">
        <v>238.57</v>
      </c>
      <c r="L22" s="64">
        <v>32.24</v>
      </c>
      <c r="M22" s="64">
        <v>36</v>
      </c>
      <c r="N22" s="64">
        <v>549.79999999999995</v>
      </c>
      <c r="O22" s="64">
        <v>0</v>
      </c>
      <c r="P22" s="64">
        <v>0.92</v>
      </c>
      <c r="Q22" s="64">
        <v>37.200000000000003</v>
      </c>
      <c r="R22" s="43"/>
      <c r="S22" s="43"/>
      <c r="T22" s="43"/>
      <c r="U22" s="43"/>
    </row>
    <row r="23" spans="1:21" s="11" customFormat="1" ht="15">
      <c r="A23" s="51" t="s">
        <v>773</v>
      </c>
      <c r="B23" s="64">
        <v>3.20</v>
      </c>
      <c r="C23" s="64">
        <v>75.53</v>
      </c>
      <c r="D23" s="64">
        <v>43.87</v>
      </c>
      <c r="E23" s="64">
        <v>5.81</v>
      </c>
      <c r="F23" s="64">
        <v>23.99</v>
      </c>
      <c r="G23" s="64">
        <v>37.33</v>
      </c>
      <c r="H23" s="64">
        <v>27.53</v>
      </c>
      <c r="I23" s="64">
        <v>0.63</v>
      </c>
      <c r="J23" s="64">
        <v>0.65</v>
      </c>
      <c r="K23" s="64">
        <v>157.75</v>
      </c>
      <c r="L23" s="64">
        <v>33.94</v>
      </c>
      <c r="M23" s="64">
        <v>31</v>
      </c>
      <c r="N23" s="64">
        <v>377.20</v>
      </c>
      <c r="O23" s="64">
        <v>0</v>
      </c>
      <c r="P23" s="64">
        <v>0.82</v>
      </c>
      <c r="Q23" s="64">
        <v>35.96</v>
      </c>
      <c r="R23" s="43"/>
      <c r="S23" s="43"/>
      <c r="T23" s="43"/>
      <c r="U23" s="43"/>
    </row>
    <row r="24" spans="1:21" s="11" customFormat="1" ht="15">
      <c r="A24" s="51" t="s">
        <v>774</v>
      </c>
      <c r="B24" s="64">
        <v>5.55</v>
      </c>
      <c r="C24" s="64">
        <v>70.510000000000005</v>
      </c>
      <c r="D24" s="64">
        <v>43.17</v>
      </c>
      <c r="E24" s="64">
        <v>6.98</v>
      </c>
      <c r="F24" s="64">
        <v>26.35</v>
      </c>
      <c r="G24" s="64">
        <v>37.33</v>
      </c>
      <c r="H24" s="64">
        <v>23.44</v>
      </c>
      <c r="I24" s="64">
        <v>0.60</v>
      </c>
      <c r="J24" s="64">
        <v>0.81</v>
      </c>
      <c r="K24" s="64">
        <v>23.78</v>
      </c>
      <c r="L24" s="64">
        <v>33.92</v>
      </c>
      <c r="M24" s="64">
        <v>30</v>
      </c>
      <c r="N24" s="64">
        <v>239.40</v>
      </c>
      <c r="O24" s="64">
        <v>0</v>
      </c>
      <c r="P24" s="64">
        <v>0.79</v>
      </c>
      <c r="Q24" s="64">
        <v>35.770000000000003</v>
      </c>
      <c r="R24" s="43"/>
      <c r="S24" s="43"/>
      <c r="T24" s="43"/>
      <c r="U24" s="43"/>
    </row>
    <row r="25" spans="1:21" s="11" customFormat="1" ht="15">
      <c r="A25" s="51" t="s">
        <v>775</v>
      </c>
      <c r="B25" s="64">
        <v>3.99</v>
      </c>
      <c r="C25" s="64">
        <v>83.86</v>
      </c>
      <c r="D25" s="64">
        <v>48.08</v>
      </c>
      <c r="E25" s="64">
        <v>7.30</v>
      </c>
      <c r="F25" s="64">
        <v>11.47</v>
      </c>
      <c r="G25" s="64">
        <v>66.78</v>
      </c>
      <c r="H25" s="64">
        <v>29.13</v>
      </c>
      <c r="I25" s="64">
        <v>0.68</v>
      </c>
      <c r="J25" s="64">
        <v>2</v>
      </c>
      <c r="K25" s="64">
        <v>32.619999999999997</v>
      </c>
      <c r="L25" s="64">
        <v>31.81</v>
      </c>
      <c r="M25" s="64">
        <v>44</v>
      </c>
      <c r="N25" s="64">
        <v>124.30</v>
      </c>
      <c r="O25" s="64">
        <v>0</v>
      </c>
      <c r="P25" s="64">
        <v>0.91</v>
      </c>
      <c r="Q25" s="64">
        <v>36.369999999999997</v>
      </c>
      <c r="R25" s="43"/>
      <c r="S25" s="43"/>
      <c r="T25" s="43"/>
      <c r="U25" s="43"/>
    </row>
    <row r="26" spans="1:21" s="11" customFormat="1" ht="15">
      <c r="A26" s="51" t="s">
        <v>776</v>
      </c>
      <c r="B26" s="64">
        <v>4.59</v>
      </c>
      <c r="C26" s="64">
        <v>96.34</v>
      </c>
      <c r="D26" s="64">
        <v>56.96</v>
      </c>
      <c r="E26" s="64">
        <v>4.9400000000000004</v>
      </c>
      <c r="F26" s="64">
        <v>8.32</v>
      </c>
      <c r="G26" s="64">
        <v>99.15</v>
      </c>
      <c r="H26" s="64">
        <v>30.08</v>
      </c>
      <c r="I26" s="64">
        <v>0.64</v>
      </c>
      <c r="J26" s="64">
        <v>1.55</v>
      </c>
      <c r="K26" s="64">
        <v>37.090000000000003</v>
      </c>
      <c r="L26" s="64">
        <v>28.94</v>
      </c>
      <c r="M26" s="64">
        <v>51</v>
      </c>
      <c r="N26" s="64">
        <v>30</v>
      </c>
      <c r="O26" s="64">
        <v>0</v>
      </c>
      <c r="P26" s="64">
        <v>1.1100000000000001</v>
      </c>
      <c r="Q26" s="64">
        <v>36.06</v>
      </c>
      <c r="R26" s="43"/>
      <c r="S26" s="43"/>
      <c r="T26" s="43"/>
      <c r="U26" s="43"/>
    </row>
    <row r="27" spans="1:21" s="11" customFormat="1" ht="15">
      <c r="A27" s="51" t="s">
        <v>777</v>
      </c>
      <c r="B27" s="64">
        <v>10.33</v>
      </c>
      <c r="C27" s="64">
        <v>100.75</v>
      </c>
      <c r="D27" s="64">
        <v>64.30</v>
      </c>
      <c r="E27" s="64">
        <v>26.65</v>
      </c>
      <c r="F27" s="64">
        <v>14.12</v>
      </c>
      <c r="G27" s="64">
        <v>106.18</v>
      </c>
      <c r="H27" s="64">
        <v>39.200000000000003</v>
      </c>
      <c r="I27" s="64">
        <v>0.64</v>
      </c>
      <c r="J27" s="64">
        <v>1.38</v>
      </c>
      <c r="K27" s="64">
        <v>23.12</v>
      </c>
      <c r="L27" s="64">
        <v>27.67</v>
      </c>
      <c r="M27" s="64">
        <v>50</v>
      </c>
      <c r="N27" s="64">
        <v>4.80</v>
      </c>
      <c r="O27" s="64">
        <v>0</v>
      </c>
      <c r="P27" s="64">
        <v>1.46</v>
      </c>
      <c r="Q27" s="64">
        <v>35.40</v>
      </c>
      <c r="R27" s="43"/>
      <c r="S27" s="43"/>
      <c r="T27" s="43"/>
      <c r="U27" s="43"/>
    </row>
    <row r="28" spans="1:21" s="11" customFormat="1" ht="15">
      <c r="A28" s="51" t="s">
        <v>778</v>
      </c>
      <c r="B28" s="64">
        <v>20.5</v>
      </c>
      <c r="C28" s="64">
        <v>111.46</v>
      </c>
      <c r="D28" s="64">
        <v>78.37</v>
      </c>
      <c r="E28" s="64">
        <v>29.17</v>
      </c>
      <c r="F28" s="64">
        <v>9.35</v>
      </c>
      <c r="G28" s="64">
        <v>126.11</v>
      </c>
      <c r="H28" s="64">
        <v>45</v>
      </c>
      <c r="I28" s="64">
        <v>0.71</v>
      </c>
      <c r="J28" s="64">
        <v>0.57999999999999996</v>
      </c>
      <c r="K28" s="64">
        <v>35.14</v>
      </c>
      <c r="L28" s="64">
        <v>26.93</v>
      </c>
      <c r="M28" s="64">
        <v>53</v>
      </c>
      <c r="N28" s="64">
        <v>4.80</v>
      </c>
      <c r="O28" s="64">
        <v>0</v>
      </c>
      <c r="P28" s="64">
        <v>1.93</v>
      </c>
      <c r="Q28" s="64">
        <v>34.47</v>
      </c>
      <c r="R28" s="43"/>
      <c r="S28" s="43"/>
      <c r="T28" s="43"/>
      <c r="U28" s="43"/>
    </row>
    <row r="29" spans="1:21" s="11" customFormat="1" ht="15">
      <c r="A29" s="51" t="s">
        <v>779</v>
      </c>
      <c r="B29" s="64">
        <v>20.84</v>
      </c>
      <c r="C29" s="64">
        <v>109.88</v>
      </c>
      <c r="D29" s="64">
        <v>77.760000000000005</v>
      </c>
      <c r="E29" s="64">
        <v>8.60</v>
      </c>
      <c r="F29" s="64">
        <v>4.7699999999999996</v>
      </c>
      <c r="G29" s="64">
        <v>140.01</v>
      </c>
      <c r="H29" s="64">
        <v>53.92</v>
      </c>
      <c r="I29" s="64">
        <v>0.77</v>
      </c>
      <c r="J29" s="64">
        <v>0.52</v>
      </c>
      <c r="K29" s="64">
        <v>98.44</v>
      </c>
      <c r="L29" s="64">
        <v>26.11</v>
      </c>
      <c r="M29" s="64">
        <v>53</v>
      </c>
      <c r="N29" s="64">
        <v>4.5999999999999996</v>
      </c>
      <c r="O29" s="64">
        <v>0</v>
      </c>
      <c r="P29" s="64">
        <v>1.85</v>
      </c>
      <c r="Q29" s="64">
        <v>39.369999999999997</v>
      </c>
      <c r="R29" s="43"/>
      <c r="S29" s="43"/>
      <c r="T29" s="43"/>
      <c r="U29" s="43"/>
    </row>
    <row r="30" spans="1:21" s="11" customFormat="1" ht="15">
      <c r="A30" s="51" t="s">
        <v>780</v>
      </c>
      <c r="B30" s="64">
        <v>20.13</v>
      </c>
      <c r="C30" s="64">
        <v>109.95</v>
      </c>
      <c r="D30" s="64">
        <v>77.23</v>
      </c>
      <c r="E30" s="64">
        <v>5.94</v>
      </c>
      <c r="F30" s="64">
        <v>9.81</v>
      </c>
      <c r="G30" s="64">
        <v>140.01</v>
      </c>
      <c r="H30" s="64">
        <v>53.92</v>
      </c>
      <c r="I30" s="64">
        <v>0.80</v>
      </c>
      <c r="J30" s="64">
        <v>0.57999999999999996</v>
      </c>
      <c r="K30" s="64">
        <v>118.87</v>
      </c>
      <c r="L30" s="64">
        <v>25.43</v>
      </c>
      <c r="M30" s="64">
        <v>55</v>
      </c>
      <c r="N30" s="64">
        <v>4.70</v>
      </c>
      <c r="O30" s="64">
        <v>0</v>
      </c>
      <c r="P30" s="64">
        <v>1.86</v>
      </c>
      <c r="Q30" s="64">
        <v>39.520000000000003</v>
      </c>
      <c r="R30" s="43"/>
      <c r="S30" s="43"/>
      <c r="T30" s="43"/>
      <c r="U30" s="43"/>
    </row>
    <row r="31" spans="1:21" s="11" customFormat="1" ht="15">
      <c r="A31" s="51" t="s">
        <v>781</v>
      </c>
      <c r="B31" s="64">
        <v>20.37</v>
      </c>
      <c r="C31" s="64">
        <v>104.39</v>
      </c>
      <c r="D31" s="64">
        <v>74.36</v>
      </c>
      <c r="E31" s="64">
        <v>6.42</v>
      </c>
      <c r="F31" s="64">
        <v>7.42</v>
      </c>
      <c r="G31" s="64">
        <v>108.60</v>
      </c>
      <c r="H31" s="64">
        <v>53.51</v>
      </c>
      <c r="I31" s="64">
        <v>0.81</v>
      </c>
      <c r="J31" s="64">
        <v>0.38</v>
      </c>
      <c r="K31" s="64">
        <v>103.94</v>
      </c>
      <c r="L31" s="64">
        <v>24.91</v>
      </c>
      <c r="M31" s="64">
        <v>61</v>
      </c>
      <c r="N31" s="64">
        <v>5</v>
      </c>
      <c r="O31" s="64">
        <v>0</v>
      </c>
      <c r="P31" s="64">
        <v>1.76</v>
      </c>
      <c r="Q31" s="64">
        <v>38.01</v>
      </c>
      <c r="R31" s="43"/>
      <c r="S31" s="43"/>
      <c r="T31" s="43"/>
      <c r="U31" s="43"/>
    </row>
    <row r="32" spans="1:21" s="11" customFormat="1" ht="15">
      <c r="A32" s="51" t="s">
        <v>782</v>
      </c>
      <c r="B32" s="64">
        <v>21.77</v>
      </c>
      <c r="C32" s="64">
        <v>102.25</v>
      </c>
      <c r="D32" s="64">
        <v>74.30</v>
      </c>
      <c r="E32" s="64">
        <v>5.33</v>
      </c>
      <c r="F32" s="64">
        <v>5.12</v>
      </c>
      <c r="G32" s="64">
        <v>101.36</v>
      </c>
      <c r="H32" s="64">
        <v>51.18</v>
      </c>
      <c r="I32" s="64">
        <v>0.79</v>
      </c>
      <c r="J32" s="64">
        <v>0.18</v>
      </c>
      <c r="K32" s="64">
        <v>302.52</v>
      </c>
      <c r="L32" s="64">
        <v>23.45</v>
      </c>
      <c r="M32" s="64">
        <v>67</v>
      </c>
      <c r="N32" s="64">
        <v>4.70</v>
      </c>
      <c r="O32" s="64">
        <v>0</v>
      </c>
      <c r="P32" s="64">
        <v>1.72</v>
      </c>
      <c r="Q32" s="64">
        <v>40.96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2.6299999999999999</v>
      </c>
      <c r="C34" s="28">
        <f t="shared" si="0"/>
        <v>70.510000000000005</v>
      </c>
      <c r="D34" s="28">
        <f t="shared" si="0"/>
        <v>43.170000000000002</v>
      </c>
      <c r="E34" s="28">
        <f t="shared" si="0"/>
        <v>2.7999999999999998</v>
      </c>
      <c r="F34" s="28">
        <f t="shared" si="0"/>
        <v>3.6200000000000001</v>
      </c>
      <c r="G34" s="28">
        <f t="shared" si="0"/>
        <v>37.329999999999998</v>
      </c>
      <c r="H34" s="28">
        <f t="shared" si="0"/>
        <v>23.440000000000001</v>
      </c>
      <c r="I34" s="28">
        <f t="shared" si="0"/>
        <v>0.59999999999999998</v>
      </c>
      <c r="J34" s="28">
        <f t="shared" si="0"/>
        <v>0.12</v>
      </c>
      <c r="K34" s="28">
        <f t="shared" si="0"/>
        <v>23.120000000000001</v>
      </c>
      <c r="L34" s="28">
        <f t="shared" si="0"/>
        <v>19.699999999999999</v>
      </c>
      <c r="M34" s="28">
        <f t="shared" si="0"/>
        <v>30</v>
      </c>
      <c r="N34" s="28">
        <f t="shared" si="0"/>
        <v>4.2999999999999998</v>
      </c>
      <c r="O34" s="28">
        <f t="shared" si="0"/>
        <v>0</v>
      </c>
      <c r="P34" s="28">
        <f t="shared" si="0"/>
        <v>0.79000000000000004</v>
      </c>
      <c r="Q34" s="28">
        <f t="shared" si="0"/>
        <v>34.469999999999999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34.049999999999997</v>
      </c>
      <c r="C35" s="29">
        <f t="shared" si="1"/>
        <v>111.45999999999999</v>
      </c>
      <c r="D35" s="29">
        <f t="shared" si="1"/>
        <v>78.370000000000005</v>
      </c>
      <c r="E35" s="29">
        <f t="shared" si="1"/>
        <v>29.170000000000002</v>
      </c>
      <c r="F35" s="29">
        <f t="shared" si="1"/>
        <v>26.350000000000001</v>
      </c>
      <c r="G35" s="29">
        <f t="shared" si="1"/>
        <v>221.94999999999999</v>
      </c>
      <c r="H35" s="29">
        <f t="shared" si="1"/>
        <v>79.769999999999996</v>
      </c>
      <c r="I35" s="29">
        <f t="shared" si="1"/>
        <v>0.81000000000000005</v>
      </c>
      <c r="J35" s="29">
        <f t="shared" si="1"/>
        <v>2</v>
      </c>
      <c r="K35" s="29">
        <f t="shared" si="1"/>
        <v>336.75999999999999</v>
      </c>
      <c r="L35" s="29">
        <f t="shared" si="1"/>
        <v>33.939999999999998</v>
      </c>
      <c r="M35" s="29">
        <f t="shared" si="1"/>
        <v>78</v>
      </c>
      <c r="N35" s="29">
        <f t="shared" si="1"/>
        <v>688</v>
      </c>
      <c r="O35" s="29">
        <f t="shared" si="1"/>
        <v>0</v>
      </c>
      <c r="P35" s="29">
        <f t="shared" si="1"/>
        <v>1.9299999999999999</v>
      </c>
      <c r="Q35" s="29">
        <f t="shared" si="1"/>
        <v>40.960000000000001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13.480833333333331</v>
      </c>
      <c r="C36" s="28">
        <f t="shared" si="2"/>
        <v>89.535000000000011</v>
      </c>
      <c r="D36" s="28">
        <f t="shared" si="2"/>
        <v>60.335416666666667</v>
      </c>
      <c r="E36" s="28">
        <f t="shared" si="2"/>
        <v>6.9995833333333328</v>
      </c>
      <c r="F36" s="28">
        <f t="shared" si="2"/>
        <v>7.9216666666666669</v>
      </c>
      <c r="G36" s="28">
        <f t="shared" si="2"/>
        <v>98.223749999999995</v>
      </c>
      <c r="H36" s="28">
        <f t="shared" si="2"/>
        <v>44.521250000000002</v>
      </c>
      <c r="I36" s="28">
        <f t="shared" si="2"/>
        <v>0.70000000000000007</v>
      </c>
      <c r="J36" s="28">
        <f t="shared" si="2"/>
        <v>0.82708333333333328</v>
      </c>
      <c r="K36" s="28">
        <f t="shared" si="2"/>
        <v>163.16791666666666</v>
      </c>
      <c r="L36" s="28">
        <f t="shared" si="2"/>
        <v>26.303749999999997</v>
      </c>
      <c r="M36" s="28">
        <f t="shared" si="2"/>
        <v>55.416666666666664</v>
      </c>
      <c r="N36" s="28">
        <f t="shared" si="2"/>
        <v>170.46666666666667</v>
      </c>
      <c r="O36" s="28">
        <f t="shared" si="2"/>
        <v>0</v>
      </c>
      <c r="P36" s="28">
        <f t="shared" si="2"/>
        <v>1.2533333333333336</v>
      </c>
      <c r="Q36" s="28">
        <f t="shared" si="2"/>
        <v>37.529166666666669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9.9400883193813474</v>
      </c>
      <c r="C37" s="28">
        <f t="shared" si="3" ref="C37:Q37">STDEV(C9:C32)</f>
        <v>12.259279360336905</v>
      </c>
      <c r="D37" s="28">
        <f t="shared" si="3"/>
        <v>13.131975241062724</v>
      </c>
      <c r="E37" s="28">
        <f t="shared" si="3"/>
        <v>6.5903654838062611</v>
      </c>
      <c r="F37" s="28">
        <f t="shared" si="3"/>
        <v>5.9805021358663053</v>
      </c>
      <c r="G37" s="28">
        <f t="shared" si="3"/>
        <v>51.482784949880617</v>
      </c>
      <c r="H37" s="28">
        <f t="shared" si="3"/>
        <v>15.996251276199184</v>
      </c>
      <c r="I37" s="28">
        <f t="shared" si="3"/>
        <v>0.056875149307018549</v>
      </c>
      <c r="J37" s="28">
        <f t="shared" si="3"/>
        <v>0.53033606381209852</v>
      </c>
      <c r="K37" s="28">
        <f t="shared" si="3"/>
        <v>101.71822828301835</v>
      </c>
      <c r="L37" s="28">
        <f t="shared" si="3"/>
        <v>4.6631448732261775</v>
      </c>
      <c r="M37" s="28">
        <f t="shared" si="3"/>
        <v>15.133943038219014</v>
      </c>
      <c r="N37" s="28">
        <f t="shared" si="3"/>
        <v>233.75965298211509</v>
      </c>
      <c r="O37" s="28">
        <f t="shared" si="3"/>
        <v>0</v>
      </c>
      <c r="P37" s="28">
        <f t="shared" si="3"/>
        <v>0.3714210860847898</v>
      </c>
      <c r="Q37" s="28">
        <f t="shared" si="3"/>
        <v>1.6572736035734865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 t="shared" si="4"/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734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  <pageSetup orientation="portrait" paperSize="9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5ea3581-c766-4324-a7f3-0de34e8a014d}">
  <sheetPr codeName=""/>
  <dimension ref="A1:U119"/>
  <sheetViews>
    <sheetView workbookViewId="0" topLeftCell="A1">
      <selection pane="topLeft" activeCell="D8" sqref="D8"/>
    </sheetView>
  </sheetViews>
  <sheetFormatPr defaultColWidth="8.85881696428571" defaultRowHeight="15"/>
  <cols>
    <col min="1" max="1" width="18.2857142857143" style="26" customWidth="1"/>
    <col min="2" max="2" width="13.4285714285714" style="20" customWidth="1"/>
    <col min="3" max="12" width="9.14285714285714" style="20" customWidth="1"/>
    <col min="13" max="13" width="10" style="20" customWidth="1"/>
    <col min="14" max="19" width="9.14285714285714" style="20" customWidth="1"/>
    <col min="20" max="20" width="11.4285714285714" style="20" customWidth="1"/>
    <col min="21" max="16384" width="8.85714285714286" style="20"/>
  </cols>
  <sheetData>
    <row r="1" spans="1:21" s="21" customFormat="1" ht="26.25">
      <c r="A1" s="14" t="s">
        <v>2</v>
      </c>
      <c r="B1" s="23" t="s">
        <v>42</v>
      </c>
      <c r="C1" s="37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31-01-2023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39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14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14"/>
      <c r="B8" s="29" t="s">
        <v>22</v>
      </c>
      <c r="C8" s="29" t="s">
        <v>22</v>
      </c>
      <c r="D8" s="29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s="11" customFormat="1" ht="15">
      <c r="A9" s="50" t="s">
        <v>783</v>
      </c>
      <c r="B9" s="51">
        <v>21.03</v>
      </c>
      <c r="C9" s="51">
        <v>101.62</v>
      </c>
      <c r="D9" s="51">
        <v>72.510000000000005</v>
      </c>
      <c r="E9" s="51">
        <v>4.96</v>
      </c>
      <c r="F9" s="51">
        <v>3.80</v>
      </c>
      <c r="G9" s="51">
        <v>101.42</v>
      </c>
      <c r="H9" s="51">
        <v>48.57</v>
      </c>
      <c r="I9" s="51">
        <v>0.81</v>
      </c>
      <c r="J9" s="51">
        <v>0.28999999999999998</v>
      </c>
      <c r="K9" s="51">
        <v>140.77000000000001</v>
      </c>
      <c r="L9" s="51">
        <v>23.47</v>
      </c>
      <c r="M9" s="51">
        <v>63</v>
      </c>
      <c r="N9" s="51">
        <v>4.5</v>
      </c>
      <c r="O9" s="51">
        <v>0</v>
      </c>
      <c r="P9" s="51">
        <v>1.67</v>
      </c>
      <c r="Q9" s="51">
        <v>41.33</v>
      </c>
      <c r="R9" s="43"/>
      <c r="S9" s="43"/>
      <c r="T9" s="43"/>
      <c r="U9" s="43"/>
    </row>
    <row r="10" spans="1:21" s="11" customFormat="1" ht="15">
      <c r="A10" s="50" t="s">
        <v>784</v>
      </c>
      <c r="B10" s="51">
        <v>15.48</v>
      </c>
      <c r="C10" s="51">
        <v>100.55</v>
      </c>
      <c r="D10" s="51">
        <v>68.319999999999993</v>
      </c>
      <c r="E10" s="51">
        <v>5.58</v>
      </c>
      <c r="F10" s="51">
        <v>7.17</v>
      </c>
      <c r="G10" s="51">
        <v>101.42</v>
      </c>
      <c r="H10" s="51">
        <v>48.57</v>
      </c>
      <c r="I10" s="51">
        <v>0.77</v>
      </c>
      <c r="J10" s="51">
        <v>0.80</v>
      </c>
      <c r="K10" s="51">
        <v>34.270000000000003</v>
      </c>
      <c r="L10" s="51">
        <v>23.31</v>
      </c>
      <c r="M10" s="51">
        <v>64</v>
      </c>
      <c r="N10" s="51">
        <v>4.80</v>
      </c>
      <c r="O10" s="51">
        <v>0</v>
      </c>
      <c r="P10" s="51">
        <v>1.41</v>
      </c>
      <c r="Q10" s="51">
        <v>40.549999999999997</v>
      </c>
      <c r="R10" s="43"/>
      <c r="S10" s="43"/>
      <c r="T10" s="43"/>
      <c r="U10" s="43"/>
    </row>
    <row r="11" spans="1:21" s="11" customFormat="1" ht="15">
      <c r="A11" s="50" t="s">
        <v>785</v>
      </c>
      <c r="B11" s="51">
        <v>10.73</v>
      </c>
      <c r="C11" s="51">
        <v>87.89</v>
      </c>
      <c r="D11" s="51">
        <v>57.52</v>
      </c>
      <c r="E11" s="51">
        <v>7.62</v>
      </c>
      <c r="F11" s="51">
        <v>7.32</v>
      </c>
      <c r="G11" s="51">
        <v>92.56</v>
      </c>
      <c r="H11" s="51">
        <v>45.46</v>
      </c>
      <c r="I11" s="51">
        <v>0.72</v>
      </c>
      <c r="J11" s="51">
        <v>0.64</v>
      </c>
      <c r="K11" s="51">
        <v>36.31</v>
      </c>
      <c r="L11" s="51">
        <v>23.06</v>
      </c>
      <c r="M11" s="51">
        <v>65</v>
      </c>
      <c r="N11" s="51">
        <v>4.70</v>
      </c>
      <c r="O11" s="51">
        <v>0</v>
      </c>
      <c r="P11" s="51">
        <v>1.29</v>
      </c>
      <c r="Q11" s="51">
        <v>37.450000000000003</v>
      </c>
      <c r="R11" s="43"/>
      <c r="S11" s="43"/>
      <c r="T11" s="43"/>
      <c r="U11" s="43"/>
    </row>
    <row r="12" spans="1:21" s="11" customFormat="1" ht="15">
      <c r="A12" s="50" t="s">
        <v>786</v>
      </c>
      <c r="B12" s="51">
        <v>8.86</v>
      </c>
      <c r="C12" s="51">
        <v>86.75</v>
      </c>
      <c r="D12" s="51">
        <v>54.58</v>
      </c>
      <c r="E12" s="51">
        <v>7.68</v>
      </c>
      <c r="F12" s="51">
        <v>7.15</v>
      </c>
      <c r="G12" s="51">
        <v>92.56</v>
      </c>
      <c r="H12" s="51">
        <v>45.46</v>
      </c>
      <c r="I12" s="51">
        <v>0.72</v>
      </c>
      <c r="J12" s="51">
        <v>0.93</v>
      </c>
      <c r="K12" s="51">
        <v>72.62</v>
      </c>
      <c r="L12" s="51">
        <v>23.04</v>
      </c>
      <c r="M12" s="51">
        <v>62</v>
      </c>
      <c r="N12" s="51">
        <v>4.5999999999999996</v>
      </c>
      <c r="O12" s="51">
        <v>0</v>
      </c>
      <c r="P12" s="51">
        <v>1.20</v>
      </c>
      <c r="Q12" s="51">
        <v>38.07</v>
      </c>
      <c r="R12" s="43"/>
      <c r="S12" s="43"/>
      <c r="T12" s="43"/>
      <c r="U12" s="43"/>
    </row>
    <row r="13" spans="1:21" s="11" customFormat="1" ht="15">
      <c r="A13" s="50" t="s">
        <v>787</v>
      </c>
      <c r="B13" s="51">
        <v>7.24</v>
      </c>
      <c r="C13" s="51">
        <v>86.54</v>
      </c>
      <c r="D13" s="51">
        <v>53.74</v>
      </c>
      <c r="E13" s="51">
        <v>5.20</v>
      </c>
      <c r="F13" s="51">
        <v>5.08</v>
      </c>
      <c r="G13" s="51">
        <v>84.80</v>
      </c>
      <c r="H13" s="51">
        <v>45.04</v>
      </c>
      <c r="I13" s="51">
        <v>0.70</v>
      </c>
      <c r="J13" s="51">
        <v>1.03</v>
      </c>
      <c r="K13" s="51">
        <v>49.63</v>
      </c>
      <c r="L13" s="51">
        <v>22.31</v>
      </c>
      <c r="M13" s="51">
        <v>63</v>
      </c>
      <c r="N13" s="51">
        <v>4.9000000000000004</v>
      </c>
      <c r="O13" s="51">
        <v>0</v>
      </c>
      <c r="P13" s="51">
        <v>1.08</v>
      </c>
      <c r="Q13" s="51">
        <v>37.17</v>
      </c>
      <c r="R13" s="43"/>
      <c r="S13" s="43"/>
      <c r="T13" s="43"/>
      <c r="U13" s="43"/>
    </row>
    <row r="14" spans="1:21" s="11" customFormat="1" ht="15">
      <c r="A14" s="50" t="s">
        <v>788</v>
      </c>
      <c r="B14" s="51">
        <v>8.7899999999999991</v>
      </c>
      <c r="C14" s="51">
        <v>80.599999999999994</v>
      </c>
      <c r="D14" s="51">
        <v>51.94</v>
      </c>
      <c r="E14" s="51">
        <v>6.28</v>
      </c>
      <c r="F14" s="51">
        <v>6.85</v>
      </c>
      <c r="G14" s="51">
        <v>80.06</v>
      </c>
      <c r="H14" s="51">
        <v>42.87</v>
      </c>
      <c r="I14" s="51">
        <v>0.65</v>
      </c>
      <c r="J14" s="51">
        <v>1.24</v>
      </c>
      <c r="K14" s="51">
        <v>39.450000000000003</v>
      </c>
      <c r="L14" s="51">
        <v>21.49</v>
      </c>
      <c r="M14" s="51">
        <v>65</v>
      </c>
      <c r="N14" s="51">
        <v>4.70</v>
      </c>
      <c r="O14" s="51">
        <v>0</v>
      </c>
      <c r="P14" s="51">
        <v>0.95</v>
      </c>
      <c r="Q14" s="51">
        <v>34.76</v>
      </c>
      <c r="R14" s="43"/>
      <c r="S14" s="43"/>
      <c r="T14" s="43"/>
      <c r="U14" s="43"/>
    </row>
    <row r="15" spans="1:21" s="11" customFormat="1" ht="15">
      <c r="A15" s="50" t="s">
        <v>789</v>
      </c>
      <c r="B15" s="51">
        <v>11.45</v>
      </c>
      <c r="C15" s="51">
        <v>79.84</v>
      </c>
      <c r="D15" s="51">
        <v>53.44</v>
      </c>
      <c r="E15" s="51">
        <v>5.93</v>
      </c>
      <c r="F15" s="51">
        <v>5.20</v>
      </c>
      <c r="G15" s="51">
        <v>70.930000000000007</v>
      </c>
      <c r="H15" s="51">
        <v>40.53</v>
      </c>
      <c r="I15" s="51">
        <v>0.63</v>
      </c>
      <c r="J15" s="51">
        <v>1.40</v>
      </c>
      <c r="K15" s="51">
        <v>46.16</v>
      </c>
      <c r="L15" s="51">
        <v>20.87</v>
      </c>
      <c r="M15" s="51">
        <v>66</v>
      </c>
      <c r="N15" s="51">
        <v>14.10</v>
      </c>
      <c r="O15" s="51">
        <v>0</v>
      </c>
      <c r="P15" s="51">
        <v>0.86</v>
      </c>
      <c r="Q15" s="51">
        <v>31.93</v>
      </c>
      <c r="R15" s="43"/>
      <c r="S15" s="43"/>
      <c r="T15" s="43"/>
      <c r="U15" s="43"/>
    </row>
    <row r="16" spans="1:21" s="11" customFormat="1" ht="15">
      <c r="A16" s="50" t="s">
        <v>790</v>
      </c>
      <c r="B16" s="51">
        <v>12.09</v>
      </c>
      <c r="C16" s="51">
        <v>87.10</v>
      </c>
      <c r="D16" s="51">
        <v>57.88</v>
      </c>
      <c r="E16" s="51">
        <v>5.09</v>
      </c>
      <c r="F16" s="51">
        <v>4.17</v>
      </c>
      <c r="G16" s="51">
        <v>70.010000000000005</v>
      </c>
      <c r="H16" s="51">
        <v>39.78</v>
      </c>
      <c r="I16" s="51">
        <v>0.62</v>
      </c>
      <c r="J16" s="51">
        <v>0.96</v>
      </c>
      <c r="K16" s="51">
        <v>50.09</v>
      </c>
      <c r="L16" s="51">
        <v>21.38</v>
      </c>
      <c r="M16" s="51">
        <v>65</v>
      </c>
      <c r="N16" s="51">
        <v>142.90</v>
      </c>
      <c r="O16" s="51">
        <v>0</v>
      </c>
      <c r="P16" s="51">
        <v>0.91</v>
      </c>
      <c r="Q16" s="51">
        <v>32.700000000000003</v>
      </c>
      <c r="R16" s="43"/>
      <c r="S16" s="43"/>
      <c r="T16" s="43"/>
      <c r="U16" s="43"/>
    </row>
    <row r="17" spans="1:21" s="11" customFormat="1" ht="15">
      <c r="A17" s="50" t="s">
        <v>791</v>
      </c>
      <c r="B17" s="51">
        <v>11.33</v>
      </c>
      <c r="C17" s="51">
        <v>85.54</v>
      </c>
      <c r="D17" s="51">
        <v>56.71</v>
      </c>
      <c r="E17" s="51">
        <v>5.97</v>
      </c>
      <c r="F17" s="51">
        <v>6.77</v>
      </c>
      <c r="G17" s="51">
        <v>75.239999999999995</v>
      </c>
      <c r="H17" s="51">
        <v>39.78</v>
      </c>
      <c r="I17" s="51">
        <v>0.61</v>
      </c>
      <c r="J17" s="51">
        <v>1.63</v>
      </c>
      <c r="K17" s="51">
        <v>37.79</v>
      </c>
      <c r="L17" s="51">
        <v>24.61</v>
      </c>
      <c r="M17" s="51">
        <v>58</v>
      </c>
      <c r="N17" s="51">
        <v>300.70</v>
      </c>
      <c r="O17" s="51">
        <v>0</v>
      </c>
      <c r="P17" s="51">
        <v>0.92</v>
      </c>
      <c r="Q17" s="51">
        <v>32.44</v>
      </c>
      <c r="R17" s="43"/>
      <c r="S17" s="43"/>
      <c r="T17" s="43"/>
      <c r="U17" s="43"/>
    </row>
    <row r="18" spans="1:21" s="11" customFormat="1" ht="15">
      <c r="A18" s="50" t="s">
        <v>792</v>
      </c>
      <c r="B18" s="51">
        <v>10.78</v>
      </c>
      <c r="C18" s="51">
        <v>88.86</v>
      </c>
      <c r="D18" s="51">
        <v>57.61</v>
      </c>
      <c r="E18" s="51">
        <v>7.27</v>
      </c>
      <c r="F18" s="51">
        <v>7.39</v>
      </c>
      <c r="G18" s="51">
        <v>77.12</v>
      </c>
      <c r="H18" s="51">
        <v>37.729999999999997</v>
      </c>
      <c r="I18" s="51">
        <v>0.59</v>
      </c>
      <c r="J18" s="51">
        <v>1.77</v>
      </c>
      <c r="K18" s="51">
        <v>86.35</v>
      </c>
      <c r="L18" s="51">
        <v>26.56</v>
      </c>
      <c r="M18" s="51">
        <v>49</v>
      </c>
      <c r="N18" s="51">
        <v>428.80</v>
      </c>
      <c r="O18" s="51">
        <v>0</v>
      </c>
      <c r="P18" s="51">
        <v>0.92</v>
      </c>
      <c r="Q18" s="51">
        <v>28.78</v>
      </c>
      <c r="R18" s="43"/>
      <c r="S18" s="43"/>
      <c r="T18" s="43"/>
      <c r="U18" s="43"/>
    </row>
    <row r="19" spans="1:21" s="11" customFormat="1" ht="15">
      <c r="A19" s="50" t="s">
        <v>793</v>
      </c>
      <c r="B19" s="51">
        <v>7.42</v>
      </c>
      <c r="C19" s="51">
        <v>91.33</v>
      </c>
      <c r="D19" s="51">
        <v>55.47</v>
      </c>
      <c r="E19" s="51">
        <v>7.42</v>
      </c>
      <c r="F19" s="51">
        <v>7.45</v>
      </c>
      <c r="G19" s="51">
        <v>77.12</v>
      </c>
      <c r="H19" s="51">
        <v>37.54</v>
      </c>
      <c r="I19" s="51">
        <v>0.62</v>
      </c>
      <c r="J19" s="51">
        <v>0.89</v>
      </c>
      <c r="K19" s="51">
        <v>83.14</v>
      </c>
      <c r="L19" s="51">
        <v>29.18</v>
      </c>
      <c r="M19" s="51">
        <v>44</v>
      </c>
      <c r="N19" s="51">
        <v>507</v>
      </c>
      <c r="O19" s="51">
        <v>0</v>
      </c>
      <c r="P19" s="51">
        <v>0.95</v>
      </c>
      <c r="Q19" s="51">
        <v>30.65</v>
      </c>
      <c r="R19" s="43"/>
      <c r="S19" s="43"/>
      <c r="T19" s="43"/>
      <c r="U19" s="43"/>
    </row>
    <row r="20" spans="1:21" s="11" customFormat="1" ht="15">
      <c r="A20" s="50" t="s">
        <v>794</v>
      </c>
      <c r="B20" s="51">
        <v>5.24</v>
      </c>
      <c r="C20" s="51">
        <v>95.23</v>
      </c>
      <c r="D20" s="51">
        <v>56.16</v>
      </c>
      <c r="E20" s="51">
        <v>5.37</v>
      </c>
      <c r="F20" s="51">
        <v>5.5</v>
      </c>
      <c r="G20" s="51">
        <v>75.92</v>
      </c>
      <c r="H20" s="51">
        <v>39.15</v>
      </c>
      <c r="I20" s="51">
        <v>0.60</v>
      </c>
      <c r="J20" s="51">
        <v>1.1299999999999999</v>
      </c>
      <c r="K20" s="51">
        <v>130.21</v>
      </c>
      <c r="L20" s="51">
        <v>29.15</v>
      </c>
      <c r="M20" s="51">
        <v>40</v>
      </c>
      <c r="N20" s="51">
        <v>584.70000000000005</v>
      </c>
      <c r="O20" s="51">
        <v>0</v>
      </c>
      <c r="P20" s="51">
        <v>0.97</v>
      </c>
      <c r="Q20" s="51">
        <v>32.229999999999997</v>
      </c>
      <c r="R20" s="43"/>
      <c r="S20" s="43"/>
      <c r="T20" s="43"/>
      <c r="U20" s="43"/>
    </row>
    <row r="21" spans="1:21" s="11" customFormat="1" ht="15">
      <c r="A21" s="50" t="s">
        <v>795</v>
      </c>
      <c r="B21" s="51">
        <v>4.1900000000000004</v>
      </c>
      <c r="C21" s="51">
        <v>92.47</v>
      </c>
      <c r="D21" s="51">
        <v>54.16</v>
      </c>
      <c r="E21" s="51">
        <v>8.4600000000000009</v>
      </c>
      <c r="F21" s="51">
        <v>8.43</v>
      </c>
      <c r="G21" s="51">
        <v>75.92</v>
      </c>
      <c r="H21" s="51">
        <v>39.15</v>
      </c>
      <c r="I21" s="51">
        <v>0.59</v>
      </c>
      <c r="J21" s="51">
        <v>1.48</v>
      </c>
      <c r="K21" s="51">
        <v>136.25</v>
      </c>
      <c r="L21" s="51">
        <v>29.18</v>
      </c>
      <c r="M21" s="51">
        <v>38</v>
      </c>
      <c r="N21" s="51">
        <v>590.90</v>
      </c>
      <c r="O21" s="51">
        <v>0</v>
      </c>
      <c r="P21" s="51">
        <v>0.95</v>
      </c>
      <c r="Q21" s="51">
        <v>31.82</v>
      </c>
      <c r="R21" s="43"/>
      <c r="S21" s="43"/>
      <c r="T21" s="43"/>
      <c r="U21" s="43"/>
    </row>
    <row r="22" spans="1:21" s="11" customFormat="1" ht="15">
      <c r="A22" s="50" t="s">
        <v>796</v>
      </c>
      <c r="B22" s="51">
        <v>5.96</v>
      </c>
      <c r="C22" s="51">
        <v>79.20</v>
      </c>
      <c r="D22" s="51">
        <v>48.41</v>
      </c>
      <c r="E22" s="51">
        <v>11.18</v>
      </c>
      <c r="F22" s="51">
        <v>10.98</v>
      </c>
      <c r="G22" s="51">
        <v>72.849999999999994</v>
      </c>
      <c r="H22" s="51">
        <v>35.840000000000003</v>
      </c>
      <c r="I22" s="51">
        <v>0.59</v>
      </c>
      <c r="J22" s="51">
        <v>0.87</v>
      </c>
      <c r="K22" s="51">
        <v>130.21</v>
      </c>
      <c r="L22" s="51">
        <v>31.58</v>
      </c>
      <c r="M22" s="51">
        <v>35</v>
      </c>
      <c r="N22" s="51">
        <v>533.60</v>
      </c>
      <c r="O22" s="51">
        <v>0</v>
      </c>
      <c r="P22" s="51">
        <v>0.82</v>
      </c>
      <c r="Q22" s="51">
        <v>30.07</v>
      </c>
      <c r="R22" s="43"/>
      <c r="S22" s="43"/>
      <c r="T22" s="43"/>
      <c r="U22" s="43"/>
    </row>
    <row r="23" spans="1:21" s="11" customFormat="1" ht="15">
      <c r="A23" s="50" t="s">
        <v>797</v>
      </c>
      <c r="B23" s="51">
        <v>5.84</v>
      </c>
      <c r="C23" s="51">
        <v>88.63</v>
      </c>
      <c r="D23" s="51">
        <v>52.32</v>
      </c>
      <c r="E23" s="51">
        <v>9.64</v>
      </c>
      <c r="F23" s="51">
        <v>10.37</v>
      </c>
      <c r="G23" s="51">
        <v>69.069999999999993</v>
      </c>
      <c r="H23" s="51">
        <v>33.44</v>
      </c>
      <c r="I23" s="51">
        <v>0.64</v>
      </c>
      <c r="J23" s="51">
        <v>0.77</v>
      </c>
      <c r="K23" s="51">
        <v>123.91</v>
      </c>
      <c r="L23" s="51">
        <v>32.270000000000003</v>
      </c>
      <c r="M23" s="51">
        <v>31</v>
      </c>
      <c r="N23" s="51">
        <v>428.90</v>
      </c>
      <c r="O23" s="51">
        <v>0</v>
      </c>
      <c r="P23" s="51">
        <v>0.80</v>
      </c>
      <c r="Q23" s="51">
        <v>32.799999999999997</v>
      </c>
      <c r="R23" s="43"/>
      <c r="S23" s="43"/>
      <c r="T23" s="43"/>
      <c r="U23" s="43"/>
    </row>
    <row r="24" spans="1:21" s="11" customFormat="1" ht="15">
      <c r="A24" s="50" t="s">
        <v>798</v>
      </c>
      <c r="B24" s="51">
        <v>4.01</v>
      </c>
      <c r="C24" s="51">
        <v>94.5</v>
      </c>
      <c r="D24" s="51">
        <v>54.96</v>
      </c>
      <c r="E24" s="51">
        <v>10.74</v>
      </c>
      <c r="F24" s="51">
        <v>19.5</v>
      </c>
      <c r="G24" s="51">
        <v>69.069999999999993</v>
      </c>
      <c r="H24" s="51">
        <v>33.369999999999997</v>
      </c>
      <c r="I24" s="51">
        <v>0.56999999999999995</v>
      </c>
      <c r="J24" s="51">
        <v>0.92</v>
      </c>
      <c r="K24" s="51">
        <v>110.39</v>
      </c>
      <c r="L24" s="51">
        <v>32</v>
      </c>
      <c r="M24" s="51">
        <v>28</v>
      </c>
      <c r="N24" s="51">
        <v>202.10</v>
      </c>
      <c r="O24" s="51">
        <v>0</v>
      </c>
      <c r="P24" s="51">
        <v>0.80</v>
      </c>
      <c r="Q24" s="51">
        <v>32.97</v>
      </c>
      <c r="R24" s="43"/>
      <c r="S24" s="43"/>
      <c r="T24" s="43"/>
      <c r="U24" s="43"/>
    </row>
    <row r="25" spans="1:21" s="11" customFormat="1" ht="15">
      <c r="A25" s="50" t="s">
        <v>799</v>
      </c>
      <c r="B25" s="51">
        <v>9.34</v>
      </c>
      <c r="C25" s="51">
        <v>89.54</v>
      </c>
      <c r="D25" s="51">
        <v>57.32</v>
      </c>
      <c r="E25" s="51">
        <v>15.95</v>
      </c>
      <c r="F25" s="51">
        <v>23.25</v>
      </c>
      <c r="G25" s="51">
        <v>61.84</v>
      </c>
      <c r="H25" s="51">
        <v>32.229999999999997</v>
      </c>
      <c r="I25" s="51">
        <v>0.56000000000000005</v>
      </c>
      <c r="J25" s="51">
        <v>0.66</v>
      </c>
      <c r="K25" s="51">
        <v>87.72</v>
      </c>
      <c r="L25" s="51">
        <v>30.23</v>
      </c>
      <c r="M25" s="51">
        <v>29</v>
      </c>
      <c r="N25" s="51">
        <v>107.70</v>
      </c>
      <c r="O25" s="51">
        <v>0</v>
      </c>
      <c r="P25" s="51">
        <v>0.80</v>
      </c>
      <c r="Q25" s="51">
        <v>32.79</v>
      </c>
      <c r="R25" s="43"/>
      <c r="S25" s="43"/>
      <c r="T25" s="43"/>
      <c r="U25" s="43"/>
    </row>
    <row r="26" spans="1:21" s="11" customFormat="1" ht="15">
      <c r="A26" s="50" t="s">
        <v>800</v>
      </c>
      <c r="B26" s="51">
        <v>20.75</v>
      </c>
      <c r="C26" s="51">
        <v>117.77</v>
      </c>
      <c r="D26" s="51">
        <v>82.05</v>
      </c>
      <c r="E26" s="51">
        <v>19.82</v>
      </c>
      <c r="F26" s="51">
        <v>16.88</v>
      </c>
      <c r="G26" s="51">
        <v>59.98</v>
      </c>
      <c r="H26" s="51">
        <v>31.53</v>
      </c>
      <c r="I26" s="8" t="s">
        <v>8</v>
      </c>
      <c r="J26" s="51">
        <v>1.22</v>
      </c>
      <c r="K26" s="51">
        <v>54.09</v>
      </c>
      <c r="L26" s="51">
        <v>28.91</v>
      </c>
      <c r="M26" s="51">
        <v>36</v>
      </c>
      <c r="N26" s="51">
        <v>28.60</v>
      </c>
      <c r="O26" s="51">
        <v>0</v>
      </c>
      <c r="P26" s="51">
        <v>1.24</v>
      </c>
      <c r="Q26" s="51">
        <v>37.01</v>
      </c>
      <c r="R26" s="43"/>
      <c r="S26" s="43"/>
      <c r="T26" s="43"/>
      <c r="U26" s="43"/>
    </row>
    <row r="27" spans="1:21" s="11" customFormat="1" ht="15">
      <c r="A27" s="50" t="s">
        <v>801</v>
      </c>
      <c r="B27" s="51">
        <v>16.96</v>
      </c>
      <c r="C27" s="51">
        <v>112.18</v>
      </c>
      <c r="D27" s="51">
        <v>75.17</v>
      </c>
      <c r="E27" s="51">
        <v>8.85</v>
      </c>
      <c r="F27" s="51">
        <v>5.68</v>
      </c>
      <c r="G27" s="51">
        <v>72.22</v>
      </c>
      <c r="H27" s="51">
        <v>31.28</v>
      </c>
      <c r="I27" s="8" t="s">
        <v>8</v>
      </c>
      <c r="J27" s="51">
        <v>1.04</v>
      </c>
      <c r="K27" s="51">
        <v>15.58</v>
      </c>
      <c r="L27" s="51">
        <v>27.08</v>
      </c>
      <c r="M27" s="51">
        <v>40</v>
      </c>
      <c r="N27" s="51">
        <v>4.5</v>
      </c>
      <c r="O27" s="51">
        <v>0</v>
      </c>
      <c r="P27" s="51">
        <v>1.25</v>
      </c>
      <c r="Q27" s="51">
        <v>37.56</v>
      </c>
      <c r="R27" s="43"/>
      <c r="S27" s="43"/>
      <c r="T27" s="43"/>
      <c r="U27" s="43"/>
    </row>
    <row r="28" spans="1:21" s="11" customFormat="1" ht="15">
      <c r="A28" s="50" t="s">
        <v>802</v>
      </c>
      <c r="B28" s="51">
        <v>30.01</v>
      </c>
      <c r="C28" s="51">
        <v>124.52</v>
      </c>
      <c r="D28" s="51">
        <v>93.20</v>
      </c>
      <c r="E28" s="51">
        <v>29.64</v>
      </c>
      <c r="F28" s="51">
        <v>5.55</v>
      </c>
      <c r="G28" s="51">
        <v>89.5</v>
      </c>
      <c r="H28" s="51">
        <v>36.729999999999997</v>
      </c>
      <c r="I28" s="8" t="s">
        <v>8</v>
      </c>
      <c r="J28" s="51">
        <v>0.48</v>
      </c>
      <c r="K28" s="51">
        <v>19.489999999999998</v>
      </c>
      <c r="L28" s="51">
        <v>25.68</v>
      </c>
      <c r="M28" s="51">
        <v>44</v>
      </c>
      <c r="N28" s="51">
        <v>4.5999999999999996</v>
      </c>
      <c r="O28" s="51">
        <v>0</v>
      </c>
      <c r="P28" s="51">
        <v>2.0299999999999998</v>
      </c>
      <c r="Q28" s="51">
        <v>37.28</v>
      </c>
      <c r="R28" s="43"/>
      <c r="S28" s="43"/>
      <c r="T28" s="43"/>
      <c r="U28" s="43"/>
    </row>
    <row r="29" spans="1:21" s="11" customFormat="1" ht="15">
      <c r="A29" s="50" t="s">
        <v>803</v>
      </c>
      <c r="B29" s="51">
        <v>40.200000000000003</v>
      </c>
      <c r="C29" s="51">
        <v>125.86</v>
      </c>
      <c r="D29" s="51">
        <v>102.11</v>
      </c>
      <c r="E29" s="51">
        <v>24.32</v>
      </c>
      <c r="F29" s="51">
        <v>5.25</v>
      </c>
      <c r="G29" s="51">
        <v>177.08</v>
      </c>
      <c r="H29" s="51">
        <v>51.09</v>
      </c>
      <c r="I29" s="8" t="s">
        <v>8</v>
      </c>
      <c r="J29" s="51">
        <v>0.34</v>
      </c>
      <c r="K29" s="51">
        <v>84.45</v>
      </c>
      <c r="L29" s="51">
        <v>24.99</v>
      </c>
      <c r="M29" s="51">
        <v>43</v>
      </c>
      <c r="N29" s="51">
        <v>4.5</v>
      </c>
      <c r="O29" s="51">
        <v>0</v>
      </c>
      <c r="P29" s="51">
        <v>2.36</v>
      </c>
      <c r="Q29" s="51">
        <v>37.94</v>
      </c>
      <c r="R29" s="43"/>
      <c r="S29" s="43"/>
      <c r="T29" s="43"/>
      <c r="U29" s="43"/>
    </row>
    <row r="30" spans="1:21" s="11" customFormat="1" ht="15">
      <c r="A30" s="50" t="s">
        <v>804</v>
      </c>
      <c r="B30" s="51">
        <v>36.68</v>
      </c>
      <c r="C30" s="51">
        <v>121.49</v>
      </c>
      <c r="D30" s="51">
        <v>96.14</v>
      </c>
      <c r="E30" s="51">
        <v>14.09</v>
      </c>
      <c r="F30" s="51">
        <v>4.3099999999999996</v>
      </c>
      <c r="G30" s="51">
        <v>177.08</v>
      </c>
      <c r="H30" s="51">
        <v>53.61</v>
      </c>
      <c r="I30" s="8" t="s">
        <v>8</v>
      </c>
      <c r="J30" s="51">
        <v>0.56000000000000005</v>
      </c>
      <c r="K30" s="51">
        <v>78.400000000000006</v>
      </c>
      <c r="L30" s="51">
        <v>24.37</v>
      </c>
      <c r="M30" s="51">
        <v>45</v>
      </c>
      <c r="N30" s="51">
        <v>4.4000000000000004</v>
      </c>
      <c r="O30" s="51">
        <v>0</v>
      </c>
      <c r="P30" s="51">
        <v>2.27</v>
      </c>
      <c r="Q30" s="51">
        <v>40.700000000000003</v>
      </c>
      <c r="R30" s="43"/>
      <c r="S30" s="43"/>
      <c r="T30" s="43"/>
      <c r="U30" s="43"/>
    </row>
    <row r="31" spans="1:21" s="11" customFormat="1" ht="15">
      <c r="A31" s="50" t="s">
        <v>805</v>
      </c>
      <c r="B31" s="51">
        <v>36.83</v>
      </c>
      <c r="C31" s="51">
        <v>120.47</v>
      </c>
      <c r="D31" s="51">
        <v>96.43</v>
      </c>
      <c r="E31" s="51">
        <v>9</v>
      </c>
      <c r="F31" s="51">
        <v>6.61</v>
      </c>
      <c r="G31" s="51">
        <v>152.44</v>
      </c>
      <c r="H31" s="51">
        <v>59.90</v>
      </c>
      <c r="I31" s="8" t="s">
        <v>8</v>
      </c>
      <c r="J31" s="51">
        <v>1.31</v>
      </c>
      <c r="K31" s="51">
        <v>28.27</v>
      </c>
      <c r="L31" s="51">
        <v>24.39</v>
      </c>
      <c r="M31" s="51">
        <v>49</v>
      </c>
      <c r="N31" s="51">
        <v>5.0999999999999996</v>
      </c>
      <c r="O31" s="51">
        <v>0</v>
      </c>
      <c r="P31" s="51">
        <v>2.31</v>
      </c>
      <c r="Q31" s="51">
        <v>40.47</v>
      </c>
      <c r="R31" s="43"/>
      <c r="S31" s="43"/>
      <c r="T31" s="43"/>
      <c r="U31" s="43"/>
    </row>
    <row r="32" spans="1:21" s="11" customFormat="1" ht="15">
      <c r="A32" s="50" t="s">
        <v>806</v>
      </c>
      <c r="B32" s="51">
        <v>23.17</v>
      </c>
      <c r="C32" s="51">
        <v>100.59</v>
      </c>
      <c r="D32" s="51">
        <v>74.510000000000005</v>
      </c>
      <c r="E32" s="51">
        <v>8.8699999999999992</v>
      </c>
      <c r="F32" s="51">
        <v>7.76</v>
      </c>
      <c r="G32" s="51">
        <v>152.44</v>
      </c>
      <c r="H32" s="51">
        <v>59.90</v>
      </c>
      <c r="I32" s="8" t="s">
        <v>8</v>
      </c>
      <c r="J32" s="51">
        <v>1.71</v>
      </c>
      <c r="K32" s="51">
        <v>19.649999999999999</v>
      </c>
      <c r="L32" s="51">
        <v>22.74</v>
      </c>
      <c r="M32" s="51">
        <v>53</v>
      </c>
      <c r="N32" s="51">
        <v>4.5999999999999996</v>
      </c>
      <c r="O32" s="51">
        <v>0</v>
      </c>
      <c r="P32" s="51">
        <v>1.78</v>
      </c>
      <c r="Q32" s="51">
        <v>35.659999999999997</v>
      </c>
      <c r="R32" s="43"/>
      <c r="S32" s="43"/>
      <c r="T32" s="43"/>
      <c r="U32" s="43"/>
    </row>
    <row r="33" spans="1:21" s="21" customFormat="1" ht="15">
      <c r="A33" s="26"/>
      <c r="B33" s="20"/>
      <c r="C33" s="20"/>
      <c r="D33" s="20"/>
      <c r="E33" s="20"/>
      <c r="F33" s="20"/>
      <c r="G33" s="26"/>
      <c r="H33" s="26"/>
      <c r="I33" s="26"/>
      <c r="J33" s="20"/>
      <c r="K33" s="20"/>
      <c r="L33" s="26"/>
      <c r="M33" s="26"/>
      <c r="N33" s="26"/>
      <c r="O33" s="26"/>
      <c r="P33" s="26"/>
      <c r="Q33" s="20"/>
      <c r="R33" s="20"/>
      <c r="S33" s="20"/>
      <c r="T33" s="20"/>
      <c r="U33" s="20"/>
    </row>
    <row r="34" spans="1:21" s="21" customFormat="1" ht="15">
      <c r="A34" s="27" t="s">
        <v>30</v>
      </c>
      <c r="B34" s="28">
        <f t="shared" si="0" ref="B34:Q34">MIN(B9:B32)</f>
        <v>4.0099999999999998</v>
      </c>
      <c r="C34" s="28">
        <f t="shared" si="0"/>
        <v>79.200000000000003</v>
      </c>
      <c r="D34" s="28">
        <f t="shared" si="0"/>
        <v>48.409999999999997</v>
      </c>
      <c r="E34" s="28">
        <f t="shared" si="0"/>
        <v>4.96</v>
      </c>
      <c r="F34" s="28">
        <f t="shared" si="0"/>
        <v>3.7999999999999998</v>
      </c>
      <c r="G34" s="28">
        <f t="shared" si="0"/>
        <v>59.979999999999997</v>
      </c>
      <c r="H34" s="28">
        <f t="shared" si="0"/>
        <v>31.280000000000001</v>
      </c>
      <c r="I34" s="28">
        <f t="shared" si="0"/>
        <v>0.56000000000000005</v>
      </c>
      <c r="J34" s="28">
        <f t="shared" si="0"/>
        <v>0.28999999999999998</v>
      </c>
      <c r="K34" s="28">
        <f t="shared" si="0"/>
        <v>15.58</v>
      </c>
      <c r="L34" s="28">
        <f t="shared" si="0"/>
        <v>20.870000000000001</v>
      </c>
      <c r="M34" s="28">
        <f t="shared" si="0"/>
        <v>28</v>
      </c>
      <c r="N34" s="28">
        <f t="shared" si="0"/>
        <v>4.4000000000000004</v>
      </c>
      <c r="O34" s="28">
        <f t="shared" si="0"/>
        <v>0</v>
      </c>
      <c r="P34" s="28">
        <f t="shared" si="0"/>
        <v>0.80000000000000004</v>
      </c>
      <c r="Q34" s="28">
        <f t="shared" si="0"/>
        <v>28.780000000000001</v>
      </c>
      <c r="R34" s="28"/>
      <c r="S34" s="28"/>
      <c r="T34" s="28"/>
      <c r="U34" s="28"/>
    </row>
    <row r="35" spans="1:21" s="21" customFormat="1" ht="15">
      <c r="A35" s="27" t="s">
        <v>31</v>
      </c>
      <c r="B35" s="29">
        <f t="shared" si="1" ref="B35:Q35">MAX(B9:B32)</f>
        <v>40.200000000000003</v>
      </c>
      <c r="C35" s="29">
        <f t="shared" si="1"/>
        <v>125.86</v>
      </c>
      <c r="D35" s="29">
        <f t="shared" si="1"/>
        <v>102.11</v>
      </c>
      <c r="E35" s="29">
        <f t="shared" si="1"/>
        <v>29.640000000000001</v>
      </c>
      <c r="F35" s="29">
        <f t="shared" si="1"/>
        <v>23.25</v>
      </c>
      <c r="G35" s="29">
        <f t="shared" si="1"/>
        <v>177.08000000000001</v>
      </c>
      <c r="H35" s="29">
        <f t="shared" si="1"/>
        <v>59.899999999999999</v>
      </c>
      <c r="I35" s="29">
        <f t="shared" si="1"/>
        <v>0.81000000000000005</v>
      </c>
      <c r="J35" s="29">
        <f t="shared" si="1"/>
        <v>1.77</v>
      </c>
      <c r="K35" s="29">
        <f t="shared" si="1"/>
        <v>140.77000000000001</v>
      </c>
      <c r="L35" s="29">
        <f t="shared" si="1"/>
        <v>32.270000000000003</v>
      </c>
      <c r="M35" s="29">
        <f t="shared" si="1"/>
        <v>66</v>
      </c>
      <c r="N35" s="29">
        <f t="shared" si="1"/>
        <v>590.89999999999998</v>
      </c>
      <c r="O35" s="29">
        <f t="shared" si="1"/>
        <v>0</v>
      </c>
      <c r="P35" s="29">
        <f t="shared" si="1"/>
        <v>2.3599999999999999</v>
      </c>
      <c r="Q35" s="29">
        <f t="shared" si="1"/>
        <v>41.329999999999998</v>
      </c>
      <c r="R35" s="29"/>
      <c r="S35" s="29"/>
      <c r="T35" s="29"/>
      <c r="U35" s="29"/>
    </row>
    <row r="36" spans="1:21" s="21" customFormat="1" ht="15">
      <c r="A36" s="27" t="s">
        <v>32</v>
      </c>
      <c r="B36" s="28">
        <f t="shared" si="2" ref="B36:Q36">AVERAGE(B9:B32)</f>
        <v>15.182500000000003</v>
      </c>
      <c r="C36" s="28">
        <f t="shared" si="2"/>
        <v>97.461249999999993</v>
      </c>
      <c r="D36" s="28">
        <f t="shared" si="2"/>
        <v>65.944166666666675</v>
      </c>
      <c r="E36" s="28">
        <f t="shared" si="2"/>
        <v>10.205416666666666</v>
      </c>
      <c r="F36" s="28">
        <f t="shared" si="2"/>
        <v>8.2675000000000001</v>
      </c>
      <c r="G36" s="28">
        <f t="shared" si="2"/>
        <v>92.860416666666652</v>
      </c>
      <c r="H36" s="28">
        <f t="shared" si="2"/>
        <v>42.022916666666667</v>
      </c>
      <c r="I36" s="28">
        <f t="shared" si="2"/>
        <v>0.64647058823529424</v>
      </c>
      <c r="J36" s="28">
        <f t="shared" si="2"/>
        <v>1.0029166666666665</v>
      </c>
      <c r="K36" s="28">
        <f t="shared" si="2"/>
        <v>70.63333333333334</v>
      </c>
      <c r="L36" s="28">
        <f t="shared" si="2"/>
        <v>25.910416666666666</v>
      </c>
      <c r="M36" s="28">
        <f t="shared" si="2"/>
        <v>48.958333333333336</v>
      </c>
      <c r="N36" s="28">
        <f t="shared" si="2"/>
        <v>163.57916666666665</v>
      </c>
      <c r="O36" s="28">
        <f t="shared" si="2"/>
        <v>0</v>
      </c>
      <c r="P36" s="28">
        <f t="shared" si="2"/>
        <v>1.2725</v>
      </c>
      <c r="Q36" s="28">
        <f t="shared" si="2"/>
        <v>35.213749999999997</v>
      </c>
      <c r="R36" s="28"/>
      <c r="S36" s="28"/>
      <c r="T36" s="28"/>
      <c r="U36" s="28"/>
    </row>
    <row r="37" spans="1:21" s="21" customFormat="1" ht="15">
      <c r="A37" s="27" t="s">
        <v>38</v>
      </c>
      <c r="B37" s="28">
        <f>STDEV(B9:B32)</f>
        <v>10.917539637625797</v>
      </c>
      <c r="C37" s="28">
        <f t="shared" si="3" ref="C37:Q37">STDEV(C9:C32)</f>
        <v>14.898934106170289</v>
      </c>
      <c r="D37" s="28">
        <f t="shared" si="3"/>
        <v>16.566525420037582</v>
      </c>
      <c r="E37" s="28">
        <f t="shared" si="3"/>
        <v>6.36466535147229</v>
      </c>
      <c r="F37" s="28">
        <f t="shared" si="3"/>
        <v>4.8967338271457086</v>
      </c>
      <c r="G37" s="28">
        <f t="shared" si="3"/>
        <v>34.926629242651337</v>
      </c>
      <c r="H37" s="28">
        <f t="shared" si="3"/>
        <v>8.2839485854673374</v>
      </c>
      <c r="I37" s="28">
        <f t="shared" si="3"/>
        <v>0.07236549388957475</v>
      </c>
      <c r="J37" s="28">
        <f t="shared" si="3"/>
        <v>0.41121748362707067</v>
      </c>
      <c r="K37" s="28">
        <f t="shared" si="3"/>
        <v>40.658028103627451</v>
      </c>
      <c r="L37" s="28">
        <f t="shared" si="3"/>
        <v>3.5864230444306164</v>
      </c>
      <c r="M37" s="28">
        <f t="shared" si="3"/>
        <v>12.946307738423767</v>
      </c>
      <c r="N37" s="28">
        <f t="shared" si="3"/>
        <v>220.9668733369752</v>
      </c>
      <c r="O37" s="28">
        <f t="shared" si="3"/>
        <v>0</v>
      </c>
      <c r="P37" s="28">
        <f t="shared" si="3"/>
        <v>0.51645320508588033</v>
      </c>
      <c r="Q37" s="28">
        <f t="shared" si="3"/>
        <v>3.6834858401767483</v>
      </c>
      <c r="R37" s="28"/>
      <c r="S37" s="28"/>
      <c r="T37" s="28"/>
      <c r="U37" s="28"/>
    </row>
    <row r="38" spans="1:21" s="21" customFormat="1" ht="15">
      <c r="A38" s="31" t="s">
        <v>33</v>
      </c>
      <c r="B38" s="32">
        <f t="shared" si="4" ref="B38:Q38">COUNT(B9:B32)</f>
        <v>24</v>
      </c>
      <c r="C38" s="32">
        <f t="shared" si="4"/>
        <v>24</v>
      </c>
      <c r="D38" s="32">
        <f t="shared" si="4"/>
        <v>24</v>
      </c>
      <c r="E38" s="32">
        <f t="shared" si="4"/>
        <v>24</v>
      </c>
      <c r="F38" s="32">
        <f t="shared" si="4"/>
        <v>24</v>
      </c>
      <c r="G38" s="32">
        <f t="shared" si="4"/>
        <v>24</v>
      </c>
      <c r="H38" s="32">
        <f t="shared" si="4"/>
        <v>24</v>
      </c>
      <c r="I38" s="32">
        <f>COUNT(I9:I32)+7</f>
        <v>24</v>
      </c>
      <c r="J38" s="32">
        <f t="shared" si="4"/>
        <v>24</v>
      </c>
      <c r="K38" s="32">
        <f t="shared" si="4"/>
        <v>24</v>
      </c>
      <c r="L38" s="32">
        <f t="shared" si="4"/>
        <v>24</v>
      </c>
      <c r="M38" s="32">
        <f t="shared" si="4"/>
        <v>24</v>
      </c>
      <c r="N38" s="32">
        <f t="shared" si="4"/>
        <v>24</v>
      </c>
      <c r="O38" s="32">
        <f t="shared" si="4"/>
        <v>24</v>
      </c>
      <c r="P38" s="32">
        <f t="shared" si="4"/>
        <v>24</v>
      </c>
      <c r="Q38" s="32">
        <f t="shared" si="4"/>
        <v>24</v>
      </c>
      <c r="R38" s="32"/>
      <c r="S38" s="32"/>
      <c r="T38" s="32"/>
      <c r="U38" s="32"/>
    </row>
    <row r="39" spans="1:21" s="21" customFormat="1" ht="15">
      <c r="A39" s="27" t="s">
        <v>34</v>
      </c>
      <c r="B39" s="29" t="str">
        <f>IF(B38&gt;=22,"&gt;90%",IF(B38&lt;=22,"&lt;90%"))</f>
        <v>&gt;90%</v>
      </c>
      <c r="C39" s="29" t="str">
        <f t="shared" si="5" ref="C39:P39">IF(C38&gt;=22,"&gt;90%",IF(C38&lt;=22,"&lt;90%"))</f>
        <v>&gt;90%</v>
      </c>
      <c r="D39" s="29" t="str">
        <f t="shared" si="5"/>
        <v>&gt;90%</v>
      </c>
      <c r="E39" s="29" t="str">
        <f t="shared" si="5"/>
        <v>&gt;90%</v>
      </c>
      <c r="F39" s="29" t="str">
        <f t="shared" si="5"/>
        <v>&gt;90%</v>
      </c>
      <c r="G39" s="29" t="str">
        <f t="shared" si="5"/>
        <v>&gt;90%</v>
      </c>
      <c r="H39" s="29" t="str">
        <f t="shared" si="5"/>
        <v>&gt;90%</v>
      </c>
      <c r="I39" s="29" t="str">
        <f t="shared" si="5"/>
        <v>&gt;90%</v>
      </c>
      <c r="J39" s="29" t="str">
        <f t="shared" si="5"/>
        <v>&gt;90%</v>
      </c>
      <c r="K39" s="29" t="str">
        <f t="shared" si="5"/>
        <v>&gt;90%</v>
      </c>
      <c r="L39" s="29" t="str">
        <f t="shared" si="5"/>
        <v>&gt;90%</v>
      </c>
      <c r="M39" s="29" t="str">
        <f t="shared" si="5"/>
        <v>&gt;90%</v>
      </c>
      <c r="N39" s="29" t="str">
        <f t="shared" si="5"/>
        <v>&gt;90%</v>
      </c>
      <c r="O39" s="29" t="str">
        <f t="shared" si="5"/>
        <v>&gt;90%</v>
      </c>
      <c r="P39" s="29" t="str">
        <f t="shared" si="5"/>
        <v>&gt;90%</v>
      </c>
      <c r="Q39" s="29" t="str">
        <f>IF(Q38&gt;=22,"&gt;90%",IF(Q38&lt;=22,"&lt;90%"))</f>
        <v>&gt;90%</v>
      </c>
      <c r="R39" s="29"/>
      <c r="S39" s="29"/>
      <c r="T39" s="29"/>
      <c r="U39" s="29"/>
    </row>
    <row r="40" spans="1:21" s="21" customFormat="1" ht="15">
      <c r="A40" s="27" t="s">
        <v>1</v>
      </c>
      <c r="B40" s="29" t="str">
        <f>IF(B38&gt;=22,"OK",IF(B38&lt;=22,"LESS"))</f>
        <v>OK</v>
      </c>
      <c r="C40" s="29" t="str">
        <f t="shared" si="6" ref="C40:Q40">IF(C38&gt;=22,"OK",IF(C38&lt;=22,"LESS"))</f>
        <v>OK</v>
      </c>
      <c r="D40" s="29" t="str">
        <f t="shared" si="6"/>
        <v>OK</v>
      </c>
      <c r="E40" s="29" t="str">
        <f t="shared" si="6"/>
        <v>OK</v>
      </c>
      <c r="F40" s="29" t="str">
        <f t="shared" si="6"/>
        <v>OK</v>
      </c>
      <c r="G40" s="29" t="str">
        <f t="shared" si="6"/>
        <v>OK</v>
      </c>
      <c r="H40" s="29" t="str">
        <f t="shared" si="6"/>
        <v>OK</v>
      </c>
      <c r="I40" s="29" t="str">
        <f t="shared" si="6"/>
        <v>OK</v>
      </c>
      <c r="J40" s="29" t="str">
        <f t="shared" si="6"/>
        <v>OK</v>
      </c>
      <c r="K40" s="29" t="str">
        <f t="shared" si="6"/>
        <v>OK</v>
      </c>
      <c r="L40" s="29" t="str">
        <f t="shared" si="6"/>
        <v>OK</v>
      </c>
      <c r="M40" s="29" t="str">
        <f t="shared" si="6"/>
        <v>OK</v>
      </c>
      <c r="N40" s="29" t="str">
        <f t="shared" si="6"/>
        <v>OK</v>
      </c>
      <c r="O40" s="29" t="str">
        <f t="shared" si="6"/>
        <v>OK</v>
      </c>
      <c r="P40" s="29" t="str">
        <f t="shared" si="6"/>
        <v>OK</v>
      </c>
      <c r="Q40" s="29" t="str">
        <f t="shared" si="6"/>
        <v>OK</v>
      </c>
      <c r="R40" s="29"/>
      <c r="S40" s="29"/>
      <c r="T40" s="29"/>
      <c r="U40" s="29"/>
    </row>
    <row r="41" spans="1:21" s="21" customFormat="1" ht="15">
      <c r="A41" s="13"/>
      <c r="L41" s="13"/>
      <c r="N41" s="16"/>
      <c r="O41" s="16"/>
      <c r="P41" s="16"/>
      <c r="Q41" s="16"/>
      <c r="R41" s="16"/>
      <c r="S41" s="16"/>
      <c r="T41" s="16"/>
      <c r="U41" s="16"/>
    </row>
    <row r="42" spans="1:1" s="21" customFormat="1" ht="15">
      <c r="A42" s="13"/>
    </row>
    <row r="43" spans="1:3" s="21" customFormat="1" ht="15">
      <c r="A43" s="14" t="s">
        <v>35</v>
      </c>
      <c r="B43" s="40" t="s">
        <v>41</v>
      </c>
      <c r="C43" s="42"/>
    </row>
    <row r="44" spans="1:9" s="21" customFormat="1" ht="15">
      <c r="A44" s="13"/>
      <c r="D44" s="1"/>
      <c r="E44" s="1"/>
      <c r="F44" s="1"/>
      <c r="G44" s="1"/>
      <c r="H44" s="1"/>
      <c r="I44" s="1"/>
    </row>
    <row r="45" spans="1:21" s="21" customFormat="1" ht="15.75">
      <c r="A45" s="17" t="s">
        <v>36</v>
      </c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</row>
    <row r="46" s="21" customFormat="1" ht="15"/>
    <row r="47" s="21" customFormat="1" ht="15"/>
    <row r="48" s="21" customFormat="1" ht="15"/>
    <row r="49" s="21" customFormat="1" ht="15"/>
    <row r="50" s="21" customFormat="1" ht="15"/>
    <row r="51" s="21" customFormat="1" ht="15"/>
    <row r="52" s="21" customFormat="1" ht="15"/>
    <row r="53" s="21" customFormat="1" ht="15"/>
    <row r="54" s="21" customFormat="1" ht="15"/>
    <row r="55" s="21" customFormat="1" ht="15"/>
    <row r="56" s="21" customFormat="1" ht="15"/>
    <row r="57" s="21" customFormat="1" ht="15"/>
    <row r="58" s="21" customFormat="1" ht="15"/>
    <row r="59" s="21" customFormat="1" ht="15"/>
    <row r="60" s="21" customFormat="1" ht="15"/>
    <row r="61" s="21" customFormat="1" ht="15"/>
    <row r="62" s="21" customFormat="1" ht="15"/>
    <row r="63" s="21" customFormat="1" ht="15"/>
    <row r="64" s="21" customFormat="1" ht="15"/>
    <row r="65" s="21" customFormat="1" ht="15"/>
    <row r="66" s="21" customFormat="1" ht="15"/>
    <row r="67" s="21" customFormat="1" ht="15"/>
    <row r="68" s="21" customFormat="1" ht="15"/>
    <row r="69" s="21" customFormat="1" ht="15"/>
    <row r="70" s="21" customFormat="1" ht="15"/>
    <row r="71" s="21" customFormat="1" ht="15"/>
    <row r="72" s="21" customFormat="1" ht="15"/>
    <row r="73" s="21" customFormat="1" ht="15"/>
    <row r="74" s="21" customFormat="1" ht="15"/>
    <row r="75" s="21" customFormat="1" ht="15"/>
    <row r="76" s="21" customFormat="1" ht="15"/>
    <row r="77" s="21" customFormat="1" ht="15"/>
    <row r="78" s="21" customFormat="1" ht="15"/>
    <row r="79" s="21" customFormat="1" ht="15"/>
    <row r="80" s="21" customFormat="1" ht="15"/>
    <row r="81" s="21" customFormat="1" ht="15"/>
    <row r="82" s="21" customFormat="1" ht="15"/>
    <row r="83" s="21" customFormat="1" ht="15"/>
    <row r="84" s="21" customFormat="1" ht="15"/>
    <row r="85" s="21" customFormat="1" ht="15"/>
    <row r="86" s="21" customFormat="1" ht="15"/>
    <row r="87" s="21" customFormat="1" ht="15"/>
    <row r="88" s="21" customFormat="1" ht="15"/>
    <row r="89" s="21" customFormat="1" ht="15"/>
    <row r="90" s="21" customFormat="1" ht="15"/>
    <row r="91" s="21" customFormat="1" ht="15"/>
    <row r="92" s="21" customFormat="1" ht="15"/>
    <row r="93" s="21" customFormat="1" ht="15"/>
    <row r="94" s="21" customFormat="1" ht="15"/>
    <row r="95" s="21" customFormat="1" ht="15"/>
    <row r="96" s="21" customFormat="1" ht="15"/>
    <row r="97" s="21" customFormat="1" ht="15"/>
    <row r="98" s="21" customFormat="1" ht="15"/>
    <row r="99" s="21" customFormat="1" ht="15"/>
    <row r="100" s="21" customFormat="1" ht="15"/>
    <row r="101" s="21" customFormat="1" ht="15"/>
    <row r="102" s="21" customFormat="1" ht="15"/>
    <row r="103" s="21" customFormat="1" ht="15"/>
    <row r="104" s="21" customFormat="1" ht="15"/>
    <row r="105" s="21" customFormat="1" ht="15"/>
    <row r="106" spans="1:1" ht="15">
      <c r="A106" s="20"/>
    </row>
    <row r="107" s="21" customFormat="1" ht="15"/>
    <row r="108" s="21" customFormat="1" ht="15"/>
    <row r="109" s="21" customFormat="1" ht="15"/>
    <row r="110" s="21" customFormat="1" ht="15"/>
    <row r="111" s="21" customFormat="1" ht="15"/>
    <row r="112" s="21" customFormat="1" ht="15"/>
    <row r="113" s="21" customFormat="1" ht="15"/>
    <row r="114" s="21" customFormat="1" ht="15"/>
    <row r="115" s="21" customFormat="1" ht="15"/>
    <row r="116" s="21" customFormat="1" ht="15"/>
    <row r="117" s="21" customFormat="1" ht="15"/>
    <row r="118" spans="1:1" ht="15">
      <c r="A118" s="20"/>
    </row>
    <row r="119" spans="1:1" ht="15">
      <c r="A119" s="20"/>
    </row>
  </sheetData>
  <sheetProtection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7d3bc98-d701-4188-98a7-62c9b374a667}">
  <sheetPr codeName=""/>
  <dimension ref="A1:X54"/>
  <sheetViews>
    <sheetView tabSelected="1" workbookViewId="0" topLeftCell="A1">
      <pane xSplit="1" ySplit="8" topLeftCell="B9" activePane="bottomRight" state="frozen"/>
      <selection pane="topLeft" activeCell="B2" sqref="B2"/>
      <selection pane="topRight" activeCell="B2" sqref="B2"/>
      <selection pane="bottomLeft" activeCell="B2" sqref="B2"/>
      <selection pane="bottomRight" activeCell="D9" sqref="D9"/>
    </sheetView>
  </sheetViews>
  <sheetFormatPr defaultColWidth="8.85881696428571" defaultRowHeight="15"/>
  <cols>
    <col min="1" max="1" width="17.4285714285714" style="11" customWidth="1"/>
    <col min="2" max="2" width="17.8571428571429" style="11" customWidth="1"/>
    <col min="3" max="3" width="9.85714285714286" style="11" customWidth="1"/>
    <col min="4" max="4" width="12.5714285714286" style="11" customWidth="1"/>
    <col min="5" max="5" width="9.71428571428571" style="11" customWidth="1"/>
    <col min="6" max="6" width="8.85714285714286" style="11"/>
    <col min="7" max="7" width="11.2857142857143" style="11" customWidth="1"/>
    <col min="8" max="8" width="12.4285714285714" style="11" customWidth="1"/>
    <col min="9" max="9" width="13" style="11" customWidth="1"/>
    <col min="10" max="10" width="8.85714285714286" style="11"/>
    <col min="11" max="11" width="9.71428571428571" style="11" customWidth="1"/>
    <col min="12" max="12" width="11" style="11" customWidth="1"/>
    <col min="13" max="13" width="10" style="11" customWidth="1"/>
    <col min="14" max="16" width="8.85714285714286" style="11"/>
    <col min="17" max="17" width="9.71428571428571" style="11" customWidth="1"/>
    <col min="18" max="18" width="8.85714285714286" style="11"/>
    <col min="19" max="19" width="12.1428571428571" style="11" customWidth="1"/>
    <col min="20" max="20" width="12.7142857142857" style="11" customWidth="1"/>
    <col min="21" max="16384" width="8.85714285714286" style="11"/>
  </cols>
  <sheetData>
    <row r="1" spans="1:21" s="21" customFormat="1" ht="27.75" customHeight="1">
      <c r="A1" s="14" t="s">
        <v>2</v>
      </c>
      <c r="B1" s="23" t="s">
        <v>42</v>
      </c>
      <c r="C1" s="2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21" s="21" customFormat="1" ht="15">
      <c r="A2" s="14" t="s">
        <v>0</v>
      </c>
      <c r="B2" s="38" t="str">
        <f>$A$9</f>
        <v>01-01-2023 01:00</v>
      </c>
      <c r="C2" s="11"/>
      <c r="D2" s="10" t="s">
        <v>3</v>
      </c>
      <c r="E2" s="10"/>
      <c r="F2" s="10"/>
      <c r="G2" s="3" t="s">
        <v>4</v>
      </c>
      <c r="H2" s="19"/>
      <c r="I2" s="19"/>
      <c r="J2" s="19"/>
      <c r="K2" s="12"/>
      <c r="L2" s="10" t="s">
        <v>5</v>
      </c>
      <c r="M2" s="12"/>
      <c r="N2" s="7" t="s">
        <v>6</v>
      </c>
      <c r="P2" s="39" t="s">
        <v>7</v>
      </c>
      <c r="Q2" s="12"/>
      <c r="R2" s="8" t="s">
        <v>8</v>
      </c>
      <c r="S2" s="11"/>
      <c r="T2" s="11"/>
      <c r="U2" s="11"/>
    </row>
    <row r="3" spans="1:21" s="21" customFormat="1" ht="15">
      <c r="A3" s="14" t="s">
        <v>9</v>
      </c>
      <c r="B3" s="12" t="s">
        <v>10</v>
      </c>
      <c r="C3" s="11"/>
      <c r="D3" s="10" t="s">
        <v>11</v>
      </c>
      <c r="E3" s="10"/>
      <c r="F3" s="10"/>
      <c r="G3" s="18" t="s">
        <v>12</v>
      </c>
      <c r="H3" s="19"/>
      <c r="I3" s="19"/>
      <c r="J3" s="19"/>
      <c r="K3" s="11"/>
      <c r="L3" s="10" t="s">
        <v>13</v>
      </c>
      <c r="M3" s="12"/>
      <c r="N3" s="5" t="s">
        <v>14</v>
      </c>
      <c r="O3" s="12"/>
      <c r="P3" s="39" t="s">
        <v>15</v>
      </c>
      <c r="Q3" s="12"/>
      <c r="R3" s="9" t="s">
        <v>15</v>
      </c>
      <c r="S3" s="11"/>
      <c r="T3" s="11"/>
      <c r="U3" s="11"/>
    </row>
    <row r="4" spans="1:21" s="21" customFormat="1" ht="15">
      <c r="A4" s="14" t="s">
        <v>16</v>
      </c>
      <c r="B4" s="12" t="s">
        <v>37</v>
      </c>
      <c r="C4" s="11"/>
      <c r="D4" s="10" t="s">
        <v>17</v>
      </c>
      <c r="E4" s="10"/>
      <c r="F4" s="10"/>
      <c r="G4" s="4" t="s">
        <v>18</v>
      </c>
      <c r="H4" s="19"/>
      <c r="I4" s="19"/>
      <c r="J4" s="19"/>
      <c r="K4" s="2"/>
      <c r="L4" s="10" t="s">
        <v>19</v>
      </c>
      <c r="M4" s="12"/>
      <c r="N4" s="6" t="s">
        <v>20</v>
      </c>
      <c r="O4" s="12"/>
      <c r="P4" s="12"/>
      <c r="Q4" s="12"/>
      <c r="R4" s="12"/>
      <c r="S4" s="11"/>
      <c r="T4" s="11"/>
      <c r="U4" s="11"/>
    </row>
    <row r="5" spans="1:21" s="21" customFormat="1" ht="15">
      <c r="A5" s="14"/>
      <c r="B5" s="12"/>
      <c r="C5" s="12"/>
      <c r="D5" s="12"/>
      <c r="E5" s="12"/>
      <c r="F5" s="12"/>
      <c r="G5" s="12"/>
      <c r="H5" s="14"/>
      <c r="I5" s="14"/>
      <c r="J5" s="14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</row>
    <row r="6" spans="1:21" s="21" customFormat="1" ht="15">
      <c r="A6" s="14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1"/>
    </row>
    <row r="7" spans="1:21" s="21" customFormat="1" ht="15">
      <c r="A7" s="25" t="s">
        <v>21</v>
      </c>
      <c r="B7" s="44" t="s">
        <v>58</v>
      </c>
      <c r="C7" s="44" t="s">
        <v>43</v>
      </c>
      <c r="D7" s="44" t="s">
        <v>44</v>
      </c>
      <c r="E7" s="44" t="s">
        <v>45</v>
      </c>
      <c r="F7" s="44" t="s">
        <v>46</v>
      </c>
      <c r="G7" s="44" t="s">
        <v>47</v>
      </c>
      <c r="H7" s="44" t="s">
        <v>48</v>
      </c>
      <c r="I7" s="44" t="s">
        <v>49</v>
      </c>
      <c r="J7" s="44" t="s">
        <v>50</v>
      </c>
      <c r="K7" s="44" t="s">
        <v>51</v>
      </c>
      <c r="L7" s="44" t="s">
        <v>52</v>
      </c>
      <c r="M7" s="44" t="s">
        <v>53</v>
      </c>
      <c r="N7" s="44" t="s">
        <v>54</v>
      </c>
      <c r="O7" s="44" t="s">
        <v>55</v>
      </c>
      <c r="P7" s="44" t="s">
        <v>56</v>
      </c>
      <c r="Q7" s="44" t="s">
        <v>57</v>
      </c>
      <c r="R7" s="27"/>
      <c r="S7" s="29"/>
      <c r="T7" s="27"/>
      <c r="U7" s="27"/>
    </row>
    <row r="8" spans="1:21" s="21" customFormat="1" ht="15">
      <c r="A8" s="25"/>
      <c r="B8" s="29" t="s">
        <v>22</v>
      </c>
      <c r="C8" s="29" t="s">
        <v>22</v>
      </c>
      <c r="D8" s="29" t="s">
        <v>613</v>
      </c>
      <c r="E8" s="29" t="s">
        <v>22</v>
      </c>
      <c r="F8" s="29" t="s">
        <v>22</v>
      </c>
      <c r="G8" s="29" t="s">
        <v>23</v>
      </c>
      <c r="H8" s="29" t="s">
        <v>22</v>
      </c>
      <c r="I8" s="29" t="s">
        <v>22</v>
      </c>
      <c r="J8" s="29" t="s">
        <v>24</v>
      </c>
      <c r="K8" s="29" t="s">
        <v>25</v>
      </c>
      <c r="L8" s="27" t="s">
        <v>27</v>
      </c>
      <c r="M8" s="29" t="s">
        <v>26</v>
      </c>
      <c r="N8" s="29" t="s">
        <v>28</v>
      </c>
      <c r="O8" s="27" t="s">
        <v>29</v>
      </c>
      <c r="P8" s="29" t="s">
        <v>22</v>
      </c>
      <c r="Q8" s="29" t="s">
        <v>22</v>
      </c>
      <c r="R8" s="27"/>
      <c r="S8" s="29"/>
      <c r="T8" s="27"/>
      <c r="U8" s="27"/>
    </row>
    <row r="9" spans="1:21" ht="15">
      <c r="A9" s="36" t="str">
        <f>'01'!$B$2</f>
        <v>01-01-2023 01:00</v>
      </c>
      <c r="B9" s="24">
        <f>'01'!B36</f>
        <v>11.988333333333335</v>
      </c>
      <c r="C9" s="24">
        <f>'01'!C36</f>
        <v>90.717499999999987</v>
      </c>
      <c r="D9" s="24">
        <f>'01'!D36</f>
        <v>59.514583333333327</v>
      </c>
      <c r="E9" s="24">
        <f>'01'!E36</f>
        <v>5.7554166666666662</v>
      </c>
      <c r="F9" s="24">
        <f>'01'!F36</f>
        <v>1.8712499999999999</v>
      </c>
      <c r="G9" s="24">
        <f>'01'!G36</f>
        <v>58.849166666666662</v>
      </c>
      <c r="H9" s="24">
        <f>'01'!H36</f>
        <v>29.020833333333329</v>
      </c>
      <c r="I9" s="24">
        <f>'01'!I36</f>
        <v>0.30000000000000004</v>
      </c>
      <c r="J9" s="24">
        <f>'01'!J36</f>
        <v>0.83791666666666675</v>
      </c>
      <c r="K9" s="24">
        <f>'01'!K36</f>
        <v>72.800416666666663</v>
      </c>
      <c r="L9" s="24">
        <f>'01'!L36</f>
        <v>23.032083333333336</v>
      </c>
      <c r="M9" s="24">
        <f>'01'!M36</f>
        <v>44.791666666666664</v>
      </c>
      <c r="N9" s="24">
        <f>'01'!N36</f>
        <v>123.32500000000003</v>
      </c>
      <c r="O9" s="24">
        <f>'01'!O36</f>
        <v>0</v>
      </c>
      <c r="P9" s="30">
        <f>'01'!$P$36</f>
        <v>1.1558333333333335</v>
      </c>
      <c r="Q9" s="24">
        <f>'01'!Q36</f>
        <v>33.111666666666672</v>
      </c>
      <c r="R9" s="45"/>
      <c r="S9" s="45"/>
      <c r="T9" s="45"/>
      <c r="U9" s="46"/>
    </row>
    <row r="10" spans="1:21" s="34" customFormat="1" ht="15">
      <c r="A10" s="36" t="str">
        <f>'02'!$B$2</f>
        <v>02-01-2023 01:00</v>
      </c>
      <c r="B10" s="33">
        <f>'02'!B36</f>
        <v>6.3666666666666663</v>
      </c>
      <c r="C10" s="33">
        <f>'02'!C36</f>
        <v>86.44583333333334</v>
      </c>
      <c r="D10" s="33">
        <f>'02'!D36</f>
        <v>52.615833333333349</v>
      </c>
      <c r="E10" s="33">
        <f>'02'!E36</f>
        <v>6.6695833333333328</v>
      </c>
      <c r="F10" s="33">
        <f>'02'!F36</f>
        <v>6.8533333333333326</v>
      </c>
      <c r="G10" s="33">
        <f>'02'!G36</f>
        <v>88.050416666666663</v>
      </c>
      <c r="H10" s="33">
        <f>'02'!H36</f>
        <v>38.462083333333332</v>
      </c>
      <c r="I10" s="33">
        <f>'02'!I36</f>
        <v>0.27125000000000005</v>
      </c>
      <c r="J10" s="33">
        <f>'02'!J36</f>
        <v>0.74333333333333329</v>
      </c>
      <c r="K10" s="33">
        <f>'02'!K36</f>
        <v>83.390000000000001</v>
      </c>
      <c r="L10" s="33">
        <f>'02'!L36</f>
        <v>22.647916666666664</v>
      </c>
      <c r="M10" s="33">
        <f>'02'!M36</f>
        <v>51.916666666666664</v>
      </c>
      <c r="N10" s="33">
        <f>'02'!N36</f>
        <v>119.37499999999999</v>
      </c>
      <c r="O10" s="33">
        <f>'02'!O36</f>
        <v>0</v>
      </c>
      <c r="P10" s="30">
        <f>'02'!$P$36</f>
        <v>1.2633333333333334</v>
      </c>
      <c r="Q10" s="33">
        <f>'02'!Q36</f>
        <v>28.370833333333326</v>
      </c>
      <c r="R10" s="47"/>
      <c r="S10" s="47"/>
      <c r="T10" s="47"/>
      <c r="U10" s="47"/>
    </row>
    <row r="11" spans="1:21" s="34" customFormat="1" ht="15">
      <c r="A11" s="36" t="str">
        <f>'03'!$B$2</f>
        <v>03-01-2023 01:00</v>
      </c>
      <c r="B11" s="33">
        <f>'03'!B36</f>
        <v>9.0775000000000006</v>
      </c>
      <c r="C11" s="33">
        <f>'03'!C36</f>
        <v>89.501666666666665</v>
      </c>
      <c r="D11" s="33">
        <f>'03'!D36</f>
        <v>56.519583333333323</v>
      </c>
      <c r="E11" s="33">
        <f>'03'!E36</f>
        <v>4.6029166666666663</v>
      </c>
      <c r="F11" s="33">
        <f>'03'!F36</f>
        <v>1.9675</v>
      </c>
      <c r="G11" s="33">
        <f>'03'!G36</f>
        <v>103.30833333333334</v>
      </c>
      <c r="H11" s="33">
        <f>'03'!H36</f>
        <v>48.367083333333341</v>
      </c>
      <c r="I11" s="33">
        <f>'03'!I36</f>
        <v>0.32833333333333337</v>
      </c>
      <c r="J11" s="33">
        <f>'03'!J36</f>
        <v>0.68541666666666679</v>
      </c>
      <c r="K11" s="33">
        <f>'03'!K36</f>
        <v>130.97541666666669</v>
      </c>
      <c r="L11" s="33">
        <f>'03'!L36</f>
        <v>22.085416666666664</v>
      </c>
      <c r="M11" s="33">
        <f>'03'!M36</f>
        <v>65.791666666666671</v>
      </c>
      <c r="N11" s="33">
        <f>'03'!N36</f>
        <v>95.691666666666663</v>
      </c>
      <c r="O11" s="33">
        <f>'03'!O36</f>
        <v>0</v>
      </c>
      <c r="P11" s="30">
        <f>'03'!$P$36</f>
        <v>1.4504166666666667</v>
      </c>
      <c r="Q11" s="33">
        <f>'03'!Q36</f>
        <v>35.254583333333336</v>
      </c>
      <c r="R11" s="47"/>
      <c r="S11" s="47"/>
      <c r="T11" s="47"/>
      <c r="U11" s="47"/>
    </row>
    <row r="12" spans="1:21" s="34" customFormat="1" ht="15">
      <c r="A12" s="36" t="str">
        <f>'04'!$B$2</f>
        <v>04-01-2023 01:00</v>
      </c>
      <c r="B12" s="33">
        <f>'04'!B36</f>
        <v>28.960416666666664</v>
      </c>
      <c r="C12" s="33">
        <f>'04'!C36</f>
        <v>92.045000000000002</v>
      </c>
      <c r="D12" s="33">
        <f>'04'!D36</f>
        <v>73.680833333333325</v>
      </c>
      <c r="E12" s="33">
        <f>'04'!E36</f>
        <v>4.3595833333333323</v>
      </c>
      <c r="F12" s="33">
        <f>'04'!F36</f>
        <v>2.776666666666666</v>
      </c>
      <c r="G12" s="33">
        <f>'04'!G36</f>
        <v>92.518749999999997</v>
      </c>
      <c r="H12" s="33">
        <f>'04'!H36</f>
        <v>58.105833333333329</v>
      </c>
      <c r="I12" s="33">
        <f>'04'!I36</f>
        <v>0.29458333333333336</v>
      </c>
      <c r="J12" s="33">
        <f>'04'!J36</f>
        <v>0.88166666666666682</v>
      </c>
      <c r="K12" s="33">
        <f>'04'!K36</f>
        <v>131.04499999999999</v>
      </c>
      <c r="L12" s="33">
        <f>'04'!L36</f>
        <v>18.485000000000003</v>
      </c>
      <c r="M12" s="33">
        <f>'04'!M36</f>
        <v>86.333333333333329</v>
      </c>
      <c r="N12" s="33">
        <f>'04'!N36</f>
        <v>41.579166666666659</v>
      </c>
      <c r="O12" s="33">
        <f>'04'!O36</f>
        <v>0.083333333333333329</v>
      </c>
      <c r="P12" s="30">
        <f>'04'!$P$36</f>
        <v>1.8816666666666668</v>
      </c>
      <c r="Q12" s="33">
        <f>'04'!Q36</f>
        <v>32.405416666666675</v>
      </c>
      <c r="R12" s="47"/>
      <c r="S12" s="47"/>
      <c r="T12" s="47"/>
      <c r="U12" s="47"/>
    </row>
    <row r="13" spans="1:21" s="34" customFormat="1" ht="15">
      <c r="A13" s="36" t="str">
        <f>'05'!$B$2</f>
        <v>05-01-2023 01:00</v>
      </c>
      <c r="B13" s="33">
        <f>'05'!B36</f>
        <v>14.825416666666669</v>
      </c>
      <c r="C13" s="33">
        <f>'05'!C36</f>
        <v>86.168749999999989</v>
      </c>
      <c r="D13" s="33">
        <f>'05'!D36</f>
        <v>59.085416666666667</v>
      </c>
      <c r="E13" s="33">
        <f>'05'!E36</f>
        <v>4.9347826086956506</v>
      </c>
      <c r="F13" s="33">
        <f>'05'!F36</f>
        <v>3.9754166666666677</v>
      </c>
      <c r="G13" s="33">
        <f>'05'!G36</f>
        <v>98.220909090909061</v>
      </c>
      <c r="H13" s="33">
        <f>'05'!H36</f>
        <v>58.606363636363632</v>
      </c>
      <c r="I13" s="33">
        <f>'05'!I36</f>
        <v>0.23874999999999999</v>
      </c>
      <c r="J13" s="33">
        <f>'05'!J36</f>
        <v>0.96333333333333337</v>
      </c>
      <c r="K13" s="33">
        <f>'05'!K36</f>
        <v>86.816250000000011</v>
      </c>
      <c r="L13" s="33">
        <f>'05'!L36</f>
        <v>20.345000000000002</v>
      </c>
      <c r="M13" s="33">
        <f>'05'!M36</f>
        <v>74.041666666666671</v>
      </c>
      <c r="N13" s="33">
        <f>'05'!N36</f>
        <v>153.41249999999997</v>
      </c>
      <c r="O13" s="33">
        <f>'05'!O36</f>
        <v>0</v>
      </c>
      <c r="P13" s="30">
        <f>'05'!$P$36</f>
        <v>1.6450000000000002</v>
      </c>
      <c r="Q13" s="33">
        <f>'05'!Q36</f>
        <v>34.699999999999996</v>
      </c>
      <c r="R13" s="47"/>
      <c r="S13" s="47"/>
      <c r="T13" s="47"/>
      <c r="U13" s="47"/>
    </row>
    <row r="14" spans="1:21" s="34" customFormat="1" ht="15">
      <c r="A14" s="36" t="str">
        <f>'06'!$B$2</f>
        <v>06-01-2023 01:00</v>
      </c>
      <c r="B14" s="33">
        <f>'06'!B36</f>
        <v>26.572500000000002</v>
      </c>
      <c r="C14" s="33">
        <f>'06'!C36</f>
        <v>95.007499999999979</v>
      </c>
      <c r="D14" s="33">
        <f>'06'!D36</f>
        <v>73.521666666666661</v>
      </c>
      <c r="E14" s="33">
        <f>'06'!E36</f>
        <v>4.673333333333332</v>
      </c>
      <c r="F14" s="33">
        <f>'06'!F36</f>
        <v>0.67625000000000002</v>
      </c>
      <c r="G14" s="33">
        <f>'06'!G36</f>
        <v>92.294166666666669</v>
      </c>
      <c r="H14" s="33">
        <f>'06'!H36</f>
        <v>47.637916666666662</v>
      </c>
      <c r="I14" s="33">
        <f>'06'!I36</f>
        <v>0.33000000000000007</v>
      </c>
      <c r="J14" s="33">
        <f>'06'!J36</f>
        <v>0.75416666666666654</v>
      </c>
      <c r="K14" s="33">
        <f>'06'!K36</f>
        <v>115.58499999999999</v>
      </c>
      <c r="L14" s="33">
        <f>'06'!L36</f>
        <v>20.28833333333333</v>
      </c>
      <c r="M14" s="33">
        <f>'06'!M36</f>
        <v>58.541666666666664</v>
      </c>
      <c r="N14" s="33">
        <f>'06'!N36</f>
        <v>191.01666666666665</v>
      </c>
      <c r="O14" s="33">
        <f>'06'!O36</f>
        <v>0</v>
      </c>
      <c r="P14" s="30">
        <f>'06'!$P$36</f>
        <v>1.9025000000000001</v>
      </c>
      <c r="Q14" s="33">
        <f>'06'!Q36</f>
        <v>40.794583333333335</v>
      </c>
      <c r="R14" s="47"/>
      <c r="S14" s="47"/>
      <c r="T14" s="47"/>
      <c r="U14" s="47"/>
    </row>
    <row r="15" spans="1:21" s="34" customFormat="1" ht="15">
      <c r="A15" s="36" t="str">
        <f>'07'!$B$2</f>
        <v>07-01-2023 01:00</v>
      </c>
      <c r="B15" s="33">
        <f>'07'!B36</f>
        <v>58.599583333333335</v>
      </c>
      <c r="C15" s="33">
        <f>'07'!C36</f>
        <v>117.65583333333335</v>
      </c>
      <c r="D15" s="33">
        <f>'07'!D36</f>
        <v>111.62625000000001</v>
      </c>
      <c r="E15" s="33">
        <f>'07'!E36</f>
        <v>10.010416666666666</v>
      </c>
      <c r="F15" s="33">
        <f>'07'!F36</f>
        <v>0.70374999999999999</v>
      </c>
      <c r="G15" s="33">
        <f>'07'!G36</f>
        <v>99.233333333333348</v>
      </c>
      <c r="H15" s="33">
        <f>'07'!H36</f>
        <v>39.343333333333327</v>
      </c>
      <c r="I15" s="33">
        <f>'07'!I36</f>
        <v>0.43833333333333341</v>
      </c>
      <c r="J15" s="33">
        <f>'07'!J36</f>
        <v>0.53833333333333344</v>
      </c>
      <c r="K15" s="33">
        <f>'07'!K36</f>
        <v>182.26708333333337</v>
      </c>
      <c r="L15" s="33">
        <f>'07'!L36</f>
        <v>19.21916666666667</v>
      </c>
      <c r="M15" s="33">
        <f>'07'!M36</f>
        <v>43.5</v>
      </c>
      <c r="N15" s="33">
        <f>'07'!N37</f>
        <v>302.64570463866141</v>
      </c>
      <c r="O15" s="33">
        <f>'07'!O37</f>
        <v>0</v>
      </c>
      <c r="P15" s="30">
        <f>'07'!$P$36</f>
        <v>1.5058333333333334</v>
      </c>
      <c r="Q15" s="33">
        <f>'07'!Q36</f>
        <v>34.639166666666661</v>
      </c>
      <c r="R15" s="47"/>
      <c r="S15" s="47"/>
      <c r="T15" s="47"/>
      <c r="U15" s="47"/>
    </row>
    <row r="16" spans="1:21" s="34" customFormat="1" ht="15">
      <c r="A16" s="36" t="str">
        <f>'08'!$B$2</f>
        <v>08-01-2023 01:00</v>
      </c>
      <c r="B16" s="33">
        <f>'08'!B36</f>
        <v>71.552083333333329</v>
      </c>
      <c r="C16" s="33">
        <f>'08'!C36</f>
        <v>124.53916666666665</v>
      </c>
      <c r="D16" s="33">
        <f>'08'!D36</f>
        <v>125.84708333333334</v>
      </c>
      <c r="E16" s="33">
        <f>'08'!E36</f>
        <v>6.5</v>
      </c>
      <c r="F16" s="33">
        <f>'08'!F36</f>
        <v>0.83958333333333324</v>
      </c>
      <c r="G16" s="33">
        <f>'08'!G36</f>
        <v>100.22250000000001</v>
      </c>
      <c r="H16" s="33">
        <f>'08'!H36</f>
        <v>49.628333333333337</v>
      </c>
      <c r="I16" s="33">
        <f>'08'!I36</f>
        <v>0.50208333333333333</v>
      </c>
      <c r="J16" s="33">
        <f>'08'!J36</f>
        <v>0.64333333333333342</v>
      </c>
      <c r="K16" s="33">
        <f>'08'!K36</f>
        <v>186.44666666666669</v>
      </c>
      <c r="L16" s="33">
        <f>'08'!L36</f>
        <v>19.450833333333335</v>
      </c>
      <c r="M16" s="33">
        <f>'08'!M36</f>
        <v>43.875</v>
      </c>
      <c r="N16" s="33">
        <f>'08'!N36</f>
        <v>245.90833333333333</v>
      </c>
      <c r="O16" s="33">
        <f>'08'!O36</f>
        <v>0</v>
      </c>
      <c r="P16" s="30">
        <f>'08'!$P$36</f>
        <v>1.7104166666666669</v>
      </c>
      <c r="Q16" s="33">
        <f>'08'!Q36</f>
        <v>37.895000000000003</v>
      </c>
      <c r="R16" s="47"/>
      <c r="S16" s="47"/>
      <c r="T16" s="47"/>
      <c r="U16" s="47"/>
    </row>
    <row r="17" spans="1:24" s="34" customFormat="1" ht="15">
      <c r="A17" s="36" t="str">
        <f>'09'!$B$2</f>
        <v>09-01-2023 01:00</v>
      </c>
      <c r="B17" s="33">
        <f>'09'!B36</f>
        <v>98.250833333333333</v>
      </c>
      <c r="C17" s="33">
        <f>'09'!C36</f>
        <v>147.84916666666666</v>
      </c>
      <c r="D17" s="33">
        <f>'09'!D36</f>
        <v>160.21500000000003</v>
      </c>
      <c r="E17" s="33">
        <f>'09'!E36</f>
        <v>9.7187500000000018</v>
      </c>
      <c r="F17" s="33">
        <f>'09'!F36</f>
        <v>1.1850000000000003</v>
      </c>
      <c r="G17" s="33">
        <f>'09'!G36</f>
        <v>144.95458333333332</v>
      </c>
      <c r="H17" s="33">
        <f>'09'!H36</f>
        <v>70.780416666666667</v>
      </c>
      <c r="I17" s="33">
        <f>'09'!I36</f>
        <v>0.69499999999999995</v>
      </c>
      <c r="J17" s="33">
        <f>'09'!J36</f>
        <v>0.43666666666666676</v>
      </c>
      <c r="K17" s="33">
        <f>'09'!K36</f>
        <v>213.58333333333334</v>
      </c>
      <c r="L17" s="33">
        <f>'09'!L36</f>
        <v>20.740000000000002</v>
      </c>
      <c r="M17" s="33">
        <f>'09'!M36</f>
        <v>48.458333333333336</v>
      </c>
      <c r="N17" s="33">
        <f>'09'!N37</f>
        <v>287.77970728748505</v>
      </c>
      <c r="O17" s="33">
        <f>'09'!O37</f>
        <v>0</v>
      </c>
      <c r="P17" s="30">
        <f>'09'!$P$36</f>
        <v>2.5266666666666668</v>
      </c>
      <c r="Q17" s="33">
        <f>'09'!Q36</f>
        <v>41.337499999999991</v>
      </c>
      <c r="R17" s="47"/>
      <c r="S17" s="47"/>
      <c r="T17" s="47"/>
      <c r="U17" s="47"/>
      <c r="V17" s="35"/>
      <c r="W17" s="35"/>
      <c r="X17" s="35"/>
    </row>
    <row r="18" spans="1:21" s="34" customFormat="1" ht="15">
      <c r="A18" s="36" t="str">
        <f>'10'!$B$2</f>
        <v>10-01-2023 01:00</v>
      </c>
      <c r="B18" s="33">
        <f>'10'!B36</f>
        <v>103.81500000000001</v>
      </c>
      <c r="C18" s="33">
        <f>'10'!C36</f>
        <v>162.54791666666668</v>
      </c>
      <c r="D18" s="33">
        <f>'10'!D36</f>
        <v>172.68958333333333</v>
      </c>
      <c r="E18" s="33">
        <f>'10'!E36</f>
        <v>11.117083333333333</v>
      </c>
      <c r="F18" s="33">
        <f>'10'!F36</f>
        <v>4.0062500000000005</v>
      </c>
      <c r="G18" s="33">
        <f>'10'!G36</f>
        <v>145.98399999999998</v>
      </c>
      <c r="H18" s="33">
        <f>'10'!H36</f>
        <v>73.476086956521755</v>
      </c>
      <c r="I18" s="33">
        <f>'10'!I36</f>
        <v>0.83875</v>
      </c>
      <c r="J18" s="33">
        <f>'10'!J36</f>
        <v>0.31291666666666662</v>
      </c>
      <c r="K18" s="33">
        <f>'10'!K36</f>
        <v>256.47666666666663</v>
      </c>
      <c r="L18" s="33">
        <f>'10'!L36</f>
        <v>21.058333333333334</v>
      </c>
      <c r="M18" s="33">
        <f>'10'!M36</f>
        <v>58.25</v>
      </c>
      <c r="N18" s="33">
        <f>'10'!N36</f>
        <v>359.74000000000001</v>
      </c>
      <c r="O18" s="33">
        <f>'10'!O36</f>
        <v>0</v>
      </c>
      <c r="P18" s="30">
        <f>'10'!$P$36</f>
        <v>2.6062500000000002</v>
      </c>
      <c r="Q18" s="33">
        <f>'10'!Q36</f>
        <v>41.459166666666668</v>
      </c>
      <c r="R18" s="47"/>
      <c r="S18" s="47"/>
      <c r="T18" s="47"/>
      <c r="U18" s="47"/>
    </row>
    <row r="19" spans="1:21" s="34" customFormat="1" ht="15">
      <c r="A19" s="36" t="str">
        <f>'11'!$B$2</f>
        <v>11-01-2023 01:00</v>
      </c>
      <c r="B19" s="33">
        <f>'11'!B36</f>
        <v>114.01916666666665</v>
      </c>
      <c r="C19" s="33">
        <f>'11'!C36</f>
        <v>164.00874999999999</v>
      </c>
      <c r="D19" s="33">
        <f>'11'!D36</f>
        <v>181.77000000000007</v>
      </c>
      <c r="E19" s="33">
        <f>'11'!E36</f>
        <v>7.657916666666666</v>
      </c>
      <c r="F19" s="33">
        <f>'11'!F36</f>
        <v>4.8247826086956529</v>
      </c>
      <c r="G19" s="33">
        <f>'11'!G36</f>
        <v>152.82181818181817</v>
      </c>
      <c r="H19" s="33">
        <f>'11'!H36</f>
        <v>70.308750000000018</v>
      </c>
      <c r="I19" s="33">
        <f>'11'!I36</f>
        <v>0.93625000000000014</v>
      </c>
      <c r="J19" s="33">
        <f>'11'!J36</f>
        <v>0.44250000000000006</v>
      </c>
      <c r="K19" s="33">
        <f>'11'!K36</f>
        <v>273.01583333333332</v>
      </c>
      <c r="L19" s="33">
        <f>'11'!L36</f>
        <v>21.218333333333334</v>
      </c>
      <c r="M19" s="33">
        <f>'11'!M36</f>
        <v>56.708333333333336</v>
      </c>
      <c r="N19" s="33">
        <f>'11'!N36</f>
        <v>367.15000000000003</v>
      </c>
      <c r="O19" s="33">
        <f>'11'!O36</f>
        <v>0</v>
      </c>
      <c r="P19" s="33">
        <f>'11'!P36</f>
        <v>2.8795833333333323</v>
      </c>
      <c r="Q19" s="33">
        <f>'11'!Q36</f>
        <v>40.848749999999988</v>
      </c>
      <c r="R19" s="47"/>
      <c r="S19" s="47"/>
      <c r="T19" s="47"/>
      <c r="U19" s="47"/>
    </row>
    <row r="20" spans="1:21" s="34" customFormat="1" ht="15">
      <c r="A20" s="36" t="str">
        <f>'12'!$B$2</f>
        <v>12-01-2023 01:00</v>
      </c>
      <c r="B20" s="33">
        <f>'12'!B36</f>
        <v>64.847083333333316</v>
      </c>
      <c r="C20" s="33">
        <f>'12'!C36</f>
        <v>126.74291666666664</v>
      </c>
      <c r="D20" s="33">
        <f>'12'!D36</f>
        <v>122.2675</v>
      </c>
      <c r="E20" s="33">
        <f>'12'!E36</f>
        <v>5.185833333333334</v>
      </c>
      <c r="F20" s="33">
        <f>'12'!F36</f>
        <v>1.1054166666666665</v>
      </c>
      <c r="G20" s="33">
        <f>'12'!G36</f>
        <v>100.46173913043482</v>
      </c>
      <c r="H20" s="33">
        <f>'12'!H36</f>
        <v>50.631250000000001</v>
      </c>
      <c r="I20" s="33">
        <f>'12'!I36</f>
        <v>0.53083333333333327</v>
      </c>
      <c r="J20" s="33">
        <f>'12'!J36</f>
        <v>0.29250000000000004</v>
      </c>
      <c r="K20" s="33">
        <f>'12'!K36</f>
        <v>298.84958333333333</v>
      </c>
      <c r="L20" s="33">
        <f>'12'!L36</f>
        <v>21.745416666666667</v>
      </c>
      <c r="M20" s="33">
        <f>'12'!M36</f>
        <v>57.75</v>
      </c>
      <c r="N20" s="33">
        <f>'12'!N36</f>
        <v>349.58999999999997</v>
      </c>
      <c r="O20" s="33">
        <f>'12'!O36</f>
        <v>0</v>
      </c>
      <c r="P20" s="33">
        <f>'12'!P36</f>
        <v>1.8699999999999999</v>
      </c>
      <c r="Q20" s="33">
        <f>'12'!Q36</f>
        <v>39.044166666666662</v>
      </c>
      <c r="R20" s="47"/>
      <c r="S20" s="47"/>
      <c r="T20" s="47"/>
      <c r="U20" s="47"/>
    </row>
    <row r="21" spans="1:21" s="34" customFormat="1" ht="15">
      <c r="A21" s="36" t="str">
        <f>'13'!$B$2</f>
        <v>13-01-2023 01:00</v>
      </c>
      <c r="B21" s="33">
        <f>'13'!B36</f>
        <v>56.432083333333331</v>
      </c>
      <c r="C21" s="33">
        <f>'13'!C36</f>
        <v>99.859166666666681</v>
      </c>
      <c r="D21" s="33">
        <f>'13'!D36</f>
        <v>100.69791666666669</v>
      </c>
      <c r="E21" s="33">
        <f>'13'!E36</f>
        <v>3.9937499999999999</v>
      </c>
      <c r="F21" s="33">
        <f>'13'!F36</f>
        <v>6.177083333333333</v>
      </c>
      <c r="G21" s="33">
        <f>'13'!G36</f>
        <v>118.89150000000002</v>
      </c>
      <c r="H21" s="33">
        <f>'13'!H36</f>
        <v>44.950434782608681</v>
      </c>
      <c r="I21" s="33">
        <f>'13'!I36</f>
        <v>0.61478260869565216</v>
      </c>
      <c r="J21" s="33">
        <f>'13'!J36</f>
        <v>0.21541666666666667</v>
      </c>
      <c r="K21" s="33">
        <f>'13'!K36</f>
        <v>297.82458333333329</v>
      </c>
      <c r="L21" s="33">
        <f>'13'!L36</f>
        <v>22.611249999999998</v>
      </c>
      <c r="M21" s="33">
        <f>'13'!M36</f>
        <v>61.625</v>
      </c>
      <c r="N21" s="33">
        <f>'13'!N36</f>
        <v>285.29090909090911</v>
      </c>
      <c r="O21" s="33">
        <f>'13'!O36</f>
        <v>0</v>
      </c>
      <c r="P21" s="33">
        <f>'13'!P36</f>
        <v>1.537916666666667</v>
      </c>
      <c r="Q21" s="33">
        <f>'13'!Q36</f>
        <v>36.66041666666667</v>
      </c>
      <c r="R21" s="47"/>
      <c r="S21" s="47"/>
      <c r="T21" s="47"/>
      <c r="U21" s="47"/>
    </row>
    <row r="22" spans="1:21" s="34" customFormat="1" ht="15">
      <c r="A22" s="36" t="str">
        <f>'14'!$B$2</f>
        <v>14-01-2023 01:00</v>
      </c>
      <c r="B22" s="30">
        <f>'14'!B36</f>
        <v>29.083750000000006</v>
      </c>
      <c r="C22" s="30">
        <f>'14'!C36</f>
        <v>71.935416666666669</v>
      </c>
      <c r="D22" s="30">
        <f>'14'!D36</f>
        <v>62.988750000000003</v>
      </c>
      <c r="E22" s="30">
        <f>'14'!E36</f>
        <v>4.526250000000001</v>
      </c>
      <c r="F22" s="30">
        <f>'14'!F36</f>
        <v>8.4966666666666679</v>
      </c>
      <c r="G22" s="30">
        <f>'14'!G36</f>
        <v>89.470476190476177</v>
      </c>
      <c r="H22" s="30">
        <f>'14'!H36</f>
        <v>39.626818181818187</v>
      </c>
      <c r="I22" s="30">
        <f>'14'!I36</f>
        <v>0.74124999999999996</v>
      </c>
      <c r="J22" s="30">
        <f>'14'!J36</f>
        <v>0.29458333333333336</v>
      </c>
      <c r="K22" s="30">
        <f>'14'!K36</f>
        <v>275.18791666666664</v>
      </c>
      <c r="L22" s="30">
        <f>'14'!L36</f>
        <v>23.609999999999996</v>
      </c>
      <c r="M22" s="30">
        <f>'14'!M36</f>
        <v>64.208333333333329</v>
      </c>
      <c r="N22" s="30">
        <f>'14'!N36</f>
        <v>322.22499999999997</v>
      </c>
      <c r="O22" s="30">
        <f>'14'!O36</f>
        <v>0</v>
      </c>
      <c r="P22" s="30">
        <f>'14'!P36</f>
        <v>1.3825000000000003</v>
      </c>
      <c r="Q22" s="30">
        <f>'14'!Q36</f>
        <v>53.094583333333325</v>
      </c>
      <c r="R22" s="48"/>
      <c r="S22" s="48"/>
      <c r="T22" s="48"/>
      <c r="U22" s="48"/>
    </row>
    <row r="23" spans="1:21" s="34" customFormat="1" ht="15">
      <c r="A23" s="36" t="str">
        <f>'15'!$B$2</f>
        <v>15-01-2023 01:00</v>
      </c>
      <c r="B23" s="33">
        <f>'15'!B36</f>
        <v>21.149583333333332</v>
      </c>
      <c r="C23" s="33">
        <f>'15'!C36</f>
        <v>73.827916666666667</v>
      </c>
      <c r="D23" s="33">
        <f>'15'!D36</f>
        <v>57.689999999999998</v>
      </c>
      <c r="E23" s="33">
        <f>'15'!E36</f>
        <v>3.8920833333333333</v>
      </c>
      <c r="F23" s="33">
        <f>'15'!F36</f>
        <v>6.0983333333333327</v>
      </c>
      <c r="G23" s="33">
        <f>'15'!G36</f>
        <v>80.447499999999991</v>
      </c>
      <c r="H23" s="33">
        <f>'15'!H36</f>
        <v>38.628333333333337</v>
      </c>
      <c r="I23" s="33">
        <f>'15'!I36</f>
        <v>0.72041666666666648</v>
      </c>
      <c r="J23" s="33">
        <f>'15'!J36</f>
        <v>0.5724999999999999</v>
      </c>
      <c r="K23" s="33">
        <f>'15'!K36</f>
        <v>257.25083333333328</v>
      </c>
      <c r="L23" s="33">
        <f>'15'!L36</f>
        <v>23.760000000000002</v>
      </c>
      <c r="M23" s="33">
        <f>'15'!M36</f>
        <v>57.916666666666664</v>
      </c>
      <c r="N23" s="33">
        <f>'15'!N36</f>
        <v>339.15000000000003</v>
      </c>
      <c r="O23" s="33">
        <f>'15'!O36</f>
        <v>0</v>
      </c>
      <c r="P23" s="30">
        <f>'15'!P36</f>
        <v>1.3445833333333332</v>
      </c>
      <c r="Q23" s="30">
        <f>'15'!Q36</f>
        <v>15.636666666666665</v>
      </c>
      <c r="R23" s="48"/>
      <c r="S23" s="48"/>
      <c r="T23" s="48"/>
      <c r="U23" s="47"/>
    </row>
    <row r="24" spans="1:21" s="34" customFormat="1" ht="15">
      <c r="A24" s="36" t="str">
        <f>'16'!$B$2</f>
        <v>16-01-2023 01:00</v>
      </c>
      <c r="B24" s="33">
        <f>'16'!B36</f>
        <v>13.53375</v>
      </c>
      <c r="C24" s="33">
        <f>'16'!C36</f>
        <v>72.271250000000009</v>
      </c>
      <c r="D24" s="33">
        <f>'16'!D36</f>
        <v>50.862083333333338</v>
      </c>
      <c r="E24" s="33">
        <f>'16'!E36</f>
        <v>5.2120833333333332</v>
      </c>
      <c r="F24" s="33">
        <f>'16'!F36</f>
        <v>10.075000000000001</v>
      </c>
      <c r="G24" s="33">
        <f>'16'!G36</f>
        <v>73.325833333333335</v>
      </c>
      <c r="H24" s="33">
        <f>'16'!H36</f>
        <v>35.147083333333335</v>
      </c>
      <c r="I24" s="33">
        <f>'16'!I36</f>
        <v>0.65208333333333324</v>
      </c>
      <c r="J24" s="33">
        <f>'16'!J36</f>
        <v>0.56416666666666659</v>
      </c>
      <c r="K24" s="33">
        <f>'16'!K36</f>
        <v>126.71208333333333</v>
      </c>
      <c r="L24" s="33">
        <f>'16'!L36</f>
        <v>22.235416666666669</v>
      </c>
      <c r="M24" s="33">
        <f>'16'!M36</f>
        <v>50.958333333333336</v>
      </c>
      <c r="N24" s="33">
        <f>'16'!N36</f>
        <v>214.71111111111111</v>
      </c>
      <c r="O24" s="33">
        <f>'16'!O36</f>
        <v>0</v>
      </c>
      <c r="P24" s="30">
        <f>'16'!P36</f>
        <v>1.2766666666666668</v>
      </c>
      <c r="Q24" s="30">
        <f>'16'!Q36</f>
        <v>21.490000000000006</v>
      </c>
      <c r="R24" s="48"/>
      <c r="S24" s="48"/>
      <c r="T24" s="48"/>
      <c r="U24" s="47"/>
    </row>
    <row r="25" spans="1:21" s="34" customFormat="1" ht="15">
      <c r="A25" s="36" t="str">
        <f>'17'!$B$2</f>
        <v>17-01-2023 01:00</v>
      </c>
      <c r="B25" s="33">
        <f>'17'!B36</f>
        <v>31.60541666666666</v>
      </c>
      <c r="C25" s="33">
        <f>'17'!C36</f>
        <v>84.346666666666664</v>
      </c>
      <c r="D25" s="33">
        <f>'17'!D36</f>
        <v>71.963333333333324</v>
      </c>
      <c r="E25" s="33">
        <f>'17'!E36</f>
        <v>5.2754166666666658</v>
      </c>
      <c r="F25" s="33">
        <f>'17'!F36</f>
        <v>6.2112499999999997</v>
      </c>
      <c r="G25" s="33">
        <f>'17'!G36</f>
        <v>116.62166666666667</v>
      </c>
      <c r="H25" s="33">
        <f>'17'!H36</f>
        <v>48.467500000000001</v>
      </c>
      <c r="I25" s="33">
        <f>'17'!I36</f>
        <v>0.88916666666666655</v>
      </c>
      <c r="J25" s="33">
        <f>'17'!J36</f>
        <v>0.46416666666666662</v>
      </c>
      <c r="K25" s="33">
        <f>'17'!K36</f>
        <v>206.59999999999999</v>
      </c>
      <c r="L25" s="33">
        <f>'17'!L36</f>
        <v>23.295416666666664</v>
      </c>
      <c r="M25" s="33">
        <f>'17'!M36</f>
        <v>62.125</v>
      </c>
      <c r="N25" s="33">
        <f>'17'!N36</f>
        <v>147.47916666666666</v>
      </c>
      <c r="O25" s="33">
        <f>'17'!O36</f>
        <v>0</v>
      </c>
      <c r="P25" s="30">
        <f>'17'!P36</f>
        <v>1.9349999999999998</v>
      </c>
      <c r="Q25" s="30">
        <f>'17'!Q36</f>
        <v>42.741666666666674</v>
      </c>
      <c r="R25" s="48"/>
      <c r="S25" s="48"/>
      <c r="T25" s="48"/>
      <c r="U25" s="47"/>
    </row>
    <row r="26" spans="1:21" s="34" customFormat="1" ht="15">
      <c r="A26" s="36" t="str">
        <f>'18'!$B$2</f>
        <v>18-01-2023 01:00</v>
      </c>
      <c r="B26" s="33">
        <f>'18'!B36</f>
        <v>30.018750000000008</v>
      </c>
      <c r="C26" s="33">
        <f>'18'!C36</f>
        <v>80.992083333333326</v>
      </c>
      <c r="D26" s="33">
        <f>'18'!D36</f>
        <v>68.939166666666651</v>
      </c>
      <c r="E26" s="33">
        <f>'18'!E36</f>
        <v>5.5633333333333326</v>
      </c>
      <c r="F26" s="33">
        <f>'18'!F36</f>
        <v>7.607499999999999</v>
      </c>
      <c r="G26" s="33">
        <f>'18'!G36</f>
        <v>95.424583333333317</v>
      </c>
      <c r="H26" s="33">
        <f>'18'!H36</f>
        <v>43.423333333333325</v>
      </c>
      <c r="I26" s="33">
        <f>'18'!I36</f>
        <v>0.93999999999999995</v>
      </c>
      <c r="J26" s="33">
        <f>'18'!J36</f>
        <v>0.6054166666666666</v>
      </c>
      <c r="K26" s="33">
        <f>'18'!K36</f>
        <v>134.36708333333334</v>
      </c>
      <c r="L26" s="33">
        <f>'18'!L36</f>
        <v>23.087916666666661</v>
      </c>
      <c r="M26" s="33">
        <f>'18'!M36</f>
        <v>59.708333333333336</v>
      </c>
      <c r="N26" s="33">
        <f>'18'!N36</f>
        <v>131.78749999999999</v>
      </c>
      <c r="O26" s="33">
        <f>'18'!O36</f>
        <v>0</v>
      </c>
      <c r="P26" s="30">
        <f>'18'!P36</f>
        <v>1.9237500000000003</v>
      </c>
      <c r="Q26" s="30">
        <f>'18'!Q36</f>
        <v>39.29708333333334</v>
      </c>
      <c r="R26" s="48"/>
      <c r="S26" s="48"/>
      <c r="T26" s="48"/>
      <c r="U26" s="47"/>
    </row>
    <row r="27" spans="1:21" s="34" customFormat="1" ht="15">
      <c r="A27" s="36" t="str">
        <f>'19'!$B$2</f>
        <v>19-01-2023 01:00</v>
      </c>
      <c r="B27" s="33">
        <f>'19'!B36</f>
        <v>26.767826086956525</v>
      </c>
      <c r="C27" s="33">
        <f>'19'!C36</f>
        <v>82.332608695652169</v>
      </c>
      <c r="D27" s="33">
        <f>'19'!D36</f>
        <v>66.413913043478274</v>
      </c>
      <c r="E27" s="33">
        <f>'19'!E36</f>
        <v>9.1341666666666672</v>
      </c>
      <c r="F27" s="33">
        <f>'19'!F36</f>
        <v>8.6543478260869566</v>
      </c>
      <c r="G27" s="33">
        <f>'19'!G36</f>
        <v>112.49181818181819</v>
      </c>
      <c r="H27" s="33">
        <f>'19'!H36</f>
        <v>45.713636363636368</v>
      </c>
      <c r="I27" s="33">
        <f>'19'!I36</f>
        <v>0.81208333333333338</v>
      </c>
      <c r="J27" s="33">
        <f>'19'!J36</f>
        <v>0.49958333333333343</v>
      </c>
      <c r="K27" s="33">
        <f>'19'!K36</f>
        <v>116.85791666666667</v>
      </c>
      <c r="L27" s="33">
        <f>'19'!L36</f>
        <v>23.587916666666668</v>
      </c>
      <c r="M27" s="33">
        <f>'19'!M36</f>
        <v>61.875</v>
      </c>
      <c r="N27" s="33">
        <f>'19'!N36</f>
        <v>147.02499999999998</v>
      </c>
      <c r="O27" s="33">
        <f>'19'!O36</f>
        <v>0</v>
      </c>
      <c r="P27" s="30">
        <f>'19'!P36</f>
        <v>1.7954166666666669</v>
      </c>
      <c r="Q27" s="30">
        <f>'19'!Q36</f>
        <v>38.08625</v>
      </c>
      <c r="R27" s="48"/>
      <c r="S27" s="48"/>
      <c r="T27" s="48"/>
      <c r="U27" s="47"/>
    </row>
    <row r="28" spans="1:21" s="34" customFormat="1" ht="15">
      <c r="A28" s="36" t="str">
        <f>'20'!$B$2</f>
        <v>20-01-2023 01:00</v>
      </c>
      <c r="B28" s="33">
        <f>'20'!B36</f>
        <v>38.544166666666669</v>
      </c>
      <c r="C28" s="33">
        <f>'20'!C36</f>
        <v>77.55083333333333</v>
      </c>
      <c r="D28" s="33">
        <f>'20'!D36</f>
        <v>73.706666666666663</v>
      </c>
      <c r="E28" s="33">
        <f>'20'!E36</f>
        <v>4.2870833333333325</v>
      </c>
      <c r="F28" s="33">
        <f>'20'!F36</f>
        <v>2.210434782608695</v>
      </c>
      <c r="G28" s="33">
        <f>'20'!G36</f>
        <v>97.567916666666648</v>
      </c>
      <c r="H28" s="33">
        <f>'20'!H36</f>
        <v>44.470416666666665</v>
      </c>
      <c r="I28" s="33">
        <f>'20'!I36</f>
        <v>1.014</v>
      </c>
      <c r="J28" s="33">
        <f>'20'!J36</f>
        <v>0.53749999999999998</v>
      </c>
      <c r="K28" s="33">
        <f>'20'!K36</f>
        <v>199.03333333333327</v>
      </c>
      <c r="L28" s="33">
        <f>'20'!L36</f>
        <v>23.842500000000001</v>
      </c>
      <c r="M28" s="33">
        <f>'20'!M36</f>
        <v>63.416666666666664</v>
      </c>
      <c r="N28" s="33">
        <f>'20'!N36</f>
        <v>167.94166666666663</v>
      </c>
      <c r="O28" s="33">
        <f>'20'!O36</f>
        <v>0</v>
      </c>
      <c r="P28" s="30">
        <f>'20'!P36</f>
        <v>1.5929166666666668</v>
      </c>
      <c r="Q28" s="30">
        <f>'20'!Q36</f>
        <v>45.088749999999997</v>
      </c>
      <c r="R28" s="48"/>
      <c r="S28" s="48"/>
      <c r="T28" s="48"/>
      <c r="U28" s="47"/>
    </row>
    <row r="29" spans="1:21" s="34" customFormat="1" ht="15">
      <c r="A29" s="36" t="str">
        <f>'21'!$B$2</f>
        <v>21-01-2023 01:00</v>
      </c>
      <c r="B29" s="33">
        <f>'21'!B36</f>
        <v>46.718750000000007</v>
      </c>
      <c r="C29" s="33">
        <f>'21'!C36</f>
        <v>84.553333333333327</v>
      </c>
      <c r="D29" s="33">
        <f>'21'!D36</f>
        <v>84.095000000000013</v>
      </c>
      <c r="E29" s="33">
        <f>'21'!E36</f>
        <v>5.1029166666666663</v>
      </c>
      <c r="F29" s="33">
        <f>'21'!F36</f>
        <v>2.928823529411765</v>
      </c>
      <c r="G29" s="33">
        <f>'21'!G36</f>
        <v>95.329999999999998</v>
      </c>
      <c r="H29" s="33">
        <f>'21'!H36</f>
        <v>40.459583333333335</v>
      </c>
      <c r="I29" s="33">
        <f>'21'!I36</f>
        <v>0.97208333333333341</v>
      </c>
      <c r="J29" s="33">
        <f>'21'!J36</f>
        <v>0.37874999999999998</v>
      </c>
      <c r="K29" s="33">
        <f>'21'!K36</f>
        <v>273.05541666666664</v>
      </c>
      <c r="L29" s="33">
        <f>'21'!L36</f>
        <v>24.632916666666674</v>
      </c>
      <c r="M29" s="33">
        <f>'21'!M36</f>
        <v>60.833333333333336</v>
      </c>
      <c r="N29" s="33">
        <f>'21'!N36</f>
        <v>162.24166666666665</v>
      </c>
      <c r="O29" s="33">
        <f>'21'!O36</f>
        <v>0</v>
      </c>
      <c r="P29" s="30">
        <f>'21'!P36</f>
        <v>1.8462500000000002</v>
      </c>
      <c r="Q29" s="30">
        <f>'21'!Q36</f>
        <v>45.957916666666669</v>
      </c>
      <c r="R29" s="48"/>
      <c r="S29" s="48"/>
      <c r="T29" s="48"/>
      <c r="U29" s="47"/>
    </row>
    <row r="30" spans="1:21" s="34" customFormat="1" ht="15">
      <c r="A30" s="36" t="str">
        <f>'22'!$B$2</f>
        <v>22-01-2023 01:00</v>
      </c>
      <c r="B30" s="33">
        <f>'22'!B36</f>
        <v>58.344583333333325</v>
      </c>
      <c r="C30" s="33">
        <f>'22'!C36</f>
        <v>85.485416666666666</v>
      </c>
      <c r="D30" s="33">
        <f>'22'!D36</f>
        <v>94.228749999999991</v>
      </c>
      <c r="E30" s="33">
        <f>'22'!E36</f>
        <v>4.4070833333333344</v>
      </c>
      <c r="F30" s="33">
        <f>'22'!F36</f>
        <v>2.2166666666666668</v>
      </c>
      <c r="G30" s="33">
        <f>'22'!G36</f>
        <v>99.084583333333342</v>
      </c>
      <c r="H30" s="33">
        <f>'22'!H36</f>
        <v>43.816250000000004</v>
      </c>
      <c r="I30" s="33">
        <f>'22'!I36</f>
        <v>0.96416666666666651</v>
      </c>
      <c r="J30" s="33">
        <f>'22'!J36</f>
        <v>0.41041666666666671</v>
      </c>
      <c r="K30" s="33">
        <f>'22'!K36</f>
        <v>257.62541666666669</v>
      </c>
      <c r="L30" s="33">
        <f>'22'!L36</f>
        <v>24.068333333333332</v>
      </c>
      <c r="M30" s="33">
        <f>'22'!M36</f>
        <v>57.833333333333336</v>
      </c>
      <c r="N30" s="33">
        <f>'22'!N36</f>
        <v>175.19166666666672</v>
      </c>
      <c r="O30" s="33">
        <f>'22'!O36</f>
        <v>0</v>
      </c>
      <c r="P30" s="30">
        <f>'22'!P36</f>
        <v>1.7637499999999999</v>
      </c>
      <c r="Q30" s="30">
        <f>'22'!Q36</f>
        <v>45.748750000000001</v>
      </c>
      <c r="R30" s="48"/>
      <c r="S30" s="47"/>
      <c r="T30" s="47"/>
      <c r="U30" s="47"/>
    </row>
    <row r="31" spans="1:21" s="34" customFormat="1" ht="15">
      <c r="A31" s="36" t="str">
        <f>'23'!$B$2</f>
        <v>23-01-2023 01:00</v>
      </c>
      <c r="B31" s="33">
        <f>'23'!B36</f>
        <v>59.915416666666665</v>
      </c>
      <c r="C31" s="33">
        <f>'23'!C36</f>
        <v>77.467916666666682</v>
      </c>
      <c r="D31" s="33">
        <f>'23'!D36</f>
        <v>91.016249999999999</v>
      </c>
      <c r="E31" s="33">
        <f>'23'!E36</f>
        <v>3.7766666666666668</v>
      </c>
      <c r="F31" s="33">
        <f>'23'!F36</f>
        <v>6.0718181818181822</v>
      </c>
      <c r="G31" s="33">
        <f>'23'!G36</f>
        <v>95.874166666666667</v>
      </c>
      <c r="H31" s="33">
        <f>'23'!H36</f>
        <v>37.693333333333342</v>
      </c>
      <c r="I31" s="33">
        <f>'23'!I36</f>
        <v>0.95666666666666667</v>
      </c>
      <c r="J31" s="33">
        <f>'23'!J36</f>
        <v>0.41708333333333325</v>
      </c>
      <c r="K31" s="33">
        <f>'23'!K36</f>
        <v>251.69749999999999</v>
      </c>
      <c r="L31" s="33">
        <f>'23'!L36</f>
        <v>23.787916666666671</v>
      </c>
      <c r="M31" s="33">
        <f>'23'!M36</f>
        <v>57.166666666666664</v>
      </c>
      <c r="N31" s="33">
        <f>'23'!N36</f>
        <v>178.62916666666669</v>
      </c>
      <c r="O31" s="33">
        <f>'23'!O36</f>
        <v>0</v>
      </c>
      <c r="P31" s="33">
        <f>'23'!P36</f>
        <v>1.6995833333333332</v>
      </c>
      <c r="Q31" s="33">
        <f>'23'!Q36</f>
        <v>39.071249999999999</v>
      </c>
      <c r="R31" s="47"/>
      <c r="S31" s="47"/>
      <c r="T31" s="47"/>
      <c r="U31" s="47"/>
    </row>
    <row r="32" spans="1:21" s="34" customFormat="1" ht="15">
      <c r="A32" s="36" t="str">
        <f>'24'!$B$2</f>
        <v>24-01-2023 01:00</v>
      </c>
      <c r="B32" s="33">
        <f>'24'!B36</f>
        <v>53.962083333333332</v>
      </c>
      <c r="C32" s="33">
        <f>'24'!C36</f>
        <v>81.222916666666663</v>
      </c>
      <c r="D32" s="33">
        <f>'24'!D36</f>
        <v>88.263750000000002</v>
      </c>
      <c r="E32" s="33">
        <f>'24'!E36</f>
        <v>5.3483333333333327</v>
      </c>
      <c r="F32" s="33">
        <f>'24'!F36</f>
        <v>9.3791666666666664</v>
      </c>
      <c r="G32" s="33">
        <f>'24'!G36</f>
        <v>107.12136363636365</v>
      </c>
      <c r="H32" s="33">
        <f>'24'!H36</f>
        <v>45.940909090909095</v>
      </c>
      <c r="I32" s="33">
        <f>'24'!I36</f>
        <v>0.99208333333333332</v>
      </c>
      <c r="J32" s="33">
        <f>'24'!J36</f>
        <v>0.35874999999999996</v>
      </c>
      <c r="K32" s="33">
        <f>'24'!K36</f>
        <v>245.35750000000007</v>
      </c>
      <c r="L32" s="33">
        <f>'24'!L36</f>
        <v>24.776666666666671</v>
      </c>
      <c r="M32" s="33">
        <f>'24'!M36</f>
        <v>58.833333333333336</v>
      </c>
      <c r="N32" s="33">
        <f>'24'!N36</f>
        <v>166.62083333333337</v>
      </c>
      <c r="O32" s="33">
        <f>'24'!O36</f>
        <v>0</v>
      </c>
      <c r="P32" s="33">
        <f>'24'!P36</f>
        <v>1.9733333333333336</v>
      </c>
      <c r="Q32" s="33">
        <f>'24'!Q36</f>
        <v>40.260833333333331</v>
      </c>
      <c r="R32" s="47"/>
      <c r="S32" s="47"/>
      <c r="T32" s="47"/>
      <c r="U32" s="47"/>
    </row>
    <row r="33" spans="1:21" s="34" customFormat="1" ht="15">
      <c r="A33" s="36" t="str">
        <f>'25'!$B$2</f>
        <v>25-01-2023 01:00</v>
      </c>
      <c r="B33" s="33">
        <f>'25'!B36</f>
        <v>28.105</v>
      </c>
      <c r="C33" s="33">
        <f>'25'!C36</f>
        <v>79.80916666666667</v>
      </c>
      <c r="D33" s="33">
        <f>'25'!D36</f>
        <v>66.339583333333337</v>
      </c>
      <c r="E33" s="33">
        <f>'25'!E36</f>
        <v>5.8445833333333326</v>
      </c>
      <c r="F33" s="33">
        <f>'25'!F36</f>
        <v>8.9670833333333348</v>
      </c>
      <c r="G33" s="33">
        <f>'25'!G36</f>
        <v>115.3847619047619</v>
      </c>
      <c r="H33" s="33">
        <f>'25'!H36</f>
        <v>46.107142857142854</v>
      </c>
      <c r="I33" s="33">
        <f>'25'!I36</f>
        <v>0.90416666666666679</v>
      </c>
      <c r="J33" s="33">
        <f>'25'!J36</f>
        <v>0.46124999999999988</v>
      </c>
      <c r="K33" s="33">
        <f>'25'!K36</f>
        <v>239.87041666666664</v>
      </c>
      <c r="L33" s="33">
        <f>'25'!L36</f>
        <v>25.929583333333337</v>
      </c>
      <c r="M33" s="33">
        <f>'25'!M36</f>
        <v>58.375</v>
      </c>
      <c r="N33" s="33">
        <f>'25'!N36</f>
        <v>180.80416666666659</v>
      </c>
      <c r="O33" s="33">
        <f>'25'!O36</f>
        <v>0</v>
      </c>
      <c r="P33" s="33">
        <f>'25'!P36</f>
        <v>1.9629166666666666</v>
      </c>
      <c r="Q33" s="33">
        <f>'25'!Q36</f>
        <v>42.259999999999998</v>
      </c>
      <c r="R33" s="47"/>
      <c r="S33" s="47"/>
      <c r="T33" s="47"/>
      <c r="U33" s="47"/>
    </row>
    <row r="34" spans="1:21" s="34" customFormat="1" ht="15">
      <c r="A34" s="36" t="str">
        <f>'26'!$B$2</f>
        <v>26-01-2023 01:00</v>
      </c>
      <c r="B34" s="33">
        <f>'26'!B36</f>
        <v>24.873333333333331</v>
      </c>
      <c r="C34" s="33">
        <f>'26'!C36</f>
        <v>77.021666666666661</v>
      </c>
      <c r="D34" s="33">
        <f>'26'!D36</f>
        <v>62.455833333333324</v>
      </c>
      <c r="E34" s="33">
        <f>'26'!E36</f>
        <v>4.3287499999999994</v>
      </c>
      <c r="F34" s="33">
        <f>'26'!F36</f>
        <v>6.3983333333333325</v>
      </c>
      <c r="G34" s="33">
        <f>'26'!G36</f>
        <v>96.606666666666641</v>
      </c>
      <c r="H34" s="33">
        <f>'26'!H36</f>
        <v>44.252499999999998</v>
      </c>
      <c r="I34" s="33">
        <f>'26'!I36</f>
        <v>0.83833333333333337</v>
      </c>
      <c r="J34" s="33">
        <f>'26'!J36</f>
        <v>0.45333333333333337</v>
      </c>
      <c r="K34" s="33">
        <f>'26'!K36</f>
        <v>273.17291666666671</v>
      </c>
      <c r="L34" s="33">
        <f>'26'!L36</f>
        <v>26.15333333333334</v>
      </c>
      <c r="M34" s="33">
        <f>'26'!M36</f>
        <v>57.25</v>
      </c>
      <c r="N34" s="33">
        <f>'26'!N36</f>
        <v>186.68333333333337</v>
      </c>
      <c r="O34" s="33">
        <f>'26'!O36</f>
        <v>0</v>
      </c>
      <c r="P34" s="33">
        <f>'26'!P36</f>
        <v>1.6666666666666663</v>
      </c>
      <c r="Q34" s="33">
        <f>'26'!Q36</f>
        <v>48.010416666666664</v>
      </c>
      <c r="R34" s="47"/>
      <c r="S34" s="47"/>
      <c r="T34" s="47"/>
      <c r="U34" s="47"/>
    </row>
    <row r="35" spans="1:21" s="34" customFormat="1" ht="15">
      <c r="A35" s="36" t="str">
        <f>'27'!$B$2</f>
        <v>27-01-2023 01:00</v>
      </c>
      <c r="B35" s="33">
        <f>'27'!B36</f>
        <v>45.780833333333327</v>
      </c>
      <c r="C35" s="33">
        <f>'27'!C36</f>
        <v>80.11333333333333</v>
      </c>
      <c r="D35" s="33">
        <f>'27'!D36</f>
        <v>80.760833333333338</v>
      </c>
      <c r="E35" s="33">
        <f>'27'!E36</f>
        <v>7.197857142857143</v>
      </c>
      <c r="F35" s="33">
        <f>'27'!F36</f>
        <v>9.2690909090909077</v>
      </c>
      <c r="G35" s="33">
        <f>'27'!G36</f>
        <v>126.38380952380952</v>
      </c>
      <c r="H35" s="33">
        <f>'27'!H36</f>
        <v>49.438999999999993</v>
      </c>
      <c r="I35" s="33">
        <f>'27'!I36</f>
        <v>0.8414285714285713</v>
      </c>
      <c r="J35" s="33">
        <f>'27'!J36</f>
        <v>0.52624999999999977</v>
      </c>
      <c r="K35" s="33">
        <f>'27'!K36</f>
        <v>202.26083333333338</v>
      </c>
      <c r="L35" s="33">
        <f>'27'!L36</f>
        <v>25.68375</v>
      </c>
      <c r="M35" s="33">
        <f>'27'!M36</f>
        <v>57.041666666666664</v>
      </c>
      <c r="N35" s="33">
        <f>'27'!N36</f>
        <v>157.07499999999996</v>
      </c>
      <c r="O35" s="33">
        <f>'27'!O36</f>
        <v>0</v>
      </c>
      <c r="P35" s="30">
        <f>'27'!P36</f>
        <v>1.8656521739130434</v>
      </c>
      <c r="Q35" s="33">
        <f>'27'!Q36</f>
        <v>46.936666666666675</v>
      </c>
      <c r="R35" s="47"/>
      <c r="S35" s="47"/>
      <c r="T35" s="47"/>
      <c r="U35" s="47"/>
    </row>
    <row r="36" spans="1:21" s="34" customFormat="1" ht="15">
      <c r="A36" s="36" t="str">
        <f>'28'!$B$2</f>
        <v>28-01-2023 01:00</v>
      </c>
      <c r="B36" s="33">
        <f>'28'!B36</f>
        <v>32.519230769230766</v>
      </c>
      <c r="C36" s="33">
        <f>'28'!C36</f>
        <v>89.781538461538446</v>
      </c>
      <c r="D36" s="33">
        <f>'28'!D36</f>
        <v>75.64769230769231</v>
      </c>
      <c r="E36" s="33">
        <f>'28'!E36</f>
        <v>14.031818181818181</v>
      </c>
      <c r="F36" s="33">
        <f>'28'!F36</f>
        <v>16.086666666666666</v>
      </c>
      <c r="G36" s="33">
        <f>'28'!G36</f>
        <v>94.399999999999991</v>
      </c>
      <c r="H36" s="33">
        <f>'28'!H36</f>
        <v>41.786666666666669</v>
      </c>
      <c r="I36" s="33">
        <f>'28'!I36</f>
        <v>0.85799999999999998</v>
      </c>
      <c r="J36" s="33">
        <f>'28'!J36</f>
        <v>0.75041666666666673</v>
      </c>
      <c r="K36" s="33">
        <f>'28'!K36</f>
        <v>114.27208333333333</v>
      </c>
      <c r="L36" s="33">
        <f>'28'!L36</f>
        <v>25.089166666666671</v>
      </c>
      <c r="M36" s="33">
        <f>'28'!M36</f>
        <v>60.375</v>
      </c>
      <c r="N36" s="33">
        <f>'28'!N36</f>
        <v>169.28750000000002</v>
      </c>
      <c r="O36" s="33">
        <f>'28'!O36</f>
        <v>0</v>
      </c>
      <c r="P36" s="30">
        <f>'28'!P36</f>
        <v>1.4729166666666667</v>
      </c>
      <c r="Q36" s="33">
        <f>'28'!Q36</f>
        <v>36.133749999999999</v>
      </c>
      <c r="R36" s="47"/>
      <c r="S36" s="47"/>
      <c r="T36" s="47"/>
      <c r="U36" s="47"/>
    </row>
    <row r="37" spans="1:21" s="34" customFormat="1" ht="15">
      <c r="A37" s="36" t="str">
        <f>'29'!$B$2</f>
        <v>29-01-2023 01:00</v>
      </c>
      <c r="B37" s="33">
        <f>'29'!B36</f>
        <v>20.559999999999999</v>
      </c>
      <c r="C37" s="33">
        <f>'29'!C36</f>
        <v>86.236249999999998</v>
      </c>
      <c r="D37" s="33">
        <f>'29'!D36</f>
        <v>64.234166666666653</v>
      </c>
      <c r="E37" s="33">
        <f>'29'!E36</f>
        <v>7.0462500000000015</v>
      </c>
      <c r="F37" s="33">
        <f>'29'!F36</f>
        <v>8.3366666666666678</v>
      </c>
      <c r="G37" s="33">
        <f>'29'!G36</f>
        <v>73.112499999999997</v>
      </c>
      <c r="H37" s="33">
        <f>'29'!H36</f>
        <v>36.040416666666665</v>
      </c>
      <c r="I37" s="33">
        <f>'29'!I36</f>
        <v>0.74624999999999986</v>
      </c>
      <c r="J37" s="33">
        <f>'29'!J36</f>
        <v>0.77041666666666642</v>
      </c>
      <c r="K37" s="33">
        <f>'29'!K36</f>
        <v>123.88958333333339</v>
      </c>
      <c r="L37" s="33">
        <f>'29'!L36</f>
        <v>25.795416666666668</v>
      </c>
      <c r="M37" s="33">
        <f>'29'!M36</f>
        <v>48.708333333333336</v>
      </c>
      <c r="N37" s="33">
        <f>'29'!N36</f>
        <v>168.86249999999998</v>
      </c>
      <c r="O37" s="33">
        <f>'29'!O36</f>
        <v>0</v>
      </c>
      <c r="P37" s="33">
        <f>'29'!P36</f>
        <v>1.138333333333333</v>
      </c>
      <c r="Q37" s="33">
        <f>'29'!Q36</f>
        <v>38.911249999999995</v>
      </c>
      <c r="R37" s="47"/>
      <c r="S37" s="47"/>
      <c r="T37" s="47"/>
      <c r="U37" s="47"/>
    </row>
    <row r="38" spans="1:21" s="34" customFormat="1" ht="15">
      <c r="A38" s="36" t="str">
        <f>'30'!$B$2</f>
        <v>30-01-2023 01:00</v>
      </c>
      <c r="B38" s="33">
        <f>'30'!B36</f>
        <v>13.480833333333331</v>
      </c>
      <c r="C38" s="33">
        <f>'30'!C36</f>
        <v>89.535000000000011</v>
      </c>
      <c r="D38" s="33">
        <f>'30'!D36</f>
        <v>60.335416666666667</v>
      </c>
      <c r="E38" s="33">
        <f>'30'!E36</f>
        <v>6.9995833333333328</v>
      </c>
      <c r="F38" s="33">
        <f>'30'!F36</f>
        <v>7.9216666666666669</v>
      </c>
      <c r="G38" s="33">
        <f>'30'!G36</f>
        <v>98.223749999999995</v>
      </c>
      <c r="H38" s="33">
        <f>'30'!H36</f>
        <v>44.521250000000002</v>
      </c>
      <c r="I38" s="33">
        <f>'30'!I36</f>
        <v>0.70000000000000007</v>
      </c>
      <c r="J38" s="33">
        <f>'30'!J36</f>
        <v>0.82708333333333328</v>
      </c>
      <c r="K38" s="33">
        <f>'30'!K36</f>
        <v>163.16791666666666</v>
      </c>
      <c r="L38" s="33">
        <f>'30'!L36</f>
        <v>26.303749999999997</v>
      </c>
      <c r="M38" s="33">
        <f>'30'!M36</f>
        <v>55.416666666666664</v>
      </c>
      <c r="N38" s="33">
        <f>'30'!N36</f>
        <v>170.46666666666667</v>
      </c>
      <c r="O38" s="33">
        <f>'30'!O36</f>
        <v>0</v>
      </c>
      <c r="P38" s="33">
        <f>'30'!P36</f>
        <v>1.2533333333333336</v>
      </c>
      <c r="Q38" s="33">
        <f>'30'!Q36</f>
        <v>37.529166666666669</v>
      </c>
      <c r="R38" s="47"/>
      <c r="S38" s="47"/>
      <c r="T38" s="47"/>
      <c r="U38" s="47"/>
    </row>
    <row r="39" spans="1:21" ht="15">
      <c r="A39" s="36" t="str">
        <f>'31'!$B$2</f>
        <v>31-01-2023 01:00</v>
      </c>
      <c r="B39" s="33">
        <f>'31'!B37</f>
        <v>10.917539637625797</v>
      </c>
      <c r="C39" s="33">
        <f>'31'!C37</f>
        <v>14.898934106170289</v>
      </c>
      <c r="D39" s="33">
        <f>'31'!D37</f>
        <v>16.566525420037582</v>
      </c>
      <c r="E39" s="33">
        <f>'31'!E37</f>
        <v>6.36466535147229</v>
      </c>
      <c r="F39" s="33">
        <f>'31'!F37</f>
        <v>4.8967338271457086</v>
      </c>
      <c r="G39" s="33">
        <f>'31'!G37</f>
        <v>34.926629242651337</v>
      </c>
      <c r="H39" s="33">
        <f>'31'!H37</f>
        <v>8.2839485854673374</v>
      </c>
      <c r="I39" s="33">
        <f>'31'!I37</f>
        <v>0.07236549388957475</v>
      </c>
      <c r="J39" s="33">
        <f>'31'!J37</f>
        <v>0.41121748362707067</v>
      </c>
      <c r="K39" s="33">
        <f>'31'!K37</f>
        <v>40.658028103627451</v>
      </c>
      <c r="L39" s="33">
        <f>'31'!L37</f>
        <v>3.5864230444306164</v>
      </c>
      <c r="M39" s="33">
        <f>'31'!M37</f>
        <v>12.946307738423767</v>
      </c>
      <c r="N39" s="33">
        <f>'31'!N37</f>
        <v>220.9668733369752</v>
      </c>
      <c r="O39" s="33">
        <f>'31'!O37</f>
        <v>0</v>
      </c>
      <c r="P39" s="33">
        <f>'31'!P37</f>
        <v>0.51645320508588033</v>
      </c>
      <c r="Q39" s="33">
        <f>'31'!Q37</f>
        <v>3.6834858401767483</v>
      </c>
      <c r="R39" s="20"/>
      <c r="S39" s="20"/>
      <c r="T39" s="20"/>
      <c r="U39" s="49"/>
    </row>
    <row r="40" spans="1:21" s="21" customFormat="1" ht="15">
      <c r="A40" s="14" t="s">
        <v>30</v>
      </c>
      <c r="B40" s="15">
        <f t="shared" si="0" ref="B40:Q40">MIN(B9:B38)</f>
        <v>6.3666666666666663</v>
      </c>
      <c r="C40" s="15">
        <f t="shared" si="0"/>
        <v>71.935416666666669</v>
      </c>
      <c r="D40" s="15">
        <f t="shared" si="0"/>
        <v>50.862083333333338</v>
      </c>
      <c r="E40" s="15">
        <f t="shared" si="0"/>
        <v>3.7766666666666668</v>
      </c>
      <c r="F40" s="15">
        <f t="shared" si="0"/>
        <v>0.67625000000000002</v>
      </c>
      <c r="G40" s="15">
        <f t="shared" si="0"/>
        <v>58.849166666666662</v>
      </c>
      <c r="H40" s="15">
        <f t="shared" si="0"/>
        <v>29.020833333333329</v>
      </c>
      <c r="I40" s="15">
        <f t="shared" si="0"/>
        <v>0.23874999999999999</v>
      </c>
      <c r="J40" s="15">
        <f t="shared" si="0"/>
        <v>0.21541666666666667</v>
      </c>
      <c r="K40" s="15">
        <f t="shared" si="0"/>
        <v>72.800416666666663</v>
      </c>
      <c r="L40" s="15">
        <f t="shared" si="0"/>
        <v>18.485000000000003</v>
      </c>
      <c r="M40" s="15">
        <f t="shared" si="0"/>
        <v>43.5</v>
      </c>
      <c r="N40" s="15">
        <f t="shared" si="0"/>
        <v>41.579166666666659</v>
      </c>
      <c r="O40" s="15">
        <f t="shared" si="0"/>
        <v>0</v>
      </c>
      <c r="P40" s="15">
        <f t="shared" si="0"/>
        <v>1.138333333333333</v>
      </c>
      <c r="Q40" s="15">
        <f t="shared" si="0"/>
        <v>15.636666666666665</v>
      </c>
      <c r="R40" s="28"/>
      <c r="S40" s="28"/>
      <c r="T40" s="28"/>
      <c r="U40" s="28"/>
    </row>
    <row r="41" spans="1:21" s="21" customFormat="1" ht="15">
      <c r="A41" s="14" t="s">
        <v>31</v>
      </c>
      <c r="B41" s="15">
        <f t="shared" si="1" ref="B41:Q41">MAX(B9:B38)</f>
        <v>114.01916666666665</v>
      </c>
      <c r="C41" s="15">
        <f t="shared" si="1"/>
        <v>164.00874999999999</v>
      </c>
      <c r="D41" s="15">
        <f t="shared" si="1"/>
        <v>181.77000000000007</v>
      </c>
      <c r="E41" s="15">
        <f t="shared" si="1"/>
        <v>14.031818181818181</v>
      </c>
      <c r="F41" s="15">
        <f t="shared" si="1"/>
        <v>16.086666666666666</v>
      </c>
      <c r="G41" s="15">
        <f t="shared" si="1"/>
        <v>152.82181818181817</v>
      </c>
      <c r="H41" s="15">
        <f t="shared" si="1"/>
        <v>73.476086956521755</v>
      </c>
      <c r="I41" s="15">
        <f t="shared" si="1"/>
        <v>1.014</v>
      </c>
      <c r="J41" s="15">
        <f t="shared" si="1"/>
        <v>0.96333333333333337</v>
      </c>
      <c r="K41" s="15">
        <f t="shared" si="1"/>
        <v>298.84958333333333</v>
      </c>
      <c r="L41" s="15">
        <f t="shared" si="1"/>
        <v>26.303749999999997</v>
      </c>
      <c r="M41" s="15">
        <f t="shared" si="1"/>
        <v>86.333333333333329</v>
      </c>
      <c r="N41" s="15">
        <f t="shared" si="1"/>
        <v>367.15000000000003</v>
      </c>
      <c r="O41" s="15">
        <f t="shared" si="1"/>
        <v>0.083333333333333329</v>
      </c>
      <c r="P41" s="15">
        <f t="shared" si="1"/>
        <v>2.8795833333333323</v>
      </c>
      <c r="Q41" s="15">
        <f t="shared" si="1"/>
        <v>53.094583333333325</v>
      </c>
      <c r="R41" s="28"/>
      <c r="S41" s="28"/>
      <c r="T41" s="28"/>
      <c r="U41" s="28"/>
    </row>
    <row r="42" spans="1:21" s="21" customFormat="1" ht="15">
      <c r="A42" s="14" t="s">
        <v>32</v>
      </c>
      <c r="B42" s="15">
        <f t="shared" si="2" ref="B42:Q42">AVERAGE(B9:B38)</f>
        <v>41.342332450761788</v>
      </c>
      <c r="C42" s="15">
        <f t="shared" si="2"/>
        <v>95.252416016350764</v>
      </c>
      <c r="D42" s="15">
        <f t="shared" si="2"/>
        <v>85.666414622816816</v>
      </c>
      <c r="E42" s="15">
        <f t="shared" si="2"/>
        <v>6.2384541533345894</v>
      </c>
      <c r="F42" s="15">
        <f t="shared" si="2"/>
        <v>5.46305992792374</v>
      </c>
      <c r="G42" s="15">
        <f t="shared" si="2"/>
        <v>102.08942041690192</v>
      </c>
      <c r="H42" s="15">
        <f t="shared" si="2"/>
        <v>46.828429728966697</v>
      </c>
      <c r="I42" s="15">
        <f t="shared" si="2"/>
        <v>0.69537092822636315</v>
      </c>
      <c r="J42" s="15">
        <f t="shared" si="2"/>
        <v>0.55463888888888879</v>
      </c>
      <c r="K42" s="15">
        <f t="shared" si="2"/>
        <v>192.98181944444448</v>
      </c>
      <c r="L42" s="15">
        <f t="shared" si="2"/>
        <v>22.952236111111112</v>
      </c>
      <c r="M42" s="15">
        <f t="shared" si="2"/>
        <v>58.12083333333333</v>
      </c>
      <c r="N42" s="15">
        <f t="shared" si="2"/>
        <v>203.62288662649445</v>
      </c>
      <c r="O42" s="15">
        <f t="shared" si="2"/>
        <v>0.0027777777777777775</v>
      </c>
      <c r="P42" s="15">
        <f t="shared" si="2"/>
        <v>1.7276328502415461</v>
      </c>
      <c r="Q42" s="15">
        <f t="shared" si="2"/>
        <v>38.425874999999998</v>
      </c>
      <c r="R42" s="28"/>
      <c r="S42" s="28"/>
      <c r="T42" s="28"/>
      <c r="U42" s="28"/>
    </row>
    <row r="43" spans="1:21" s="21" customFormat="1" ht="15">
      <c r="A43" s="14" t="s">
        <v>38</v>
      </c>
      <c r="B43" s="15">
        <f t="shared" si="3" ref="B43:Q43">STDEV(B9:B38)</f>
        <v>28.139746726508886</v>
      </c>
      <c r="C43" s="15">
        <f t="shared" si="3"/>
        <v>25.338679518603861</v>
      </c>
      <c r="D43" s="15">
        <f t="shared" si="3"/>
        <v>35.028223942215213</v>
      </c>
      <c r="E43" s="15">
        <f t="shared" si="3"/>
        <v>2.4240066839932388</v>
      </c>
      <c r="F43" s="15">
        <f t="shared" si="3"/>
        <v>3.657881835335929</v>
      </c>
      <c r="G43" s="15">
        <f t="shared" si="3"/>
        <v>20.822735487744545</v>
      </c>
      <c r="H43" s="15">
        <f t="shared" si="3"/>
        <v>10.413211295217812</v>
      </c>
      <c r="I43" s="15">
        <f t="shared" si="3"/>
        <v>0.25091767262282116</v>
      </c>
      <c r="J43" s="15">
        <f t="shared" si="3"/>
        <v>0.19419603933193264</v>
      </c>
      <c r="K43" s="15">
        <f t="shared" si="3"/>
        <v>71.124538048086194</v>
      </c>
      <c r="L43" s="15">
        <f t="shared" si="3"/>
        <v>2.1611049624127046</v>
      </c>
      <c r="M43" s="15">
        <f t="shared" si="3"/>
        <v>8.5299249967506281</v>
      </c>
      <c r="N43" s="15">
        <f t="shared" si="3"/>
        <v>84.73484745322051</v>
      </c>
      <c r="O43" s="15">
        <f t="shared" si="3"/>
        <v>0.015214515486254614</v>
      </c>
      <c r="P43" s="15">
        <f t="shared" si="3"/>
        <v>0.41058683854353872</v>
      </c>
      <c r="Q43" s="15">
        <f t="shared" si="3"/>
        <v>7.4775005679154267</v>
      </c>
      <c r="R43" s="28"/>
      <c r="S43" s="28"/>
      <c r="T43" s="28"/>
      <c r="U43" s="28"/>
    </row>
    <row r="44" spans="1:21" s="21" customFormat="1" ht="15">
      <c r="A44" s="14" t="s">
        <v>33</v>
      </c>
      <c r="B44" s="12">
        <f t="shared" si="4" ref="B44:Q44">COUNT(B9:B38)</f>
        <v>30</v>
      </c>
      <c r="C44" s="12">
        <f t="shared" si="4"/>
        <v>30</v>
      </c>
      <c r="D44" s="12">
        <f t="shared" si="4"/>
        <v>30</v>
      </c>
      <c r="E44" s="12">
        <f t="shared" si="4"/>
        <v>30</v>
      </c>
      <c r="F44" s="12">
        <f t="shared" si="4"/>
        <v>30</v>
      </c>
      <c r="G44" s="12">
        <f t="shared" si="4"/>
        <v>30</v>
      </c>
      <c r="H44" s="12">
        <f t="shared" si="4"/>
        <v>30</v>
      </c>
      <c r="I44" s="12">
        <f t="shared" si="4"/>
        <v>30</v>
      </c>
      <c r="J44" s="12">
        <f t="shared" si="4"/>
        <v>30</v>
      </c>
      <c r="K44" s="12">
        <f t="shared" si="4"/>
        <v>30</v>
      </c>
      <c r="L44" s="12">
        <f t="shared" si="4"/>
        <v>30</v>
      </c>
      <c r="M44" s="12">
        <f t="shared" si="4"/>
        <v>30</v>
      </c>
      <c r="N44" s="12">
        <f t="shared" si="4"/>
        <v>30</v>
      </c>
      <c r="O44" s="12">
        <f t="shared" si="4"/>
        <v>30</v>
      </c>
      <c r="P44" s="12">
        <f t="shared" si="4"/>
        <v>30</v>
      </c>
      <c r="Q44" s="12">
        <f t="shared" si="4"/>
        <v>30</v>
      </c>
      <c r="R44" s="29"/>
      <c r="S44" s="29"/>
      <c r="T44" s="29"/>
      <c r="U44" s="29"/>
    </row>
    <row r="45" spans="1:21" s="21" customFormat="1" ht="15">
      <c r="A45" s="14" t="s">
        <v>34</v>
      </c>
      <c r="B45" s="12" t="str">
        <f>IF(B44&gt;=28,"&gt;90%",IF(B44&lt;=28,"&lt;90%"))</f>
        <v>&gt;90%</v>
      </c>
      <c r="C45" s="12" t="str">
        <f t="shared" si="5" ref="C45:Q45">IF(C44&gt;=28,"&gt;90%",IF(C44&lt;=28,"&lt;90%"))</f>
        <v>&gt;90%</v>
      </c>
      <c r="D45" s="12" t="str">
        <f t="shared" si="5"/>
        <v>&gt;90%</v>
      </c>
      <c r="E45" s="12" t="str">
        <f t="shared" si="5"/>
        <v>&gt;90%</v>
      </c>
      <c r="F45" s="12" t="str">
        <f t="shared" si="5"/>
        <v>&gt;90%</v>
      </c>
      <c r="G45" s="12" t="str">
        <f t="shared" si="5"/>
        <v>&gt;90%</v>
      </c>
      <c r="H45" s="12" t="str">
        <f t="shared" si="5"/>
        <v>&gt;90%</v>
      </c>
      <c r="I45" s="12" t="str">
        <f t="shared" si="5"/>
        <v>&gt;90%</v>
      </c>
      <c r="J45" s="12" t="str">
        <f t="shared" si="5"/>
        <v>&gt;90%</v>
      </c>
      <c r="K45" s="12" t="str">
        <f t="shared" si="5"/>
        <v>&gt;90%</v>
      </c>
      <c r="L45" s="12" t="str">
        <f t="shared" si="5"/>
        <v>&gt;90%</v>
      </c>
      <c r="M45" s="12" t="str">
        <f t="shared" si="5"/>
        <v>&gt;90%</v>
      </c>
      <c r="N45" s="12" t="str">
        <f t="shared" si="5"/>
        <v>&gt;90%</v>
      </c>
      <c r="O45" s="12" t="str">
        <f t="shared" si="5"/>
        <v>&gt;90%</v>
      </c>
      <c r="P45" s="12" t="str">
        <f t="shared" si="5"/>
        <v>&gt;90%</v>
      </c>
      <c r="Q45" s="12" t="str">
        <f t="shared" si="5"/>
        <v>&gt;90%</v>
      </c>
      <c r="R45" s="29"/>
      <c r="S45" s="29"/>
      <c r="T45" s="29"/>
      <c r="U45" s="29"/>
    </row>
    <row r="46" spans="1:21" s="21" customFormat="1" ht="15">
      <c r="A46" s="14" t="s">
        <v>1</v>
      </c>
      <c r="B46" s="12" t="str">
        <f>IF(B44&gt;=28,"OK",IF(B44&lt;=28,"LESS"))</f>
        <v>OK</v>
      </c>
      <c r="C46" s="12" t="str">
        <f t="shared" si="6" ref="C46:Q46">IF(C44&gt;=28,"OK",IF(C44&lt;=28,"LESS"))</f>
        <v>OK</v>
      </c>
      <c r="D46" s="12" t="str">
        <f t="shared" si="6"/>
        <v>OK</v>
      </c>
      <c r="E46" s="12" t="str">
        <f t="shared" si="6"/>
        <v>OK</v>
      </c>
      <c r="F46" s="12" t="str">
        <f t="shared" si="6"/>
        <v>OK</v>
      </c>
      <c r="G46" s="12" t="str">
        <f t="shared" si="6"/>
        <v>OK</v>
      </c>
      <c r="H46" s="12" t="str">
        <f t="shared" si="6"/>
        <v>OK</v>
      </c>
      <c r="I46" s="12" t="str">
        <f t="shared" si="6"/>
        <v>OK</v>
      </c>
      <c r="J46" s="12" t="str">
        <f t="shared" si="6"/>
        <v>OK</v>
      </c>
      <c r="K46" s="12" t="str">
        <f t="shared" si="6"/>
        <v>OK</v>
      </c>
      <c r="L46" s="12" t="str">
        <f t="shared" si="6"/>
        <v>OK</v>
      </c>
      <c r="M46" s="12" t="str">
        <f t="shared" si="6"/>
        <v>OK</v>
      </c>
      <c r="N46" s="12" t="str">
        <f t="shared" si="6"/>
        <v>OK</v>
      </c>
      <c r="O46" s="12" t="str">
        <f t="shared" si="6"/>
        <v>OK</v>
      </c>
      <c r="P46" s="12" t="str">
        <f t="shared" si="6"/>
        <v>OK</v>
      </c>
      <c r="Q46" s="12" t="str">
        <f t="shared" si="6"/>
        <v>OK</v>
      </c>
      <c r="R46" s="29"/>
      <c r="S46" s="29"/>
      <c r="T46" s="29"/>
      <c r="U46" s="29"/>
    </row>
    <row r="47" spans="2:20" ht="15"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</row>
    <row r="49" spans="1:16" ht="15">
      <c r="A49" s="14" t="s">
        <v>35</v>
      </c>
      <c r="B49" s="40" t="s">
        <v>60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5">
      <c r="A50" s="13"/>
      <c r="B50" s="21"/>
      <c r="C50" s="21"/>
      <c r="D50" s="1"/>
      <c r="E50" s="1"/>
      <c r="F50" s="1"/>
      <c r="G50" s="1"/>
      <c r="H50" s="1"/>
      <c r="I50" s="1"/>
      <c r="J50" s="21"/>
      <c r="K50" s="21"/>
      <c r="L50" s="21"/>
      <c r="M50" s="21"/>
      <c r="N50" s="21"/>
      <c r="O50" s="21"/>
      <c r="P50" s="21"/>
    </row>
    <row r="51" spans="1:16" ht="15.75">
      <c r="A51" s="17" t="s">
        <v>36</v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</row>
    <row r="52" spans="1:16" ht="15">
      <c r="A52" s="13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5">
      <c r="A53" s="13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5">
      <c r="A54" s="13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</sheetData>
  <sheetProtection/>
  <mergeCells count="1">
    <mergeCell ref="B51:P5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14</vt:lpstr>
      <vt:lpstr>13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30</vt:lpstr>
    </vt:vector>
  </TitlesOfParts>
  <Template/>
  <Manager/>
  <Company>wbpcb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BHATAGAON</cp:lastModifiedBy>
  <cp:lastPrinted>2018-07-30T12:51:54Z</cp:lastPrinted>
  <dcterms:created xsi:type="dcterms:W3CDTF">2013-08-23T16:44:31Z</dcterms:created>
  <dcterms:modified xsi:type="dcterms:W3CDTF">2024-08-28T14:08:04Z</dcterms:modified>
  <cp:category/>
</cp:coreProperties>
</file>