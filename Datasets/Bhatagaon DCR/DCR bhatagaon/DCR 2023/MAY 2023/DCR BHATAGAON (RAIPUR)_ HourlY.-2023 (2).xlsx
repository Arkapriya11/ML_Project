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1" sheetId="39" r:id="rId32"/>
  </sheets>
  <calcPr calcId="144525"/>
</workbook>
</file>

<file path=xl/calcChain.xml><?xml version="1.0" encoding="utf-8"?>
<calcChain xmlns="http://schemas.openxmlformats.org/spreadsheetml/2006/main">
  <c r="B2" i="16" l="1"/>
  <c r="Q47" i="39"/>
  <c r="P47" i="39"/>
  <c r="O47" i="39"/>
  <c r="N47" i="39"/>
  <c r="M47" i="39"/>
  <c r="L47" i="39"/>
  <c r="K47" i="39"/>
  <c r="J47" i="39"/>
  <c r="I47" i="39"/>
  <c r="H47" i="39"/>
  <c r="G47" i="39"/>
  <c r="F47" i="39"/>
  <c r="E47" i="39"/>
  <c r="D47" i="39"/>
  <c r="C47" i="39"/>
  <c r="B47" i="39"/>
  <c r="Q46" i="39"/>
  <c r="P46" i="39"/>
  <c r="O46" i="39"/>
  <c r="N46" i="39"/>
  <c r="M46" i="39"/>
  <c r="L46" i="39"/>
  <c r="K46" i="39"/>
  <c r="J46" i="39"/>
  <c r="I46" i="39"/>
  <c r="H46" i="39"/>
  <c r="G46" i="39"/>
  <c r="F46" i="39"/>
  <c r="E46" i="39"/>
  <c r="D46" i="39"/>
  <c r="C46" i="39"/>
  <c r="B46" i="39"/>
  <c r="Q45" i="39"/>
  <c r="P45" i="39"/>
  <c r="O45" i="39"/>
  <c r="N45" i="39"/>
  <c r="M45" i="39"/>
  <c r="L45" i="39"/>
  <c r="K45" i="39"/>
  <c r="J45" i="39"/>
  <c r="I45" i="39"/>
  <c r="H45" i="39"/>
  <c r="G45" i="39"/>
  <c r="F45" i="39"/>
  <c r="E45" i="39"/>
  <c r="D45" i="39"/>
  <c r="C45" i="39"/>
  <c r="B45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B44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B43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E42" i="39"/>
  <c r="D42" i="39"/>
  <c r="C42" i="39"/>
  <c r="B42" i="39"/>
  <c r="Q41" i="39"/>
  <c r="P41" i="39"/>
  <c r="O41" i="39"/>
  <c r="N41" i="39"/>
  <c r="M41" i="39"/>
  <c r="L41" i="39"/>
  <c r="K41" i="39"/>
  <c r="J41" i="39"/>
  <c r="I41" i="39"/>
  <c r="H41" i="39"/>
  <c r="G41" i="39"/>
  <c r="F41" i="39"/>
  <c r="E41" i="39"/>
  <c r="D41" i="39"/>
  <c r="C41" i="39"/>
  <c r="B41" i="39"/>
  <c r="Q39" i="39"/>
  <c r="P39" i="39"/>
  <c r="O39" i="39"/>
  <c r="N39" i="39"/>
  <c r="M39" i="39"/>
  <c r="L39" i="39"/>
  <c r="K39" i="39"/>
  <c r="J39" i="39"/>
  <c r="I39" i="39"/>
  <c r="H39" i="39"/>
  <c r="G39" i="39"/>
  <c r="F39" i="39"/>
  <c r="E39" i="39"/>
  <c r="D39" i="39"/>
  <c r="C39" i="39"/>
  <c r="B39" i="39"/>
  <c r="A39" i="39"/>
  <c r="Q38" i="39"/>
  <c r="P38" i="39"/>
  <c r="O38" i="39"/>
  <c r="N38" i="39"/>
  <c r="M38" i="39"/>
  <c r="L38" i="39"/>
  <c r="K38" i="39"/>
  <c r="J38" i="39"/>
  <c r="I38" i="39"/>
  <c r="H38" i="39"/>
  <c r="G38" i="39"/>
  <c r="F38" i="39"/>
  <c r="E38" i="39"/>
  <c r="D38" i="39"/>
  <c r="C38" i="39"/>
  <c r="B38" i="39"/>
  <c r="A38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B37" i="39"/>
  <c r="A37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B36" i="39"/>
  <c r="A36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B35" i="39"/>
  <c r="A35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B34" i="39"/>
  <c r="A34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B33" i="39"/>
  <c r="A33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E32" i="39"/>
  <c r="D32" i="39"/>
  <c r="C32" i="39"/>
  <c r="B32" i="39"/>
  <c r="A32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Q17" i="39"/>
  <c r="P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Q15" i="39"/>
  <c r="P15" i="39"/>
  <c r="O15" i="39"/>
  <c r="N15" i="39"/>
  <c r="M15" i="39"/>
  <c r="L15" i="39"/>
  <c r="K15" i="39"/>
  <c r="J15" i="39"/>
  <c r="I15" i="39"/>
  <c r="F15" i="39"/>
  <c r="E15" i="39"/>
  <c r="D15" i="39"/>
  <c r="C15" i="39"/>
  <c r="B15" i="39"/>
  <c r="A15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B2" i="39"/>
  <c r="Q40" i="42"/>
  <c r="P40" i="42"/>
  <c r="O40" i="42"/>
  <c r="N40" i="42"/>
  <c r="M40" i="42"/>
  <c r="L40" i="42"/>
  <c r="K40" i="42"/>
  <c r="J40" i="42"/>
  <c r="I40" i="42"/>
  <c r="H40" i="42"/>
  <c r="G40" i="42"/>
  <c r="F40" i="42"/>
  <c r="E40" i="42"/>
  <c r="D40" i="42"/>
  <c r="C40" i="42"/>
  <c r="B40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Q38" i="42"/>
  <c r="P38" i="42"/>
  <c r="O38" i="42"/>
  <c r="N38" i="42"/>
  <c r="M38" i="42"/>
  <c r="L38" i="42"/>
  <c r="K38" i="42"/>
  <c r="J38" i="42"/>
  <c r="I38" i="42"/>
  <c r="H38" i="42"/>
  <c r="G38" i="42"/>
  <c r="F38" i="42"/>
  <c r="E38" i="42"/>
  <c r="D38" i="42"/>
  <c r="C38" i="42"/>
  <c r="B38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Q40" i="41"/>
  <c r="P40" i="41"/>
  <c r="O40" i="41"/>
  <c r="N40" i="41"/>
  <c r="M40" i="41"/>
  <c r="L40" i="41"/>
  <c r="K40" i="41"/>
  <c r="J40" i="41"/>
  <c r="I40" i="41"/>
  <c r="H40" i="41"/>
  <c r="G40" i="41"/>
  <c r="F40" i="41"/>
  <c r="E40" i="41"/>
  <c r="D40" i="41"/>
  <c r="C40" i="41"/>
  <c r="B40" i="41"/>
  <c r="Q39" i="41"/>
  <c r="P39" i="41"/>
  <c r="O39" i="41"/>
  <c r="N39" i="41"/>
  <c r="M39" i="41"/>
  <c r="L39" i="41"/>
  <c r="K39" i="41"/>
  <c r="J39" i="41"/>
  <c r="I39" i="41"/>
  <c r="H39" i="41"/>
  <c r="G39" i="41"/>
  <c r="F39" i="41"/>
  <c r="E39" i="41"/>
  <c r="D39" i="41"/>
  <c r="C39" i="41"/>
  <c r="B39" i="41"/>
  <c r="Q38" i="41"/>
  <c r="P38" i="41"/>
  <c r="O38" i="41"/>
  <c r="N38" i="41"/>
  <c r="M38" i="41"/>
  <c r="L38" i="41"/>
  <c r="K38" i="41"/>
  <c r="J38" i="41"/>
  <c r="I38" i="41"/>
  <c r="H38" i="41"/>
  <c r="G38" i="41"/>
  <c r="F38" i="41"/>
  <c r="E38" i="41"/>
  <c r="D38" i="41"/>
  <c r="C38" i="41"/>
  <c r="B38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Q40" i="40"/>
  <c r="P40" i="40"/>
  <c r="O40" i="40"/>
  <c r="N40" i="40"/>
  <c r="M40" i="40"/>
  <c r="L40" i="40"/>
  <c r="K40" i="40"/>
  <c r="J40" i="40"/>
  <c r="I40" i="40"/>
  <c r="H40" i="40"/>
  <c r="G40" i="40"/>
  <c r="F40" i="40"/>
  <c r="E40" i="40"/>
  <c r="D40" i="40"/>
  <c r="C40" i="40"/>
  <c r="B40" i="40"/>
  <c r="Q39" i="40"/>
  <c r="P39" i="40"/>
  <c r="O39" i="40"/>
  <c r="N39" i="40"/>
  <c r="M39" i="40"/>
  <c r="L39" i="40"/>
  <c r="K39" i="40"/>
  <c r="J39" i="40"/>
  <c r="I39" i="40"/>
  <c r="H39" i="40"/>
  <c r="G39" i="40"/>
  <c r="F39" i="40"/>
  <c r="E39" i="40"/>
  <c r="D39" i="40"/>
  <c r="C39" i="40"/>
  <c r="B39" i="40"/>
  <c r="Q38" i="40"/>
  <c r="P38" i="40"/>
  <c r="O38" i="40"/>
  <c r="N38" i="40"/>
  <c r="M38" i="40"/>
  <c r="L38" i="40"/>
  <c r="K38" i="40"/>
  <c r="J38" i="40"/>
  <c r="I38" i="40"/>
  <c r="H38" i="40"/>
  <c r="G38" i="40"/>
  <c r="F38" i="40"/>
  <c r="E38" i="40"/>
  <c r="D38" i="40"/>
  <c r="C38" i="40"/>
  <c r="B38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D40" i="33"/>
  <c r="C40" i="33"/>
  <c r="B40" i="33"/>
  <c r="Q39" i="33"/>
  <c r="P39" i="33"/>
  <c r="O39" i="33"/>
  <c r="N39" i="33"/>
  <c r="M39" i="33"/>
  <c r="L39" i="33"/>
  <c r="K39" i="33"/>
  <c r="J39" i="33"/>
  <c r="I39" i="33"/>
  <c r="H39" i="33"/>
  <c r="G39" i="33"/>
  <c r="F39" i="33"/>
  <c r="E39" i="33"/>
  <c r="D39" i="33"/>
  <c r="C39" i="33"/>
  <c r="B39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B38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C36" i="33"/>
  <c r="B36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B36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B36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B36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B36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B36" i="26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B36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</calcChain>
</file>

<file path=xl/sharedStrings.xml><?xml version="1.0" encoding="utf-8"?>
<sst xmlns="http://schemas.openxmlformats.org/spreadsheetml/2006/main" count="3356" uniqueCount="806">
  <si>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</si>
  <si>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</si>
  <si>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</si>
  <si>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</si>
  <si>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</si>
  <si>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</si>
  <si>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</si>
  <si>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</si>
  <si>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</si>
  <si>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</si>
  <si>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</si>
  <si>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</si>
  <si>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</si>
  <si>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</si>
  <si>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</si>
  <si>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</si>
  <si>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</si>
  <si>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</si>
  <si>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</si>
  <si>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</si>
  <si>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</si>
  <si>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</si>
  <si>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</si>
  <si>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</si>
  <si>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</si>
  <si>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</si>
  <si>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</si>
  <si>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</si>
  <si>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</si>
  <si>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</si>
  <si>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</si>
  <si>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</si>
  <si>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</si>
  <si>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</si>
  <si>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</si>
  <si>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</si>
  <si>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</si>
  <si>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</si>
  <si>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</si>
  <si>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</si>
  <si>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</si>
  <si>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</si>
  <si>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</si>
  <si>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</si>
  <si>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</si>
  <si>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</si>
  <si>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</si>
  <si>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</si>
  <si>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</si>
  <si>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</si>
  <si>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</si>
  <si>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</si>
  <si>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</si>
  <si>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</si>
  <si>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</si>
  <si>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</si>
  <si>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</si>
  <si>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</si>
  <si>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</si>
  <si>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</si>
  <si>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</si>
  <si>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</si>
  <si>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01-05-2023 01:00</t>
  </si>
  <si>
    <t>01-05-2023 02:00</t>
  </si>
  <si>
    <t>01-05-2023 03:00</t>
  </si>
  <si>
    <t>01-05-2023 04:00</t>
  </si>
  <si>
    <t>01-05-2023 05:00</t>
  </si>
  <si>
    <t>01-05-2023 06:00</t>
  </si>
  <si>
    <t>01-05-2023 07:00</t>
  </si>
  <si>
    <t>01-05-2023 08:00</t>
  </si>
  <si>
    <t>01-05-2023 09:00</t>
  </si>
  <si>
    <t>01-05-2023 10:00</t>
  </si>
  <si>
    <t>01-05-2023 11:00</t>
  </si>
  <si>
    <t>01-05-2023 12:00</t>
  </si>
  <si>
    <t>01-05-2023 13:00</t>
  </si>
  <si>
    <t>01-05-2023 14:00</t>
  </si>
  <si>
    <t>01-05-2023 15:00</t>
  </si>
  <si>
    <t>01-05-2023 16:00</t>
  </si>
  <si>
    <t>01-05-2023 17:00</t>
  </si>
  <si>
    <t>01-05-2023 18:00</t>
  </si>
  <si>
    <t>01-05-2023 19:00</t>
  </si>
  <si>
    <t>01-05-2023 20:00</t>
  </si>
  <si>
    <t>01-05-2023 21:00</t>
  </si>
  <si>
    <t>01-05-2023 22:00</t>
  </si>
  <si>
    <t>01-05-2023 23:00</t>
  </si>
  <si>
    <t>01-05-2023 24:00</t>
  </si>
  <si>
    <t>02-05-2023 01:00</t>
  </si>
  <si>
    <t>02-05-2023 02:00</t>
  </si>
  <si>
    <t>02-05-2023 03:00</t>
  </si>
  <si>
    <t>02-05-2023 04:00</t>
  </si>
  <si>
    <t>02-05-2023 05:00</t>
  </si>
  <si>
    <t>02-05-2023 06:00</t>
  </si>
  <si>
    <t>02-05-2023 07:00</t>
  </si>
  <si>
    <t>02-05-2023 08:00</t>
  </si>
  <si>
    <t>02-05-2023 09:00</t>
  </si>
  <si>
    <t>02-05-2023 10:00</t>
  </si>
  <si>
    <t>02-05-2023 11:00</t>
  </si>
  <si>
    <t>02-05-2023 12:00</t>
  </si>
  <si>
    <t>02-05-2023 13:00</t>
  </si>
  <si>
    <t>02-05-2023 14:00</t>
  </si>
  <si>
    <t>02-05-2023 15:00</t>
  </si>
  <si>
    <t>02-05-2023 16:00</t>
  </si>
  <si>
    <t>02-05-2023 17:00</t>
  </si>
  <si>
    <t>02-05-2023 18:00</t>
  </si>
  <si>
    <t>02-05-2023 19:00</t>
  </si>
  <si>
    <t>02-05-2023 20:00</t>
  </si>
  <si>
    <t>02-05-2023 21:00</t>
  </si>
  <si>
    <t>02-05-2023 22:00</t>
  </si>
  <si>
    <t>02-05-2023 23:00</t>
  </si>
  <si>
    <t>02-05-2023 24:00</t>
  </si>
  <si>
    <t>03-05-2023 01:00</t>
  </si>
  <si>
    <t>03-05-2023 02:00</t>
  </si>
  <si>
    <t>03-05-2023 03:00</t>
  </si>
  <si>
    <t>03-05-2023 04:00</t>
  </si>
  <si>
    <t>03-05-2023 05:00</t>
  </si>
  <si>
    <t>03-05-2023 06:00</t>
  </si>
  <si>
    <t>03-05-2023 07:00</t>
  </si>
  <si>
    <t>03-05-2023 08:00</t>
  </si>
  <si>
    <t>03-05-2023 09:00</t>
  </si>
  <si>
    <t>03-05-2023 10:00</t>
  </si>
  <si>
    <t>03-05-2023 11:00</t>
  </si>
  <si>
    <t>03-05-2023 12:00</t>
  </si>
  <si>
    <t>03-05-2023 13:00</t>
  </si>
  <si>
    <t>03-05-2023 14:00</t>
  </si>
  <si>
    <t>03-05-2023 15:00</t>
  </si>
  <si>
    <t>03-05-2023 16:00</t>
  </si>
  <si>
    <t>03-05-2023 17:00</t>
  </si>
  <si>
    <t>03-05-2023 18:00</t>
  </si>
  <si>
    <t>03-05-2023 19:00</t>
  </si>
  <si>
    <t>03-05-2023 20:00</t>
  </si>
  <si>
    <t>03-05-2023 21:00</t>
  </si>
  <si>
    <t>03-05-2023 22:00</t>
  </si>
  <si>
    <t>03-05-2023 23:00</t>
  </si>
  <si>
    <t>03-05-2023 24:00</t>
  </si>
  <si>
    <t>04-05-2023 01:00</t>
  </si>
  <si>
    <t>04-05-2023 02:00</t>
  </si>
  <si>
    <t>04-05-2023 03:00</t>
  </si>
  <si>
    <t>04-05-2023 04:00</t>
  </si>
  <si>
    <t>04-05-2023 05:00</t>
  </si>
  <si>
    <t>04-05-2023 06:00</t>
  </si>
  <si>
    <t>04-05-2023 07:00</t>
  </si>
  <si>
    <t>04-05-2023 08:00</t>
  </si>
  <si>
    <t>04-05-2023 09:00</t>
  </si>
  <si>
    <t>04-05-2023 10:00</t>
  </si>
  <si>
    <t>04-05-2023 11:00</t>
  </si>
  <si>
    <t>04-05-2023 12:00</t>
  </si>
  <si>
    <t>04-05-2023 13:00</t>
  </si>
  <si>
    <t>04-05-2023 14:00</t>
  </si>
  <si>
    <t>04-05-2023 15:00</t>
  </si>
  <si>
    <t>04-05-2023 16:00</t>
  </si>
  <si>
    <t>04-05-2023 17:00</t>
  </si>
  <si>
    <t>04-05-2023 18:00</t>
  </si>
  <si>
    <t>04-05-2023 19:00</t>
  </si>
  <si>
    <t>04-05-2023 20:00</t>
  </si>
  <si>
    <t>04-05-2023 21:00</t>
  </si>
  <si>
    <t>04-05-2023 22:00</t>
  </si>
  <si>
    <t>04-05-2023 23:00</t>
  </si>
  <si>
    <t>04-05-2023 24:00</t>
  </si>
  <si>
    <t>05-05-2023 01:00</t>
  </si>
  <si>
    <t>05-05-2023 02:00</t>
  </si>
  <si>
    <t>05-05-2023 03:00</t>
  </si>
  <si>
    <t>05-05-2023 04:00</t>
  </si>
  <si>
    <t>05-05-2023 05:00</t>
  </si>
  <si>
    <t>05-05-2023 06:00</t>
  </si>
  <si>
    <t>05-05-2023 07:00</t>
  </si>
  <si>
    <t>05-05-2023 08:00</t>
  </si>
  <si>
    <t>05-05-2023 09:00</t>
  </si>
  <si>
    <t>05-05-2023 10:00</t>
  </si>
  <si>
    <t>05-05-2023 11:00</t>
  </si>
  <si>
    <t>05-05-2023 12:00</t>
  </si>
  <si>
    <t>05-05-2023 13:00</t>
  </si>
  <si>
    <t>05-05-2023 14:00</t>
  </si>
  <si>
    <t>05-05-2023 15:00</t>
  </si>
  <si>
    <t>05-05-2023 16:00</t>
  </si>
  <si>
    <t>05-05-2023 17:00</t>
  </si>
  <si>
    <t>05-05-2023 18:00</t>
  </si>
  <si>
    <t>05-05-2023 19:00</t>
  </si>
  <si>
    <t>05-05-2023 20:00</t>
  </si>
  <si>
    <t>05-05-2023 21:00</t>
  </si>
  <si>
    <t>05-05-2023 22:00</t>
  </si>
  <si>
    <t>05-05-2023 23:00</t>
  </si>
  <si>
    <t>05-05-2023 24:00</t>
  </si>
  <si>
    <t>06-05-2023 01:00</t>
  </si>
  <si>
    <t>06-05-2023 02:00</t>
  </si>
  <si>
    <t>06-05-2023 03:00</t>
  </si>
  <si>
    <t>06-05-2023 04:00</t>
  </si>
  <si>
    <t>06-05-2023 05:00</t>
  </si>
  <si>
    <t>06-05-2023 06:00</t>
  </si>
  <si>
    <t>06-05-2023 07:00</t>
  </si>
  <si>
    <t>06-05-2023 08:00</t>
  </si>
  <si>
    <t>06-05-2023 09:00</t>
  </si>
  <si>
    <t>06-05-2023 10:00</t>
  </si>
  <si>
    <t>06-05-2023 11:00</t>
  </si>
  <si>
    <t>06-05-2023 12:00</t>
  </si>
  <si>
    <t>06-05-2023 13:00</t>
  </si>
  <si>
    <t>06-05-2023 14:00</t>
  </si>
  <si>
    <t>06-05-2023 15:00</t>
  </si>
  <si>
    <t>06-05-2023 16:00</t>
  </si>
  <si>
    <t>06-05-2023 17:00</t>
  </si>
  <si>
    <t>06-05-2023 18:00</t>
  </si>
  <si>
    <t>06-05-2023 19:00</t>
  </si>
  <si>
    <t>06-05-2023 20:00</t>
  </si>
  <si>
    <t>06-05-2023 21:00</t>
  </si>
  <si>
    <t>06-05-2023 22:00</t>
  </si>
  <si>
    <t>06-05-2023 23:00</t>
  </si>
  <si>
    <t>06-05-2023 24:00</t>
  </si>
  <si>
    <t>07-05-2023 01:00</t>
  </si>
  <si>
    <t>07-05-2023 02:00</t>
  </si>
  <si>
    <t>07-05-2023 03:00</t>
  </si>
  <si>
    <t>07-05-2023 04:00</t>
  </si>
  <si>
    <t>07-05-2023 05:00</t>
  </si>
  <si>
    <t>07-05-2023 06:00</t>
  </si>
  <si>
    <t>07-05-2023 07:00</t>
  </si>
  <si>
    <t>07-05-2023 08:00</t>
  </si>
  <si>
    <t>07-05-2023 09:00</t>
  </si>
  <si>
    <t>07-05-2023 10:00</t>
  </si>
  <si>
    <t>07-05-2023 11:00</t>
  </si>
  <si>
    <t>07-05-2023 12:00</t>
  </si>
  <si>
    <t>07-05-2023 13:00</t>
  </si>
  <si>
    <t>07-05-2023 14:00</t>
  </si>
  <si>
    <t>07-05-2023 15:00</t>
  </si>
  <si>
    <t>07-05-2023 16:00</t>
  </si>
  <si>
    <t>07-05-2023 17:00</t>
  </si>
  <si>
    <t>07-05-2023 18:00</t>
  </si>
  <si>
    <t>07-05-2023 19:00</t>
  </si>
  <si>
    <t>07-05-2023 20:00</t>
  </si>
  <si>
    <t>07-05-2023 21:00</t>
  </si>
  <si>
    <t>07-05-2023 22:00</t>
  </si>
  <si>
    <t>07-05-2023 23:00</t>
  </si>
  <si>
    <t>07-05-2023 24:00</t>
  </si>
  <si>
    <t>08-05-2023 01:00</t>
  </si>
  <si>
    <t>08-05-2023 02:00</t>
  </si>
  <si>
    <t>08-05-2023 03:00</t>
  </si>
  <si>
    <t>08-05-2023 04:00</t>
  </si>
  <si>
    <t>08-05-2023 05:00</t>
  </si>
  <si>
    <t>08-05-2023 06:00</t>
  </si>
  <si>
    <t>08-05-2023 07:00</t>
  </si>
  <si>
    <t>08-05-2023 08:00</t>
  </si>
  <si>
    <t>08-05-2023 09:00</t>
  </si>
  <si>
    <t>08-05-2023 10:00</t>
  </si>
  <si>
    <t>08-05-2023 11:00</t>
  </si>
  <si>
    <t>08-05-2023 12:00</t>
  </si>
  <si>
    <t>08-05-2023 13:00</t>
  </si>
  <si>
    <t>08-05-2023 14:00</t>
  </si>
  <si>
    <t>08-05-2023 15:00</t>
  </si>
  <si>
    <t>08-05-2023 16:00</t>
  </si>
  <si>
    <t>08-05-2023 17:00</t>
  </si>
  <si>
    <t>08-05-2023 18:00</t>
  </si>
  <si>
    <t>08-05-2023 19:00</t>
  </si>
  <si>
    <t>08-05-2023 20:00</t>
  </si>
  <si>
    <t>08-05-2023 21:00</t>
  </si>
  <si>
    <t>08-05-2023 22:00</t>
  </si>
  <si>
    <t>08-05-2023 23:00</t>
  </si>
  <si>
    <t>08-05-2023 24:00</t>
  </si>
  <si>
    <t>09-05-2023 01:00</t>
  </si>
  <si>
    <t>09-05-2023 02:00</t>
  </si>
  <si>
    <t>09-05-2023 03:00</t>
  </si>
  <si>
    <t>09-05-2023 04:00</t>
  </si>
  <si>
    <t>09-05-2023 05:00</t>
  </si>
  <si>
    <t>09-05-2023 06:00</t>
  </si>
  <si>
    <t>09-05-2023 07:00</t>
  </si>
  <si>
    <t>09-05-2023 08:00</t>
  </si>
  <si>
    <t>09-05-2023 09:00</t>
  </si>
  <si>
    <t>09-05-2023 10:00</t>
  </si>
  <si>
    <t>09-05-2023 11:00</t>
  </si>
  <si>
    <t>09-05-2023 12:00</t>
  </si>
  <si>
    <t>09-05-2023 13:00</t>
  </si>
  <si>
    <t>09-05-2023 14:00</t>
  </si>
  <si>
    <t>09-05-2023 15:00</t>
  </si>
  <si>
    <t>09-05-2023 16:00</t>
  </si>
  <si>
    <t>09-05-2023 17:00</t>
  </si>
  <si>
    <t>09-05-2023 18:00</t>
  </si>
  <si>
    <t>09-05-2023 19:00</t>
  </si>
  <si>
    <t>09-05-2023 20:00</t>
  </si>
  <si>
    <t>09-05-2023 21:00</t>
  </si>
  <si>
    <t>09-05-2023 22:00</t>
  </si>
  <si>
    <t>09-05-2023 23:00</t>
  </si>
  <si>
    <t>09-05-2023 24:00</t>
  </si>
  <si>
    <t>10-05-2023 01:00</t>
  </si>
  <si>
    <t>10-05-2023 02:00</t>
  </si>
  <si>
    <t>10-05-2023 03:00</t>
  </si>
  <si>
    <t>10-05-2023 04:00</t>
  </si>
  <si>
    <t>10-05-2023 05:00</t>
  </si>
  <si>
    <t>10-05-2023 06:00</t>
  </si>
  <si>
    <t>10-05-2023 07:00</t>
  </si>
  <si>
    <t>10-05-2023 08:00</t>
  </si>
  <si>
    <t>10-05-2023 09:00</t>
  </si>
  <si>
    <t>10-05-2023 10:00</t>
  </si>
  <si>
    <t>10-05-2023 11:00</t>
  </si>
  <si>
    <t>10-05-2023 12:00</t>
  </si>
  <si>
    <t>10-05-2023 13:00</t>
  </si>
  <si>
    <t>10-05-2023 14:00</t>
  </si>
  <si>
    <t>10-05-2023 15:00</t>
  </si>
  <si>
    <t>10-05-2023 16:00</t>
  </si>
  <si>
    <t>10-05-2023 17:00</t>
  </si>
  <si>
    <t>10-05-2023 18:00</t>
  </si>
  <si>
    <t>10-05-2023 19:00</t>
  </si>
  <si>
    <t>10-05-2023 20:00</t>
  </si>
  <si>
    <t>10-05-2023 21:00</t>
  </si>
  <si>
    <t>10-05-2023 22:00</t>
  </si>
  <si>
    <t>10-05-2023 23:00</t>
  </si>
  <si>
    <t>10-05-2023 24:00</t>
  </si>
  <si>
    <t>11-05-2023 01:00</t>
  </si>
  <si>
    <t>11-05-2023 02:00</t>
  </si>
  <si>
    <t>11-05-2023 03:00</t>
  </si>
  <si>
    <t>11-05-2023 04:00</t>
  </si>
  <si>
    <t>11-05-2023 05:00</t>
  </si>
  <si>
    <t>11-05-2023 06:00</t>
  </si>
  <si>
    <t>11-05-2023 07:00</t>
  </si>
  <si>
    <t>11-05-2023 08:00</t>
  </si>
  <si>
    <t>11-05-2023 09:00</t>
  </si>
  <si>
    <t>11-05-2023 10:00</t>
  </si>
  <si>
    <t>11-05-2023 11:00</t>
  </si>
  <si>
    <t>11-05-2023 12:00</t>
  </si>
  <si>
    <t>11-05-2023 13:00</t>
  </si>
  <si>
    <t>11-05-2023 14:00</t>
  </si>
  <si>
    <t>11-05-2023 15:00</t>
  </si>
  <si>
    <t>11-05-2023 16:00</t>
  </si>
  <si>
    <t>11-05-2023 17:00</t>
  </si>
  <si>
    <t>11-05-2023 18:00</t>
  </si>
  <si>
    <t>11-05-2023 19:00</t>
  </si>
  <si>
    <t>11-05-2023 20:00</t>
  </si>
  <si>
    <t>11-05-2023 21:00</t>
  </si>
  <si>
    <t>11-05-2023 22:00</t>
  </si>
  <si>
    <t>11-05-2023 23:00</t>
  </si>
  <si>
    <t>11-05-2023 24:00</t>
  </si>
  <si>
    <t>12-05-2023 01:00</t>
  </si>
  <si>
    <t>12-05-2023 02:00</t>
  </si>
  <si>
    <t>12-05-2023 03:00</t>
  </si>
  <si>
    <t>12-05-2023 04:00</t>
  </si>
  <si>
    <t>12-05-2023 05:00</t>
  </si>
  <si>
    <t>12-05-2023 06:00</t>
  </si>
  <si>
    <t>12-05-2023 07:00</t>
  </si>
  <si>
    <t>12-05-2023 08:00</t>
  </si>
  <si>
    <t>12-05-2023 09:00</t>
  </si>
  <si>
    <t>12-05-2023 10:00</t>
  </si>
  <si>
    <t>12-05-2023 11:00</t>
  </si>
  <si>
    <t>12-05-2023 12:00</t>
  </si>
  <si>
    <t>12-05-2023 13:00</t>
  </si>
  <si>
    <t>12-05-2023 14:00</t>
  </si>
  <si>
    <t>12-05-2023 15:00</t>
  </si>
  <si>
    <t>12-05-2023 16:00</t>
  </si>
  <si>
    <t>12-05-2023 17:00</t>
  </si>
  <si>
    <t>12-05-2023 18:00</t>
  </si>
  <si>
    <t>12-05-2023 19:00</t>
  </si>
  <si>
    <t>12-05-2023 20:00</t>
  </si>
  <si>
    <t>12-05-2023 21:00</t>
  </si>
  <si>
    <t>12-05-2023 22:00</t>
  </si>
  <si>
    <t>12-05-2023 23:00</t>
  </si>
  <si>
    <t>12-05-2023 24:00</t>
  </si>
  <si>
    <t>13-05-2023 01:00</t>
  </si>
  <si>
    <t>13-05-2023 02:00</t>
  </si>
  <si>
    <t>13-05-2023 03:00</t>
  </si>
  <si>
    <t>13-05-2023 04:00</t>
  </si>
  <si>
    <t>13-05-2023 05:00</t>
  </si>
  <si>
    <t>13-05-2023 06:00</t>
  </si>
  <si>
    <t>13-05-2023 07:00</t>
  </si>
  <si>
    <t>13-05-2023 08:00</t>
  </si>
  <si>
    <t>13-05-2023 09:00</t>
  </si>
  <si>
    <t>13-05-2023 10:00</t>
  </si>
  <si>
    <t>13-05-2023 11:00</t>
  </si>
  <si>
    <t>13-05-2023 12:00</t>
  </si>
  <si>
    <t>13-05-2023 13:00</t>
  </si>
  <si>
    <t>13-05-2023 14:00</t>
  </si>
  <si>
    <t>13-05-2023 15:00</t>
  </si>
  <si>
    <t>13-05-2023 16:00</t>
  </si>
  <si>
    <t>13-05-2023 17:00</t>
  </si>
  <si>
    <t>13-05-2023 18:00</t>
  </si>
  <si>
    <t>13-05-2023 19:00</t>
  </si>
  <si>
    <t>13-05-2023 20:00</t>
  </si>
  <si>
    <t>13-05-2023 21:00</t>
  </si>
  <si>
    <t>13-05-2023 22:00</t>
  </si>
  <si>
    <t>13-05-2023 23:00</t>
  </si>
  <si>
    <t>13-05-2023 24:00</t>
  </si>
  <si>
    <t>14-05-2023 01:00</t>
  </si>
  <si>
    <t>14-05-2023 02:00</t>
  </si>
  <si>
    <t>14-05-2023 03:00</t>
  </si>
  <si>
    <t>14-05-2023 04:00</t>
  </si>
  <si>
    <t>14-05-2023 05:00</t>
  </si>
  <si>
    <t>14-05-2023 06:00</t>
  </si>
  <si>
    <t>14-05-2023 07:00</t>
  </si>
  <si>
    <t>14-05-2023 08:00</t>
  </si>
  <si>
    <t>14-05-2023 09:00</t>
  </si>
  <si>
    <t>14-05-2023 10:00</t>
  </si>
  <si>
    <t>14-05-2023 11:00</t>
  </si>
  <si>
    <t>14-05-2023 12:00</t>
  </si>
  <si>
    <t>14-05-2023 13:00</t>
  </si>
  <si>
    <t>14-05-2023 14:00</t>
  </si>
  <si>
    <t>14-05-2023 15:00</t>
  </si>
  <si>
    <t>14-05-2023 16:00</t>
  </si>
  <si>
    <t>14-05-2023 17:00</t>
  </si>
  <si>
    <t>14-05-2023 18:00</t>
  </si>
  <si>
    <t>14-05-2023 19:00</t>
  </si>
  <si>
    <t>14-05-2023 20:00</t>
  </si>
  <si>
    <t>14-05-2023 21:00</t>
  </si>
  <si>
    <t>14-05-2023 22:00</t>
  </si>
  <si>
    <t>14-05-2023 23:00</t>
  </si>
  <si>
    <t>14-05-2023 24:00</t>
  </si>
  <si>
    <t>15-05-2023 01:00</t>
  </si>
  <si>
    <t>15-05-2023 02:00</t>
  </si>
  <si>
    <t>15-05-2023 03:00</t>
  </si>
  <si>
    <t>15-05-2023 04:00</t>
  </si>
  <si>
    <t>15-05-2023 05:00</t>
  </si>
  <si>
    <t>15-05-2023 06:00</t>
  </si>
  <si>
    <t>15-05-2023 07:00</t>
  </si>
  <si>
    <t>15-05-2023 08:00</t>
  </si>
  <si>
    <t>15-05-2023 09:00</t>
  </si>
  <si>
    <t>15-05-2023 10:00</t>
  </si>
  <si>
    <t>15-05-2023 11:00</t>
  </si>
  <si>
    <t>15-05-2023 12:00</t>
  </si>
  <si>
    <t>15-05-2023 13:00</t>
  </si>
  <si>
    <t>15-05-2023 14:00</t>
  </si>
  <si>
    <t>15-05-2023 15:00</t>
  </si>
  <si>
    <t>15-05-2023 16:00</t>
  </si>
  <si>
    <t>15-05-2023 17:00</t>
  </si>
  <si>
    <t>15-05-2023 18:00</t>
  </si>
  <si>
    <t>15-05-2023 19:00</t>
  </si>
  <si>
    <t>15-05-2023 20:00</t>
  </si>
  <si>
    <t>15-05-2023 21:00</t>
  </si>
  <si>
    <t>15-05-2023 22:00</t>
  </si>
  <si>
    <t>15-05-2023 23:00</t>
  </si>
  <si>
    <t>15-05-2023 24:00</t>
  </si>
  <si>
    <t>16-05-2023 01:00</t>
  </si>
  <si>
    <t>16-05-2023 02:00</t>
  </si>
  <si>
    <t>16-05-2023 03:00</t>
  </si>
  <si>
    <t>16-05-2023 04:00</t>
  </si>
  <si>
    <t>16-05-2023 05:00</t>
  </si>
  <si>
    <t>16-05-2023 06:00</t>
  </si>
  <si>
    <t>16-05-2023 07:00</t>
  </si>
  <si>
    <t>16-05-2023 08:00</t>
  </si>
  <si>
    <t>16-05-2023 09:00</t>
  </si>
  <si>
    <t>16-05-2023 10:00</t>
  </si>
  <si>
    <t>16-05-2023 11:00</t>
  </si>
  <si>
    <t>16-05-2023 12:00</t>
  </si>
  <si>
    <t>16-05-2023 13:00</t>
  </si>
  <si>
    <t>16-05-2023 14:00</t>
  </si>
  <si>
    <t>16-05-2023 15:00</t>
  </si>
  <si>
    <t>16-05-2023 16:00</t>
  </si>
  <si>
    <t>16-05-2023 17:00</t>
  </si>
  <si>
    <t>16-05-2023 18:00</t>
  </si>
  <si>
    <t>16-05-2023 19:00</t>
  </si>
  <si>
    <t>16-05-2023 20:00</t>
  </si>
  <si>
    <t>16-05-2023 21:00</t>
  </si>
  <si>
    <t>16-05-2023 22:00</t>
  </si>
  <si>
    <t>16-05-2023 23:00</t>
  </si>
  <si>
    <t>16-05-2023 24:00</t>
  </si>
  <si>
    <t>17-05-2023 01:00</t>
  </si>
  <si>
    <t>17-05-2023 02:00</t>
  </si>
  <si>
    <t>17-05-2023 03:00</t>
  </si>
  <si>
    <t>17-05-2023 04:00</t>
  </si>
  <si>
    <t>17-05-2023 05:00</t>
  </si>
  <si>
    <t>17-05-2023 06:00</t>
  </si>
  <si>
    <t>17-05-2023 07:00</t>
  </si>
  <si>
    <t>17-05-2023 08:00</t>
  </si>
  <si>
    <t>17-05-2023 09:00</t>
  </si>
  <si>
    <t>17-05-2023 10:00</t>
  </si>
  <si>
    <t>17-05-2023 11:00</t>
  </si>
  <si>
    <t>17-05-2023 12:00</t>
  </si>
  <si>
    <t>17-05-2023 13:00</t>
  </si>
  <si>
    <t>17-05-2023 14:00</t>
  </si>
  <si>
    <t>17-05-2023 15:00</t>
  </si>
  <si>
    <t>17-05-2023 16:00</t>
  </si>
  <si>
    <t>17-05-2023 17:00</t>
  </si>
  <si>
    <t>17-05-2023 18:00</t>
  </si>
  <si>
    <t>17-05-2023 19:00</t>
  </si>
  <si>
    <t>17-05-2023 20:00</t>
  </si>
  <si>
    <t>17-05-2023 21:00</t>
  </si>
  <si>
    <t>17-05-2023 22:00</t>
  </si>
  <si>
    <t>17-05-2023 23:00</t>
  </si>
  <si>
    <t>17-05-2023 24:00</t>
  </si>
  <si>
    <t>18-05-2023 01:00</t>
  </si>
  <si>
    <t>18-05-2023 02:00</t>
  </si>
  <si>
    <t>18-05-2023 03:00</t>
  </si>
  <si>
    <t>18-05-2023 04:00</t>
  </si>
  <si>
    <t>18-05-2023 05:00</t>
  </si>
  <si>
    <t>18-05-2023 06:00</t>
  </si>
  <si>
    <t>18-05-2023 07:00</t>
  </si>
  <si>
    <t>18-05-2023 08:00</t>
  </si>
  <si>
    <t>18-05-2023 09:00</t>
  </si>
  <si>
    <t>18-05-2023 10:00</t>
  </si>
  <si>
    <t>18-05-2023 11:00</t>
  </si>
  <si>
    <t>18-05-2023 12:00</t>
  </si>
  <si>
    <t>18-05-2023 13:00</t>
  </si>
  <si>
    <t>18-05-2023 14:00</t>
  </si>
  <si>
    <t>18-05-2023 15:00</t>
  </si>
  <si>
    <t>18-05-2023 16:00</t>
  </si>
  <si>
    <t>18-05-2023 17:00</t>
  </si>
  <si>
    <t>18-05-2023 18:00</t>
  </si>
  <si>
    <t>18-05-2023 19:00</t>
  </si>
  <si>
    <t>18-05-2023 20:00</t>
  </si>
  <si>
    <t>18-05-2023 21:00</t>
  </si>
  <si>
    <t>18-05-2023 22:00</t>
  </si>
  <si>
    <t>18-05-2023 23:00</t>
  </si>
  <si>
    <t>18-05-2023 24:00</t>
  </si>
  <si>
    <t>19-05-2023 01:00</t>
  </si>
  <si>
    <t>19-05-2023 02:00</t>
  </si>
  <si>
    <t>19-05-2023 03:00</t>
  </si>
  <si>
    <t>19-05-2023 04:00</t>
  </si>
  <si>
    <t>19-05-2023 05:00</t>
  </si>
  <si>
    <t>19-05-2023 06:00</t>
  </si>
  <si>
    <t>19-05-2023 07:00</t>
  </si>
  <si>
    <t>19-05-2023 08:00</t>
  </si>
  <si>
    <t>19-05-2023 09:00</t>
  </si>
  <si>
    <t>19-05-2023 10:00</t>
  </si>
  <si>
    <t>19-05-2023 11:00</t>
  </si>
  <si>
    <t>19-05-2023 12:00</t>
  </si>
  <si>
    <t>19-05-2023 13:00</t>
  </si>
  <si>
    <t>19-05-2023 14:00</t>
  </si>
  <si>
    <t>19-05-2023 15:00</t>
  </si>
  <si>
    <t>19-05-2023 16:00</t>
  </si>
  <si>
    <t>19-05-2023 17:00</t>
  </si>
  <si>
    <t>19-05-2023 18:00</t>
  </si>
  <si>
    <t>19-05-2023 19:00</t>
  </si>
  <si>
    <t>19-05-2023 20:00</t>
  </si>
  <si>
    <t>19-05-2023 21:00</t>
  </si>
  <si>
    <t>19-05-2023 22:00</t>
  </si>
  <si>
    <t>19-05-2023 23:00</t>
  </si>
  <si>
    <t>19-05-2023 24:00</t>
  </si>
  <si>
    <t>20-05-2023 01:00</t>
  </si>
  <si>
    <t>20-05-2023 02:00</t>
  </si>
  <si>
    <t>20-05-2023 03:00</t>
  </si>
  <si>
    <t>20-05-2023 04:00</t>
  </si>
  <si>
    <t>20-05-2023 05:00</t>
  </si>
  <si>
    <t>20-05-2023 06:00</t>
  </si>
  <si>
    <t>20-05-2023 07:00</t>
  </si>
  <si>
    <t>20-05-2023 08:00</t>
  </si>
  <si>
    <t>20-05-2023 09:00</t>
  </si>
  <si>
    <t>20-05-2023 10:00</t>
  </si>
  <si>
    <t>20-05-2023 11:00</t>
  </si>
  <si>
    <t>20-05-2023 12:00</t>
  </si>
  <si>
    <t>20-05-2023 13:00</t>
  </si>
  <si>
    <t>20-05-2023 14:00</t>
  </si>
  <si>
    <t>20-05-2023 15:00</t>
  </si>
  <si>
    <t>20-05-2023 16:00</t>
  </si>
  <si>
    <t>20-05-2023 17:00</t>
  </si>
  <si>
    <t>20-05-2023 18:00</t>
  </si>
  <si>
    <t>20-05-2023 19:00</t>
  </si>
  <si>
    <t>20-05-2023 20:00</t>
  </si>
  <si>
    <t>20-05-2023 21:00</t>
  </si>
  <si>
    <t>20-05-2023 22:00</t>
  </si>
  <si>
    <t>20-05-2023 23:00</t>
  </si>
  <si>
    <t>20-05-2023 24:00</t>
  </si>
  <si>
    <t>21-05-2023 01:00</t>
  </si>
  <si>
    <t>21-05-2023 02:00</t>
  </si>
  <si>
    <t>21-05-2023 03:00</t>
  </si>
  <si>
    <t>21-05-2023 04:00</t>
  </si>
  <si>
    <t>21-05-2023 05:00</t>
  </si>
  <si>
    <t>21-05-2023 06:00</t>
  </si>
  <si>
    <t>21-05-2023 07:00</t>
  </si>
  <si>
    <t>21-05-2023 08:00</t>
  </si>
  <si>
    <t>21-05-2023 09:00</t>
  </si>
  <si>
    <t>21-05-2023 10:00</t>
  </si>
  <si>
    <t>21-05-2023 11:00</t>
  </si>
  <si>
    <t>21-05-2023 12:00</t>
  </si>
  <si>
    <t>21-05-2023 13:00</t>
  </si>
  <si>
    <t>21-05-2023 14:00</t>
  </si>
  <si>
    <t>21-05-2023 15:00</t>
  </si>
  <si>
    <t>21-05-2023 16:00</t>
  </si>
  <si>
    <t>21-05-2023 17:00</t>
  </si>
  <si>
    <t>21-05-2023 18:00</t>
  </si>
  <si>
    <t>21-05-2023 19:00</t>
  </si>
  <si>
    <t>21-05-2023 20:00</t>
  </si>
  <si>
    <t>21-05-2023 21:00</t>
  </si>
  <si>
    <t>21-05-2023 22:00</t>
  </si>
  <si>
    <t>21-05-2023 23:00</t>
  </si>
  <si>
    <t>21-05-2023 24:00</t>
  </si>
  <si>
    <t>22-05-2023 01:00</t>
  </si>
  <si>
    <t>22-05-2023 02:00</t>
  </si>
  <si>
    <t>22-05-2023 03:00</t>
  </si>
  <si>
    <t>22-05-2023 04:00</t>
  </si>
  <si>
    <t>22-05-2023 05:00</t>
  </si>
  <si>
    <t>22-05-2023 06:00</t>
  </si>
  <si>
    <t>22-05-2023 07:00</t>
  </si>
  <si>
    <t>22-05-2023 08:00</t>
  </si>
  <si>
    <t>22-05-2023 09:00</t>
  </si>
  <si>
    <t>22-05-2023 10:00</t>
  </si>
  <si>
    <t>22-05-2023 11:00</t>
  </si>
  <si>
    <t>22-05-2023 12:00</t>
  </si>
  <si>
    <t>22-05-2023 13:00</t>
  </si>
  <si>
    <t>22-05-2023 14:00</t>
  </si>
  <si>
    <t>22-05-2023 15:00</t>
  </si>
  <si>
    <t>22-05-2023 16:00</t>
  </si>
  <si>
    <t>22-05-2023 17:00</t>
  </si>
  <si>
    <t>22-05-2023 18:00</t>
  </si>
  <si>
    <t>22-05-2023 19:00</t>
  </si>
  <si>
    <t>22-05-2023 20:00</t>
  </si>
  <si>
    <t>22-05-2023 21:00</t>
  </si>
  <si>
    <t>22-05-2023 22:00</t>
  </si>
  <si>
    <t>22-05-2023 23:00</t>
  </si>
  <si>
    <t>22-05-2023 24:00</t>
  </si>
  <si>
    <t>23-05-2023 01:00</t>
  </si>
  <si>
    <t>23-05-2023 02:00</t>
  </si>
  <si>
    <t>23-05-2023 03:00</t>
  </si>
  <si>
    <t>23-05-2023 04:00</t>
  </si>
  <si>
    <t>23-05-2023 05:00</t>
  </si>
  <si>
    <t>23-05-2023 06:00</t>
  </si>
  <si>
    <t>23-05-2023 07:00</t>
  </si>
  <si>
    <t>23-05-2023 08:00</t>
  </si>
  <si>
    <t>23-05-2023 09:00</t>
  </si>
  <si>
    <t>23-05-2023 10:00</t>
  </si>
  <si>
    <t>23-05-2023 11:00</t>
  </si>
  <si>
    <t>23-05-2023 12:00</t>
  </si>
  <si>
    <t>23-05-2023 13:00</t>
  </si>
  <si>
    <t>23-05-2023 14:00</t>
  </si>
  <si>
    <t>23-05-2023 15:00</t>
  </si>
  <si>
    <t>23-05-2023 16:00</t>
  </si>
  <si>
    <t>23-05-2023 17:00</t>
  </si>
  <si>
    <t>23-05-2023 18:00</t>
  </si>
  <si>
    <t>23-05-2023 19:00</t>
  </si>
  <si>
    <t>23-05-2023 20:00</t>
  </si>
  <si>
    <t>23-05-2023 21:00</t>
  </si>
  <si>
    <t>23-05-2023 22:00</t>
  </si>
  <si>
    <t>23-05-2023 23:00</t>
  </si>
  <si>
    <t>23-05-2023 24:00</t>
  </si>
  <si>
    <t>24-05-2023 01:00</t>
  </si>
  <si>
    <t>24-05-2023 02:00</t>
  </si>
  <si>
    <t>24-05-2023 03:00</t>
  </si>
  <si>
    <t>24-05-2023 04:00</t>
  </si>
  <si>
    <t>24-05-2023 05:00</t>
  </si>
  <si>
    <t>24-05-2023 06:00</t>
  </si>
  <si>
    <t>24-05-2023 07:00</t>
  </si>
  <si>
    <t>24-05-2023 08:00</t>
  </si>
  <si>
    <t>24-05-2023 09:00</t>
  </si>
  <si>
    <t>24-05-2023 10:00</t>
  </si>
  <si>
    <t>24-05-2023 11:00</t>
  </si>
  <si>
    <t>24-05-2023 12:00</t>
  </si>
  <si>
    <t>24-05-2023 13:00</t>
  </si>
  <si>
    <t>24-05-2023 14:00</t>
  </si>
  <si>
    <t>24-05-2023 15:00</t>
  </si>
  <si>
    <t>24-05-2023 16:00</t>
  </si>
  <si>
    <t>24-05-2023 17:00</t>
  </si>
  <si>
    <t>24-05-2023 18:00</t>
  </si>
  <si>
    <t>24-05-2023 19:00</t>
  </si>
  <si>
    <t>24-05-2023 20:00</t>
  </si>
  <si>
    <t>24-05-2023 21:00</t>
  </si>
  <si>
    <t>24-05-2023 22:00</t>
  </si>
  <si>
    <t>24-05-2023 23:00</t>
  </si>
  <si>
    <t>24-05-2023 24:00</t>
  </si>
  <si>
    <t>25-05-2023 01:00</t>
  </si>
  <si>
    <t>25-05-2023 02:00</t>
  </si>
  <si>
    <t>25-05-2023 03:00</t>
  </si>
  <si>
    <t>25-05-2023 04:00</t>
  </si>
  <si>
    <t>25-05-2023 05:00</t>
  </si>
  <si>
    <t>25-05-2023 06:00</t>
  </si>
  <si>
    <t>25-05-2023 07:00</t>
  </si>
  <si>
    <t>25-05-2023 08:00</t>
  </si>
  <si>
    <t>25-05-2023 09:00</t>
  </si>
  <si>
    <t>25-05-2023 10:00</t>
  </si>
  <si>
    <t>25-05-2023 11:00</t>
  </si>
  <si>
    <t>25-05-2023 12:00</t>
  </si>
  <si>
    <t>25-05-2023 13:00</t>
  </si>
  <si>
    <t>25-05-2023 14:00</t>
  </si>
  <si>
    <t>25-05-2023 15:00</t>
  </si>
  <si>
    <t>25-05-2023 16:00</t>
  </si>
  <si>
    <t>25-05-2023 17:00</t>
  </si>
  <si>
    <t>25-05-2023 18:00</t>
  </si>
  <si>
    <t>25-05-2023 19:00</t>
  </si>
  <si>
    <t>25-05-2023 20:00</t>
  </si>
  <si>
    <t>25-05-2023 21:00</t>
  </si>
  <si>
    <t>25-05-2023 22:00</t>
  </si>
  <si>
    <t>25-05-2023 23:00</t>
  </si>
  <si>
    <t>25-05-2023 24:00</t>
  </si>
  <si>
    <t>26-05-2023 01:00</t>
  </si>
  <si>
    <t>26-05-2023 02:00</t>
  </si>
  <si>
    <t>26-05-2023 03:00</t>
  </si>
  <si>
    <t>26-05-2023 04:00</t>
  </si>
  <si>
    <t>26-05-2023 05:00</t>
  </si>
  <si>
    <t>26-05-2023 06:00</t>
  </si>
  <si>
    <t>26-05-2023 07:00</t>
  </si>
  <si>
    <t>26-05-2023 08:00</t>
  </si>
  <si>
    <t>26-05-2023 09:00</t>
  </si>
  <si>
    <t>26-05-2023 10:00</t>
  </si>
  <si>
    <t>26-05-2023 11:00</t>
  </si>
  <si>
    <t>26-05-2023 12:00</t>
  </si>
  <si>
    <t>26-05-2023 13:00</t>
  </si>
  <si>
    <t>26-05-2023 14:00</t>
  </si>
  <si>
    <t>26-05-2023 15:00</t>
  </si>
  <si>
    <t>26-05-2023 16:00</t>
  </si>
  <si>
    <t>26-05-2023 17:00</t>
  </si>
  <si>
    <t>26-05-2023 18:00</t>
  </si>
  <si>
    <t>26-05-2023 19:00</t>
  </si>
  <si>
    <t>26-05-2023 20:00</t>
  </si>
  <si>
    <t>26-05-2023 21:00</t>
  </si>
  <si>
    <t>26-05-2023 22:00</t>
  </si>
  <si>
    <t>26-05-2023 23:00</t>
  </si>
  <si>
    <t>26-05-2023 24:00</t>
  </si>
  <si>
    <t>27-05-2023 01:00</t>
  </si>
  <si>
    <t>27-05-2023 02:00</t>
  </si>
  <si>
    <t>27-05-2023 03:00</t>
  </si>
  <si>
    <t>27-05-2023 04:00</t>
  </si>
  <si>
    <t>27-05-2023 05:00</t>
  </si>
  <si>
    <t>27-05-2023 06:00</t>
  </si>
  <si>
    <t>27-05-2023 07:00</t>
  </si>
  <si>
    <t>27-05-2023 08:00</t>
  </si>
  <si>
    <t>27-05-2023 09:00</t>
  </si>
  <si>
    <t>27-05-2023 10:00</t>
  </si>
  <si>
    <t>27-05-2023 11:00</t>
  </si>
  <si>
    <t>27-05-2023 12:00</t>
  </si>
  <si>
    <t>27-05-2023 13:00</t>
  </si>
  <si>
    <t>27-05-2023 14:00</t>
  </si>
  <si>
    <t>27-05-2023 15:00</t>
  </si>
  <si>
    <t>27-05-2023 16:00</t>
  </si>
  <si>
    <t>27-05-2023 17:00</t>
  </si>
  <si>
    <t>27-05-2023 18:00</t>
  </si>
  <si>
    <t>27-05-2023 19:00</t>
  </si>
  <si>
    <t>27-05-2023 20:00</t>
  </si>
  <si>
    <t>27-05-2023 21:00</t>
  </si>
  <si>
    <t>27-05-2023 22:00</t>
  </si>
  <si>
    <t>27-05-2023 23:00</t>
  </si>
  <si>
    <t>27-05-2023 24:00</t>
  </si>
  <si>
    <t>28-05-2023 01:00</t>
  </si>
  <si>
    <t>28-05-2023 02:00</t>
  </si>
  <si>
    <t>28-05-2023 03:00</t>
  </si>
  <si>
    <t>28-05-2023 04:00</t>
  </si>
  <si>
    <t>28-05-2023 05:00</t>
  </si>
  <si>
    <t>28-05-2023 06:00</t>
  </si>
  <si>
    <t>28-05-2023 07:00</t>
  </si>
  <si>
    <t>28-05-2023 08:00</t>
  </si>
  <si>
    <t>28-05-2023 09:00</t>
  </si>
  <si>
    <t>28-05-2023 10:00</t>
  </si>
  <si>
    <t>28-05-2023 11:00</t>
  </si>
  <si>
    <t>28-05-2023 12:00</t>
  </si>
  <si>
    <t>28-05-2023 13:00</t>
  </si>
  <si>
    <t>28-05-2023 14:00</t>
  </si>
  <si>
    <t>28-05-2023 15:00</t>
  </si>
  <si>
    <t>28-05-2023 16:00</t>
  </si>
  <si>
    <t>28-05-2023 17:00</t>
  </si>
  <si>
    <t>28-05-2023 18:00</t>
  </si>
  <si>
    <t>28-05-2023 19:00</t>
  </si>
  <si>
    <t>28-05-2023 20:00</t>
  </si>
  <si>
    <t>28-05-2023 21:00</t>
  </si>
  <si>
    <t>28-05-2023 22:00</t>
  </si>
  <si>
    <t>28-05-2023 23:00</t>
  </si>
  <si>
    <t>28-05-2023 24:00</t>
  </si>
  <si>
    <t>29-05-2023 01:00</t>
  </si>
  <si>
    <t>29-05-2023 02:00</t>
  </si>
  <si>
    <t>29-05-2023 03:00</t>
  </si>
  <si>
    <t>29-05-2023 04:00</t>
  </si>
  <si>
    <t>29-05-2023 05:00</t>
  </si>
  <si>
    <t>29-05-2023 06:00</t>
  </si>
  <si>
    <t>29-05-2023 07:00</t>
  </si>
  <si>
    <t>29-05-2023 08:00</t>
  </si>
  <si>
    <t>29-05-2023 09:00</t>
  </si>
  <si>
    <t>29-05-2023 10:00</t>
  </si>
  <si>
    <t>29-05-2023 11:00</t>
  </si>
  <si>
    <t>29-05-2023 12:00</t>
  </si>
  <si>
    <t>29-05-2023 13:00</t>
  </si>
  <si>
    <t>29-05-2023 14:00</t>
  </si>
  <si>
    <t>29-05-2023 15:00</t>
  </si>
  <si>
    <t>29-05-2023 16:00</t>
  </si>
  <si>
    <t>29-05-2023 17:00</t>
  </si>
  <si>
    <t>29-05-2023 18:00</t>
  </si>
  <si>
    <t>29-05-2023 19:00</t>
  </si>
  <si>
    <t>29-05-2023 20:00</t>
  </si>
  <si>
    <t>29-05-2023 21:00</t>
  </si>
  <si>
    <t>29-05-2023 22:00</t>
  </si>
  <si>
    <t>29-05-2023 23:00</t>
  </si>
  <si>
    <t>29-05-2023 24:00</t>
  </si>
  <si>
    <t>30-05-2023 01:00</t>
  </si>
  <si>
    <t>30-05-2023 02:00</t>
  </si>
  <si>
    <t>30-05-2023 03:00</t>
  </si>
  <si>
    <t>30-05-2023 04:00</t>
  </si>
  <si>
    <t>30-05-2023 05:00</t>
  </si>
  <si>
    <t>30-05-2023 06:00</t>
  </si>
  <si>
    <t>30-05-2023 07:00</t>
  </si>
  <si>
    <t>30-05-2023 08:00</t>
  </si>
  <si>
    <t>30-05-2023 09:00</t>
  </si>
  <si>
    <t>30-05-2023 10:00</t>
  </si>
  <si>
    <t>30-05-2023 11:00</t>
  </si>
  <si>
    <t>30-05-2023 12:00</t>
  </si>
  <si>
    <t>30-05-2023 13:00</t>
  </si>
  <si>
    <t>30-05-2023 14:00</t>
  </si>
  <si>
    <t>30-05-2023 15:00</t>
  </si>
  <si>
    <t>30-05-2023 16:00</t>
  </si>
  <si>
    <t>30-05-2023 17:00</t>
  </si>
  <si>
    <t>30-05-2023 18:00</t>
  </si>
  <si>
    <t>30-05-2023 19:00</t>
  </si>
  <si>
    <t>30-05-2023 20:00</t>
  </si>
  <si>
    <t>30-05-2023 21:00</t>
  </si>
  <si>
    <t>30-05-2023 22:00</t>
  </si>
  <si>
    <t>30-05-2023 23:00</t>
  </si>
  <si>
    <t>30-05-2023 24:00</t>
  </si>
  <si>
    <t>31-05-2023 01:00</t>
  </si>
  <si>
    <t>31-05-2023 02:00</t>
  </si>
  <si>
    <t>31-05-2023 03:00</t>
  </si>
  <si>
    <t>31-05-2023 04:00</t>
  </si>
  <si>
    <t>31-05-2023 05:00</t>
  </si>
  <si>
    <t>31-05-2023 06:00</t>
  </si>
  <si>
    <t>31-05-2023 07:00</t>
  </si>
  <si>
    <t>31-05-2023 08:00</t>
  </si>
  <si>
    <t>31-05-2023 09:00</t>
  </si>
  <si>
    <t>31-05-2023 10:00</t>
  </si>
  <si>
    <t>31-05-2023 11:00</t>
  </si>
  <si>
    <t>31-05-2023 12:00</t>
  </si>
  <si>
    <t>31-05-2023 13:00</t>
  </si>
  <si>
    <t>31-05-2023 14:00</t>
  </si>
  <si>
    <t>31-05-2023 15:00</t>
  </si>
  <si>
    <t>31-05-2023 16:00</t>
  </si>
  <si>
    <t>31-05-2023 17:00</t>
  </si>
  <si>
    <t>31-05-2023 18:00</t>
  </si>
  <si>
    <t>31-05-2023 19:00</t>
  </si>
  <si>
    <t>31-05-2023 20:00</t>
  </si>
  <si>
    <t>31-05-2023 21:00</t>
  </si>
  <si>
    <t>31-05-2023 22:00</t>
  </si>
  <si>
    <t>31-05-2023 23:00</t>
  </si>
  <si>
    <t>31-05-2023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</si>
</sst>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4" fillId="9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/>
    <xf numFmtId="0" fontId="6" fillId="0" borderId="1" xfId="0" applyFont="1" applyBorder="1" applyAlignment="1"/>
    <xf numFmtId="49" fontId="0" fillId="0" borderId="0" xfId="0" applyNumberFormat="1"/>
    <xf numFmtId="0" fontId="7" fillId="4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U32" sqref="A9:U32"/>
      <selection pane="topRight" activeCell="U32" sqref="A9:U32"/>
      <selection pane="bottomLeft" activeCell="U32" sqref="A9:U32"/>
      <selection pane="bottomRight" activeCell="I49" sqref="I49"/>
    </sheetView>
  </sheetViews>
  <sheetFormatPr defaultColWidth="8.85546875" defaultRowHeight="15" x14ac:dyDescent="0.25"/>
  <cols>
    <col min="1" max="1" width="18.28515625" style="27" customWidth="1"/>
    <col min="2" max="2" width="14.285156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40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01-05-2023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62</v>
      </c>
      <c r="B9" s="60">
        <v>10.49</v>
      </c>
      <c r="C9" s="60">
        <v>30.03</v>
      </c>
      <c r="D9" s="60">
        <v>25.37</v>
      </c>
      <c r="E9" s="60">
        <v>2.23</v>
      </c>
      <c r="F9" s="60">
        <v>3.45</v>
      </c>
      <c r="G9" s="60">
        <v>23.39</v>
      </c>
      <c r="H9" s="60">
        <v>9.7100000000000009</v>
      </c>
      <c r="I9" s="60">
        <v>0.55000000000000004</v>
      </c>
      <c r="J9" s="60">
        <v>0.74</v>
      </c>
      <c r="K9" s="60">
        <v>326.70999999999998</v>
      </c>
      <c r="L9" s="60">
        <v>17.91</v>
      </c>
      <c r="M9" s="60">
        <v>89.55</v>
      </c>
      <c r="N9" s="60">
        <v>5.8</v>
      </c>
      <c r="O9" s="60">
        <v>0</v>
      </c>
      <c r="P9" s="60">
        <v>0.74</v>
      </c>
      <c r="Q9" s="60">
        <v>29.84</v>
      </c>
      <c r="R9" s="44"/>
      <c r="S9" s="44"/>
      <c r="T9" s="44"/>
      <c r="U9" s="44"/>
    </row>
    <row r="10" spans="1:21" s="12" customFormat="1" x14ac:dyDescent="0.25">
      <c r="A10" s="59" t="s">
        <v>63</v>
      </c>
      <c r="B10" s="60">
        <v>8.67</v>
      </c>
      <c r="C10" s="60">
        <v>28.95</v>
      </c>
      <c r="D10" s="60">
        <v>23.57</v>
      </c>
      <c r="E10" s="60">
        <v>2.2599999999999998</v>
      </c>
      <c r="F10" s="60">
        <v>3.36</v>
      </c>
      <c r="G10" s="60">
        <v>21.96</v>
      </c>
      <c r="H10" s="60">
        <v>7.3</v>
      </c>
      <c r="I10" s="60">
        <v>0.56000000000000005</v>
      </c>
      <c r="J10" s="60">
        <v>0.45</v>
      </c>
      <c r="K10" s="60">
        <v>349.86</v>
      </c>
      <c r="L10" s="60">
        <v>17.940000000000001</v>
      </c>
      <c r="M10" s="60">
        <v>90.82</v>
      </c>
      <c r="N10" s="60">
        <v>5.6</v>
      </c>
      <c r="O10" s="60">
        <v>1</v>
      </c>
      <c r="P10" s="60">
        <v>0.71</v>
      </c>
      <c r="Q10" s="60">
        <v>28.65</v>
      </c>
      <c r="R10" s="44"/>
      <c r="S10" s="44"/>
      <c r="T10" s="44"/>
      <c r="U10" s="44"/>
    </row>
    <row r="11" spans="1:21" s="12" customFormat="1" x14ac:dyDescent="0.25">
      <c r="A11" s="59" t="s">
        <v>64</v>
      </c>
      <c r="B11" s="60">
        <v>6.52</v>
      </c>
      <c r="C11" s="60">
        <v>27.69</v>
      </c>
      <c r="D11" s="60">
        <v>21.16</v>
      </c>
      <c r="E11" s="60">
        <v>2.36</v>
      </c>
      <c r="F11" s="60">
        <v>3.27</v>
      </c>
      <c r="G11" s="60">
        <v>20.59</v>
      </c>
      <c r="H11" s="60">
        <v>7.74</v>
      </c>
      <c r="I11" s="60">
        <v>0.53</v>
      </c>
      <c r="J11" s="60">
        <v>0.67</v>
      </c>
      <c r="K11" s="60">
        <v>197.56</v>
      </c>
      <c r="L11" s="60">
        <v>17.32</v>
      </c>
      <c r="M11" s="60">
        <v>91.34</v>
      </c>
      <c r="N11" s="60">
        <v>5.6</v>
      </c>
      <c r="O11" s="60">
        <v>0.8</v>
      </c>
      <c r="P11" s="60">
        <v>0.71</v>
      </c>
      <c r="Q11" s="60">
        <v>28.09</v>
      </c>
      <c r="R11" s="44"/>
      <c r="S11" s="44"/>
      <c r="T11" s="44"/>
      <c r="U11" s="44"/>
    </row>
    <row r="12" spans="1:21" s="12" customFormat="1" x14ac:dyDescent="0.25">
      <c r="A12" s="59" t="s">
        <v>65</v>
      </c>
      <c r="B12" s="60">
        <v>6.61</v>
      </c>
      <c r="C12" s="60">
        <v>27.07</v>
      </c>
      <c r="D12" s="60">
        <v>20.85</v>
      </c>
      <c r="E12" s="60">
        <v>2.31</v>
      </c>
      <c r="F12" s="60">
        <v>3.1</v>
      </c>
      <c r="G12" s="60">
        <v>18.16</v>
      </c>
      <c r="H12" s="60">
        <v>8.5500000000000007</v>
      </c>
      <c r="I12" s="60">
        <v>0.53</v>
      </c>
      <c r="J12" s="60">
        <v>0.92</v>
      </c>
      <c r="K12" s="60">
        <v>214.96</v>
      </c>
      <c r="L12" s="60">
        <v>17.190000000000001</v>
      </c>
      <c r="M12" s="60">
        <v>92.16</v>
      </c>
      <c r="N12" s="60">
        <v>5.4</v>
      </c>
      <c r="O12" s="60">
        <v>0.4</v>
      </c>
      <c r="P12" s="60">
        <v>0.67</v>
      </c>
      <c r="Q12" s="60">
        <v>28.59</v>
      </c>
      <c r="R12" s="44"/>
      <c r="S12" s="44"/>
      <c r="T12" s="44"/>
      <c r="U12" s="44"/>
    </row>
    <row r="13" spans="1:21" s="12" customFormat="1" x14ac:dyDescent="0.25">
      <c r="A13" s="59" t="s">
        <v>66</v>
      </c>
      <c r="B13" s="60">
        <v>5.79</v>
      </c>
      <c r="C13" s="60">
        <v>26.16</v>
      </c>
      <c r="D13" s="60">
        <v>19.72</v>
      </c>
      <c r="E13" s="60">
        <v>1.84</v>
      </c>
      <c r="F13" s="60">
        <v>3.61</v>
      </c>
      <c r="G13" s="60">
        <v>16.940000000000001</v>
      </c>
      <c r="H13" s="60">
        <v>7.57</v>
      </c>
      <c r="I13" s="60">
        <v>0.53</v>
      </c>
      <c r="J13" s="60">
        <v>1.1599999999999999</v>
      </c>
      <c r="K13" s="60">
        <v>205.78</v>
      </c>
      <c r="L13" s="60">
        <v>17.18</v>
      </c>
      <c r="M13" s="60">
        <v>92.09</v>
      </c>
      <c r="N13" s="60">
        <v>5.7</v>
      </c>
      <c r="O13" s="60">
        <v>0</v>
      </c>
      <c r="P13" s="60">
        <v>0.66</v>
      </c>
      <c r="Q13" s="60">
        <v>27.4</v>
      </c>
      <c r="R13" s="44"/>
      <c r="S13" s="44"/>
      <c r="T13" s="44"/>
      <c r="U13" s="44"/>
    </row>
    <row r="14" spans="1:21" s="12" customFormat="1" x14ac:dyDescent="0.25">
      <c r="A14" s="59" t="s">
        <v>67</v>
      </c>
      <c r="B14" s="60">
        <v>4.09</v>
      </c>
      <c r="C14" s="60">
        <v>25.62</v>
      </c>
      <c r="D14" s="60">
        <v>18.03</v>
      </c>
      <c r="E14" s="60">
        <v>1.68</v>
      </c>
      <c r="F14" s="60">
        <v>3.77</v>
      </c>
      <c r="G14" s="60">
        <v>11.95</v>
      </c>
      <c r="H14" s="60">
        <v>7.57</v>
      </c>
      <c r="I14" s="60">
        <v>0.52</v>
      </c>
      <c r="J14" s="60">
        <v>2.11</v>
      </c>
      <c r="K14" s="60">
        <v>228.46</v>
      </c>
      <c r="L14" s="60">
        <v>17.22</v>
      </c>
      <c r="M14" s="60">
        <v>91.73</v>
      </c>
      <c r="N14" s="60">
        <v>10</v>
      </c>
      <c r="O14" s="60">
        <v>0.2</v>
      </c>
      <c r="P14" s="60">
        <v>0.61</v>
      </c>
      <c r="Q14" s="60">
        <v>28</v>
      </c>
      <c r="R14" s="44"/>
      <c r="S14" s="44"/>
      <c r="T14" s="44"/>
      <c r="U14" s="44"/>
    </row>
    <row r="15" spans="1:21" s="12" customFormat="1" x14ac:dyDescent="0.25">
      <c r="A15" s="59" t="s">
        <v>68</v>
      </c>
      <c r="B15" s="60">
        <v>3.24</v>
      </c>
      <c r="C15" s="60">
        <v>25.92</v>
      </c>
      <c r="D15" s="60">
        <v>17.440000000000001</v>
      </c>
      <c r="E15" s="60">
        <v>2.09</v>
      </c>
      <c r="F15" s="60">
        <v>3.82</v>
      </c>
      <c r="G15" s="60">
        <v>8.41</v>
      </c>
      <c r="H15" s="60">
        <v>5.44</v>
      </c>
      <c r="I15" s="60">
        <v>0.5</v>
      </c>
      <c r="J15" s="60">
        <v>1.46</v>
      </c>
      <c r="K15" s="60">
        <v>231.88</v>
      </c>
      <c r="L15" s="60">
        <v>17.45</v>
      </c>
      <c r="M15" s="60">
        <v>92.4</v>
      </c>
      <c r="N15" s="60">
        <v>36.9</v>
      </c>
      <c r="O15" s="60">
        <v>0.4</v>
      </c>
      <c r="P15" s="60">
        <v>0.5</v>
      </c>
      <c r="Q15" s="60">
        <v>27.82</v>
      </c>
      <c r="R15" s="44"/>
      <c r="S15" s="44"/>
      <c r="T15" s="44"/>
      <c r="U15" s="44"/>
    </row>
    <row r="16" spans="1:21" s="12" customFormat="1" x14ac:dyDescent="0.25">
      <c r="A16" s="59" t="s">
        <v>69</v>
      </c>
      <c r="B16" s="60">
        <v>7.97</v>
      </c>
      <c r="C16" s="60">
        <v>27</v>
      </c>
      <c r="D16" s="60">
        <v>21.94</v>
      </c>
      <c r="E16" s="60">
        <v>2.0499999999999998</v>
      </c>
      <c r="F16" s="60">
        <v>3.16</v>
      </c>
      <c r="G16" s="60">
        <v>5.86</v>
      </c>
      <c r="H16" s="60">
        <v>4.21</v>
      </c>
      <c r="I16" s="60">
        <v>0.49</v>
      </c>
      <c r="J16" s="60">
        <v>0.22</v>
      </c>
      <c r="K16" s="60">
        <v>359.05</v>
      </c>
      <c r="L16" s="60">
        <v>18.55</v>
      </c>
      <c r="M16" s="60">
        <v>93.94</v>
      </c>
      <c r="N16" s="60">
        <v>134.9</v>
      </c>
      <c r="O16" s="60">
        <v>0</v>
      </c>
      <c r="P16" s="60">
        <v>0.51</v>
      </c>
      <c r="Q16" s="60">
        <v>26.21</v>
      </c>
      <c r="R16" s="44"/>
      <c r="S16" s="44"/>
      <c r="T16" s="44"/>
      <c r="U16" s="44"/>
    </row>
    <row r="17" spans="1:21" s="12" customFormat="1" x14ac:dyDescent="0.25">
      <c r="A17" s="59" t="s">
        <v>70</v>
      </c>
      <c r="B17" s="60">
        <v>9.3699999999999992</v>
      </c>
      <c r="C17" s="60">
        <v>27.97</v>
      </c>
      <c r="D17" s="60">
        <v>23.46</v>
      </c>
      <c r="E17" s="60">
        <v>0.83</v>
      </c>
      <c r="F17" s="60">
        <v>3.58</v>
      </c>
      <c r="G17" s="61" t="s">
        <v>15</v>
      </c>
      <c r="H17" s="61" t="s">
        <v>15</v>
      </c>
      <c r="I17" s="60">
        <v>0.51</v>
      </c>
      <c r="J17" s="60">
        <v>1.69</v>
      </c>
      <c r="K17" s="60">
        <v>130.22</v>
      </c>
      <c r="L17" s="60">
        <v>19.16</v>
      </c>
      <c r="M17" s="60">
        <v>91.45</v>
      </c>
      <c r="N17" s="60">
        <v>292.3</v>
      </c>
      <c r="O17" s="60">
        <v>0</v>
      </c>
      <c r="P17" s="60">
        <v>0.52</v>
      </c>
      <c r="Q17" s="60">
        <v>29.42</v>
      </c>
      <c r="R17" s="44"/>
      <c r="S17" s="44"/>
      <c r="T17" s="44"/>
      <c r="U17" s="44"/>
    </row>
    <row r="18" spans="1:21" s="12" customFormat="1" x14ac:dyDescent="0.25">
      <c r="A18" s="59" t="s">
        <v>71</v>
      </c>
      <c r="B18" s="60">
        <v>8.9499999999999993</v>
      </c>
      <c r="C18" s="60">
        <v>26.99</v>
      </c>
      <c r="D18" s="60">
        <v>22.63</v>
      </c>
      <c r="E18" s="60">
        <v>1.2</v>
      </c>
      <c r="F18" s="60">
        <v>3.38</v>
      </c>
      <c r="G18" s="60">
        <v>6.36</v>
      </c>
      <c r="H18" s="60">
        <v>5.62</v>
      </c>
      <c r="I18" s="60">
        <v>0.52</v>
      </c>
      <c r="J18" s="60">
        <v>0.4</v>
      </c>
      <c r="K18" s="60">
        <v>337.34</v>
      </c>
      <c r="L18" s="60">
        <v>22.94</v>
      </c>
      <c r="M18" s="60">
        <v>85.39</v>
      </c>
      <c r="N18" s="60">
        <v>455.4</v>
      </c>
      <c r="O18" s="60">
        <v>0</v>
      </c>
      <c r="P18" s="60">
        <v>0.54</v>
      </c>
      <c r="Q18" s="60">
        <v>29.79</v>
      </c>
      <c r="R18" s="44"/>
      <c r="S18" s="44"/>
      <c r="T18" s="44"/>
      <c r="U18" s="44"/>
    </row>
    <row r="19" spans="1:21" s="12" customFormat="1" x14ac:dyDescent="0.25">
      <c r="A19" s="59" t="s">
        <v>72</v>
      </c>
      <c r="B19" s="60">
        <v>8.5</v>
      </c>
      <c r="C19" s="60">
        <v>27.33</v>
      </c>
      <c r="D19" s="60">
        <v>22.54</v>
      </c>
      <c r="E19" s="60">
        <v>0.94</v>
      </c>
      <c r="F19" s="60">
        <v>3.8</v>
      </c>
      <c r="G19" s="60">
        <v>182.67</v>
      </c>
      <c r="H19" s="60">
        <v>4.05</v>
      </c>
      <c r="I19" s="60">
        <v>0.53</v>
      </c>
      <c r="J19" s="60">
        <v>0.8</v>
      </c>
      <c r="K19" s="60">
        <v>204.3</v>
      </c>
      <c r="L19" s="60">
        <v>23.9</v>
      </c>
      <c r="M19" s="60">
        <v>72.75</v>
      </c>
      <c r="N19" s="62" t="s">
        <v>14</v>
      </c>
      <c r="O19" s="60">
        <v>0</v>
      </c>
      <c r="P19" s="60">
        <v>0.56000000000000005</v>
      </c>
      <c r="Q19" s="60">
        <v>28.25</v>
      </c>
      <c r="R19" s="44"/>
      <c r="S19" s="44"/>
      <c r="T19" s="44"/>
      <c r="U19" s="44"/>
    </row>
    <row r="20" spans="1:21" s="12" customFormat="1" x14ac:dyDescent="0.25">
      <c r="A20" s="59" t="s">
        <v>73</v>
      </c>
      <c r="B20" s="60">
        <v>5.2</v>
      </c>
      <c r="C20" s="60">
        <v>28.06</v>
      </c>
      <c r="D20" s="60">
        <v>20.3</v>
      </c>
      <c r="E20" s="60">
        <v>0.99</v>
      </c>
      <c r="F20" s="60">
        <v>6.21</v>
      </c>
      <c r="G20" s="61" t="s">
        <v>15</v>
      </c>
      <c r="H20" s="61" t="s">
        <v>15</v>
      </c>
      <c r="I20" s="60">
        <v>0.52</v>
      </c>
      <c r="J20" s="60">
        <v>0.85</v>
      </c>
      <c r="K20" s="60">
        <v>236.33</v>
      </c>
      <c r="L20" s="60">
        <v>24.84</v>
      </c>
      <c r="M20" s="60">
        <v>68.89</v>
      </c>
      <c r="N20" s="62" t="s">
        <v>14</v>
      </c>
      <c r="O20" s="60">
        <v>0</v>
      </c>
      <c r="P20" s="60">
        <v>0.54</v>
      </c>
      <c r="Q20" s="60">
        <v>30.57</v>
      </c>
      <c r="R20" s="44"/>
      <c r="S20" s="44"/>
      <c r="T20" s="44"/>
      <c r="U20" s="44"/>
    </row>
    <row r="21" spans="1:21" s="12" customFormat="1" x14ac:dyDescent="0.25">
      <c r="A21" s="59" t="s">
        <v>74</v>
      </c>
      <c r="B21" s="60">
        <v>4.3899999999999997</v>
      </c>
      <c r="C21" s="60">
        <v>24.19</v>
      </c>
      <c r="D21" s="60">
        <v>16.73</v>
      </c>
      <c r="E21" s="60">
        <v>1.5</v>
      </c>
      <c r="F21" s="60">
        <v>4.6399999999999997</v>
      </c>
      <c r="G21" s="62" t="s">
        <v>14</v>
      </c>
      <c r="H21" s="62" t="s">
        <v>14</v>
      </c>
      <c r="I21" s="60">
        <v>0.53</v>
      </c>
      <c r="J21" s="60">
        <v>0.98</v>
      </c>
      <c r="K21" s="60">
        <v>218.03</v>
      </c>
      <c r="L21" s="60">
        <v>25.1</v>
      </c>
      <c r="M21" s="60">
        <v>65.66</v>
      </c>
      <c r="N21" s="62" t="s">
        <v>14</v>
      </c>
      <c r="O21" s="60">
        <v>0</v>
      </c>
      <c r="P21" s="60">
        <v>0.52</v>
      </c>
      <c r="Q21" s="60">
        <v>30.51</v>
      </c>
      <c r="R21" s="44"/>
      <c r="S21" s="44"/>
      <c r="T21" s="44"/>
      <c r="U21" s="44"/>
    </row>
    <row r="22" spans="1:21" s="12" customFormat="1" x14ac:dyDescent="0.25">
      <c r="A22" s="59" t="s">
        <v>75</v>
      </c>
      <c r="B22" s="60">
        <v>2.48</v>
      </c>
      <c r="C22" s="60">
        <v>23.7</v>
      </c>
      <c r="D22" s="60">
        <v>15.57</v>
      </c>
      <c r="E22" s="60">
        <v>1.33</v>
      </c>
      <c r="F22" s="60">
        <v>4.8</v>
      </c>
      <c r="G22" s="62" t="s">
        <v>14</v>
      </c>
      <c r="H22" s="62" t="s">
        <v>14</v>
      </c>
      <c r="I22" s="60">
        <v>0.52</v>
      </c>
      <c r="J22" s="60">
        <v>1</v>
      </c>
      <c r="K22" s="60">
        <v>214.06</v>
      </c>
      <c r="L22" s="60">
        <v>25.39</v>
      </c>
      <c r="M22" s="60">
        <v>65.75</v>
      </c>
      <c r="N22" s="62" t="s">
        <v>14</v>
      </c>
      <c r="O22" s="60">
        <v>0</v>
      </c>
      <c r="P22" s="60">
        <v>0.45</v>
      </c>
      <c r="Q22" s="60">
        <v>28.44</v>
      </c>
      <c r="R22" s="44"/>
      <c r="S22" s="44"/>
      <c r="T22" s="44"/>
      <c r="U22" s="44"/>
    </row>
    <row r="23" spans="1:21" s="12" customFormat="1" x14ac:dyDescent="0.25">
      <c r="A23" s="59" t="s">
        <v>76</v>
      </c>
      <c r="B23" s="60">
        <v>2.66</v>
      </c>
      <c r="C23" s="60">
        <v>22.67</v>
      </c>
      <c r="D23" s="60">
        <v>14.82</v>
      </c>
      <c r="E23" s="60">
        <v>1.61</v>
      </c>
      <c r="F23" s="60">
        <v>10.92</v>
      </c>
      <c r="G23" s="62" t="s">
        <v>14</v>
      </c>
      <c r="H23" s="62" t="s">
        <v>14</v>
      </c>
      <c r="I23" s="60">
        <v>0.52</v>
      </c>
      <c r="J23" s="60">
        <v>1.1499999999999999</v>
      </c>
      <c r="K23" s="60">
        <v>158.63</v>
      </c>
      <c r="L23" s="60">
        <v>25.94</v>
      </c>
      <c r="M23" s="60">
        <v>61.76</v>
      </c>
      <c r="N23" s="62" t="s">
        <v>14</v>
      </c>
      <c r="O23" s="60">
        <v>0</v>
      </c>
      <c r="P23" s="60">
        <v>0.41</v>
      </c>
      <c r="Q23" s="60">
        <v>31.3</v>
      </c>
      <c r="R23" s="44"/>
      <c r="S23" s="44"/>
      <c r="T23" s="44"/>
      <c r="U23" s="44"/>
    </row>
    <row r="24" spans="1:21" s="12" customFormat="1" x14ac:dyDescent="0.25">
      <c r="A24" s="59" t="s">
        <v>77</v>
      </c>
      <c r="B24" s="60">
        <v>2.61</v>
      </c>
      <c r="C24" s="60">
        <v>25.1</v>
      </c>
      <c r="D24" s="60">
        <v>16.5</v>
      </c>
      <c r="E24" s="60">
        <v>1.51</v>
      </c>
      <c r="F24" s="60">
        <v>6.48</v>
      </c>
      <c r="G24" s="62" t="s">
        <v>14</v>
      </c>
      <c r="H24" s="62" t="s">
        <v>14</v>
      </c>
      <c r="I24" s="60">
        <v>0.52</v>
      </c>
      <c r="J24" s="60">
        <v>0.78</v>
      </c>
      <c r="K24" s="60">
        <v>233.46</v>
      </c>
      <c r="L24" s="60">
        <v>26.05</v>
      </c>
      <c r="M24" s="60">
        <v>58.76</v>
      </c>
      <c r="N24" s="62" t="s">
        <v>14</v>
      </c>
      <c r="O24" s="60">
        <v>0</v>
      </c>
      <c r="P24" s="60">
        <v>0.38</v>
      </c>
      <c r="Q24" s="60">
        <v>31.39</v>
      </c>
      <c r="R24" s="44"/>
      <c r="S24" s="44"/>
      <c r="T24" s="44"/>
      <c r="U24" s="44"/>
    </row>
    <row r="25" spans="1:21" s="12" customFormat="1" x14ac:dyDescent="0.25">
      <c r="A25" s="59" t="s">
        <v>78</v>
      </c>
      <c r="B25" s="60">
        <v>2.0299999999999998</v>
      </c>
      <c r="C25" s="60">
        <v>22.53</v>
      </c>
      <c r="D25" s="60">
        <v>14.68</v>
      </c>
      <c r="E25" s="60">
        <v>2.09</v>
      </c>
      <c r="F25" s="60">
        <v>6.73</v>
      </c>
      <c r="G25" s="62" t="s">
        <v>14</v>
      </c>
      <c r="H25" s="62" t="s">
        <v>14</v>
      </c>
      <c r="I25" s="60">
        <v>0.51</v>
      </c>
      <c r="J25" s="60">
        <v>1.05</v>
      </c>
      <c r="K25" s="60">
        <v>183.17</v>
      </c>
      <c r="L25" s="60">
        <v>25.6</v>
      </c>
      <c r="M25" s="60">
        <v>56.49</v>
      </c>
      <c r="N25" s="60">
        <v>75.599999999999994</v>
      </c>
      <c r="O25" s="60">
        <v>0</v>
      </c>
      <c r="P25" s="60">
        <v>0.34</v>
      </c>
      <c r="Q25" s="60">
        <v>28.94</v>
      </c>
      <c r="R25" s="44"/>
      <c r="S25" s="44"/>
      <c r="T25" s="44"/>
      <c r="U25" s="44"/>
    </row>
    <row r="26" spans="1:21" s="12" customFormat="1" x14ac:dyDescent="0.25">
      <c r="A26" s="59" t="s">
        <v>79</v>
      </c>
      <c r="B26" s="60">
        <v>3.04</v>
      </c>
      <c r="C26" s="60">
        <v>23.36</v>
      </c>
      <c r="D26" s="60">
        <v>15.52</v>
      </c>
      <c r="E26" s="60">
        <v>2.48</v>
      </c>
      <c r="F26" s="60">
        <v>10.16</v>
      </c>
      <c r="G26" s="62" t="s">
        <v>14</v>
      </c>
      <c r="H26" s="62" t="s">
        <v>14</v>
      </c>
      <c r="I26" s="60">
        <v>0.51</v>
      </c>
      <c r="J26" s="60">
        <v>1.57</v>
      </c>
      <c r="K26" s="60">
        <v>139.12</v>
      </c>
      <c r="L26" s="60">
        <v>25.24</v>
      </c>
      <c r="M26" s="60">
        <v>57.69</v>
      </c>
      <c r="N26" s="60">
        <v>49.4</v>
      </c>
      <c r="O26" s="60">
        <v>0</v>
      </c>
      <c r="P26" s="60">
        <v>0.31</v>
      </c>
      <c r="Q26" s="60">
        <v>31.49</v>
      </c>
      <c r="R26" s="44"/>
      <c r="S26" s="44"/>
      <c r="T26" s="44"/>
      <c r="U26" s="44"/>
    </row>
    <row r="27" spans="1:21" s="12" customFormat="1" x14ac:dyDescent="0.25">
      <c r="A27" s="59" t="s">
        <v>80</v>
      </c>
      <c r="B27" s="60">
        <v>3.21</v>
      </c>
      <c r="C27" s="60">
        <v>24.9</v>
      </c>
      <c r="D27" s="60">
        <v>16.93</v>
      </c>
      <c r="E27" s="60">
        <v>2.06</v>
      </c>
      <c r="F27" s="60">
        <v>8.48</v>
      </c>
      <c r="G27" s="62" t="s">
        <v>14</v>
      </c>
      <c r="H27" s="62" t="s">
        <v>14</v>
      </c>
      <c r="I27" s="60">
        <v>0.51</v>
      </c>
      <c r="J27" s="60">
        <v>0.96</v>
      </c>
      <c r="K27" s="60">
        <v>136.88999999999999</v>
      </c>
      <c r="L27" s="60">
        <v>24.92</v>
      </c>
      <c r="M27" s="60">
        <v>57.75</v>
      </c>
      <c r="N27" s="60">
        <v>11.5</v>
      </c>
      <c r="O27" s="60">
        <v>0</v>
      </c>
      <c r="P27" s="60">
        <v>0.33</v>
      </c>
      <c r="Q27" s="60">
        <v>31.27</v>
      </c>
      <c r="R27" s="44"/>
      <c r="S27" s="44"/>
      <c r="T27" s="44"/>
      <c r="U27" s="44"/>
    </row>
    <row r="28" spans="1:21" s="12" customFormat="1" x14ac:dyDescent="0.25">
      <c r="A28" s="59" t="s">
        <v>81</v>
      </c>
      <c r="B28" s="60">
        <v>8.23</v>
      </c>
      <c r="C28" s="60">
        <v>32.090000000000003</v>
      </c>
      <c r="D28" s="60">
        <v>24.96</v>
      </c>
      <c r="E28" s="60">
        <v>2.29</v>
      </c>
      <c r="F28" s="60">
        <v>4.1100000000000003</v>
      </c>
      <c r="G28" s="62" t="s">
        <v>14</v>
      </c>
      <c r="H28" s="62" t="s">
        <v>14</v>
      </c>
      <c r="I28" s="60">
        <v>0.53</v>
      </c>
      <c r="J28" s="60">
        <v>1.41</v>
      </c>
      <c r="K28" s="60">
        <v>148.76</v>
      </c>
      <c r="L28" s="60">
        <v>24.39</v>
      </c>
      <c r="M28" s="60">
        <v>68.06</v>
      </c>
      <c r="N28" s="60">
        <v>5.3</v>
      </c>
      <c r="O28" s="60">
        <v>0</v>
      </c>
      <c r="P28" s="60">
        <v>0.51</v>
      </c>
      <c r="Q28" s="60">
        <v>29.52</v>
      </c>
      <c r="R28" s="44"/>
      <c r="S28" s="44"/>
      <c r="T28" s="44"/>
      <c r="U28" s="44"/>
    </row>
    <row r="29" spans="1:21" s="12" customFormat="1" x14ac:dyDescent="0.25">
      <c r="A29" s="59" t="s">
        <v>82</v>
      </c>
      <c r="B29" s="60">
        <v>11.92</v>
      </c>
      <c r="C29" s="60">
        <v>34.520000000000003</v>
      </c>
      <c r="D29" s="60">
        <v>29.26</v>
      </c>
      <c r="E29" s="60">
        <v>1.66</v>
      </c>
      <c r="F29" s="60">
        <v>6.77</v>
      </c>
      <c r="G29" s="62" t="s">
        <v>14</v>
      </c>
      <c r="H29" s="62" t="s">
        <v>14</v>
      </c>
      <c r="I29" s="60">
        <v>0.56000000000000005</v>
      </c>
      <c r="J29" s="60">
        <v>0.95</v>
      </c>
      <c r="K29" s="60">
        <v>147.19999999999999</v>
      </c>
      <c r="L29" s="60">
        <v>23.66</v>
      </c>
      <c r="M29" s="60">
        <v>69.47</v>
      </c>
      <c r="N29" s="60">
        <v>5.0999999999999996</v>
      </c>
      <c r="O29" s="60">
        <v>0</v>
      </c>
      <c r="P29" s="60">
        <v>0.61</v>
      </c>
      <c r="Q29" s="60">
        <v>31.74</v>
      </c>
      <c r="R29" s="44"/>
      <c r="S29" s="44"/>
      <c r="T29" s="44"/>
      <c r="U29" s="44"/>
    </row>
    <row r="30" spans="1:21" s="12" customFormat="1" x14ac:dyDescent="0.25">
      <c r="A30" s="59" t="s">
        <v>83</v>
      </c>
      <c r="B30" s="60">
        <v>8.18</v>
      </c>
      <c r="C30" s="60">
        <v>26.27</v>
      </c>
      <c r="D30" s="60">
        <v>20.86</v>
      </c>
      <c r="E30" s="60">
        <v>2.17</v>
      </c>
      <c r="F30" s="60">
        <v>3.75</v>
      </c>
      <c r="G30" s="62" t="s">
        <v>14</v>
      </c>
      <c r="H30" s="62" t="s">
        <v>14</v>
      </c>
      <c r="I30" s="60">
        <v>0.56000000000000005</v>
      </c>
      <c r="J30" s="60">
        <v>1.3</v>
      </c>
      <c r="K30" s="60">
        <v>293.99</v>
      </c>
      <c r="L30" s="60">
        <v>23.17</v>
      </c>
      <c r="M30" s="60">
        <v>83.67</v>
      </c>
      <c r="N30" s="60">
        <v>7.8</v>
      </c>
      <c r="O30" s="60">
        <v>0.2</v>
      </c>
      <c r="P30" s="60">
        <v>0.53</v>
      </c>
      <c r="Q30" s="60">
        <v>32.06</v>
      </c>
      <c r="R30" s="44"/>
      <c r="S30" s="44"/>
      <c r="T30" s="44"/>
      <c r="U30" s="44"/>
    </row>
    <row r="31" spans="1:21" s="12" customFormat="1" x14ac:dyDescent="0.25">
      <c r="A31" s="59" t="s">
        <v>84</v>
      </c>
      <c r="B31" s="60">
        <v>5.8</v>
      </c>
      <c r="C31" s="60">
        <v>24.39</v>
      </c>
      <c r="D31" s="60">
        <v>18.760000000000002</v>
      </c>
      <c r="E31" s="60">
        <v>1.84</v>
      </c>
      <c r="F31" s="60">
        <v>4.21</v>
      </c>
      <c r="G31" s="62" t="s">
        <v>14</v>
      </c>
      <c r="H31" s="62" t="s">
        <v>14</v>
      </c>
      <c r="I31" s="60">
        <v>0.56000000000000005</v>
      </c>
      <c r="J31" s="60">
        <v>1.1299999999999999</v>
      </c>
      <c r="K31" s="60">
        <v>263.81</v>
      </c>
      <c r="L31" s="60">
        <v>20.81</v>
      </c>
      <c r="M31" s="60">
        <v>74.290000000000006</v>
      </c>
      <c r="N31" s="60">
        <v>6</v>
      </c>
      <c r="O31" s="60">
        <v>0</v>
      </c>
      <c r="P31" s="60">
        <v>0.47</v>
      </c>
      <c r="Q31" s="60">
        <v>29.75</v>
      </c>
      <c r="R31" s="44"/>
      <c r="S31" s="44"/>
      <c r="T31" s="44"/>
      <c r="U31" s="44"/>
    </row>
    <row r="32" spans="1:21" s="12" customFormat="1" x14ac:dyDescent="0.25">
      <c r="A32" s="59" t="s">
        <v>85</v>
      </c>
      <c r="B32" s="60">
        <v>4.09</v>
      </c>
      <c r="C32" s="60">
        <v>24.39</v>
      </c>
      <c r="D32" s="60">
        <v>17.39</v>
      </c>
      <c r="E32" s="60">
        <v>1.75</v>
      </c>
      <c r="F32" s="60">
        <v>4.53</v>
      </c>
      <c r="G32" s="62" t="s">
        <v>14</v>
      </c>
      <c r="H32" s="62" t="s">
        <v>14</v>
      </c>
      <c r="I32" s="60">
        <v>0.54</v>
      </c>
      <c r="J32" s="60">
        <v>1.1499999999999999</v>
      </c>
      <c r="K32" s="60">
        <v>300.54000000000002</v>
      </c>
      <c r="L32" s="60">
        <v>21.17</v>
      </c>
      <c r="M32" s="60">
        <v>86.11</v>
      </c>
      <c r="N32" s="60">
        <v>5.7</v>
      </c>
      <c r="O32" s="60">
        <v>0</v>
      </c>
      <c r="P32" s="60">
        <v>0.42</v>
      </c>
      <c r="Q32" s="60">
        <v>29.64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2.0299999999999998</v>
      </c>
      <c r="C34" s="29">
        <f t="shared" si="0"/>
        <v>22.53</v>
      </c>
      <c r="D34" s="29">
        <f t="shared" si="0"/>
        <v>14.68</v>
      </c>
      <c r="E34" s="29">
        <f t="shared" si="0"/>
        <v>0.83</v>
      </c>
      <c r="F34" s="29">
        <f t="shared" si="0"/>
        <v>3.1</v>
      </c>
      <c r="G34" s="29">
        <f t="shared" si="0"/>
        <v>5.86</v>
      </c>
      <c r="H34" s="29">
        <f t="shared" si="0"/>
        <v>4.05</v>
      </c>
      <c r="I34" s="29">
        <f t="shared" si="0"/>
        <v>0.49</v>
      </c>
      <c r="J34" s="29">
        <f t="shared" si="0"/>
        <v>0.22</v>
      </c>
      <c r="K34" s="29">
        <f t="shared" si="0"/>
        <v>130.22</v>
      </c>
      <c r="L34" s="29">
        <f t="shared" si="0"/>
        <v>17.18</v>
      </c>
      <c r="M34" s="29">
        <f t="shared" si="0"/>
        <v>56.49</v>
      </c>
      <c r="N34" s="29">
        <f t="shared" si="0"/>
        <v>5.0999999999999996</v>
      </c>
      <c r="O34" s="29">
        <f t="shared" si="0"/>
        <v>0</v>
      </c>
      <c r="P34" s="29">
        <f t="shared" si="0"/>
        <v>0.31</v>
      </c>
      <c r="Q34" s="29">
        <f t="shared" si="0"/>
        <v>26.21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11.92</v>
      </c>
      <c r="C35" s="30">
        <f t="shared" si="1"/>
        <v>34.520000000000003</v>
      </c>
      <c r="D35" s="30">
        <f t="shared" si="1"/>
        <v>29.26</v>
      </c>
      <c r="E35" s="30">
        <f t="shared" si="1"/>
        <v>2.48</v>
      </c>
      <c r="F35" s="30">
        <f t="shared" si="1"/>
        <v>10.92</v>
      </c>
      <c r="G35" s="30">
        <f t="shared" si="1"/>
        <v>182.67</v>
      </c>
      <c r="H35" s="30">
        <f t="shared" si="1"/>
        <v>9.7100000000000009</v>
      </c>
      <c r="I35" s="30">
        <f t="shared" si="1"/>
        <v>0.56000000000000005</v>
      </c>
      <c r="J35" s="30">
        <f t="shared" si="1"/>
        <v>2.11</v>
      </c>
      <c r="K35" s="30">
        <f t="shared" si="1"/>
        <v>359.05</v>
      </c>
      <c r="L35" s="30">
        <f t="shared" si="1"/>
        <v>26.05</v>
      </c>
      <c r="M35" s="30">
        <f t="shared" si="1"/>
        <v>93.94</v>
      </c>
      <c r="N35" s="30">
        <f t="shared" si="1"/>
        <v>455.4</v>
      </c>
      <c r="O35" s="30">
        <f t="shared" si="1"/>
        <v>1</v>
      </c>
      <c r="P35" s="30">
        <f t="shared" si="1"/>
        <v>0.74</v>
      </c>
      <c r="Q35" s="30">
        <f t="shared" si="1"/>
        <v>32.06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6.0016666666666678</v>
      </c>
      <c r="C36" s="29">
        <f t="shared" si="2"/>
        <v>26.537499999999998</v>
      </c>
      <c r="D36" s="29">
        <f t="shared" si="2"/>
        <v>19.957916666666666</v>
      </c>
      <c r="E36" s="29">
        <f t="shared" si="2"/>
        <v>1.7945833333333334</v>
      </c>
      <c r="F36" s="29">
        <f t="shared" si="2"/>
        <v>5.0037499999999993</v>
      </c>
      <c r="G36" s="29">
        <f t="shared" si="2"/>
        <v>31.628999999999998</v>
      </c>
      <c r="H36" s="29">
        <f t="shared" si="2"/>
        <v>6.7759999999999989</v>
      </c>
      <c r="I36" s="29">
        <f t="shared" si="2"/>
        <v>0.52749999999999997</v>
      </c>
      <c r="J36" s="29">
        <f t="shared" si="2"/>
        <v>1.0374999999999999</v>
      </c>
      <c r="K36" s="29">
        <f t="shared" si="2"/>
        <v>227.50458333333339</v>
      </c>
      <c r="L36" s="29">
        <f t="shared" si="2"/>
        <v>21.793333333333337</v>
      </c>
      <c r="M36" s="29">
        <f t="shared" si="2"/>
        <v>77.415416666666673</v>
      </c>
      <c r="N36" s="29">
        <f t="shared" si="2"/>
        <v>62.444444444444443</v>
      </c>
      <c r="O36" s="29">
        <f t="shared" si="2"/>
        <v>0.12500000000000003</v>
      </c>
      <c r="P36" s="29">
        <f t="shared" si="2"/>
        <v>0.5229166666666667</v>
      </c>
      <c r="Q36" s="29">
        <f t="shared" si="2"/>
        <v>29.528333333333332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2.862562954184003</v>
      </c>
      <c r="C37" s="29">
        <f t="shared" ref="C37:Q37" si="3">STDEV(C9:C32)</f>
        <v>2.8717639632932341</v>
      </c>
      <c r="D37" s="29">
        <f t="shared" si="3"/>
        <v>3.7875677398639427</v>
      </c>
      <c r="E37" s="29">
        <f t="shared" si="3"/>
        <v>0.47888438440106595</v>
      </c>
      <c r="F37" s="29">
        <f t="shared" si="3"/>
        <v>2.215855537003613</v>
      </c>
      <c r="G37" s="29">
        <f t="shared" si="3"/>
        <v>53.461038034981861</v>
      </c>
      <c r="H37" s="29">
        <f t="shared" si="3"/>
        <v>1.8665726166783181</v>
      </c>
      <c r="I37" s="29">
        <f t="shared" si="3"/>
        <v>1.9392961520142811E-2</v>
      </c>
      <c r="J37" s="29">
        <f t="shared" si="3"/>
        <v>0.42366157535795324</v>
      </c>
      <c r="K37" s="29">
        <f t="shared" si="3"/>
        <v>69.958827020467467</v>
      </c>
      <c r="L37" s="29">
        <f t="shared" si="3"/>
        <v>3.4483110757822071</v>
      </c>
      <c r="M37" s="29">
        <f t="shared" si="3"/>
        <v>13.779805317980665</v>
      </c>
      <c r="N37" s="29">
        <f t="shared" si="3"/>
        <v>121.49314297872812</v>
      </c>
      <c r="O37" s="29">
        <f t="shared" si="3"/>
        <v>0.26905632188786444</v>
      </c>
      <c r="P37" s="29">
        <f t="shared" si="3"/>
        <v>0.12220720702673499</v>
      </c>
      <c r="Q37" s="29">
        <f t="shared" si="3"/>
        <v>1.5429437327131668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COUNT(G9:G32)+12</f>
        <v>22</v>
      </c>
      <c r="H38" s="33">
        <f>COUNT(H9:H32)+12</f>
        <v>22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>COUNT(N9:N32)+6</f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63" sqref="G63"/>
    </sheetView>
  </sheetViews>
  <sheetFormatPr defaultColWidth="8.85546875" defaultRowHeight="15" x14ac:dyDescent="0.25"/>
  <cols>
    <col min="1" max="1" width="18.28515625" style="27" customWidth="1"/>
    <col min="2" max="2" width="13.85546875" style="21" customWidth="1"/>
    <col min="3" max="3" width="11" style="21" customWidth="1"/>
    <col min="4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02-05-2023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53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86</v>
      </c>
      <c r="B9" s="60">
        <v>4.17</v>
      </c>
      <c r="C9" s="60">
        <v>23.94</v>
      </c>
      <c r="D9" s="60">
        <v>17.2</v>
      </c>
      <c r="E9" s="60">
        <v>1.34</v>
      </c>
      <c r="F9" s="60">
        <v>3.37</v>
      </c>
      <c r="G9" s="62" t="s">
        <v>14</v>
      </c>
      <c r="H9" s="62" t="s">
        <v>14</v>
      </c>
      <c r="I9" s="60">
        <v>0.53</v>
      </c>
      <c r="J9" s="60">
        <v>0.51</v>
      </c>
      <c r="K9" s="60">
        <v>290.98</v>
      </c>
      <c r="L9" s="60">
        <v>19.510000000000002</v>
      </c>
      <c r="M9" s="60">
        <v>88.98</v>
      </c>
      <c r="N9" s="60">
        <v>4.9000000000000004</v>
      </c>
      <c r="O9" s="60">
        <v>0</v>
      </c>
      <c r="P9" s="60">
        <v>0.39</v>
      </c>
      <c r="Q9" s="60">
        <v>28.87</v>
      </c>
      <c r="R9" s="44"/>
      <c r="S9" s="44"/>
      <c r="T9" s="44"/>
      <c r="U9" s="44"/>
    </row>
    <row r="10" spans="1:21" s="12" customFormat="1" x14ac:dyDescent="0.25">
      <c r="A10" s="59" t="s">
        <v>87</v>
      </c>
      <c r="B10" s="60">
        <v>4.16</v>
      </c>
      <c r="C10" s="60">
        <v>22.11</v>
      </c>
      <c r="D10" s="60">
        <v>16.16</v>
      </c>
      <c r="E10" s="60">
        <v>0.97</v>
      </c>
      <c r="F10" s="60">
        <v>6.65</v>
      </c>
      <c r="G10" s="62" t="s">
        <v>14</v>
      </c>
      <c r="H10" s="62" t="s">
        <v>14</v>
      </c>
      <c r="I10" s="60">
        <v>0.52</v>
      </c>
      <c r="J10" s="60">
        <v>0.44</v>
      </c>
      <c r="K10" s="60">
        <v>337</v>
      </c>
      <c r="L10" s="60">
        <v>19.510000000000002</v>
      </c>
      <c r="M10" s="60">
        <v>85.7</v>
      </c>
      <c r="N10" s="60">
        <v>5</v>
      </c>
      <c r="O10" s="60">
        <v>0</v>
      </c>
      <c r="P10" s="60">
        <v>0.42</v>
      </c>
      <c r="Q10" s="60">
        <v>27.34</v>
      </c>
      <c r="R10" s="44"/>
      <c r="S10" s="44"/>
      <c r="T10" s="44"/>
      <c r="U10" s="44"/>
    </row>
    <row r="11" spans="1:21" s="12" customFormat="1" x14ac:dyDescent="0.25">
      <c r="A11" s="59" t="s">
        <v>88</v>
      </c>
      <c r="B11" s="60">
        <v>5.89</v>
      </c>
      <c r="C11" s="60">
        <v>23.33</v>
      </c>
      <c r="D11" s="60">
        <v>18.25</v>
      </c>
      <c r="E11" s="60">
        <v>1.43</v>
      </c>
      <c r="F11" s="60">
        <v>4.17</v>
      </c>
      <c r="G11" s="62" t="s">
        <v>14</v>
      </c>
      <c r="H11" s="62" t="s">
        <v>14</v>
      </c>
      <c r="I11" s="60">
        <v>0.52</v>
      </c>
      <c r="J11" s="60">
        <v>0.18</v>
      </c>
      <c r="K11" s="60">
        <v>343.45</v>
      </c>
      <c r="L11" s="60">
        <v>19.37</v>
      </c>
      <c r="M11" s="60">
        <v>87.02</v>
      </c>
      <c r="N11" s="60">
        <v>4.7</v>
      </c>
      <c r="O11" s="60">
        <v>0</v>
      </c>
      <c r="P11" s="60">
        <v>0.41</v>
      </c>
      <c r="Q11" s="60">
        <v>27.92</v>
      </c>
      <c r="R11" s="44"/>
      <c r="S11" s="44"/>
      <c r="T11" s="44"/>
      <c r="U11" s="44"/>
    </row>
    <row r="12" spans="1:21" s="12" customFormat="1" x14ac:dyDescent="0.25">
      <c r="A12" s="59" t="s">
        <v>89</v>
      </c>
      <c r="B12" s="60">
        <v>6.8</v>
      </c>
      <c r="C12" s="60">
        <v>25.38</v>
      </c>
      <c r="D12" s="60">
        <v>20.059999999999999</v>
      </c>
      <c r="E12" s="60">
        <v>1.4</v>
      </c>
      <c r="F12" s="60">
        <v>3.55</v>
      </c>
      <c r="G12" s="62" t="s">
        <v>14</v>
      </c>
      <c r="H12" s="62" t="s">
        <v>14</v>
      </c>
      <c r="I12" s="60">
        <v>0.53</v>
      </c>
      <c r="J12" s="60">
        <v>0.99</v>
      </c>
      <c r="K12" s="60">
        <v>357.1</v>
      </c>
      <c r="L12" s="60">
        <v>19.760000000000002</v>
      </c>
      <c r="M12" s="60">
        <v>87.09</v>
      </c>
      <c r="N12" s="60">
        <v>4.8</v>
      </c>
      <c r="O12" s="60">
        <v>0</v>
      </c>
      <c r="P12" s="60">
        <v>0.46</v>
      </c>
      <c r="Q12" s="60">
        <v>27.23</v>
      </c>
      <c r="R12" s="44"/>
      <c r="S12" s="44"/>
      <c r="T12" s="44"/>
      <c r="U12" s="44"/>
    </row>
    <row r="13" spans="1:21" s="12" customFormat="1" x14ac:dyDescent="0.25">
      <c r="A13" s="59" t="s">
        <v>90</v>
      </c>
      <c r="B13" s="60">
        <v>6.69</v>
      </c>
      <c r="C13" s="60">
        <v>26.01</v>
      </c>
      <c r="D13" s="60">
        <v>20.170000000000002</v>
      </c>
      <c r="E13" s="60">
        <v>1.42</v>
      </c>
      <c r="F13" s="60">
        <v>3.49</v>
      </c>
      <c r="G13" s="62" t="s">
        <v>14</v>
      </c>
      <c r="H13" s="62" t="s">
        <v>14</v>
      </c>
      <c r="I13" s="60">
        <v>0.53</v>
      </c>
      <c r="J13" s="60">
        <v>1.33</v>
      </c>
      <c r="K13" s="60">
        <v>327.27999999999997</v>
      </c>
      <c r="L13" s="60">
        <v>20.02</v>
      </c>
      <c r="M13" s="60">
        <v>89.87</v>
      </c>
      <c r="N13" s="60">
        <v>5.6</v>
      </c>
      <c r="O13" s="60">
        <v>0</v>
      </c>
      <c r="P13" s="60">
        <v>0.51</v>
      </c>
      <c r="Q13" s="60">
        <v>27.58</v>
      </c>
      <c r="R13" s="44"/>
      <c r="S13" s="44"/>
      <c r="T13" s="44"/>
      <c r="U13" s="44"/>
    </row>
    <row r="14" spans="1:21" s="12" customFormat="1" x14ac:dyDescent="0.25">
      <c r="A14" s="59" t="s">
        <v>91</v>
      </c>
      <c r="B14" s="60">
        <v>7.5</v>
      </c>
      <c r="C14" s="60">
        <v>29.15</v>
      </c>
      <c r="D14" s="60">
        <v>22.18</v>
      </c>
      <c r="E14" s="60">
        <v>1.72</v>
      </c>
      <c r="F14" s="60">
        <v>4.5599999999999996</v>
      </c>
      <c r="G14" s="62" t="s">
        <v>14</v>
      </c>
      <c r="H14" s="62" t="s">
        <v>14</v>
      </c>
      <c r="I14" s="60">
        <v>0.51</v>
      </c>
      <c r="J14" s="60">
        <v>0.7</v>
      </c>
      <c r="K14" s="60">
        <v>337.08</v>
      </c>
      <c r="L14" s="60">
        <v>19.510000000000002</v>
      </c>
      <c r="M14" s="60">
        <v>86.9</v>
      </c>
      <c r="N14" s="60">
        <v>17</v>
      </c>
      <c r="O14" s="60">
        <v>0</v>
      </c>
      <c r="P14" s="60">
        <v>0.5</v>
      </c>
      <c r="Q14" s="60">
        <v>29.2</v>
      </c>
      <c r="R14" s="44"/>
      <c r="S14" s="44"/>
      <c r="T14" s="44"/>
      <c r="U14" s="44"/>
    </row>
    <row r="15" spans="1:21" s="12" customFormat="1" x14ac:dyDescent="0.25">
      <c r="A15" s="59" t="s">
        <v>92</v>
      </c>
      <c r="B15" s="60">
        <v>6.71</v>
      </c>
      <c r="C15" s="60">
        <v>28.49</v>
      </c>
      <c r="D15" s="60">
        <v>21.68</v>
      </c>
      <c r="E15" s="60">
        <v>1.72</v>
      </c>
      <c r="F15" s="60">
        <v>4.29</v>
      </c>
      <c r="G15" s="62" t="s">
        <v>14</v>
      </c>
      <c r="H15" s="62" t="s">
        <v>14</v>
      </c>
      <c r="I15" s="60">
        <v>0.51</v>
      </c>
      <c r="J15" s="60">
        <v>0.89</v>
      </c>
      <c r="K15" s="60">
        <v>314.82</v>
      </c>
      <c r="L15" s="60">
        <v>19.77</v>
      </c>
      <c r="M15" s="60">
        <v>83.42</v>
      </c>
      <c r="N15" s="60">
        <v>55.1</v>
      </c>
      <c r="O15" s="60">
        <v>0</v>
      </c>
      <c r="P15" s="60">
        <v>0.45</v>
      </c>
      <c r="Q15" s="60">
        <v>28.7</v>
      </c>
      <c r="R15" s="44"/>
      <c r="S15" s="44"/>
      <c r="T15" s="44"/>
      <c r="U15" s="44"/>
    </row>
    <row r="16" spans="1:21" s="12" customFormat="1" x14ac:dyDescent="0.25">
      <c r="A16" s="59" t="s">
        <v>93</v>
      </c>
      <c r="B16" s="60">
        <v>6.07</v>
      </c>
      <c r="C16" s="60">
        <v>30.75</v>
      </c>
      <c r="D16" s="60">
        <v>22.48</v>
      </c>
      <c r="E16" s="60">
        <v>1.77</v>
      </c>
      <c r="F16" s="60">
        <v>4.09</v>
      </c>
      <c r="G16" s="62" t="s">
        <v>14</v>
      </c>
      <c r="H16" s="62" t="s">
        <v>14</v>
      </c>
      <c r="I16" s="60">
        <v>0.51</v>
      </c>
      <c r="J16" s="60">
        <v>1.2</v>
      </c>
      <c r="K16" s="60">
        <v>323.39999999999998</v>
      </c>
      <c r="L16" s="60">
        <v>19.66</v>
      </c>
      <c r="M16" s="60">
        <v>82</v>
      </c>
      <c r="N16" s="60">
        <v>90</v>
      </c>
      <c r="O16" s="60">
        <v>0</v>
      </c>
      <c r="P16" s="60">
        <v>0.43</v>
      </c>
      <c r="Q16" s="60">
        <v>28.69</v>
      </c>
      <c r="R16" s="44"/>
      <c r="S16" s="44"/>
      <c r="T16" s="44"/>
      <c r="U16" s="44"/>
    </row>
    <row r="17" spans="1:21" s="12" customFormat="1" x14ac:dyDescent="0.25">
      <c r="A17" s="59" t="s">
        <v>94</v>
      </c>
      <c r="B17" s="60">
        <v>7.29</v>
      </c>
      <c r="C17" s="60">
        <v>36.090000000000003</v>
      </c>
      <c r="D17" s="60">
        <v>26.08</v>
      </c>
      <c r="E17" s="60">
        <v>1.98</v>
      </c>
      <c r="F17" s="60">
        <v>3.41</v>
      </c>
      <c r="G17" s="62" t="s">
        <v>14</v>
      </c>
      <c r="H17" s="62" t="s">
        <v>14</v>
      </c>
      <c r="I17" s="60">
        <v>0.52</v>
      </c>
      <c r="J17" s="60">
        <v>2.3199999999999998</v>
      </c>
      <c r="K17" s="60">
        <v>139.33000000000001</v>
      </c>
      <c r="L17" s="60">
        <v>19.91</v>
      </c>
      <c r="M17" s="60">
        <v>89.69</v>
      </c>
      <c r="N17" s="60">
        <v>674.8</v>
      </c>
      <c r="O17" s="60">
        <v>1.2</v>
      </c>
      <c r="P17" s="60">
        <v>0.44</v>
      </c>
      <c r="Q17" s="60">
        <v>32.33</v>
      </c>
      <c r="R17" s="44"/>
      <c r="S17" s="44"/>
      <c r="T17" s="44"/>
      <c r="U17" s="44"/>
    </row>
    <row r="18" spans="1:21" s="12" customFormat="1" x14ac:dyDescent="0.25">
      <c r="A18" s="59" t="s">
        <v>95</v>
      </c>
      <c r="B18" s="60">
        <v>6.71</v>
      </c>
      <c r="C18" s="60">
        <v>28.81</v>
      </c>
      <c r="D18" s="60">
        <v>21.92</v>
      </c>
      <c r="E18" s="60">
        <v>1.69</v>
      </c>
      <c r="F18" s="60">
        <v>3.81</v>
      </c>
      <c r="G18" s="60">
        <v>32.76</v>
      </c>
      <c r="H18" s="60">
        <v>7.69</v>
      </c>
      <c r="I18" s="60">
        <v>0.52</v>
      </c>
      <c r="J18" s="60">
        <v>1.73</v>
      </c>
      <c r="K18" s="60">
        <v>130.29</v>
      </c>
      <c r="L18" s="60">
        <v>22.8</v>
      </c>
      <c r="M18" s="60">
        <v>80</v>
      </c>
      <c r="N18" s="60">
        <v>900.3</v>
      </c>
      <c r="O18" s="60">
        <v>0</v>
      </c>
      <c r="P18" s="60">
        <v>0.43</v>
      </c>
      <c r="Q18" s="60">
        <v>31.9</v>
      </c>
      <c r="R18" s="44"/>
      <c r="S18" s="44"/>
      <c r="T18" s="44"/>
      <c r="U18" s="44"/>
    </row>
    <row r="19" spans="1:21" s="12" customFormat="1" x14ac:dyDescent="0.25">
      <c r="A19" s="59" t="s">
        <v>96</v>
      </c>
      <c r="B19" s="60">
        <v>4.6500000000000004</v>
      </c>
      <c r="C19" s="60">
        <v>25.67</v>
      </c>
      <c r="D19" s="60">
        <v>18.54</v>
      </c>
      <c r="E19" s="60">
        <v>1.9</v>
      </c>
      <c r="F19" s="60">
        <v>8.2100000000000009</v>
      </c>
      <c r="G19" s="60">
        <v>25.8</v>
      </c>
      <c r="H19" s="60">
        <v>6.71</v>
      </c>
      <c r="I19" s="60">
        <v>0.52</v>
      </c>
      <c r="J19" s="60">
        <v>1.49</v>
      </c>
      <c r="K19" s="60">
        <v>154.43</v>
      </c>
      <c r="L19" s="60">
        <v>24.65</v>
      </c>
      <c r="M19" s="60">
        <v>64.53</v>
      </c>
      <c r="N19" s="60">
        <v>917.1</v>
      </c>
      <c r="O19" s="60">
        <v>0</v>
      </c>
      <c r="P19" s="60">
        <v>0.4</v>
      </c>
      <c r="Q19" s="60">
        <v>32.14</v>
      </c>
      <c r="R19" s="44"/>
      <c r="S19" s="44"/>
      <c r="T19" s="44"/>
      <c r="U19" s="44"/>
    </row>
    <row r="20" spans="1:21" s="12" customFormat="1" x14ac:dyDescent="0.25">
      <c r="A20" s="59" t="s">
        <v>97</v>
      </c>
      <c r="B20" s="60">
        <v>7.01</v>
      </c>
      <c r="C20" s="60">
        <v>26.37</v>
      </c>
      <c r="D20" s="60">
        <v>19.829999999999998</v>
      </c>
      <c r="E20" s="60">
        <v>2.16</v>
      </c>
      <c r="F20" s="60">
        <v>15.94</v>
      </c>
      <c r="G20" s="60">
        <v>21.25</v>
      </c>
      <c r="H20" s="60">
        <v>5.03</v>
      </c>
      <c r="I20" s="60">
        <v>0.5</v>
      </c>
      <c r="J20" s="60">
        <v>0.55000000000000004</v>
      </c>
      <c r="K20" s="60">
        <v>327.99</v>
      </c>
      <c r="L20" s="60">
        <v>29.45</v>
      </c>
      <c r="M20" s="60">
        <v>56.33</v>
      </c>
      <c r="N20" s="60">
        <v>1041.4000000000001</v>
      </c>
      <c r="O20" s="60">
        <v>0</v>
      </c>
      <c r="P20" s="60">
        <v>0.42</v>
      </c>
      <c r="Q20" s="60">
        <v>30.88</v>
      </c>
      <c r="R20" s="44"/>
      <c r="S20" s="44"/>
      <c r="T20" s="44"/>
      <c r="U20" s="44"/>
    </row>
    <row r="21" spans="1:21" s="12" customFormat="1" x14ac:dyDescent="0.25">
      <c r="A21" s="59" t="s">
        <v>98</v>
      </c>
      <c r="B21" s="60">
        <v>2.65</v>
      </c>
      <c r="C21" s="60">
        <v>25.51</v>
      </c>
      <c r="D21" s="60">
        <v>16.59</v>
      </c>
      <c r="E21" s="60">
        <v>1.49</v>
      </c>
      <c r="F21" s="60">
        <v>13.32</v>
      </c>
      <c r="G21" s="60">
        <v>27.04</v>
      </c>
      <c r="H21" s="60">
        <v>7.83</v>
      </c>
      <c r="I21" s="60">
        <v>0.51</v>
      </c>
      <c r="J21" s="60">
        <v>0.91</v>
      </c>
      <c r="K21" s="60">
        <v>197.06</v>
      </c>
      <c r="L21" s="60">
        <v>27.59</v>
      </c>
      <c r="M21" s="60">
        <v>53.5</v>
      </c>
      <c r="N21" s="60">
        <v>988.2</v>
      </c>
      <c r="O21" s="60">
        <v>0</v>
      </c>
      <c r="P21" s="60">
        <v>0.4</v>
      </c>
      <c r="Q21" s="60">
        <v>27.89</v>
      </c>
      <c r="R21" s="44"/>
      <c r="S21" s="44"/>
      <c r="T21" s="44"/>
      <c r="U21" s="44"/>
    </row>
    <row r="22" spans="1:21" s="12" customFormat="1" x14ac:dyDescent="0.25">
      <c r="A22" s="59" t="s">
        <v>99</v>
      </c>
      <c r="B22" s="60">
        <v>2.39</v>
      </c>
      <c r="C22" s="60">
        <v>20.79</v>
      </c>
      <c r="D22" s="60">
        <v>13.6</v>
      </c>
      <c r="E22" s="60">
        <v>1.37</v>
      </c>
      <c r="F22" s="60">
        <v>9.74</v>
      </c>
      <c r="G22" s="60">
        <v>27.04</v>
      </c>
      <c r="H22" s="60">
        <v>7.83</v>
      </c>
      <c r="I22" s="60">
        <v>0.5</v>
      </c>
      <c r="J22" s="60">
        <v>1.07</v>
      </c>
      <c r="K22" s="60">
        <v>217.98</v>
      </c>
      <c r="L22" s="60">
        <v>28.36</v>
      </c>
      <c r="M22" s="60">
        <v>51.52</v>
      </c>
      <c r="N22" s="60">
        <v>883.4</v>
      </c>
      <c r="O22" s="60">
        <v>0</v>
      </c>
      <c r="P22" s="60">
        <v>0.33</v>
      </c>
      <c r="Q22" s="60">
        <v>27.2</v>
      </c>
      <c r="R22" s="44"/>
      <c r="S22" s="44"/>
      <c r="T22" s="44"/>
      <c r="U22" s="44"/>
    </row>
    <row r="23" spans="1:21" s="12" customFormat="1" x14ac:dyDescent="0.25">
      <c r="A23" s="59" t="s">
        <v>100</v>
      </c>
      <c r="B23" s="60">
        <v>2.63</v>
      </c>
      <c r="C23" s="60">
        <v>19.63</v>
      </c>
      <c r="D23" s="60">
        <v>13.59</v>
      </c>
      <c r="E23" s="60">
        <v>1.6</v>
      </c>
      <c r="F23" s="60">
        <v>8.4600000000000009</v>
      </c>
      <c r="G23" s="60">
        <v>25.28</v>
      </c>
      <c r="H23" s="60">
        <v>6.9</v>
      </c>
      <c r="I23" s="60">
        <v>0.51</v>
      </c>
      <c r="J23" s="60">
        <v>1.58</v>
      </c>
      <c r="K23" s="60">
        <v>205.72</v>
      </c>
      <c r="L23" s="60">
        <v>28.48</v>
      </c>
      <c r="M23" s="60">
        <v>51.31</v>
      </c>
      <c r="N23" s="60">
        <v>740.2</v>
      </c>
      <c r="O23" s="60">
        <v>0</v>
      </c>
      <c r="P23" s="60">
        <v>0.32</v>
      </c>
      <c r="Q23" s="60">
        <v>29.21</v>
      </c>
      <c r="R23" s="44"/>
      <c r="S23" s="44"/>
      <c r="T23" s="44"/>
      <c r="U23" s="44"/>
    </row>
    <row r="24" spans="1:21" s="12" customFormat="1" x14ac:dyDescent="0.25">
      <c r="A24" s="59" t="s">
        <v>101</v>
      </c>
      <c r="B24" s="60">
        <v>1.83</v>
      </c>
      <c r="C24" s="60">
        <v>17.57</v>
      </c>
      <c r="D24" s="60">
        <v>11.67</v>
      </c>
      <c r="E24" s="60">
        <v>1.26</v>
      </c>
      <c r="F24" s="60">
        <v>10.98</v>
      </c>
      <c r="G24" s="60">
        <v>21.75</v>
      </c>
      <c r="H24" s="60">
        <v>6.9</v>
      </c>
      <c r="I24" s="60">
        <v>0.51</v>
      </c>
      <c r="J24" s="60">
        <v>0.97</v>
      </c>
      <c r="K24" s="60">
        <v>305.10000000000002</v>
      </c>
      <c r="L24" s="60">
        <v>28.1</v>
      </c>
      <c r="M24" s="60">
        <v>49.22</v>
      </c>
      <c r="N24" s="60">
        <v>395.4</v>
      </c>
      <c r="O24" s="60">
        <v>0</v>
      </c>
      <c r="P24" s="60">
        <v>0.28999999999999998</v>
      </c>
      <c r="Q24" s="60">
        <v>27.11</v>
      </c>
      <c r="R24" s="44"/>
      <c r="S24" s="44"/>
      <c r="T24" s="44"/>
      <c r="U24" s="44"/>
    </row>
    <row r="25" spans="1:21" s="12" customFormat="1" x14ac:dyDescent="0.25">
      <c r="A25" s="59" t="s">
        <v>102</v>
      </c>
      <c r="B25" s="60">
        <v>2.46</v>
      </c>
      <c r="C25" s="60">
        <v>18.829999999999998</v>
      </c>
      <c r="D25" s="60">
        <v>12.8</v>
      </c>
      <c r="E25" s="60">
        <v>1.49</v>
      </c>
      <c r="F25" s="60">
        <v>16.18</v>
      </c>
      <c r="G25" s="60">
        <v>19.25</v>
      </c>
      <c r="H25" s="60">
        <v>6.88</v>
      </c>
      <c r="I25" s="60">
        <v>0.48</v>
      </c>
      <c r="J25" s="60">
        <v>0.8</v>
      </c>
      <c r="K25" s="60">
        <v>248.32</v>
      </c>
      <c r="L25" s="60">
        <v>27.89</v>
      </c>
      <c r="M25" s="60">
        <v>49.09</v>
      </c>
      <c r="N25" s="60">
        <v>128.80000000000001</v>
      </c>
      <c r="O25" s="60">
        <v>0</v>
      </c>
      <c r="P25" s="60">
        <v>0.31</v>
      </c>
      <c r="Q25" s="60">
        <v>24.94</v>
      </c>
      <c r="R25" s="44"/>
      <c r="S25" s="44"/>
      <c r="T25" s="44"/>
      <c r="U25" s="44"/>
    </row>
    <row r="26" spans="1:21" s="12" customFormat="1" x14ac:dyDescent="0.25">
      <c r="A26" s="59" t="s">
        <v>103</v>
      </c>
      <c r="B26" s="60">
        <v>4.21</v>
      </c>
      <c r="C26" s="60">
        <v>21.37</v>
      </c>
      <c r="D26" s="60">
        <v>15.82</v>
      </c>
      <c r="E26" s="60">
        <v>1.67</v>
      </c>
      <c r="F26" s="60">
        <v>30.65</v>
      </c>
      <c r="G26" s="60">
        <v>19.25</v>
      </c>
      <c r="H26" s="60">
        <v>6.08</v>
      </c>
      <c r="I26" s="60">
        <v>0.49</v>
      </c>
      <c r="J26" s="60">
        <v>0.19</v>
      </c>
      <c r="K26" s="60">
        <v>357.42</v>
      </c>
      <c r="L26" s="60">
        <v>27.5</v>
      </c>
      <c r="M26" s="60">
        <v>53.78</v>
      </c>
      <c r="N26" s="60">
        <v>53.7</v>
      </c>
      <c r="O26" s="60">
        <v>0</v>
      </c>
      <c r="P26" s="60">
        <v>0.37</v>
      </c>
      <c r="Q26" s="60">
        <v>24.6</v>
      </c>
      <c r="R26" s="44"/>
      <c r="S26" s="44"/>
      <c r="T26" s="44"/>
      <c r="U26" s="44"/>
    </row>
    <row r="27" spans="1:21" s="12" customFormat="1" x14ac:dyDescent="0.25">
      <c r="A27" s="59" t="s">
        <v>104</v>
      </c>
      <c r="B27" s="60">
        <v>12.39</v>
      </c>
      <c r="C27" s="60">
        <v>41.64</v>
      </c>
      <c r="D27" s="60">
        <v>33.57</v>
      </c>
      <c r="E27" s="60">
        <v>1.49</v>
      </c>
      <c r="F27" s="60">
        <v>13.34</v>
      </c>
      <c r="G27" s="60">
        <v>42.45</v>
      </c>
      <c r="H27" s="60">
        <v>11.63</v>
      </c>
      <c r="I27" s="60">
        <v>0.5</v>
      </c>
      <c r="J27" s="60">
        <v>0.98</v>
      </c>
      <c r="K27" s="60">
        <v>323.16000000000003</v>
      </c>
      <c r="L27" s="60">
        <v>26.19</v>
      </c>
      <c r="M27" s="60">
        <v>61.86</v>
      </c>
      <c r="N27" s="60">
        <v>13.5</v>
      </c>
      <c r="O27" s="60">
        <v>0</v>
      </c>
      <c r="P27" s="60">
        <v>0.91</v>
      </c>
      <c r="Q27" s="60">
        <v>23.66</v>
      </c>
      <c r="R27" s="44"/>
      <c r="S27" s="44"/>
      <c r="T27" s="44"/>
      <c r="U27" s="44"/>
    </row>
    <row r="28" spans="1:21" s="12" customFormat="1" x14ac:dyDescent="0.25">
      <c r="A28" s="59" t="s">
        <v>105</v>
      </c>
      <c r="B28" s="60">
        <v>9</v>
      </c>
      <c r="C28" s="60">
        <v>38.11</v>
      </c>
      <c r="D28" s="60">
        <v>28.9</v>
      </c>
      <c r="E28" s="60">
        <v>1.85</v>
      </c>
      <c r="F28" s="60">
        <v>7.19</v>
      </c>
      <c r="G28" s="60">
        <v>59.72</v>
      </c>
      <c r="H28" s="60">
        <v>16.16</v>
      </c>
      <c r="I28" s="60">
        <v>0.54</v>
      </c>
      <c r="J28" s="60">
        <v>1.1200000000000001</v>
      </c>
      <c r="K28" s="60">
        <v>328.96</v>
      </c>
      <c r="L28" s="60">
        <v>25.04</v>
      </c>
      <c r="M28" s="60">
        <v>72.150000000000006</v>
      </c>
      <c r="N28" s="60">
        <v>5.3</v>
      </c>
      <c r="O28" s="60">
        <v>0</v>
      </c>
      <c r="P28" s="60">
        <v>0.93</v>
      </c>
      <c r="Q28" s="60">
        <v>26.01</v>
      </c>
      <c r="R28" s="44"/>
      <c r="S28" s="44"/>
      <c r="T28" s="44"/>
      <c r="U28" s="44"/>
    </row>
    <row r="29" spans="1:21" s="12" customFormat="1" x14ac:dyDescent="0.25">
      <c r="A29" s="59" t="s">
        <v>106</v>
      </c>
      <c r="B29" s="60">
        <v>9.68</v>
      </c>
      <c r="C29" s="60">
        <v>35.520000000000003</v>
      </c>
      <c r="D29" s="60">
        <v>27.99</v>
      </c>
      <c r="E29" s="60">
        <v>3.04</v>
      </c>
      <c r="F29" s="60">
        <v>6.93</v>
      </c>
      <c r="G29" s="60">
        <v>62.65</v>
      </c>
      <c r="H29" s="60">
        <v>16.16</v>
      </c>
      <c r="I29" s="60">
        <v>0.55000000000000004</v>
      </c>
      <c r="J29" s="60">
        <v>0.77</v>
      </c>
      <c r="K29" s="60">
        <v>328.31</v>
      </c>
      <c r="L29" s="60">
        <v>24.14</v>
      </c>
      <c r="M29" s="60">
        <v>80.61</v>
      </c>
      <c r="N29" s="60">
        <v>6.9</v>
      </c>
      <c r="O29" s="60">
        <v>1.2</v>
      </c>
      <c r="P29" s="60">
        <v>0.98</v>
      </c>
      <c r="Q29" s="60">
        <v>26.86</v>
      </c>
      <c r="R29" s="44"/>
      <c r="S29" s="44"/>
      <c r="T29" s="44"/>
      <c r="U29" s="44"/>
    </row>
    <row r="30" spans="1:21" s="12" customFormat="1" x14ac:dyDescent="0.25">
      <c r="A30" s="59" t="s">
        <v>107</v>
      </c>
      <c r="B30" s="60">
        <v>9.6999999999999993</v>
      </c>
      <c r="C30" s="60">
        <v>28.75</v>
      </c>
      <c r="D30" s="60">
        <v>23.35</v>
      </c>
      <c r="E30" s="60">
        <v>1.52</v>
      </c>
      <c r="F30" s="60">
        <v>3.66</v>
      </c>
      <c r="G30" s="60">
        <v>62.65</v>
      </c>
      <c r="H30" s="60">
        <v>12.32</v>
      </c>
      <c r="I30" s="60">
        <v>0.56000000000000005</v>
      </c>
      <c r="J30" s="60">
        <v>1.98</v>
      </c>
      <c r="K30" s="60">
        <v>320.51</v>
      </c>
      <c r="L30" s="60">
        <v>20.9</v>
      </c>
      <c r="M30" s="60">
        <v>97.1</v>
      </c>
      <c r="N30" s="60">
        <v>6.5</v>
      </c>
      <c r="O30" s="60">
        <v>7.2</v>
      </c>
      <c r="P30" s="60">
        <v>0.94</v>
      </c>
      <c r="Q30" s="60">
        <v>27.14</v>
      </c>
      <c r="R30" s="44"/>
      <c r="S30" s="44"/>
      <c r="T30" s="44"/>
      <c r="U30" s="44"/>
    </row>
    <row r="31" spans="1:21" s="12" customFormat="1" x14ac:dyDescent="0.25">
      <c r="A31" s="59" t="s">
        <v>108</v>
      </c>
      <c r="B31" s="60">
        <v>7.39</v>
      </c>
      <c r="C31" s="60">
        <v>29.74</v>
      </c>
      <c r="D31" s="60">
        <v>21.69</v>
      </c>
      <c r="E31" s="60">
        <v>1.43</v>
      </c>
      <c r="F31" s="60">
        <v>4.8</v>
      </c>
      <c r="G31" s="60">
        <v>55.52</v>
      </c>
      <c r="H31" s="60">
        <v>11</v>
      </c>
      <c r="I31" s="60">
        <v>0.54</v>
      </c>
      <c r="J31" s="60">
        <v>1.66</v>
      </c>
      <c r="K31" s="60">
        <v>274.24</v>
      </c>
      <c r="L31" s="60">
        <v>18.55</v>
      </c>
      <c r="M31" s="60">
        <v>97.1</v>
      </c>
      <c r="N31" s="60">
        <v>6.3</v>
      </c>
      <c r="O31" s="60">
        <v>7.4</v>
      </c>
      <c r="P31" s="60">
        <v>0.79</v>
      </c>
      <c r="Q31" s="60">
        <v>26.79</v>
      </c>
      <c r="R31" s="44"/>
      <c r="S31" s="44"/>
      <c r="T31" s="44"/>
      <c r="U31" s="44"/>
    </row>
    <row r="32" spans="1:21" s="12" customFormat="1" x14ac:dyDescent="0.25">
      <c r="A32" s="59" t="s">
        <v>109</v>
      </c>
      <c r="B32" s="60">
        <v>3.45</v>
      </c>
      <c r="C32" s="60">
        <v>26.16</v>
      </c>
      <c r="D32" s="60">
        <v>17.84</v>
      </c>
      <c r="E32" s="60">
        <v>1.43</v>
      </c>
      <c r="F32" s="60">
        <v>4.3499999999999996</v>
      </c>
      <c r="G32" s="60">
        <v>37.340000000000003</v>
      </c>
      <c r="H32" s="60">
        <v>8.74</v>
      </c>
      <c r="I32" s="60">
        <v>0.52</v>
      </c>
      <c r="J32" s="60">
        <v>3.09</v>
      </c>
      <c r="K32" s="60">
        <v>140.91</v>
      </c>
      <c r="L32" s="60">
        <v>18.350000000000001</v>
      </c>
      <c r="M32" s="60">
        <v>97.1</v>
      </c>
      <c r="N32" s="60">
        <v>6.4</v>
      </c>
      <c r="O32" s="60">
        <v>0.8</v>
      </c>
      <c r="P32" s="60">
        <v>0.64</v>
      </c>
      <c r="Q32" s="60">
        <v>28.29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1.83</v>
      </c>
      <c r="C34" s="29">
        <f t="shared" si="0"/>
        <v>17.57</v>
      </c>
      <c r="D34" s="29">
        <f t="shared" si="0"/>
        <v>11.67</v>
      </c>
      <c r="E34" s="29">
        <f t="shared" si="0"/>
        <v>0.97</v>
      </c>
      <c r="F34" s="29">
        <f t="shared" si="0"/>
        <v>3.37</v>
      </c>
      <c r="G34" s="29">
        <f t="shared" si="0"/>
        <v>19.25</v>
      </c>
      <c r="H34" s="29">
        <f t="shared" si="0"/>
        <v>5.03</v>
      </c>
      <c r="I34" s="29">
        <f t="shared" si="0"/>
        <v>0.48</v>
      </c>
      <c r="J34" s="29">
        <f t="shared" si="0"/>
        <v>0.18</v>
      </c>
      <c r="K34" s="29">
        <f t="shared" si="0"/>
        <v>130.29</v>
      </c>
      <c r="L34" s="29">
        <f t="shared" si="0"/>
        <v>18.350000000000001</v>
      </c>
      <c r="M34" s="29">
        <f t="shared" si="0"/>
        <v>49.09</v>
      </c>
      <c r="N34" s="29">
        <f t="shared" si="0"/>
        <v>4.7</v>
      </c>
      <c r="O34" s="29">
        <f t="shared" si="0"/>
        <v>0</v>
      </c>
      <c r="P34" s="29">
        <f t="shared" si="0"/>
        <v>0.28999999999999998</v>
      </c>
      <c r="Q34" s="29">
        <f t="shared" si="0"/>
        <v>23.66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12.39</v>
      </c>
      <c r="C35" s="30">
        <f t="shared" si="1"/>
        <v>41.64</v>
      </c>
      <c r="D35" s="30">
        <f t="shared" si="1"/>
        <v>33.57</v>
      </c>
      <c r="E35" s="30">
        <f t="shared" si="1"/>
        <v>3.04</v>
      </c>
      <c r="F35" s="30">
        <f t="shared" si="1"/>
        <v>30.65</v>
      </c>
      <c r="G35" s="30">
        <f t="shared" si="1"/>
        <v>62.65</v>
      </c>
      <c r="H35" s="30">
        <f t="shared" si="1"/>
        <v>16.16</v>
      </c>
      <c r="I35" s="30">
        <f t="shared" si="1"/>
        <v>0.56000000000000005</v>
      </c>
      <c r="J35" s="30">
        <f t="shared" si="1"/>
        <v>3.09</v>
      </c>
      <c r="K35" s="30">
        <f t="shared" si="1"/>
        <v>357.42</v>
      </c>
      <c r="L35" s="30">
        <f t="shared" si="1"/>
        <v>29.45</v>
      </c>
      <c r="M35" s="30">
        <f t="shared" si="1"/>
        <v>97.1</v>
      </c>
      <c r="N35" s="30">
        <f t="shared" si="1"/>
        <v>1041.4000000000001</v>
      </c>
      <c r="O35" s="30">
        <f t="shared" si="1"/>
        <v>7.4</v>
      </c>
      <c r="P35" s="30">
        <f t="shared" si="1"/>
        <v>0.98</v>
      </c>
      <c r="Q35" s="30">
        <f t="shared" si="1"/>
        <v>32.33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5.8929166666666646</v>
      </c>
      <c r="C36" s="29">
        <f t="shared" si="2"/>
        <v>27.071666666666662</v>
      </c>
      <c r="D36" s="29">
        <f t="shared" si="2"/>
        <v>20.081666666666667</v>
      </c>
      <c r="E36" s="29">
        <f t="shared" si="2"/>
        <v>1.6308333333333336</v>
      </c>
      <c r="F36" s="29">
        <f t="shared" si="2"/>
        <v>8.1308333333333334</v>
      </c>
      <c r="G36" s="29">
        <f t="shared" si="2"/>
        <v>35.983333333333334</v>
      </c>
      <c r="H36" s="29">
        <f t="shared" si="2"/>
        <v>9.1906666666666652</v>
      </c>
      <c r="I36" s="29">
        <f t="shared" si="2"/>
        <v>0.51791666666666669</v>
      </c>
      <c r="J36" s="29">
        <f t="shared" si="2"/>
        <v>1.1437500000000003</v>
      </c>
      <c r="K36" s="29">
        <f t="shared" si="2"/>
        <v>276.28499999999997</v>
      </c>
      <c r="L36" s="29">
        <f t="shared" si="2"/>
        <v>23.125416666666666</v>
      </c>
      <c r="M36" s="29">
        <f t="shared" si="2"/>
        <v>74.827916666666638</v>
      </c>
      <c r="N36" s="29">
        <f t="shared" si="2"/>
        <v>289.80416666666662</v>
      </c>
      <c r="O36" s="29">
        <f t="shared" si="2"/>
        <v>0.7416666666666667</v>
      </c>
      <c r="P36" s="29">
        <f t="shared" si="2"/>
        <v>0.5195833333333334</v>
      </c>
      <c r="Q36" s="29">
        <f t="shared" si="2"/>
        <v>28.019999999999992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2.7154349145877803</v>
      </c>
      <c r="C37" s="29">
        <f t="shared" ref="C37:Q37" si="3">STDEV(C9:C32)</f>
        <v>6.1265655792704674</v>
      </c>
      <c r="D37" s="29">
        <f t="shared" si="3"/>
        <v>5.3583568755540218</v>
      </c>
      <c r="E37" s="29">
        <f t="shared" si="3"/>
        <v>0.39379885250198843</v>
      </c>
      <c r="F37" s="29">
        <f t="shared" si="3"/>
        <v>6.3015849743065262</v>
      </c>
      <c r="G37" s="29">
        <f t="shared" si="3"/>
        <v>16.430105062991913</v>
      </c>
      <c r="H37" s="29">
        <f t="shared" si="3"/>
        <v>3.4978819441539377</v>
      </c>
      <c r="I37" s="29">
        <f t="shared" si="3"/>
        <v>1.8410575095914834E-2</v>
      </c>
      <c r="J37" s="29">
        <f t="shared" si="3"/>
        <v>0.67814845431288562</v>
      </c>
      <c r="K37" s="29">
        <f t="shared" si="3"/>
        <v>76.144793136097888</v>
      </c>
      <c r="L37" s="29">
        <f t="shared" si="3"/>
        <v>3.9325387078077081</v>
      </c>
      <c r="M37" s="29">
        <f t="shared" si="3"/>
        <v>17.2197598779318</v>
      </c>
      <c r="N37" s="29">
        <f t="shared" si="3"/>
        <v>399.36814603676225</v>
      </c>
      <c r="O37" s="29">
        <f t="shared" si="3"/>
        <v>2.0527641315334177</v>
      </c>
      <c r="P37" s="29">
        <f t="shared" si="3"/>
        <v>0.21874104536537289</v>
      </c>
      <c r="Q37" s="29">
        <f t="shared" si="3"/>
        <v>2.2260571499363193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COUNT(G9:G32)+9</f>
        <v>24</v>
      </c>
      <c r="H38" s="33">
        <f>COUNT(H9:H32)+9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5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546875" defaultRowHeight="15" x14ac:dyDescent="0.25"/>
  <cols>
    <col min="1" max="1" width="18.28515625" style="27" customWidth="1"/>
    <col min="2" max="2" width="13.285156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03-05-2023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110</v>
      </c>
      <c r="B9" s="60">
        <v>2.34</v>
      </c>
      <c r="C9" s="60">
        <v>19.61</v>
      </c>
      <c r="D9" s="60">
        <v>13.35</v>
      </c>
      <c r="E9" s="60">
        <v>0.87</v>
      </c>
      <c r="F9" s="60">
        <v>4.22</v>
      </c>
      <c r="G9" s="60">
        <v>26.07</v>
      </c>
      <c r="H9" s="60">
        <v>6.81</v>
      </c>
      <c r="I9" s="60">
        <v>0.51</v>
      </c>
      <c r="J9" s="60">
        <v>2.52</v>
      </c>
      <c r="K9" s="60">
        <v>167.45</v>
      </c>
      <c r="L9" s="60">
        <v>18.899999999999999</v>
      </c>
      <c r="M9" s="60">
        <v>89.57</v>
      </c>
      <c r="N9" s="60">
        <v>7.8</v>
      </c>
      <c r="O9" s="60">
        <v>0</v>
      </c>
      <c r="P9" s="60">
        <v>0.47</v>
      </c>
      <c r="Q9" s="60">
        <v>28.98</v>
      </c>
      <c r="R9" s="44"/>
      <c r="S9" s="44"/>
      <c r="T9" s="44"/>
      <c r="U9" s="44"/>
    </row>
    <row r="10" spans="1:21" s="12" customFormat="1" x14ac:dyDescent="0.25">
      <c r="A10" s="59" t="s">
        <v>111</v>
      </c>
      <c r="B10" s="60">
        <v>2.6</v>
      </c>
      <c r="C10" s="60">
        <v>19.600000000000001</v>
      </c>
      <c r="D10" s="60">
        <v>13.4</v>
      </c>
      <c r="E10" s="60">
        <v>0.93</v>
      </c>
      <c r="F10" s="60">
        <v>3.89</v>
      </c>
      <c r="G10" s="60">
        <v>21</v>
      </c>
      <c r="H10" s="60">
        <v>5.23</v>
      </c>
      <c r="I10" s="60">
        <v>0.49</v>
      </c>
      <c r="J10" s="60">
        <v>1.06</v>
      </c>
      <c r="K10" s="60">
        <v>258.56</v>
      </c>
      <c r="L10" s="60">
        <v>19.04</v>
      </c>
      <c r="M10" s="60">
        <v>90.44</v>
      </c>
      <c r="N10" s="60">
        <v>5.7</v>
      </c>
      <c r="O10" s="60">
        <v>0.8</v>
      </c>
      <c r="P10" s="60">
        <v>0.38</v>
      </c>
      <c r="Q10" s="60">
        <v>28.86</v>
      </c>
      <c r="R10" s="44"/>
      <c r="S10" s="44"/>
      <c r="T10" s="44"/>
      <c r="U10" s="44"/>
    </row>
    <row r="11" spans="1:21" s="12" customFormat="1" x14ac:dyDescent="0.25">
      <c r="A11" s="59" t="s">
        <v>112</v>
      </c>
      <c r="B11" s="60">
        <v>2.42</v>
      </c>
      <c r="C11" s="60">
        <v>20.62</v>
      </c>
      <c r="D11" s="60">
        <v>13.82</v>
      </c>
      <c r="E11" s="60">
        <v>0.8</v>
      </c>
      <c r="F11" s="60">
        <v>4.42</v>
      </c>
      <c r="G11" s="60">
        <v>20.02</v>
      </c>
      <c r="H11" s="60">
        <v>4.16</v>
      </c>
      <c r="I11" s="60">
        <v>0.49</v>
      </c>
      <c r="J11" s="60">
        <v>0.51</v>
      </c>
      <c r="K11" s="60">
        <v>231.49</v>
      </c>
      <c r="L11" s="60">
        <v>18.260000000000002</v>
      </c>
      <c r="M11" s="60">
        <v>97.1</v>
      </c>
      <c r="N11" s="60">
        <v>5.7</v>
      </c>
      <c r="O11" s="60">
        <v>1.8</v>
      </c>
      <c r="P11" s="60">
        <v>0.33</v>
      </c>
      <c r="Q11" s="60">
        <v>28.24</v>
      </c>
      <c r="R11" s="44"/>
      <c r="S11" s="44"/>
      <c r="T11" s="44"/>
      <c r="U11" s="44"/>
    </row>
    <row r="12" spans="1:21" s="12" customFormat="1" x14ac:dyDescent="0.25">
      <c r="A12" s="59" t="s">
        <v>113</v>
      </c>
      <c r="B12" s="60">
        <v>2.14</v>
      </c>
      <c r="C12" s="60">
        <v>15.73</v>
      </c>
      <c r="D12" s="60">
        <v>10.92</v>
      </c>
      <c r="E12" s="60">
        <v>0.83</v>
      </c>
      <c r="F12" s="60">
        <v>3.99</v>
      </c>
      <c r="G12" s="60">
        <v>16.329999999999998</v>
      </c>
      <c r="H12" s="60">
        <v>3.52</v>
      </c>
      <c r="I12" s="60">
        <v>0.48</v>
      </c>
      <c r="J12" s="60">
        <v>0.78</v>
      </c>
      <c r="K12" s="60">
        <v>231.19</v>
      </c>
      <c r="L12" s="60">
        <v>17.899999999999999</v>
      </c>
      <c r="M12" s="60">
        <v>97.1</v>
      </c>
      <c r="N12" s="60">
        <v>5.5</v>
      </c>
      <c r="O12" s="60">
        <v>0.4</v>
      </c>
      <c r="P12" s="60">
        <v>0.3</v>
      </c>
      <c r="Q12" s="60">
        <v>26.33</v>
      </c>
      <c r="R12" s="44"/>
      <c r="S12" s="44"/>
      <c r="T12" s="44"/>
      <c r="U12" s="44"/>
    </row>
    <row r="13" spans="1:21" s="12" customFormat="1" x14ac:dyDescent="0.25">
      <c r="A13" s="59" t="s">
        <v>114</v>
      </c>
      <c r="B13" s="60">
        <v>3.03</v>
      </c>
      <c r="C13" s="60">
        <v>18.34</v>
      </c>
      <c r="D13" s="60">
        <v>13.2</v>
      </c>
      <c r="E13" s="60">
        <v>1.41</v>
      </c>
      <c r="F13" s="60">
        <v>3.86</v>
      </c>
      <c r="G13" s="60">
        <v>14.22</v>
      </c>
      <c r="H13" s="60">
        <v>2.77</v>
      </c>
      <c r="I13" s="60">
        <v>0.48</v>
      </c>
      <c r="J13" s="60">
        <v>1.03</v>
      </c>
      <c r="K13" s="60">
        <v>194.23</v>
      </c>
      <c r="L13" s="60">
        <v>17.84</v>
      </c>
      <c r="M13" s="60">
        <v>96.54</v>
      </c>
      <c r="N13" s="60">
        <v>5.8</v>
      </c>
      <c r="O13" s="60">
        <v>0.2</v>
      </c>
      <c r="P13" s="60">
        <v>0.28000000000000003</v>
      </c>
      <c r="Q13" s="60">
        <v>26.65</v>
      </c>
      <c r="R13" s="44"/>
      <c r="S13" s="44"/>
      <c r="T13" s="44"/>
      <c r="U13" s="44"/>
    </row>
    <row r="14" spans="1:21" s="12" customFormat="1" x14ac:dyDescent="0.25">
      <c r="A14" s="59" t="s">
        <v>115</v>
      </c>
      <c r="B14" s="60">
        <v>3.41</v>
      </c>
      <c r="C14" s="60">
        <v>18.36</v>
      </c>
      <c r="D14" s="60">
        <v>13.37</v>
      </c>
      <c r="E14" s="60">
        <v>1.57</v>
      </c>
      <c r="F14" s="60">
        <v>3.8</v>
      </c>
      <c r="G14" s="60">
        <v>10.73</v>
      </c>
      <c r="H14" s="60">
        <v>2.42</v>
      </c>
      <c r="I14" s="60">
        <v>0.49</v>
      </c>
      <c r="J14" s="60">
        <v>1.37</v>
      </c>
      <c r="K14" s="60">
        <v>281.58999999999997</v>
      </c>
      <c r="L14" s="60">
        <v>17.86</v>
      </c>
      <c r="M14" s="60">
        <v>96.89</v>
      </c>
      <c r="N14" s="60">
        <v>21.4</v>
      </c>
      <c r="O14" s="60">
        <v>0.2</v>
      </c>
      <c r="P14" s="60">
        <v>0.28000000000000003</v>
      </c>
      <c r="Q14" s="60">
        <v>28.39</v>
      </c>
      <c r="R14" s="44"/>
      <c r="S14" s="44"/>
      <c r="T14" s="44"/>
      <c r="U14" s="44"/>
    </row>
    <row r="15" spans="1:21" s="12" customFormat="1" x14ac:dyDescent="0.25">
      <c r="A15" s="59" t="s">
        <v>116</v>
      </c>
      <c r="B15" s="60">
        <v>5.55</v>
      </c>
      <c r="C15" s="60">
        <v>18.260000000000002</v>
      </c>
      <c r="D15" s="60">
        <v>15.17</v>
      </c>
      <c r="E15" s="60">
        <v>1.24</v>
      </c>
      <c r="F15" s="60">
        <v>3.42</v>
      </c>
      <c r="G15" s="60">
        <v>9.51</v>
      </c>
      <c r="H15" s="60">
        <v>4.97</v>
      </c>
      <c r="I15" s="60">
        <v>0.49</v>
      </c>
      <c r="J15" s="60">
        <v>0.69</v>
      </c>
      <c r="K15" s="60">
        <v>332.35</v>
      </c>
      <c r="L15" s="60">
        <v>19.25</v>
      </c>
      <c r="M15" s="60">
        <v>97.09</v>
      </c>
      <c r="N15" s="60">
        <v>134.5</v>
      </c>
      <c r="O15" s="60">
        <v>0</v>
      </c>
      <c r="P15" s="60">
        <v>0.31</v>
      </c>
      <c r="Q15" s="60">
        <v>27.92</v>
      </c>
      <c r="R15" s="44"/>
      <c r="S15" s="44"/>
      <c r="T15" s="44"/>
      <c r="U15" s="44"/>
    </row>
    <row r="16" spans="1:21" s="12" customFormat="1" x14ac:dyDescent="0.25">
      <c r="A16" s="59" t="s">
        <v>117</v>
      </c>
      <c r="B16" s="60">
        <v>6.38</v>
      </c>
      <c r="C16" s="60">
        <v>21.18</v>
      </c>
      <c r="D16" s="60">
        <v>17.45</v>
      </c>
      <c r="E16" s="60">
        <v>1.25</v>
      </c>
      <c r="F16" s="60">
        <v>3.68</v>
      </c>
      <c r="G16" s="60">
        <v>7.39</v>
      </c>
      <c r="H16" s="60">
        <v>6.56</v>
      </c>
      <c r="I16" s="60">
        <v>0.49</v>
      </c>
      <c r="J16" s="60">
        <v>0.35</v>
      </c>
      <c r="K16" s="60">
        <v>338.69</v>
      </c>
      <c r="L16" s="60">
        <v>22.32</v>
      </c>
      <c r="M16" s="60">
        <v>93.96</v>
      </c>
      <c r="N16" s="60">
        <v>407.8</v>
      </c>
      <c r="O16" s="60">
        <v>0</v>
      </c>
      <c r="P16" s="60">
        <v>0.35</v>
      </c>
      <c r="Q16" s="60">
        <v>26.61</v>
      </c>
      <c r="R16" s="44"/>
      <c r="S16" s="44"/>
      <c r="T16" s="44"/>
      <c r="U16" s="44"/>
    </row>
    <row r="17" spans="1:21" s="12" customFormat="1" x14ac:dyDescent="0.25">
      <c r="A17" s="59" t="s">
        <v>118</v>
      </c>
      <c r="B17" s="60">
        <v>6.65</v>
      </c>
      <c r="C17" s="60">
        <v>20.84</v>
      </c>
      <c r="D17" s="60">
        <v>17.48</v>
      </c>
      <c r="E17" s="60">
        <v>1.01</v>
      </c>
      <c r="F17" s="60">
        <v>3.57</v>
      </c>
      <c r="G17" s="60">
        <v>15.91</v>
      </c>
      <c r="H17" s="60">
        <v>8.1999999999999993</v>
      </c>
      <c r="I17" s="60">
        <v>0.51</v>
      </c>
      <c r="J17" s="60">
        <v>0.53</v>
      </c>
      <c r="K17" s="60">
        <v>261.19</v>
      </c>
      <c r="L17" s="60">
        <v>20.91</v>
      </c>
      <c r="M17" s="60">
        <v>85.29</v>
      </c>
      <c r="N17" s="60">
        <v>276.89999999999998</v>
      </c>
      <c r="O17" s="60">
        <v>0</v>
      </c>
      <c r="P17" s="60">
        <v>0.37</v>
      </c>
      <c r="Q17" s="60">
        <v>26.85</v>
      </c>
      <c r="R17" s="44"/>
      <c r="S17" s="44"/>
      <c r="T17" s="44"/>
      <c r="U17" s="44"/>
    </row>
    <row r="18" spans="1:21" s="12" customFormat="1" x14ac:dyDescent="0.25">
      <c r="A18" s="59" t="s">
        <v>119</v>
      </c>
      <c r="B18" s="60">
        <v>4.87</v>
      </c>
      <c r="C18" s="60">
        <v>21.95</v>
      </c>
      <c r="D18" s="60">
        <v>15.69</v>
      </c>
      <c r="E18" s="60">
        <v>1</v>
      </c>
      <c r="F18" s="60">
        <v>4.5</v>
      </c>
      <c r="G18" s="60">
        <v>23.2</v>
      </c>
      <c r="H18" s="60">
        <v>8.1999999999999993</v>
      </c>
      <c r="I18" s="60">
        <v>0.51</v>
      </c>
      <c r="J18" s="60">
        <v>0.34</v>
      </c>
      <c r="K18" s="60">
        <v>346.26</v>
      </c>
      <c r="L18" s="60">
        <v>21.78</v>
      </c>
      <c r="M18" s="60">
        <v>84.49</v>
      </c>
      <c r="N18" s="60">
        <v>318.5</v>
      </c>
      <c r="O18" s="60">
        <v>0</v>
      </c>
      <c r="P18" s="60">
        <v>0.56999999999999995</v>
      </c>
      <c r="Q18" s="60">
        <v>26.24</v>
      </c>
      <c r="R18" s="44"/>
      <c r="S18" s="44"/>
      <c r="T18" s="44"/>
      <c r="U18" s="44"/>
    </row>
    <row r="19" spans="1:21" s="12" customFormat="1" x14ac:dyDescent="0.25">
      <c r="A19" s="59" t="s">
        <v>120</v>
      </c>
      <c r="B19" s="60">
        <v>4.66</v>
      </c>
      <c r="C19" s="60">
        <v>22.05</v>
      </c>
      <c r="D19" s="60">
        <v>15.93</v>
      </c>
      <c r="E19" s="60">
        <v>1.28</v>
      </c>
      <c r="F19" s="60">
        <v>3.26</v>
      </c>
      <c r="G19" s="60">
        <v>29.57</v>
      </c>
      <c r="H19" s="60">
        <v>9.64</v>
      </c>
      <c r="I19" s="60">
        <v>0.51</v>
      </c>
      <c r="J19" s="60">
        <v>1.02</v>
      </c>
      <c r="K19" s="60">
        <v>319.63</v>
      </c>
      <c r="L19" s="60">
        <v>22.39</v>
      </c>
      <c r="M19" s="60">
        <v>80.86</v>
      </c>
      <c r="N19" s="60">
        <v>378.5</v>
      </c>
      <c r="O19" s="60">
        <v>0</v>
      </c>
      <c r="P19" s="60">
        <v>0.77</v>
      </c>
      <c r="Q19" s="60">
        <v>26.81</v>
      </c>
      <c r="R19" s="44"/>
      <c r="S19" s="44"/>
      <c r="T19" s="44"/>
      <c r="U19" s="44"/>
    </row>
    <row r="20" spans="1:21" s="12" customFormat="1" x14ac:dyDescent="0.25">
      <c r="A20" s="59" t="s">
        <v>121</v>
      </c>
      <c r="B20" s="60">
        <v>3.43</v>
      </c>
      <c r="C20" s="60">
        <v>26.7</v>
      </c>
      <c r="D20" s="60">
        <v>18.13</v>
      </c>
      <c r="E20" s="60">
        <v>1.31</v>
      </c>
      <c r="F20" s="60">
        <v>22.42</v>
      </c>
      <c r="G20" s="60">
        <v>30.26</v>
      </c>
      <c r="H20" s="60">
        <v>9.64</v>
      </c>
      <c r="I20" s="60">
        <v>0.51</v>
      </c>
      <c r="J20" s="60">
        <v>0.27</v>
      </c>
      <c r="K20" s="60">
        <v>297.08</v>
      </c>
      <c r="L20" s="60">
        <v>23.74</v>
      </c>
      <c r="M20" s="60">
        <v>81.93</v>
      </c>
      <c r="N20" s="60">
        <v>503.1</v>
      </c>
      <c r="O20" s="60">
        <v>0.2</v>
      </c>
      <c r="P20" s="60">
        <v>0.55000000000000004</v>
      </c>
      <c r="Q20" s="60">
        <v>25.64</v>
      </c>
      <c r="R20" s="44"/>
      <c r="S20" s="44"/>
      <c r="T20" s="44"/>
      <c r="U20" s="44"/>
    </row>
    <row r="21" spans="1:21" s="12" customFormat="1" x14ac:dyDescent="0.25">
      <c r="A21" s="59" t="s">
        <v>122</v>
      </c>
      <c r="B21" s="60">
        <v>2.97</v>
      </c>
      <c r="C21" s="60">
        <v>21.56</v>
      </c>
      <c r="D21" s="60">
        <v>14.82</v>
      </c>
      <c r="E21" s="60">
        <v>1.36</v>
      </c>
      <c r="F21" s="60">
        <v>5.09</v>
      </c>
      <c r="G21" s="60">
        <v>31.35</v>
      </c>
      <c r="H21" s="60">
        <v>9.4600000000000009</v>
      </c>
      <c r="I21" s="60">
        <v>0.46</v>
      </c>
      <c r="J21" s="60">
        <v>0.32</v>
      </c>
      <c r="K21" s="60">
        <v>301.45</v>
      </c>
      <c r="L21" s="60">
        <v>26.7</v>
      </c>
      <c r="M21" s="60">
        <v>67.959999999999994</v>
      </c>
      <c r="N21" s="60">
        <v>1004.4</v>
      </c>
      <c r="O21" s="60">
        <v>0</v>
      </c>
      <c r="P21" s="60">
        <v>0.43</v>
      </c>
      <c r="Q21" s="60">
        <v>19.84</v>
      </c>
      <c r="R21" s="44"/>
      <c r="S21" s="44"/>
      <c r="T21" s="44"/>
      <c r="U21" s="44"/>
    </row>
    <row r="22" spans="1:21" s="12" customFormat="1" x14ac:dyDescent="0.25">
      <c r="A22" s="59" t="s">
        <v>123</v>
      </c>
      <c r="B22" s="60">
        <v>2.93</v>
      </c>
      <c r="C22" s="60">
        <v>26.88</v>
      </c>
      <c r="D22" s="60">
        <v>17.07</v>
      </c>
      <c r="E22" s="60">
        <v>1.01</v>
      </c>
      <c r="F22" s="60">
        <v>10.37</v>
      </c>
      <c r="G22" s="60">
        <v>31.35</v>
      </c>
      <c r="H22" s="60">
        <v>8.8800000000000008</v>
      </c>
      <c r="I22" s="60">
        <v>0.48</v>
      </c>
      <c r="J22" s="60">
        <v>0.44</v>
      </c>
      <c r="K22" s="60">
        <v>303.76</v>
      </c>
      <c r="L22" s="60">
        <v>27.58</v>
      </c>
      <c r="M22" s="60">
        <v>58.17</v>
      </c>
      <c r="N22" s="62" t="s">
        <v>14</v>
      </c>
      <c r="O22" s="60">
        <v>0</v>
      </c>
      <c r="P22" s="60">
        <v>0.45</v>
      </c>
      <c r="Q22" s="60">
        <v>21.23</v>
      </c>
      <c r="R22" s="44"/>
      <c r="S22" s="44"/>
      <c r="T22" s="44"/>
      <c r="U22" s="44"/>
    </row>
    <row r="23" spans="1:21" s="12" customFormat="1" x14ac:dyDescent="0.25">
      <c r="A23" s="59" t="s">
        <v>124</v>
      </c>
      <c r="B23" s="60">
        <v>2.39</v>
      </c>
      <c r="C23" s="60">
        <v>21.44</v>
      </c>
      <c r="D23" s="60">
        <v>14.19</v>
      </c>
      <c r="E23" s="60">
        <v>1.3</v>
      </c>
      <c r="F23" s="60">
        <v>5.96</v>
      </c>
      <c r="G23" s="60">
        <v>30.52</v>
      </c>
      <c r="H23" s="60">
        <v>7.14</v>
      </c>
      <c r="I23" s="60">
        <v>0.47</v>
      </c>
      <c r="J23" s="60">
        <v>1.01</v>
      </c>
      <c r="K23" s="60">
        <v>297.23</v>
      </c>
      <c r="L23" s="60">
        <v>28.01</v>
      </c>
      <c r="M23" s="60">
        <v>55.42</v>
      </c>
      <c r="N23" s="60">
        <v>325</v>
      </c>
      <c r="O23" s="60">
        <v>0</v>
      </c>
      <c r="P23" s="60">
        <v>0.57999999999999996</v>
      </c>
      <c r="Q23" s="60">
        <v>20.76</v>
      </c>
      <c r="R23" s="44"/>
      <c r="S23" s="44"/>
      <c r="T23" s="44"/>
      <c r="U23" s="44"/>
    </row>
    <row r="24" spans="1:21" s="12" customFormat="1" x14ac:dyDescent="0.25">
      <c r="A24" s="59" t="s">
        <v>125</v>
      </c>
      <c r="B24" s="60">
        <v>3.97</v>
      </c>
      <c r="C24" s="60">
        <v>26.33</v>
      </c>
      <c r="D24" s="60">
        <v>18.36</v>
      </c>
      <c r="E24" s="60">
        <v>1.03</v>
      </c>
      <c r="F24" s="60">
        <v>6.38</v>
      </c>
      <c r="G24" s="60">
        <v>26.05</v>
      </c>
      <c r="H24" s="60">
        <v>6.62</v>
      </c>
      <c r="I24" s="60">
        <v>0.47</v>
      </c>
      <c r="J24" s="60">
        <v>1.63</v>
      </c>
      <c r="K24" s="60">
        <v>285.77999999999997</v>
      </c>
      <c r="L24" s="60">
        <v>27.44</v>
      </c>
      <c r="M24" s="60">
        <v>56.19</v>
      </c>
      <c r="N24" s="60">
        <v>333.7</v>
      </c>
      <c r="O24" s="60">
        <v>0</v>
      </c>
      <c r="P24" s="60">
        <v>0.54</v>
      </c>
      <c r="Q24" s="60">
        <v>21.51</v>
      </c>
      <c r="R24" s="44"/>
      <c r="S24" s="44"/>
      <c r="T24" s="44"/>
      <c r="U24" s="44"/>
    </row>
    <row r="25" spans="1:21" s="12" customFormat="1" x14ac:dyDescent="0.25">
      <c r="A25" s="59" t="s">
        <v>126</v>
      </c>
      <c r="B25" s="60">
        <v>6.35</v>
      </c>
      <c r="C25" s="60">
        <v>21.2</v>
      </c>
      <c r="D25" s="60">
        <v>16.7</v>
      </c>
      <c r="E25" s="60">
        <v>1.27</v>
      </c>
      <c r="F25" s="60">
        <v>7.6</v>
      </c>
      <c r="G25" s="60">
        <v>24.19</v>
      </c>
      <c r="H25" s="60">
        <v>6.18</v>
      </c>
      <c r="I25" s="60">
        <v>0.48</v>
      </c>
      <c r="J25" s="60">
        <v>0.79</v>
      </c>
      <c r="K25" s="60">
        <v>280.75</v>
      </c>
      <c r="L25" s="60">
        <v>27.01</v>
      </c>
      <c r="M25" s="60">
        <v>56.14</v>
      </c>
      <c r="N25" s="60">
        <v>167.9</v>
      </c>
      <c r="O25" s="60">
        <v>0</v>
      </c>
      <c r="P25" s="60">
        <v>0.5</v>
      </c>
      <c r="Q25" s="60">
        <v>21.76</v>
      </c>
      <c r="R25" s="44"/>
      <c r="S25" s="44"/>
      <c r="T25" s="44"/>
      <c r="U25" s="44"/>
    </row>
    <row r="26" spans="1:21" s="12" customFormat="1" x14ac:dyDescent="0.25">
      <c r="A26" s="59" t="s">
        <v>127</v>
      </c>
      <c r="B26" s="60">
        <v>4.76</v>
      </c>
      <c r="C26" s="60">
        <v>21.18</v>
      </c>
      <c r="D26" s="60">
        <v>16.149999999999999</v>
      </c>
      <c r="E26" s="60">
        <v>0.86</v>
      </c>
      <c r="F26" s="60">
        <v>4.7</v>
      </c>
      <c r="G26" s="60">
        <v>26.91</v>
      </c>
      <c r="H26" s="60">
        <v>6.49</v>
      </c>
      <c r="I26" s="60">
        <v>0.48</v>
      </c>
      <c r="J26" s="60">
        <v>0.87</v>
      </c>
      <c r="K26" s="60">
        <v>293.47000000000003</v>
      </c>
      <c r="L26" s="60">
        <v>25.6</v>
      </c>
      <c r="M26" s="60">
        <v>64.239999999999995</v>
      </c>
      <c r="N26" s="60">
        <v>81</v>
      </c>
      <c r="O26" s="60">
        <v>0</v>
      </c>
      <c r="P26" s="60">
        <v>0.56000000000000005</v>
      </c>
      <c r="Q26" s="60">
        <v>21.37</v>
      </c>
      <c r="R26" s="44"/>
      <c r="S26" s="44"/>
      <c r="T26" s="44"/>
      <c r="U26" s="44"/>
    </row>
    <row r="27" spans="1:21" s="12" customFormat="1" x14ac:dyDescent="0.25">
      <c r="A27" s="59" t="s">
        <v>128</v>
      </c>
      <c r="B27" s="60">
        <v>12.44</v>
      </c>
      <c r="C27" s="60">
        <v>30.84</v>
      </c>
      <c r="D27" s="60">
        <v>27.64</v>
      </c>
      <c r="E27" s="60">
        <v>1.1000000000000001</v>
      </c>
      <c r="F27" s="60">
        <v>8.4700000000000006</v>
      </c>
      <c r="G27" s="60">
        <v>33.51</v>
      </c>
      <c r="H27" s="60">
        <v>6.49</v>
      </c>
      <c r="I27" s="60">
        <v>0.51</v>
      </c>
      <c r="J27" s="60">
        <v>0.63</v>
      </c>
      <c r="K27" s="60">
        <v>289.64</v>
      </c>
      <c r="L27" s="60">
        <v>24.59</v>
      </c>
      <c r="M27" s="60">
        <v>66.819999999999993</v>
      </c>
      <c r="N27" s="60">
        <v>18</v>
      </c>
      <c r="O27" s="60">
        <v>0</v>
      </c>
      <c r="P27" s="60">
        <v>0.87</v>
      </c>
      <c r="Q27" s="60">
        <v>22.99</v>
      </c>
      <c r="R27" s="44"/>
      <c r="S27" s="44"/>
      <c r="T27" s="44"/>
      <c r="U27" s="44"/>
    </row>
    <row r="28" spans="1:21" s="12" customFormat="1" x14ac:dyDescent="0.25">
      <c r="A28" s="59" t="s">
        <v>129</v>
      </c>
      <c r="B28" s="60">
        <v>10.52</v>
      </c>
      <c r="C28" s="60">
        <v>33.36</v>
      </c>
      <c r="D28" s="60">
        <v>27.5</v>
      </c>
      <c r="E28" s="60">
        <v>1.79</v>
      </c>
      <c r="F28" s="60">
        <v>9.76</v>
      </c>
      <c r="G28" s="60">
        <v>37.450000000000003</v>
      </c>
      <c r="H28" s="60">
        <v>6.96</v>
      </c>
      <c r="I28" s="60">
        <v>0.55000000000000004</v>
      </c>
      <c r="J28" s="60">
        <v>0.2</v>
      </c>
      <c r="K28" s="60">
        <v>271.16000000000003</v>
      </c>
      <c r="L28" s="60">
        <v>23.49</v>
      </c>
      <c r="M28" s="60">
        <v>72.010000000000005</v>
      </c>
      <c r="N28" s="60">
        <v>5.2</v>
      </c>
      <c r="O28" s="60">
        <v>0</v>
      </c>
      <c r="P28" s="60">
        <v>0.77</v>
      </c>
      <c r="Q28" s="60">
        <v>24.5</v>
      </c>
      <c r="R28" s="44"/>
      <c r="S28" s="44"/>
      <c r="T28" s="44"/>
      <c r="U28" s="44"/>
    </row>
    <row r="29" spans="1:21" s="12" customFormat="1" x14ac:dyDescent="0.25">
      <c r="A29" s="59" t="s">
        <v>130</v>
      </c>
      <c r="B29" s="60">
        <v>9.25</v>
      </c>
      <c r="C29" s="60">
        <v>24.3</v>
      </c>
      <c r="D29" s="60">
        <v>21.47</v>
      </c>
      <c r="E29" s="60">
        <v>0.57999999999999996</v>
      </c>
      <c r="F29" s="60">
        <v>3.94</v>
      </c>
      <c r="G29" s="60">
        <v>39.9</v>
      </c>
      <c r="H29" s="60">
        <v>9.8000000000000007</v>
      </c>
      <c r="I29" s="60">
        <v>0.56999999999999995</v>
      </c>
      <c r="J29" s="60">
        <v>0.2</v>
      </c>
      <c r="K29" s="60">
        <v>264.45999999999998</v>
      </c>
      <c r="L29" s="60">
        <v>23.05</v>
      </c>
      <c r="M29" s="60">
        <v>73.430000000000007</v>
      </c>
      <c r="N29" s="60">
        <v>5</v>
      </c>
      <c r="O29" s="60">
        <v>0</v>
      </c>
      <c r="P29" s="60">
        <v>0.74</v>
      </c>
      <c r="Q29" s="60">
        <v>25.09</v>
      </c>
      <c r="R29" s="44"/>
      <c r="S29" s="44"/>
      <c r="T29" s="44"/>
      <c r="U29" s="44"/>
    </row>
    <row r="30" spans="1:21" s="12" customFormat="1" x14ac:dyDescent="0.25">
      <c r="A30" s="59" t="s">
        <v>131</v>
      </c>
      <c r="B30" s="60">
        <v>30.03</v>
      </c>
      <c r="C30" s="60">
        <v>33.130000000000003</v>
      </c>
      <c r="D30" s="60">
        <v>43.02</v>
      </c>
      <c r="E30" s="60">
        <v>0.83</v>
      </c>
      <c r="F30" s="60">
        <v>3.18</v>
      </c>
      <c r="G30" s="60">
        <v>42.42</v>
      </c>
      <c r="H30" s="60">
        <v>12.64</v>
      </c>
      <c r="I30" s="60">
        <v>0.57999999999999996</v>
      </c>
      <c r="J30" s="60">
        <v>0.16</v>
      </c>
      <c r="K30" s="60">
        <v>303.22000000000003</v>
      </c>
      <c r="L30" s="60">
        <v>22.69</v>
      </c>
      <c r="M30" s="60">
        <v>84</v>
      </c>
      <c r="N30" s="60">
        <v>5.2</v>
      </c>
      <c r="O30" s="60">
        <v>0</v>
      </c>
      <c r="P30" s="60">
        <v>1.1299999999999999</v>
      </c>
      <c r="Q30" s="60">
        <v>25.06</v>
      </c>
      <c r="R30" s="44"/>
      <c r="S30" s="44"/>
      <c r="T30" s="44"/>
      <c r="U30" s="44"/>
    </row>
    <row r="31" spans="1:21" s="12" customFormat="1" x14ac:dyDescent="0.25">
      <c r="A31" s="59" t="s">
        <v>132</v>
      </c>
      <c r="B31" s="60">
        <v>26.61</v>
      </c>
      <c r="C31" s="60">
        <v>35.08</v>
      </c>
      <c r="D31" s="60">
        <v>40.950000000000003</v>
      </c>
      <c r="E31" s="60">
        <v>0.88</v>
      </c>
      <c r="F31" s="60">
        <v>3.18</v>
      </c>
      <c r="G31" s="60">
        <v>49.8</v>
      </c>
      <c r="H31" s="60">
        <v>12.64</v>
      </c>
      <c r="I31" s="60">
        <v>0.64</v>
      </c>
      <c r="J31" s="60">
        <v>0.14000000000000001</v>
      </c>
      <c r="K31" s="60">
        <v>292.89</v>
      </c>
      <c r="L31" s="60">
        <v>21.4</v>
      </c>
      <c r="M31" s="60">
        <v>86.1</v>
      </c>
      <c r="N31" s="60">
        <v>5</v>
      </c>
      <c r="O31" s="60">
        <v>0</v>
      </c>
      <c r="P31" s="60">
        <v>1.1499999999999999</v>
      </c>
      <c r="Q31" s="60">
        <v>26.84</v>
      </c>
      <c r="R31" s="44"/>
      <c r="S31" s="44"/>
      <c r="T31" s="44"/>
      <c r="U31" s="44"/>
    </row>
    <row r="32" spans="1:21" s="12" customFormat="1" x14ac:dyDescent="0.25">
      <c r="A32" s="59" t="s">
        <v>133</v>
      </c>
      <c r="B32" s="60">
        <v>27.31</v>
      </c>
      <c r="C32" s="60">
        <v>19.84</v>
      </c>
      <c r="D32" s="60">
        <v>33.19</v>
      </c>
      <c r="E32" s="60">
        <v>1.02</v>
      </c>
      <c r="F32" s="60">
        <v>2.77</v>
      </c>
      <c r="G32" s="60">
        <v>66.83</v>
      </c>
      <c r="H32" s="60">
        <v>11.57</v>
      </c>
      <c r="I32" s="60">
        <v>0.67</v>
      </c>
      <c r="J32" s="60">
        <v>0.1</v>
      </c>
      <c r="K32" s="60">
        <v>287.94</v>
      </c>
      <c r="L32" s="60">
        <v>21.31</v>
      </c>
      <c r="M32" s="60">
        <v>90.57</v>
      </c>
      <c r="N32" s="60">
        <v>4.9000000000000004</v>
      </c>
      <c r="O32" s="60">
        <v>0</v>
      </c>
      <c r="P32" s="60">
        <v>1.1499999999999999</v>
      </c>
      <c r="Q32" s="60">
        <v>27.69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2.14</v>
      </c>
      <c r="C34" s="29">
        <f t="shared" si="0"/>
        <v>15.73</v>
      </c>
      <c r="D34" s="29">
        <f t="shared" si="0"/>
        <v>10.92</v>
      </c>
      <c r="E34" s="29">
        <f t="shared" si="0"/>
        <v>0.57999999999999996</v>
      </c>
      <c r="F34" s="29">
        <f t="shared" si="0"/>
        <v>2.77</v>
      </c>
      <c r="G34" s="29">
        <f t="shared" si="0"/>
        <v>7.39</v>
      </c>
      <c r="H34" s="29">
        <f t="shared" si="0"/>
        <v>2.42</v>
      </c>
      <c r="I34" s="29">
        <f t="shared" si="0"/>
        <v>0.46</v>
      </c>
      <c r="J34" s="29">
        <f t="shared" si="0"/>
        <v>0.1</v>
      </c>
      <c r="K34" s="29">
        <f t="shared" si="0"/>
        <v>167.45</v>
      </c>
      <c r="L34" s="29">
        <f t="shared" si="0"/>
        <v>17.84</v>
      </c>
      <c r="M34" s="29">
        <f t="shared" si="0"/>
        <v>55.42</v>
      </c>
      <c r="N34" s="29">
        <f t="shared" si="0"/>
        <v>4.9000000000000004</v>
      </c>
      <c r="O34" s="29">
        <f t="shared" si="0"/>
        <v>0</v>
      </c>
      <c r="P34" s="29">
        <f t="shared" si="0"/>
        <v>0.28000000000000003</v>
      </c>
      <c r="Q34" s="29">
        <f t="shared" si="0"/>
        <v>19.84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30.03</v>
      </c>
      <c r="C35" s="30">
        <f t="shared" si="1"/>
        <v>35.08</v>
      </c>
      <c r="D35" s="30">
        <f t="shared" si="1"/>
        <v>43.02</v>
      </c>
      <c r="E35" s="30">
        <f t="shared" si="1"/>
        <v>1.79</v>
      </c>
      <c r="F35" s="30">
        <f t="shared" si="1"/>
        <v>22.42</v>
      </c>
      <c r="G35" s="30">
        <f t="shared" si="1"/>
        <v>66.83</v>
      </c>
      <c r="H35" s="30">
        <f t="shared" si="1"/>
        <v>12.64</v>
      </c>
      <c r="I35" s="30">
        <f t="shared" si="1"/>
        <v>0.67</v>
      </c>
      <c r="J35" s="30">
        <f t="shared" si="1"/>
        <v>2.52</v>
      </c>
      <c r="K35" s="30">
        <f t="shared" si="1"/>
        <v>346.26</v>
      </c>
      <c r="L35" s="30">
        <f t="shared" si="1"/>
        <v>28.01</v>
      </c>
      <c r="M35" s="30">
        <f t="shared" si="1"/>
        <v>97.1</v>
      </c>
      <c r="N35" s="30">
        <f t="shared" si="1"/>
        <v>1004.4</v>
      </c>
      <c r="O35" s="30">
        <f t="shared" si="1"/>
        <v>1.8</v>
      </c>
      <c r="P35" s="30">
        <f t="shared" si="1"/>
        <v>1.1499999999999999</v>
      </c>
      <c r="Q35" s="30">
        <f t="shared" si="1"/>
        <v>28.98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7.7920833333333333</v>
      </c>
      <c r="C36" s="29">
        <f t="shared" si="2"/>
        <v>23.265833333333333</v>
      </c>
      <c r="D36" s="29">
        <f t="shared" si="2"/>
        <v>19.540416666666662</v>
      </c>
      <c r="E36" s="29">
        <f t="shared" si="2"/>
        <v>1.1054166666666665</v>
      </c>
      <c r="F36" s="29">
        <f t="shared" si="2"/>
        <v>5.6845833333333333</v>
      </c>
      <c r="G36" s="29">
        <f t="shared" si="2"/>
        <v>27.68708333333333</v>
      </c>
      <c r="H36" s="29">
        <f t="shared" si="2"/>
        <v>7.3745833333333337</v>
      </c>
      <c r="I36" s="29">
        <f t="shared" si="2"/>
        <v>0.51333333333333342</v>
      </c>
      <c r="J36" s="29">
        <f t="shared" si="2"/>
        <v>0.70666666666666655</v>
      </c>
      <c r="K36" s="29">
        <f t="shared" si="2"/>
        <v>280.47750000000002</v>
      </c>
      <c r="L36" s="29">
        <f t="shared" si="2"/>
        <v>22.46083333333333</v>
      </c>
      <c r="M36" s="29">
        <f t="shared" si="2"/>
        <v>80.096250000000012</v>
      </c>
      <c r="N36" s="29">
        <f t="shared" si="2"/>
        <v>175.06521739130432</v>
      </c>
      <c r="O36" s="29">
        <f t="shared" si="2"/>
        <v>0.15000000000000002</v>
      </c>
      <c r="P36" s="29">
        <f t="shared" si="2"/>
        <v>0.57624999999999993</v>
      </c>
      <c r="Q36" s="29">
        <f t="shared" si="2"/>
        <v>25.256666666666664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8.2561818626575416</v>
      </c>
      <c r="C37" s="29">
        <f t="shared" ref="C37:Q37" si="3">STDEV(C9:C32)</f>
        <v>5.2563674981266626</v>
      </c>
      <c r="D37" s="29">
        <f t="shared" si="3"/>
        <v>8.6615685290862956</v>
      </c>
      <c r="E37" s="29">
        <f t="shared" si="3"/>
        <v>0.27811444573688904</v>
      </c>
      <c r="F37" s="29">
        <f t="shared" si="3"/>
        <v>4.1370405082216273</v>
      </c>
      <c r="G37" s="29">
        <f t="shared" si="3"/>
        <v>13.484835759882829</v>
      </c>
      <c r="H37" s="29">
        <f t="shared" si="3"/>
        <v>2.822801536504604</v>
      </c>
      <c r="I37" s="29">
        <f t="shared" si="3"/>
        <v>5.2969775357737357E-2</v>
      </c>
      <c r="J37" s="29">
        <f t="shared" si="3"/>
        <v>0.56297862085183314</v>
      </c>
      <c r="K37" s="29">
        <f t="shared" si="3"/>
        <v>42.079491260976631</v>
      </c>
      <c r="L37" s="29">
        <f t="shared" si="3"/>
        <v>3.3553447521524813</v>
      </c>
      <c r="M37" s="29">
        <f t="shared" si="3"/>
        <v>14.654737715155326</v>
      </c>
      <c r="N37" s="29">
        <f t="shared" si="3"/>
        <v>244.54316705514321</v>
      </c>
      <c r="O37" s="29">
        <f t="shared" si="3"/>
        <v>0.39672572937462236</v>
      </c>
      <c r="P37" s="29">
        <f t="shared" si="3"/>
        <v>0.27390592640857397</v>
      </c>
      <c r="Q37" s="29">
        <f t="shared" si="3"/>
        <v>2.8360914112125695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>COUNT(N9:N32)+1</f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39" sqref="E39"/>
    </sheetView>
  </sheetViews>
  <sheetFormatPr defaultColWidth="8.85546875" defaultRowHeight="15" x14ac:dyDescent="0.25"/>
  <cols>
    <col min="1" max="1" width="18.28515625" style="27" customWidth="1"/>
    <col min="2" max="2" width="18.42578125" style="21" customWidth="1"/>
    <col min="3" max="3" width="10.140625" style="21" customWidth="1"/>
    <col min="4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04-05-2023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134</v>
      </c>
      <c r="B9" s="60">
        <v>28.04</v>
      </c>
      <c r="C9" s="60">
        <v>27.19</v>
      </c>
      <c r="D9" s="60">
        <v>35.520000000000003</v>
      </c>
      <c r="E9" s="60">
        <v>2.25</v>
      </c>
      <c r="F9" s="60">
        <v>3.2</v>
      </c>
      <c r="G9" s="60">
        <v>68.08</v>
      </c>
      <c r="H9" s="60">
        <v>14.51</v>
      </c>
      <c r="I9" s="60">
        <v>0.7</v>
      </c>
      <c r="J9" s="60">
        <v>0.12</v>
      </c>
      <c r="K9" s="60">
        <v>343.67</v>
      </c>
      <c r="L9" s="60">
        <v>20.75</v>
      </c>
      <c r="M9" s="60">
        <v>91.05</v>
      </c>
      <c r="N9" s="60">
        <v>4.9000000000000004</v>
      </c>
      <c r="O9" s="60">
        <v>0</v>
      </c>
      <c r="P9" s="60">
        <v>1.21</v>
      </c>
      <c r="Q9" s="60">
        <v>27.15</v>
      </c>
      <c r="R9" s="44"/>
      <c r="S9" s="44"/>
      <c r="T9" s="44"/>
      <c r="U9" s="44"/>
    </row>
    <row r="10" spans="1:21" s="12" customFormat="1" x14ac:dyDescent="0.25">
      <c r="A10" s="59" t="s">
        <v>135</v>
      </c>
      <c r="B10" s="60">
        <v>28.16</v>
      </c>
      <c r="C10" s="60">
        <v>25.29</v>
      </c>
      <c r="D10" s="60">
        <v>36.119999999999997</v>
      </c>
      <c r="E10" s="60">
        <v>2.0099999999999998</v>
      </c>
      <c r="F10" s="60">
        <v>3.61</v>
      </c>
      <c r="G10" s="60">
        <v>81.319999999999993</v>
      </c>
      <c r="H10" s="60">
        <v>22.87</v>
      </c>
      <c r="I10" s="60">
        <v>0.71</v>
      </c>
      <c r="J10" s="60">
        <v>0.27</v>
      </c>
      <c r="K10" s="60">
        <v>311.22000000000003</v>
      </c>
      <c r="L10" s="60">
        <v>20.37</v>
      </c>
      <c r="M10" s="60">
        <v>91.1</v>
      </c>
      <c r="N10" s="60">
        <v>4.8</v>
      </c>
      <c r="O10" s="60">
        <v>0</v>
      </c>
      <c r="P10" s="60">
        <v>1.2</v>
      </c>
      <c r="Q10" s="60">
        <v>28.36</v>
      </c>
      <c r="R10" s="44"/>
      <c r="S10" s="44"/>
      <c r="T10" s="44"/>
      <c r="U10" s="44"/>
    </row>
    <row r="11" spans="1:21" s="12" customFormat="1" x14ac:dyDescent="0.25">
      <c r="A11" s="59" t="s">
        <v>136</v>
      </c>
      <c r="B11" s="60">
        <v>27.39</v>
      </c>
      <c r="C11" s="60">
        <v>20.309999999999999</v>
      </c>
      <c r="D11" s="60">
        <v>33.82</v>
      </c>
      <c r="E11" s="60">
        <v>2.2599999999999998</v>
      </c>
      <c r="F11" s="60">
        <v>3.16</v>
      </c>
      <c r="G11" s="60">
        <v>99.28</v>
      </c>
      <c r="H11" s="60">
        <v>27.63</v>
      </c>
      <c r="I11" s="60">
        <v>0.72</v>
      </c>
      <c r="J11" s="60">
        <v>0.77</v>
      </c>
      <c r="K11" s="60">
        <v>319.87</v>
      </c>
      <c r="L11" s="60">
        <v>20.86</v>
      </c>
      <c r="M11" s="60">
        <v>88.8</v>
      </c>
      <c r="N11" s="6" t="s">
        <v>14</v>
      </c>
      <c r="O11" s="60">
        <v>0</v>
      </c>
      <c r="P11" s="60">
        <v>1.18</v>
      </c>
      <c r="Q11" s="60">
        <v>28.28</v>
      </c>
      <c r="R11" s="44"/>
      <c r="S11" s="44"/>
      <c r="T11" s="44"/>
      <c r="U11" s="44"/>
    </row>
    <row r="12" spans="1:21" s="12" customFormat="1" x14ac:dyDescent="0.25">
      <c r="A12" s="59" t="s">
        <v>137</v>
      </c>
      <c r="B12" s="60">
        <v>22.79</v>
      </c>
      <c r="C12" s="60">
        <v>23.46</v>
      </c>
      <c r="D12" s="60">
        <v>29.95</v>
      </c>
      <c r="E12" s="60">
        <v>1.93</v>
      </c>
      <c r="F12" s="60">
        <v>3.59</v>
      </c>
      <c r="G12" s="60">
        <v>111.58</v>
      </c>
      <c r="H12" s="60">
        <v>32.119999999999997</v>
      </c>
      <c r="I12" s="60">
        <v>0.72</v>
      </c>
      <c r="J12" s="60">
        <v>0.08</v>
      </c>
      <c r="K12" s="60">
        <v>325.20999999999998</v>
      </c>
      <c r="L12" s="60">
        <v>20.81</v>
      </c>
      <c r="M12" s="60">
        <v>82.85</v>
      </c>
      <c r="N12" s="60">
        <v>3.9</v>
      </c>
      <c r="O12" s="60">
        <v>0</v>
      </c>
      <c r="P12" s="60">
        <v>1.0900000000000001</v>
      </c>
      <c r="Q12" s="60">
        <v>27.67</v>
      </c>
      <c r="R12" s="44"/>
      <c r="S12" s="44"/>
      <c r="T12" s="44"/>
      <c r="U12" s="44"/>
    </row>
    <row r="13" spans="1:21" s="12" customFormat="1" x14ac:dyDescent="0.25">
      <c r="A13" s="59" t="s">
        <v>138</v>
      </c>
      <c r="B13" s="60">
        <v>22.6</v>
      </c>
      <c r="C13" s="60">
        <v>21.85</v>
      </c>
      <c r="D13" s="60">
        <v>29.83</v>
      </c>
      <c r="E13" s="60">
        <v>1.72</v>
      </c>
      <c r="F13" s="60">
        <v>3.8</v>
      </c>
      <c r="G13" s="60">
        <v>111.58</v>
      </c>
      <c r="H13" s="60">
        <v>32.35</v>
      </c>
      <c r="I13" s="60">
        <v>0.68</v>
      </c>
      <c r="J13" s="60">
        <v>0.28000000000000003</v>
      </c>
      <c r="K13" s="60">
        <v>233.24</v>
      </c>
      <c r="L13" s="60">
        <v>20.329999999999998</v>
      </c>
      <c r="M13" s="60">
        <v>85.04</v>
      </c>
      <c r="N13" s="60">
        <v>5</v>
      </c>
      <c r="O13" s="60">
        <v>0</v>
      </c>
      <c r="P13" s="60">
        <v>1.06</v>
      </c>
      <c r="Q13" s="60">
        <v>29.09</v>
      </c>
      <c r="R13" s="44"/>
      <c r="S13" s="44"/>
      <c r="T13" s="44"/>
      <c r="U13" s="44"/>
    </row>
    <row r="14" spans="1:21" s="12" customFormat="1" x14ac:dyDescent="0.25">
      <c r="A14" s="59" t="s">
        <v>139</v>
      </c>
      <c r="B14" s="60">
        <v>24.77</v>
      </c>
      <c r="C14" s="60">
        <v>18.05</v>
      </c>
      <c r="D14" s="60">
        <v>30.4</v>
      </c>
      <c r="E14" s="60">
        <v>1.81</v>
      </c>
      <c r="F14" s="60">
        <v>3.13</v>
      </c>
      <c r="G14" s="60">
        <v>116.85</v>
      </c>
      <c r="H14" s="60">
        <v>32.99</v>
      </c>
      <c r="I14" s="60">
        <v>0.68</v>
      </c>
      <c r="J14" s="60">
        <v>0.22</v>
      </c>
      <c r="K14" s="60">
        <v>355.42</v>
      </c>
      <c r="L14" s="60">
        <v>20.5</v>
      </c>
      <c r="M14" s="60">
        <v>86.25</v>
      </c>
      <c r="N14" s="60">
        <v>50.7</v>
      </c>
      <c r="O14" s="60">
        <v>0</v>
      </c>
      <c r="P14" s="60">
        <v>1.01</v>
      </c>
      <c r="Q14" s="60">
        <v>28.58</v>
      </c>
      <c r="R14" s="44"/>
      <c r="S14" s="44"/>
      <c r="T14" s="44"/>
      <c r="U14" s="44"/>
    </row>
    <row r="15" spans="1:21" s="12" customFormat="1" x14ac:dyDescent="0.25">
      <c r="A15" s="59" t="s">
        <v>140</v>
      </c>
      <c r="B15" s="60">
        <v>33.770000000000003</v>
      </c>
      <c r="C15" s="60">
        <v>28.7</v>
      </c>
      <c r="D15" s="60">
        <v>43.57</v>
      </c>
      <c r="E15" s="60">
        <v>2.34</v>
      </c>
      <c r="F15" s="60">
        <v>3.56</v>
      </c>
      <c r="G15" s="60">
        <v>149.19999999999999</v>
      </c>
      <c r="H15" s="60">
        <v>40.549999999999997</v>
      </c>
      <c r="I15" s="60">
        <v>0.66</v>
      </c>
      <c r="J15" s="60">
        <v>0.28999999999999998</v>
      </c>
      <c r="K15" s="60">
        <v>325.75</v>
      </c>
      <c r="L15" s="60">
        <v>25.11</v>
      </c>
      <c r="M15" s="60">
        <v>80.099999999999994</v>
      </c>
      <c r="N15" s="60">
        <v>186.2</v>
      </c>
      <c r="O15" s="60">
        <v>0</v>
      </c>
      <c r="P15" s="60">
        <v>1.08</v>
      </c>
      <c r="Q15" s="60">
        <v>28.49</v>
      </c>
      <c r="R15" s="44"/>
      <c r="S15" s="44"/>
      <c r="T15" s="44"/>
      <c r="U15" s="44"/>
    </row>
    <row r="16" spans="1:21" s="12" customFormat="1" x14ac:dyDescent="0.25">
      <c r="A16" s="59" t="s">
        <v>141</v>
      </c>
      <c r="B16" s="60">
        <v>31.13</v>
      </c>
      <c r="C16" s="60">
        <v>24.85</v>
      </c>
      <c r="D16" s="60">
        <v>39.1</v>
      </c>
      <c r="E16" s="60">
        <v>2.4</v>
      </c>
      <c r="F16" s="60">
        <v>4.33</v>
      </c>
      <c r="G16" s="60">
        <v>151.04</v>
      </c>
      <c r="H16" s="60">
        <v>40.82</v>
      </c>
      <c r="I16" s="60">
        <v>0.64</v>
      </c>
      <c r="J16" s="60">
        <v>0.48</v>
      </c>
      <c r="K16" s="60">
        <v>296.14999999999998</v>
      </c>
      <c r="L16" s="60">
        <v>29.45</v>
      </c>
      <c r="M16" s="60">
        <v>64.19</v>
      </c>
      <c r="N16" s="60">
        <v>449.7</v>
      </c>
      <c r="O16" s="60">
        <v>0</v>
      </c>
      <c r="P16" s="60">
        <v>1.1100000000000001</v>
      </c>
      <c r="Q16" s="60">
        <v>29.43</v>
      </c>
      <c r="R16" s="44"/>
      <c r="S16" s="44"/>
      <c r="T16" s="44"/>
      <c r="U16" s="44"/>
    </row>
    <row r="17" spans="1:21" s="12" customFormat="1" x14ac:dyDescent="0.25">
      <c r="A17" s="59" t="s">
        <v>142</v>
      </c>
      <c r="B17" s="60">
        <v>29.84</v>
      </c>
      <c r="C17" s="60">
        <v>27.78</v>
      </c>
      <c r="D17" s="60">
        <v>38.24</v>
      </c>
      <c r="E17" s="60">
        <v>2.83</v>
      </c>
      <c r="F17" s="60">
        <v>3.45</v>
      </c>
      <c r="G17" s="60">
        <v>151.04</v>
      </c>
      <c r="H17" s="60">
        <v>43.49</v>
      </c>
      <c r="I17" s="60">
        <v>0.65</v>
      </c>
      <c r="J17" s="60">
        <v>0.39</v>
      </c>
      <c r="K17" s="60">
        <v>313.66000000000003</v>
      </c>
      <c r="L17" s="60">
        <v>31.33</v>
      </c>
      <c r="M17" s="60">
        <v>52.77</v>
      </c>
      <c r="N17" s="60">
        <v>265.60000000000002</v>
      </c>
      <c r="O17" s="60">
        <v>0</v>
      </c>
      <c r="P17" s="60">
        <v>1.1399999999999999</v>
      </c>
      <c r="Q17" s="60">
        <v>29.1</v>
      </c>
      <c r="R17" s="44"/>
      <c r="S17" s="44"/>
      <c r="T17" s="44"/>
      <c r="U17" s="44"/>
    </row>
    <row r="18" spans="1:21" s="12" customFormat="1" x14ac:dyDescent="0.25">
      <c r="A18" s="59" t="s">
        <v>143</v>
      </c>
      <c r="B18" s="60">
        <v>22.47</v>
      </c>
      <c r="C18" s="60">
        <v>31.02</v>
      </c>
      <c r="D18" s="60">
        <v>34.369999999999997</v>
      </c>
      <c r="E18" s="60">
        <v>2.88</v>
      </c>
      <c r="F18" s="60">
        <v>8.82</v>
      </c>
      <c r="G18" s="60">
        <v>142.84</v>
      </c>
      <c r="H18" s="60">
        <v>43.49</v>
      </c>
      <c r="I18" s="60">
        <v>0.62</v>
      </c>
      <c r="J18" s="60">
        <v>0.43</v>
      </c>
      <c r="K18" s="60">
        <v>299.79000000000002</v>
      </c>
      <c r="L18" s="60">
        <v>31.61</v>
      </c>
      <c r="M18" s="60">
        <v>47.42</v>
      </c>
      <c r="N18" s="6" t="s">
        <v>14</v>
      </c>
      <c r="O18" s="60">
        <v>0</v>
      </c>
      <c r="P18" s="60">
        <v>1.1100000000000001</v>
      </c>
      <c r="Q18" s="60">
        <v>28.27</v>
      </c>
      <c r="R18" s="44"/>
      <c r="S18" s="44"/>
      <c r="T18" s="44"/>
      <c r="U18" s="44"/>
    </row>
    <row r="19" spans="1:21" s="12" customFormat="1" x14ac:dyDescent="0.25">
      <c r="A19" s="59" t="s">
        <v>144</v>
      </c>
      <c r="B19" s="60">
        <v>15.55</v>
      </c>
      <c r="C19" s="60">
        <v>28.55</v>
      </c>
      <c r="D19" s="60">
        <v>28.88</v>
      </c>
      <c r="E19" s="60">
        <v>4.28</v>
      </c>
      <c r="F19" s="60">
        <v>10.69</v>
      </c>
      <c r="G19" s="60">
        <v>128.47999999999999</v>
      </c>
      <c r="H19" s="60">
        <v>36.89</v>
      </c>
      <c r="I19" s="60">
        <v>0.64</v>
      </c>
      <c r="J19" s="60">
        <v>1.0900000000000001</v>
      </c>
      <c r="K19" s="60">
        <v>216.44</v>
      </c>
      <c r="L19" s="60">
        <v>29.52</v>
      </c>
      <c r="M19" s="60">
        <v>51.86</v>
      </c>
      <c r="N19" s="6" t="s">
        <v>14</v>
      </c>
      <c r="O19" s="60">
        <v>0</v>
      </c>
      <c r="P19" s="60">
        <v>1.02</v>
      </c>
      <c r="Q19" s="60">
        <v>28.56</v>
      </c>
      <c r="R19" s="44"/>
      <c r="S19" s="44"/>
      <c r="T19" s="44"/>
      <c r="U19" s="44"/>
    </row>
    <row r="20" spans="1:21" s="12" customFormat="1" x14ac:dyDescent="0.25">
      <c r="A20" s="59" t="s">
        <v>145</v>
      </c>
      <c r="B20" s="60">
        <v>7.29</v>
      </c>
      <c r="C20" s="60">
        <v>24.72</v>
      </c>
      <c r="D20" s="60">
        <v>20.059999999999999</v>
      </c>
      <c r="E20" s="60">
        <v>2.74</v>
      </c>
      <c r="F20" s="60">
        <v>6.84</v>
      </c>
      <c r="G20" s="60">
        <v>98.21</v>
      </c>
      <c r="H20" s="60">
        <v>27.77</v>
      </c>
      <c r="I20" s="60">
        <v>0.64</v>
      </c>
      <c r="J20" s="60">
        <v>1.22</v>
      </c>
      <c r="K20" s="60">
        <v>258.33</v>
      </c>
      <c r="L20" s="60">
        <v>30.43</v>
      </c>
      <c r="M20" s="60">
        <v>50.79</v>
      </c>
      <c r="N20" s="6" t="s">
        <v>14</v>
      </c>
      <c r="O20" s="60">
        <v>0</v>
      </c>
      <c r="P20" s="60">
        <v>0.89</v>
      </c>
      <c r="Q20" s="60">
        <v>26.89</v>
      </c>
      <c r="R20" s="44"/>
      <c r="S20" s="44"/>
      <c r="T20" s="44"/>
      <c r="U20" s="44"/>
    </row>
    <row r="21" spans="1:21" s="12" customFormat="1" x14ac:dyDescent="0.25">
      <c r="A21" s="59" t="s">
        <v>146</v>
      </c>
      <c r="B21" s="60">
        <v>2.39</v>
      </c>
      <c r="C21" s="60">
        <v>20.86</v>
      </c>
      <c r="D21" s="60">
        <v>14.05</v>
      </c>
      <c r="E21" s="60">
        <v>2.6</v>
      </c>
      <c r="F21" s="60">
        <v>11.03</v>
      </c>
      <c r="G21" s="60">
        <v>71.13</v>
      </c>
      <c r="H21" s="60">
        <v>20.41</v>
      </c>
      <c r="I21" s="60">
        <v>0.59</v>
      </c>
      <c r="J21" s="60">
        <v>1.01</v>
      </c>
      <c r="K21" s="60">
        <v>284.31</v>
      </c>
      <c r="L21" s="60">
        <v>33.33</v>
      </c>
      <c r="M21" s="60">
        <v>47.78</v>
      </c>
      <c r="N21" s="6" t="s">
        <v>14</v>
      </c>
      <c r="O21" s="60">
        <v>0</v>
      </c>
      <c r="P21" s="60">
        <v>0.71</v>
      </c>
      <c r="Q21" s="60">
        <v>25.39</v>
      </c>
      <c r="R21" s="44"/>
      <c r="S21" s="44"/>
      <c r="T21" s="44"/>
      <c r="U21" s="44"/>
    </row>
    <row r="22" spans="1:21" s="12" customFormat="1" x14ac:dyDescent="0.25">
      <c r="A22" s="59" t="s">
        <v>147</v>
      </c>
      <c r="B22" s="63" t="s">
        <v>4</v>
      </c>
      <c r="C22" s="63" t="s">
        <v>4</v>
      </c>
      <c r="D22" s="63" t="s">
        <v>4</v>
      </c>
      <c r="E22" s="63" t="s">
        <v>4</v>
      </c>
      <c r="F22" s="63" t="s">
        <v>4</v>
      </c>
      <c r="G22" s="63" t="s">
        <v>4</v>
      </c>
      <c r="H22" s="63" t="s">
        <v>4</v>
      </c>
      <c r="I22" s="63" t="s">
        <v>4</v>
      </c>
      <c r="J22" s="63" t="s">
        <v>4</v>
      </c>
      <c r="K22" s="63" t="s">
        <v>4</v>
      </c>
      <c r="L22" s="63" t="s">
        <v>4</v>
      </c>
      <c r="M22" s="63" t="s">
        <v>4</v>
      </c>
      <c r="N22" s="63" t="s">
        <v>4</v>
      </c>
      <c r="O22" s="63" t="s">
        <v>4</v>
      </c>
      <c r="P22" s="63" t="s">
        <v>4</v>
      </c>
      <c r="Q22" s="63" t="s">
        <v>4</v>
      </c>
      <c r="R22" s="44"/>
      <c r="S22" s="44"/>
      <c r="T22" s="44"/>
      <c r="U22" s="44"/>
    </row>
    <row r="23" spans="1:21" s="12" customFormat="1" x14ac:dyDescent="0.25">
      <c r="A23" s="59" t="s">
        <v>148</v>
      </c>
      <c r="B23" s="63" t="s">
        <v>4</v>
      </c>
      <c r="C23" s="63" t="s">
        <v>4</v>
      </c>
      <c r="D23" s="63" t="s">
        <v>4</v>
      </c>
      <c r="E23" s="63" t="s">
        <v>4</v>
      </c>
      <c r="F23" s="63" t="s">
        <v>4</v>
      </c>
      <c r="G23" s="63" t="s">
        <v>4</v>
      </c>
      <c r="H23" s="63" t="s">
        <v>4</v>
      </c>
      <c r="I23" s="63" t="s">
        <v>4</v>
      </c>
      <c r="J23" s="63" t="s">
        <v>4</v>
      </c>
      <c r="K23" s="63" t="s">
        <v>4</v>
      </c>
      <c r="L23" s="63" t="s">
        <v>4</v>
      </c>
      <c r="M23" s="63" t="s">
        <v>4</v>
      </c>
      <c r="N23" s="63" t="s">
        <v>4</v>
      </c>
      <c r="O23" s="63" t="s">
        <v>4</v>
      </c>
      <c r="P23" s="63" t="s">
        <v>4</v>
      </c>
      <c r="Q23" s="63" t="s">
        <v>4</v>
      </c>
      <c r="R23" s="44"/>
      <c r="S23" s="44"/>
      <c r="T23" s="44"/>
      <c r="U23" s="44"/>
    </row>
    <row r="24" spans="1:21" s="12" customFormat="1" x14ac:dyDescent="0.25">
      <c r="A24" s="59" t="s">
        <v>149</v>
      </c>
      <c r="B24" s="63" t="s">
        <v>4</v>
      </c>
      <c r="C24" s="63" t="s">
        <v>4</v>
      </c>
      <c r="D24" s="63" t="s">
        <v>4</v>
      </c>
      <c r="E24" s="63" t="s">
        <v>4</v>
      </c>
      <c r="F24" s="63" t="s">
        <v>4</v>
      </c>
      <c r="G24" s="63" t="s">
        <v>4</v>
      </c>
      <c r="H24" s="63" t="s">
        <v>4</v>
      </c>
      <c r="I24" s="63" t="s">
        <v>4</v>
      </c>
      <c r="J24" s="63" t="s">
        <v>4</v>
      </c>
      <c r="K24" s="63" t="s">
        <v>4</v>
      </c>
      <c r="L24" s="63" t="s">
        <v>4</v>
      </c>
      <c r="M24" s="63" t="s">
        <v>4</v>
      </c>
      <c r="N24" s="63" t="s">
        <v>4</v>
      </c>
      <c r="O24" s="63" t="s">
        <v>4</v>
      </c>
      <c r="P24" s="63" t="s">
        <v>4</v>
      </c>
      <c r="Q24" s="63" t="s">
        <v>4</v>
      </c>
      <c r="R24" s="44"/>
      <c r="S24" s="44"/>
      <c r="T24" s="44"/>
      <c r="U24" s="44"/>
    </row>
    <row r="25" spans="1:21" s="12" customFormat="1" x14ac:dyDescent="0.25">
      <c r="A25" s="59" t="s">
        <v>150</v>
      </c>
      <c r="B25" s="64" t="s">
        <v>20</v>
      </c>
      <c r="C25" s="64" t="s">
        <v>20</v>
      </c>
      <c r="D25" s="64" t="s">
        <v>20</v>
      </c>
      <c r="E25" s="64" t="s">
        <v>20</v>
      </c>
      <c r="F25" s="60">
        <v>5.24</v>
      </c>
      <c r="G25" s="60">
        <v>47.19</v>
      </c>
      <c r="H25" s="60">
        <v>12.43</v>
      </c>
      <c r="I25" s="64" t="s">
        <v>20</v>
      </c>
      <c r="J25" s="60">
        <v>0.13</v>
      </c>
      <c r="K25" s="60">
        <v>287.92</v>
      </c>
      <c r="L25" s="60">
        <v>29.85</v>
      </c>
      <c r="M25" s="60">
        <v>40.049999999999997</v>
      </c>
      <c r="N25" s="6" t="s">
        <v>14</v>
      </c>
      <c r="O25" s="60">
        <v>0</v>
      </c>
      <c r="P25" s="60">
        <v>0.53</v>
      </c>
      <c r="Q25" s="64" t="s">
        <v>20</v>
      </c>
      <c r="R25" s="44"/>
      <c r="S25" s="44"/>
      <c r="T25" s="44"/>
      <c r="U25" s="44"/>
    </row>
    <row r="26" spans="1:21" s="12" customFormat="1" x14ac:dyDescent="0.25">
      <c r="A26" s="59" t="s">
        <v>151</v>
      </c>
      <c r="B26" s="60">
        <v>6.51</v>
      </c>
      <c r="C26" s="60">
        <v>31.56</v>
      </c>
      <c r="D26" s="60">
        <v>22.68</v>
      </c>
      <c r="E26" s="60">
        <v>0.46</v>
      </c>
      <c r="F26" s="60">
        <v>13.5</v>
      </c>
      <c r="G26" s="60">
        <v>67.84</v>
      </c>
      <c r="H26" s="60">
        <v>9.7200000000000006</v>
      </c>
      <c r="I26" s="62" t="s">
        <v>14</v>
      </c>
      <c r="J26" s="60">
        <v>0.4</v>
      </c>
      <c r="K26" s="60">
        <v>295.10000000000002</v>
      </c>
      <c r="L26" s="60">
        <v>29.95</v>
      </c>
      <c r="M26" s="60">
        <v>42.7</v>
      </c>
      <c r="N26" s="60">
        <v>35.4</v>
      </c>
      <c r="O26" s="60">
        <v>0</v>
      </c>
      <c r="P26" s="60">
        <v>0.5</v>
      </c>
      <c r="Q26" s="60">
        <v>37.83</v>
      </c>
      <c r="R26" s="44"/>
      <c r="S26" s="44"/>
      <c r="T26" s="44"/>
      <c r="U26" s="44"/>
    </row>
    <row r="27" spans="1:21" s="12" customFormat="1" x14ac:dyDescent="0.25">
      <c r="A27" s="59" t="s">
        <v>152</v>
      </c>
      <c r="B27" s="60">
        <v>11.97</v>
      </c>
      <c r="C27" s="60">
        <v>43.75</v>
      </c>
      <c r="D27" s="60">
        <v>32.299999999999997</v>
      </c>
      <c r="E27" s="62" t="s">
        <v>14</v>
      </c>
      <c r="F27" s="60">
        <v>26.39</v>
      </c>
      <c r="G27" s="60">
        <v>67.84</v>
      </c>
      <c r="H27" s="60">
        <v>12.24</v>
      </c>
      <c r="I27" s="62" t="s">
        <v>14</v>
      </c>
      <c r="J27" s="60">
        <v>0.21</v>
      </c>
      <c r="K27" s="60">
        <v>311.24</v>
      </c>
      <c r="L27" s="60">
        <v>28.99</v>
      </c>
      <c r="M27" s="60">
        <v>45.81</v>
      </c>
      <c r="N27" s="60">
        <v>15</v>
      </c>
      <c r="O27" s="60">
        <v>0</v>
      </c>
      <c r="P27" s="60">
        <v>0.53</v>
      </c>
      <c r="Q27" s="60">
        <v>30.17</v>
      </c>
      <c r="R27" s="44"/>
      <c r="S27" s="44"/>
      <c r="T27" s="44"/>
      <c r="U27" s="44"/>
    </row>
    <row r="28" spans="1:21" s="12" customFormat="1" x14ac:dyDescent="0.25">
      <c r="A28" s="59" t="s">
        <v>153</v>
      </c>
      <c r="B28" s="60">
        <v>3.22</v>
      </c>
      <c r="C28" s="60">
        <v>37.49</v>
      </c>
      <c r="D28" s="60">
        <v>23.69</v>
      </c>
      <c r="E28" s="60">
        <v>2.02</v>
      </c>
      <c r="F28" s="60">
        <v>30.97</v>
      </c>
      <c r="G28" s="60">
        <v>62.74</v>
      </c>
      <c r="H28" s="60">
        <v>15.27</v>
      </c>
      <c r="I28" s="62" t="s">
        <v>14</v>
      </c>
      <c r="J28" s="60">
        <v>0.31</v>
      </c>
      <c r="K28" s="60">
        <v>282.54000000000002</v>
      </c>
      <c r="L28" s="60">
        <v>27.63</v>
      </c>
      <c r="M28" s="60">
        <v>50.75</v>
      </c>
      <c r="N28" s="60">
        <v>5.3</v>
      </c>
      <c r="O28" s="60">
        <v>0</v>
      </c>
      <c r="P28" s="60">
        <v>0.74</v>
      </c>
      <c r="Q28" s="60">
        <v>26.47</v>
      </c>
      <c r="R28" s="44"/>
      <c r="S28" s="44"/>
      <c r="T28" s="44"/>
      <c r="U28" s="44"/>
    </row>
    <row r="29" spans="1:21" s="12" customFormat="1" x14ac:dyDescent="0.25">
      <c r="A29" s="59" t="s">
        <v>154</v>
      </c>
      <c r="B29" s="60">
        <v>7.83</v>
      </c>
      <c r="C29" s="60">
        <v>50.31</v>
      </c>
      <c r="D29" s="60">
        <v>34.69</v>
      </c>
      <c r="E29" s="60">
        <v>2.71</v>
      </c>
      <c r="F29" s="60">
        <v>13.01</v>
      </c>
      <c r="G29" s="60">
        <v>61.28</v>
      </c>
      <c r="H29" s="60">
        <v>15.27</v>
      </c>
      <c r="I29" s="62" t="s">
        <v>14</v>
      </c>
      <c r="J29" s="60">
        <v>0.68</v>
      </c>
      <c r="K29" s="60">
        <v>254.18</v>
      </c>
      <c r="L29" s="60">
        <v>26.4</v>
      </c>
      <c r="M29" s="60">
        <v>56.21</v>
      </c>
      <c r="N29" s="60">
        <v>5.0999999999999996</v>
      </c>
      <c r="O29" s="60">
        <v>0</v>
      </c>
      <c r="P29" s="60">
        <v>0.86</v>
      </c>
      <c r="Q29" s="60">
        <v>25.31</v>
      </c>
      <c r="R29" s="44"/>
      <c r="S29" s="44"/>
      <c r="T29" s="44"/>
      <c r="U29" s="44"/>
    </row>
    <row r="30" spans="1:21" s="12" customFormat="1" x14ac:dyDescent="0.25">
      <c r="A30" s="59" t="s">
        <v>155</v>
      </c>
      <c r="B30" s="60">
        <v>11.42</v>
      </c>
      <c r="C30" s="60">
        <v>49.41</v>
      </c>
      <c r="D30" s="60">
        <v>35.11</v>
      </c>
      <c r="E30" s="60">
        <v>3.18</v>
      </c>
      <c r="F30" s="60">
        <v>23.41</v>
      </c>
      <c r="G30" s="60">
        <v>61.28</v>
      </c>
      <c r="H30" s="60">
        <v>19.45</v>
      </c>
      <c r="I30" s="62" t="s">
        <v>14</v>
      </c>
      <c r="J30" s="60">
        <v>0.34</v>
      </c>
      <c r="K30" s="60">
        <v>260.33999999999997</v>
      </c>
      <c r="L30" s="60">
        <v>26.5</v>
      </c>
      <c r="M30" s="60">
        <v>55.74</v>
      </c>
      <c r="N30" s="60">
        <v>5.3</v>
      </c>
      <c r="O30" s="60">
        <v>0</v>
      </c>
      <c r="P30" s="60">
        <v>0.92</v>
      </c>
      <c r="Q30" s="60">
        <v>24.68</v>
      </c>
      <c r="R30" s="44"/>
      <c r="S30" s="44"/>
      <c r="T30" s="44"/>
      <c r="U30" s="44"/>
    </row>
    <row r="31" spans="1:21" s="12" customFormat="1" x14ac:dyDescent="0.25">
      <c r="A31" s="59" t="s">
        <v>156</v>
      </c>
      <c r="B31" s="60">
        <v>11.1</v>
      </c>
      <c r="C31" s="60">
        <v>39.22</v>
      </c>
      <c r="D31" s="60">
        <v>31.19</v>
      </c>
      <c r="E31" s="60">
        <v>2.5499999999999998</v>
      </c>
      <c r="F31" s="60">
        <v>11.22</v>
      </c>
      <c r="G31" s="60">
        <v>60.72</v>
      </c>
      <c r="H31" s="60">
        <v>21.39</v>
      </c>
      <c r="I31" s="62" t="s">
        <v>14</v>
      </c>
      <c r="J31" s="60">
        <v>0.51</v>
      </c>
      <c r="K31" s="60">
        <v>304.18</v>
      </c>
      <c r="L31" s="60">
        <v>25.89</v>
      </c>
      <c r="M31" s="60">
        <v>63.31</v>
      </c>
      <c r="N31" s="60">
        <v>5.4</v>
      </c>
      <c r="O31" s="60">
        <v>0</v>
      </c>
      <c r="P31" s="60">
        <v>0.86</v>
      </c>
      <c r="Q31" s="60">
        <v>27.38</v>
      </c>
      <c r="R31" s="44"/>
      <c r="S31" s="44"/>
      <c r="T31" s="44"/>
      <c r="U31" s="44"/>
    </row>
    <row r="32" spans="1:21" s="12" customFormat="1" x14ac:dyDescent="0.25">
      <c r="A32" s="59" t="s">
        <v>157</v>
      </c>
      <c r="B32" s="60">
        <v>10.18</v>
      </c>
      <c r="C32" s="60">
        <v>24.7</v>
      </c>
      <c r="D32" s="60">
        <v>22.33</v>
      </c>
      <c r="E32" s="60">
        <v>1.19</v>
      </c>
      <c r="F32" s="60">
        <v>3.82</v>
      </c>
      <c r="G32" s="60">
        <v>69.37</v>
      </c>
      <c r="H32" s="60">
        <v>21.39</v>
      </c>
      <c r="I32" s="62" t="s">
        <v>14</v>
      </c>
      <c r="J32" s="60">
        <v>0.82</v>
      </c>
      <c r="K32" s="60">
        <v>283.79000000000002</v>
      </c>
      <c r="L32" s="60">
        <v>25.18</v>
      </c>
      <c r="M32" s="60">
        <v>65.75</v>
      </c>
      <c r="N32" s="60">
        <v>3.3</v>
      </c>
      <c r="O32" s="60">
        <v>0</v>
      </c>
      <c r="P32" s="60">
        <v>0.82</v>
      </c>
      <c r="Q32" s="60">
        <v>22.62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2.39</v>
      </c>
      <c r="C34" s="29">
        <f t="shared" si="0"/>
        <v>18.05</v>
      </c>
      <c r="D34" s="29">
        <f t="shared" si="0"/>
        <v>14.05</v>
      </c>
      <c r="E34" s="29">
        <f t="shared" si="0"/>
        <v>0.46</v>
      </c>
      <c r="F34" s="29">
        <f t="shared" si="0"/>
        <v>3.13</v>
      </c>
      <c r="G34" s="29">
        <f t="shared" si="0"/>
        <v>47.19</v>
      </c>
      <c r="H34" s="29">
        <f t="shared" si="0"/>
        <v>9.7200000000000006</v>
      </c>
      <c r="I34" s="29">
        <f t="shared" si="0"/>
        <v>0.59</v>
      </c>
      <c r="J34" s="29">
        <f t="shared" si="0"/>
        <v>0.08</v>
      </c>
      <c r="K34" s="29">
        <f t="shared" si="0"/>
        <v>216.44</v>
      </c>
      <c r="L34" s="29">
        <f t="shared" si="0"/>
        <v>20.329999999999998</v>
      </c>
      <c r="M34" s="29">
        <f t="shared" si="0"/>
        <v>40.049999999999997</v>
      </c>
      <c r="N34" s="29">
        <f t="shared" si="0"/>
        <v>3.3</v>
      </c>
      <c r="O34" s="29">
        <f t="shared" si="0"/>
        <v>0</v>
      </c>
      <c r="P34" s="29">
        <f t="shared" si="0"/>
        <v>0.5</v>
      </c>
      <c r="Q34" s="29">
        <f t="shared" si="0"/>
        <v>22.62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33.770000000000003</v>
      </c>
      <c r="C35" s="30">
        <f t="shared" si="1"/>
        <v>50.31</v>
      </c>
      <c r="D35" s="30">
        <f t="shared" si="1"/>
        <v>43.57</v>
      </c>
      <c r="E35" s="30">
        <f t="shared" si="1"/>
        <v>4.28</v>
      </c>
      <c r="F35" s="30">
        <f t="shared" si="1"/>
        <v>30.97</v>
      </c>
      <c r="G35" s="30">
        <f t="shared" si="1"/>
        <v>151.04</v>
      </c>
      <c r="H35" s="30">
        <f t="shared" si="1"/>
        <v>43.49</v>
      </c>
      <c r="I35" s="30">
        <f t="shared" si="1"/>
        <v>0.72</v>
      </c>
      <c r="J35" s="30">
        <f t="shared" si="1"/>
        <v>1.22</v>
      </c>
      <c r="K35" s="30">
        <f t="shared" si="1"/>
        <v>355.42</v>
      </c>
      <c r="L35" s="30">
        <f t="shared" si="1"/>
        <v>33.33</v>
      </c>
      <c r="M35" s="30">
        <f t="shared" si="1"/>
        <v>91.1</v>
      </c>
      <c r="N35" s="30">
        <f t="shared" si="1"/>
        <v>449.7</v>
      </c>
      <c r="O35" s="30">
        <f t="shared" si="1"/>
        <v>0</v>
      </c>
      <c r="P35" s="30">
        <f t="shared" si="1"/>
        <v>1.21</v>
      </c>
      <c r="Q35" s="30">
        <f t="shared" si="1"/>
        <v>37.83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17.921000000000006</v>
      </c>
      <c r="C36" s="29">
        <f t="shared" si="2"/>
        <v>29.953500000000002</v>
      </c>
      <c r="D36" s="29">
        <f t="shared" si="2"/>
        <v>30.795000000000005</v>
      </c>
      <c r="E36" s="29">
        <f t="shared" si="2"/>
        <v>2.3242105263157895</v>
      </c>
      <c r="F36" s="29">
        <f t="shared" si="2"/>
        <v>9.3699999999999992</v>
      </c>
      <c r="G36" s="29">
        <f t="shared" si="2"/>
        <v>94.232857142857114</v>
      </c>
      <c r="H36" s="29">
        <f t="shared" si="2"/>
        <v>25.859523809523807</v>
      </c>
      <c r="I36" s="29">
        <f t="shared" si="2"/>
        <v>0.66538461538461546</v>
      </c>
      <c r="J36" s="29">
        <f t="shared" si="2"/>
        <v>0.47857142857142859</v>
      </c>
      <c r="K36" s="29">
        <f t="shared" si="2"/>
        <v>293.4452380952381</v>
      </c>
      <c r="L36" s="29">
        <f t="shared" si="2"/>
        <v>26.418571428571425</v>
      </c>
      <c r="M36" s="29">
        <f t="shared" si="2"/>
        <v>63.824761904761893</v>
      </c>
      <c r="N36" s="29">
        <f t="shared" si="2"/>
        <v>69.706666666666663</v>
      </c>
      <c r="O36" s="29">
        <f t="shared" si="2"/>
        <v>0</v>
      </c>
      <c r="P36" s="29">
        <f t="shared" si="2"/>
        <v>0.93190476190476179</v>
      </c>
      <c r="Q36" s="29">
        <f t="shared" si="2"/>
        <v>27.986000000000001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10.182450278995244</v>
      </c>
      <c r="C37" s="29">
        <f t="shared" ref="C37:Q37" si="3">STDEV(C9:C32)</f>
        <v>9.3852354791981707</v>
      </c>
      <c r="D37" s="29">
        <f t="shared" si="3"/>
        <v>7.2020453966034053</v>
      </c>
      <c r="E37" s="29">
        <f t="shared" si="3"/>
        <v>0.79318146858412175</v>
      </c>
      <c r="F37" s="29">
        <f t="shared" si="3"/>
        <v>8.2265952860220359</v>
      </c>
      <c r="G37" s="29">
        <f t="shared" si="3"/>
        <v>34.6851488598302</v>
      </c>
      <c r="H37" s="29">
        <f t="shared" si="3"/>
        <v>11.002268164424324</v>
      </c>
      <c r="I37" s="29">
        <f t="shared" si="3"/>
        <v>4.0335134522188919E-2</v>
      </c>
      <c r="J37" s="29">
        <f t="shared" si="3"/>
        <v>0.33011037115312974</v>
      </c>
      <c r="K37" s="29">
        <f t="shared" si="3"/>
        <v>34.693257791543239</v>
      </c>
      <c r="L37" s="29">
        <f t="shared" si="3"/>
        <v>4.3172390317357801</v>
      </c>
      <c r="M37" s="29">
        <f t="shared" si="3"/>
        <v>17.72707410122938</v>
      </c>
      <c r="N37" s="29">
        <f t="shared" si="3"/>
        <v>130.60757726141023</v>
      </c>
      <c r="O37" s="29">
        <f t="shared" si="3"/>
        <v>0</v>
      </c>
      <c r="P37" s="29">
        <f t="shared" si="3"/>
        <v>0.22529134576408141</v>
      </c>
      <c r="Q37" s="29">
        <f t="shared" si="3"/>
        <v>2.953603330100171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COUNT(B9:B32)+4</f>
        <v>24</v>
      </c>
      <c r="C38" s="33">
        <f>COUNT(C9:C32)+4</f>
        <v>24</v>
      </c>
      <c r="D38" s="33">
        <f>COUNT(D9:D32)+4</f>
        <v>24</v>
      </c>
      <c r="E38" s="33">
        <f>COUNT(E9:E32)+5</f>
        <v>24</v>
      </c>
      <c r="F38" s="33">
        <f>COUNT(F9:F32)+3</f>
        <v>24</v>
      </c>
      <c r="G38" s="33">
        <f>COUNT(G9:G32)+3</f>
        <v>24</v>
      </c>
      <c r="H38" s="33">
        <f>COUNT(H9:H32)+3</f>
        <v>24</v>
      </c>
      <c r="I38" s="33">
        <f>COUNT(I9:I32)+11</f>
        <v>24</v>
      </c>
      <c r="J38" s="33">
        <f>COUNT(J9:J32)+3</f>
        <v>24</v>
      </c>
      <c r="K38" s="33">
        <f t="shared" ref="K38:P38" si="4">COUNT(K9:K32)+3</f>
        <v>24</v>
      </c>
      <c r="L38" s="33">
        <f t="shared" si="4"/>
        <v>24</v>
      </c>
      <c r="M38" s="33">
        <f t="shared" si="4"/>
        <v>24</v>
      </c>
      <c r="N38" s="33">
        <f>COUNT(N9:N32)+9</f>
        <v>24</v>
      </c>
      <c r="O38" s="33">
        <f t="shared" si="4"/>
        <v>24</v>
      </c>
      <c r="P38" s="33">
        <f t="shared" si="4"/>
        <v>24</v>
      </c>
      <c r="Q38" s="33">
        <f>COUNT(Q9:Q32)+4</f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T39" sqref="T39"/>
    </sheetView>
  </sheetViews>
  <sheetFormatPr defaultColWidth="8.85546875" defaultRowHeight="15" x14ac:dyDescent="0.25"/>
  <cols>
    <col min="1" max="1" width="18.28515625" style="27" customWidth="1"/>
    <col min="2" max="2" width="13.425781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05-05-2023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158</v>
      </c>
      <c r="B9" s="60">
        <v>12.89</v>
      </c>
      <c r="C9" s="60">
        <v>28.63</v>
      </c>
      <c r="D9" s="60">
        <v>26.78</v>
      </c>
      <c r="E9" s="60">
        <v>3.66</v>
      </c>
      <c r="F9" s="60">
        <v>7.4</v>
      </c>
      <c r="G9" s="60">
        <v>86.46</v>
      </c>
      <c r="H9" s="60">
        <v>22.68</v>
      </c>
      <c r="I9" s="62" t="s">
        <v>14</v>
      </c>
      <c r="J9" s="60">
        <v>0.75</v>
      </c>
      <c r="K9" s="60">
        <v>304.86</v>
      </c>
      <c r="L9" s="60">
        <v>24.29</v>
      </c>
      <c r="M9" s="60">
        <v>68.52</v>
      </c>
      <c r="N9" s="62" t="s">
        <v>14</v>
      </c>
      <c r="O9" s="60">
        <v>0</v>
      </c>
      <c r="P9" s="60">
        <v>0.8</v>
      </c>
      <c r="Q9" s="60">
        <v>21.71</v>
      </c>
      <c r="R9" s="44"/>
      <c r="S9" s="44"/>
      <c r="T9" s="44"/>
      <c r="U9" s="44"/>
    </row>
    <row r="10" spans="1:21" s="12" customFormat="1" x14ac:dyDescent="0.25">
      <c r="A10" s="59" t="s">
        <v>159</v>
      </c>
      <c r="B10" s="60">
        <v>12.59</v>
      </c>
      <c r="C10" s="60">
        <v>25.6</v>
      </c>
      <c r="D10" s="60">
        <v>23.7</v>
      </c>
      <c r="E10" s="60">
        <v>3.84</v>
      </c>
      <c r="F10" s="60">
        <v>7.54</v>
      </c>
      <c r="G10" s="60">
        <v>87.33</v>
      </c>
      <c r="H10" s="60">
        <v>22.68</v>
      </c>
      <c r="I10" s="62" t="s">
        <v>14</v>
      </c>
      <c r="J10" s="60">
        <v>0.6</v>
      </c>
      <c r="K10" s="60">
        <v>283.86</v>
      </c>
      <c r="L10" s="60">
        <v>23.4</v>
      </c>
      <c r="M10" s="60">
        <v>70.930000000000007</v>
      </c>
      <c r="N10" s="60">
        <v>4.8</v>
      </c>
      <c r="O10" s="60">
        <v>0</v>
      </c>
      <c r="P10" s="60">
        <v>0.83</v>
      </c>
      <c r="Q10" s="60">
        <v>25.89</v>
      </c>
      <c r="R10" s="44"/>
      <c r="S10" s="44"/>
      <c r="T10" s="44"/>
      <c r="U10" s="44"/>
    </row>
    <row r="11" spans="1:21" s="12" customFormat="1" x14ac:dyDescent="0.25">
      <c r="A11" s="59" t="s">
        <v>160</v>
      </c>
      <c r="B11" s="60">
        <v>11.48</v>
      </c>
      <c r="C11" s="60">
        <v>22.01</v>
      </c>
      <c r="D11" s="60">
        <v>21.9</v>
      </c>
      <c r="E11" s="60">
        <v>2.91</v>
      </c>
      <c r="F11" s="60">
        <v>4.51</v>
      </c>
      <c r="G11" s="60">
        <v>87.33</v>
      </c>
      <c r="H11" s="60">
        <v>21.68</v>
      </c>
      <c r="I11" s="62" t="s">
        <v>14</v>
      </c>
      <c r="J11" s="60">
        <v>0.17</v>
      </c>
      <c r="K11" s="60">
        <v>280.39</v>
      </c>
      <c r="L11" s="60">
        <v>23.09</v>
      </c>
      <c r="M11" s="60">
        <v>80.39</v>
      </c>
      <c r="N11" s="62" t="s">
        <v>14</v>
      </c>
      <c r="O11" s="60">
        <v>0</v>
      </c>
      <c r="P11" s="60">
        <v>0.78</v>
      </c>
      <c r="Q11" s="60">
        <v>24.67</v>
      </c>
      <c r="R11" s="44"/>
      <c r="S11" s="44"/>
      <c r="T11" s="44"/>
      <c r="U11" s="44"/>
    </row>
    <row r="12" spans="1:21" s="12" customFormat="1" x14ac:dyDescent="0.25">
      <c r="A12" s="59" t="s">
        <v>161</v>
      </c>
      <c r="B12" s="60">
        <v>13.97</v>
      </c>
      <c r="C12" s="60">
        <v>29.76</v>
      </c>
      <c r="D12" s="60">
        <v>27.75</v>
      </c>
      <c r="E12" s="60">
        <v>2.5099999999999998</v>
      </c>
      <c r="F12" s="60">
        <v>3.45</v>
      </c>
      <c r="G12" s="60">
        <v>76.59</v>
      </c>
      <c r="H12" s="60">
        <v>21.71</v>
      </c>
      <c r="I12" s="62" t="s">
        <v>14</v>
      </c>
      <c r="J12" s="60">
        <v>0.23</v>
      </c>
      <c r="K12" s="60">
        <v>283.77999999999997</v>
      </c>
      <c r="L12" s="60">
        <v>22.13</v>
      </c>
      <c r="M12" s="60">
        <v>84.09</v>
      </c>
      <c r="N12" s="60">
        <v>5</v>
      </c>
      <c r="O12" s="60">
        <v>0</v>
      </c>
      <c r="P12" s="60">
        <v>0.75</v>
      </c>
      <c r="Q12" s="60">
        <v>22.34</v>
      </c>
      <c r="R12" s="44"/>
      <c r="S12" s="44"/>
      <c r="T12" s="44"/>
      <c r="U12" s="44"/>
    </row>
    <row r="13" spans="1:21" s="12" customFormat="1" x14ac:dyDescent="0.25">
      <c r="A13" s="59" t="s">
        <v>162</v>
      </c>
      <c r="B13" s="60">
        <v>18</v>
      </c>
      <c r="C13" s="60">
        <v>28.16</v>
      </c>
      <c r="D13" s="60">
        <v>30.62</v>
      </c>
      <c r="E13" s="60">
        <v>2.75</v>
      </c>
      <c r="F13" s="60">
        <v>3.78</v>
      </c>
      <c r="G13" s="60">
        <v>83.67</v>
      </c>
      <c r="H13" s="60">
        <v>23.05</v>
      </c>
      <c r="I13" s="62" t="s">
        <v>14</v>
      </c>
      <c r="J13" s="60">
        <v>0.43</v>
      </c>
      <c r="K13" s="60">
        <v>328.09</v>
      </c>
      <c r="L13" s="60">
        <v>21.67</v>
      </c>
      <c r="M13" s="60">
        <v>83.14</v>
      </c>
      <c r="N13" s="60">
        <v>4.9000000000000004</v>
      </c>
      <c r="O13" s="60">
        <v>0</v>
      </c>
      <c r="P13" s="60">
        <v>0.74</v>
      </c>
      <c r="Q13" s="60">
        <v>25.62</v>
      </c>
      <c r="R13" s="44"/>
      <c r="S13" s="44"/>
      <c r="T13" s="44"/>
      <c r="U13" s="44"/>
    </row>
    <row r="14" spans="1:21" s="12" customFormat="1" x14ac:dyDescent="0.25">
      <c r="A14" s="59" t="s">
        <v>163</v>
      </c>
      <c r="B14" s="60">
        <v>18.91</v>
      </c>
      <c r="C14" s="60">
        <v>20.72</v>
      </c>
      <c r="D14" s="60">
        <v>27.25</v>
      </c>
      <c r="E14" s="60">
        <v>2.81</v>
      </c>
      <c r="F14" s="60">
        <v>3.48</v>
      </c>
      <c r="G14" s="60">
        <v>87.07</v>
      </c>
      <c r="H14" s="60">
        <v>26.74</v>
      </c>
      <c r="I14" s="62" t="s">
        <v>14</v>
      </c>
      <c r="J14" s="60">
        <v>0.41</v>
      </c>
      <c r="K14" s="60">
        <v>298.31</v>
      </c>
      <c r="L14" s="60">
        <v>22.33</v>
      </c>
      <c r="M14" s="60">
        <v>77.209999999999994</v>
      </c>
      <c r="N14" s="60">
        <v>41.9</v>
      </c>
      <c r="O14" s="60">
        <v>0</v>
      </c>
      <c r="P14" s="60">
        <v>0.75</v>
      </c>
      <c r="Q14" s="60">
        <v>25.31</v>
      </c>
      <c r="R14" s="44"/>
      <c r="S14" s="44"/>
      <c r="T14" s="44"/>
      <c r="U14" s="44"/>
    </row>
    <row r="15" spans="1:21" s="12" customFormat="1" x14ac:dyDescent="0.25">
      <c r="A15" s="59" t="s">
        <v>164</v>
      </c>
      <c r="B15" s="60">
        <v>23.95</v>
      </c>
      <c r="C15" s="60">
        <v>22.18</v>
      </c>
      <c r="D15" s="60">
        <v>31.51</v>
      </c>
      <c r="E15" s="60">
        <v>2.68</v>
      </c>
      <c r="F15" s="60">
        <v>4.28</v>
      </c>
      <c r="G15" s="60">
        <v>90.27</v>
      </c>
      <c r="H15" s="60">
        <v>29.24</v>
      </c>
      <c r="I15" s="62" t="s">
        <v>14</v>
      </c>
      <c r="J15" s="60">
        <v>0.43</v>
      </c>
      <c r="K15" s="60">
        <v>310.7</v>
      </c>
      <c r="L15" s="60">
        <v>27.62</v>
      </c>
      <c r="M15" s="60">
        <v>73.38</v>
      </c>
      <c r="N15" s="60">
        <v>212.5</v>
      </c>
      <c r="O15" s="60">
        <v>0</v>
      </c>
      <c r="P15" s="60">
        <v>0.76</v>
      </c>
      <c r="Q15" s="60">
        <v>25.02</v>
      </c>
      <c r="R15" s="44"/>
      <c r="S15" s="44"/>
      <c r="T15" s="44"/>
      <c r="U15" s="44"/>
    </row>
    <row r="16" spans="1:21" s="12" customFormat="1" x14ac:dyDescent="0.25">
      <c r="A16" s="59" t="s">
        <v>165</v>
      </c>
      <c r="B16" s="60">
        <v>25.37</v>
      </c>
      <c r="C16" s="60">
        <v>25.62</v>
      </c>
      <c r="D16" s="60">
        <v>34.43</v>
      </c>
      <c r="E16" s="60">
        <v>2.9</v>
      </c>
      <c r="F16" s="60">
        <v>4.1399999999999997</v>
      </c>
      <c r="G16" s="60">
        <v>105.93</v>
      </c>
      <c r="H16" s="60">
        <v>30.76</v>
      </c>
      <c r="I16" s="62" t="s">
        <v>14</v>
      </c>
      <c r="J16" s="60">
        <v>0.39</v>
      </c>
      <c r="K16" s="60">
        <v>297.18</v>
      </c>
      <c r="L16" s="60">
        <v>30.15</v>
      </c>
      <c r="M16" s="60">
        <v>54.06</v>
      </c>
      <c r="N16" s="60">
        <v>444.1</v>
      </c>
      <c r="O16" s="60">
        <v>0</v>
      </c>
      <c r="P16" s="60">
        <v>0.8</v>
      </c>
      <c r="Q16" s="60">
        <v>26.42</v>
      </c>
      <c r="R16" s="44"/>
      <c r="S16" s="44"/>
      <c r="T16" s="44"/>
      <c r="U16" s="44"/>
    </row>
    <row r="17" spans="1:21" s="12" customFormat="1" x14ac:dyDescent="0.25">
      <c r="A17" s="59" t="s">
        <v>166</v>
      </c>
      <c r="B17" s="60">
        <v>23.86</v>
      </c>
      <c r="C17" s="60">
        <v>26.1</v>
      </c>
      <c r="D17" s="60">
        <v>32.89</v>
      </c>
      <c r="E17" s="60">
        <v>2.33</v>
      </c>
      <c r="F17" s="60">
        <v>4.58</v>
      </c>
      <c r="G17" s="60">
        <v>105.93</v>
      </c>
      <c r="H17" s="60">
        <v>30.76</v>
      </c>
      <c r="I17" s="62" t="s">
        <v>14</v>
      </c>
      <c r="J17" s="60">
        <v>0.44</v>
      </c>
      <c r="K17" s="60">
        <v>301.74</v>
      </c>
      <c r="L17" s="60">
        <v>33.299999999999997</v>
      </c>
      <c r="M17" s="60">
        <v>46.11</v>
      </c>
      <c r="N17" s="60">
        <v>647.70000000000005</v>
      </c>
      <c r="O17" s="60">
        <v>0</v>
      </c>
      <c r="P17" s="60">
        <v>0.82</v>
      </c>
      <c r="Q17" s="60">
        <v>26.14</v>
      </c>
      <c r="R17" s="44"/>
      <c r="S17" s="44"/>
      <c r="T17" s="44"/>
      <c r="U17" s="44"/>
    </row>
    <row r="18" spans="1:21" s="12" customFormat="1" x14ac:dyDescent="0.25">
      <c r="A18" s="59" t="s">
        <v>167</v>
      </c>
      <c r="B18" s="60">
        <v>21.02</v>
      </c>
      <c r="C18" s="60">
        <v>31.25</v>
      </c>
      <c r="D18" s="60">
        <v>33.049999999999997</v>
      </c>
      <c r="E18" s="60">
        <v>4.0199999999999996</v>
      </c>
      <c r="F18" s="60">
        <v>8.23</v>
      </c>
      <c r="G18" s="60">
        <v>97.52</v>
      </c>
      <c r="H18" s="60">
        <v>28.26</v>
      </c>
      <c r="I18" s="62" t="s">
        <v>14</v>
      </c>
      <c r="J18" s="60">
        <v>0.76</v>
      </c>
      <c r="K18" s="60">
        <v>295</v>
      </c>
      <c r="L18" s="60">
        <v>35.270000000000003</v>
      </c>
      <c r="M18" s="60">
        <v>40.07</v>
      </c>
      <c r="N18" s="60">
        <v>822.9</v>
      </c>
      <c r="O18" s="60">
        <v>0</v>
      </c>
      <c r="P18" s="60">
        <v>0.8</v>
      </c>
      <c r="Q18" s="60">
        <v>22.27</v>
      </c>
      <c r="R18" s="44"/>
      <c r="S18" s="44"/>
      <c r="T18" s="44"/>
      <c r="U18" s="44"/>
    </row>
    <row r="19" spans="1:21" s="12" customFormat="1" x14ac:dyDescent="0.25">
      <c r="A19" s="59" t="s">
        <v>168</v>
      </c>
      <c r="B19" s="60">
        <v>17.07</v>
      </c>
      <c r="C19" s="60">
        <v>50.11</v>
      </c>
      <c r="D19" s="60">
        <v>33.35</v>
      </c>
      <c r="E19" s="60">
        <v>4.17</v>
      </c>
      <c r="F19" s="60">
        <v>36.729999999999997</v>
      </c>
      <c r="G19" s="60">
        <v>97.24</v>
      </c>
      <c r="H19" s="60">
        <v>26.9</v>
      </c>
      <c r="I19" s="62" t="s">
        <v>14</v>
      </c>
      <c r="J19" s="60">
        <v>1.28</v>
      </c>
      <c r="K19" s="60">
        <v>294.93</v>
      </c>
      <c r="L19" s="60">
        <v>35.53</v>
      </c>
      <c r="M19" s="60">
        <v>39.14</v>
      </c>
      <c r="N19" s="60">
        <v>881.5</v>
      </c>
      <c r="O19" s="60">
        <v>0</v>
      </c>
      <c r="P19" s="60">
        <v>0.89</v>
      </c>
      <c r="Q19" s="60">
        <v>23.45</v>
      </c>
      <c r="R19" s="44"/>
      <c r="S19" s="44"/>
      <c r="T19" s="44"/>
      <c r="U19" s="44"/>
    </row>
    <row r="20" spans="1:21" s="12" customFormat="1" x14ac:dyDescent="0.25">
      <c r="A20" s="59" t="s">
        <v>169</v>
      </c>
      <c r="B20" s="60">
        <v>4.5</v>
      </c>
      <c r="C20" s="60">
        <v>47.66</v>
      </c>
      <c r="D20" s="60">
        <v>30.56</v>
      </c>
      <c r="E20" s="65" t="s">
        <v>12</v>
      </c>
      <c r="F20" s="60">
        <v>46.06</v>
      </c>
      <c r="G20" s="65" t="s">
        <v>12</v>
      </c>
      <c r="H20" s="65" t="s">
        <v>12</v>
      </c>
      <c r="I20" s="62" t="s">
        <v>14</v>
      </c>
      <c r="J20" s="60">
        <v>1.34</v>
      </c>
      <c r="K20" s="60">
        <v>284.57</v>
      </c>
      <c r="L20" s="60">
        <v>35.75</v>
      </c>
      <c r="M20" s="60">
        <v>37.01</v>
      </c>
      <c r="N20" s="60">
        <v>988.6</v>
      </c>
      <c r="O20" s="60">
        <v>0</v>
      </c>
      <c r="P20" s="60">
        <v>0.7</v>
      </c>
      <c r="Q20" s="60">
        <v>7.86</v>
      </c>
      <c r="R20" s="44"/>
      <c r="S20" s="44"/>
      <c r="T20" s="44"/>
      <c r="U20" s="44"/>
    </row>
    <row r="21" spans="1:21" s="12" customFormat="1" x14ac:dyDescent="0.25">
      <c r="A21" s="59" t="s">
        <v>170</v>
      </c>
      <c r="B21" s="60">
        <v>1.91</v>
      </c>
      <c r="C21" s="60">
        <v>43.61</v>
      </c>
      <c r="D21" s="60">
        <v>25.91</v>
      </c>
      <c r="E21" s="60">
        <v>9.3699999999999992</v>
      </c>
      <c r="F21" s="60">
        <v>29.4</v>
      </c>
      <c r="G21" s="60">
        <v>87.73</v>
      </c>
      <c r="H21" s="60">
        <v>9.84</v>
      </c>
      <c r="I21" s="60">
        <v>0.48</v>
      </c>
      <c r="J21" s="60">
        <v>0.4</v>
      </c>
      <c r="K21" s="60">
        <v>308.35000000000002</v>
      </c>
      <c r="L21" s="60">
        <v>33.25</v>
      </c>
      <c r="M21" s="60">
        <v>37.69</v>
      </c>
      <c r="N21" s="60">
        <v>932</v>
      </c>
      <c r="O21" s="60">
        <v>0</v>
      </c>
      <c r="P21" s="60">
        <v>0.56999999999999995</v>
      </c>
      <c r="Q21" s="60">
        <v>8.64</v>
      </c>
      <c r="R21" s="44"/>
      <c r="S21" s="44"/>
      <c r="T21" s="44"/>
      <c r="U21" s="44"/>
    </row>
    <row r="22" spans="1:21" s="12" customFormat="1" x14ac:dyDescent="0.25">
      <c r="A22" s="59" t="s">
        <v>171</v>
      </c>
      <c r="B22" s="65" t="s">
        <v>12</v>
      </c>
      <c r="C22" s="65" t="s">
        <v>12</v>
      </c>
      <c r="D22" s="65" t="s">
        <v>12</v>
      </c>
      <c r="E22" s="60">
        <v>4.87</v>
      </c>
      <c r="F22" s="60">
        <v>15.07</v>
      </c>
      <c r="G22" s="60">
        <v>87.73</v>
      </c>
      <c r="H22" s="60">
        <v>12.7</v>
      </c>
      <c r="I22" s="60">
        <v>0.45</v>
      </c>
      <c r="J22" s="60">
        <v>0.86</v>
      </c>
      <c r="K22" s="60">
        <v>294.22000000000003</v>
      </c>
      <c r="L22" s="60">
        <v>34.72</v>
      </c>
      <c r="M22" s="60">
        <v>35.58</v>
      </c>
      <c r="N22" s="60">
        <v>881.7</v>
      </c>
      <c r="O22" s="60">
        <v>0</v>
      </c>
      <c r="P22" s="60">
        <v>0.36</v>
      </c>
      <c r="Q22" s="60">
        <v>19.760000000000002</v>
      </c>
      <c r="R22" s="44"/>
      <c r="S22" s="44"/>
      <c r="T22" s="44"/>
      <c r="U22" s="44"/>
    </row>
    <row r="23" spans="1:21" s="12" customFormat="1" x14ac:dyDescent="0.25">
      <c r="A23" s="59" t="s">
        <v>172</v>
      </c>
      <c r="B23" s="60">
        <v>2.57</v>
      </c>
      <c r="C23" s="60">
        <v>26.37</v>
      </c>
      <c r="D23" s="60">
        <v>17.260000000000002</v>
      </c>
      <c r="E23" s="60">
        <v>1.79</v>
      </c>
      <c r="F23" s="60">
        <v>17.440000000000001</v>
      </c>
      <c r="G23" s="60">
        <v>54</v>
      </c>
      <c r="H23" s="60">
        <v>12.7</v>
      </c>
      <c r="I23" s="60">
        <v>0.45</v>
      </c>
      <c r="J23" s="60">
        <v>0.52</v>
      </c>
      <c r="K23" s="60">
        <v>294.17</v>
      </c>
      <c r="L23" s="60">
        <v>34.78</v>
      </c>
      <c r="M23" s="60">
        <v>35.57</v>
      </c>
      <c r="N23" s="60">
        <v>753.5</v>
      </c>
      <c r="O23" s="60">
        <v>0</v>
      </c>
      <c r="P23" s="60">
        <v>0.38</v>
      </c>
      <c r="Q23" s="60">
        <v>20</v>
      </c>
      <c r="R23" s="44"/>
      <c r="S23" s="44"/>
      <c r="T23" s="44"/>
      <c r="U23" s="44"/>
    </row>
    <row r="24" spans="1:21" s="12" customFormat="1" x14ac:dyDescent="0.25">
      <c r="A24" s="59" t="s">
        <v>173</v>
      </c>
      <c r="B24" s="60">
        <v>4.21</v>
      </c>
      <c r="C24" s="60">
        <v>29.1</v>
      </c>
      <c r="D24" s="60">
        <v>19.93</v>
      </c>
      <c r="E24" s="60">
        <v>2.52</v>
      </c>
      <c r="F24" s="60">
        <v>14.86</v>
      </c>
      <c r="G24" s="60">
        <v>41.67</v>
      </c>
      <c r="H24" s="60">
        <v>12.57</v>
      </c>
      <c r="I24" s="60">
        <v>0.46</v>
      </c>
      <c r="J24" s="60">
        <v>0.68</v>
      </c>
      <c r="K24" s="60">
        <v>280.85000000000002</v>
      </c>
      <c r="L24" s="60">
        <v>33.369999999999997</v>
      </c>
      <c r="M24" s="60">
        <v>36.15</v>
      </c>
      <c r="N24" s="60">
        <v>236.6</v>
      </c>
      <c r="O24" s="60">
        <v>0</v>
      </c>
      <c r="P24" s="60">
        <v>0.43</v>
      </c>
      <c r="Q24" s="60">
        <v>21.12</v>
      </c>
      <c r="R24" s="44"/>
      <c r="S24" s="44"/>
      <c r="T24" s="44"/>
      <c r="U24" s="44"/>
    </row>
    <row r="25" spans="1:21" s="12" customFormat="1" x14ac:dyDescent="0.25">
      <c r="A25" s="59" t="s">
        <v>174</v>
      </c>
      <c r="B25" s="60">
        <v>9.75</v>
      </c>
      <c r="C25" s="60">
        <v>27.14</v>
      </c>
      <c r="D25" s="60">
        <v>23.44</v>
      </c>
      <c r="E25" s="60">
        <v>2.68</v>
      </c>
      <c r="F25" s="60">
        <v>9.0399999999999991</v>
      </c>
      <c r="G25" s="60">
        <v>41.67</v>
      </c>
      <c r="H25" s="60">
        <v>11.73</v>
      </c>
      <c r="I25" s="60">
        <v>0.49</v>
      </c>
      <c r="J25" s="60">
        <v>0.92</v>
      </c>
      <c r="K25" s="60">
        <v>282.67</v>
      </c>
      <c r="L25" s="60">
        <v>32.770000000000003</v>
      </c>
      <c r="M25" s="60">
        <v>36.92</v>
      </c>
      <c r="N25" s="60">
        <v>164.2</v>
      </c>
      <c r="O25" s="60">
        <v>0</v>
      </c>
      <c r="P25" s="60">
        <v>0.45</v>
      </c>
      <c r="Q25" s="60">
        <v>21.77</v>
      </c>
      <c r="R25" s="44"/>
      <c r="S25" s="44"/>
      <c r="T25" s="44"/>
      <c r="U25" s="44"/>
    </row>
    <row r="26" spans="1:21" s="12" customFormat="1" x14ac:dyDescent="0.25">
      <c r="A26" s="59" t="s">
        <v>175</v>
      </c>
      <c r="B26" s="60">
        <v>9.17</v>
      </c>
      <c r="C26" s="60">
        <v>34.58</v>
      </c>
      <c r="D26" s="60">
        <v>27.08</v>
      </c>
      <c r="E26" s="60">
        <v>2.6</v>
      </c>
      <c r="F26" s="60">
        <v>11.22</v>
      </c>
      <c r="G26" s="60">
        <v>34.29</v>
      </c>
      <c r="H26" s="60">
        <v>11.73</v>
      </c>
      <c r="I26" s="60">
        <v>0.5</v>
      </c>
      <c r="J26" s="60">
        <v>0.24</v>
      </c>
      <c r="K26" s="60">
        <v>331.81</v>
      </c>
      <c r="L26" s="60">
        <v>32.159999999999997</v>
      </c>
      <c r="M26" s="60">
        <v>40.32</v>
      </c>
      <c r="N26" s="60">
        <v>97.2</v>
      </c>
      <c r="O26" s="60">
        <v>0</v>
      </c>
      <c r="P26" s="60">
        <v>0.56999999999999995</v>
      </c>
      <c r="Q26" s="60">
        <v>22.52</v>
      </c>
      <c r="R26" s="44"/>
      <c r="S26" s="44"/>
      <c r="T26" s="44"/>
      <c r="U26" s="44"/>
    </row>
    <row r="27" spans="1:21" s="12" customFormat="1" x14ac:dyDescent="0.25">
      <c r="A27" s="59" t="s">
        <v>176</v>
      </c>
      <c r="B27" s="60">
        <v>4.03</v>
      </c>
      <c r="C27" s="60">
        <v>32.28</v>
      </c>
      <c r="D27" s="60">
        <v>21.69</v>
      </c>
      <c r="E27" s="60">
        <v>3.49</v>
      </c>
      <c r="F27" s="60">
        <v>19.53</v>
      </c>
      <c r="G27" s="60">
        <v>37.06</v>
      </c>
      <c r="H27" s="60">
        <v>12.98</v>
      </c>
      <c r="I27" s="60">
        <v>0.51</v>
      </c>
      <c r="J27" s="60">
        <v>0.21</v>
      </c>
      <c r="K27" s="60">
        <v>298.07</v>
      </c>
      <c r="L27" s="60">
        <v>30.04</v>
      </c>
      <c r="M27" s="60">
        <v>43.88</v>
      </c>
      <c r="N27" s="60">
        <v>19.7</v>
      </c>
      <c r="O27" s="60">
        <v>0</v>
      </c>
      <c r="P27" s="60">
        <v>0.61</v>
      </c>
      <c r="Q27" s="60">
        <v>22.06</v>
      </c>
      <c r="R27" s="44"/>
      <c r="S27" s="44"/>
      <c r="T27" s="44"/>
      <c r="U27" s="44"/>
    </row>
    <row r="28" spans="1:21" s="12" customFormat="1" x14ac:dyDescent="0.25">
      <c r="A28" s="59" t="s">
        <v>177</v>
      </c>
      <c r="B28" s="60">
        <v>4.45</v>
      </c>
      <c r="C28" s="60">
        <v>30.25</v>
      </c>
      <c r="D28" s="60">
        <v>20.67</v>
      </c>
      <c r="E28" s="60">
        <v>3.64</v>
      </c>
      <c r="F28" s="60">
        <v>12.3</v>
      </c>
      <c r="G28" s="60">
        <v>38.32</v>
      </c>
      <c r="H28" s="60">
        <v>15.03</v>
      </c>
      <c r="I28" s="60">
        <v>0.55000000000000004</v>
      </c>
      <c r="J28" s="60">
        <v>0.36</v>
      </c>
      <c r="K28" s="60">
        <v>274.49</v>
      </c>
      <c r="L28" s="60">
        <v>28.89</v>
      </c>
      <c r="M28" s="60">
        <v>50</v>
      </c>
      <c r="N28" s="60">
        <v>5.0999999999999996</v>
      </c>
      <c r="O28" s="60">
        <v>0</v>
      </c>
      <c r="P28" s="60">
        <v>0.59</v>
      </c>
      <c r="Q28" s="60">
        <v>22.82</v>
      </c>
      <c r="R28" s="44"/>
      <c r="S28" s="44"/>
      <c r="T28" s="44"/>
      <c r="U28" s="44"/>
    </row>
    <row r="29" spans="1:21" s="12" customFormat="1" x14ac:dyDescent="0.25">
      <c r="A29" s="59" t="s">
        <v>178</v>
      </c>
      <c r="B29" s="60">
        <v>8.2899999999999991</v>
      </c>
      <c r="C29" s="60">
        <v>31.43</v>
      </c>
      <c r="D29" s="60">
        <v>24.64</v>
      </c>
      <c r="E29" s="60">
        <v>3.31</v>
      </c>
      <c r="F29" s="60">
        <v>13.06</v>
      </c>
      <c r="G29" s="60">
        <v>38.32</v>
      </c>
      <c r="H29" s="60">
        <v>17.649999999999999</v>
      </c>
      <c r="I29" s="60">
        <v>0.55000000000000004</v>
      </c>
      <c r="J29" s="60">
        <v>0.11</v>
      </c>
      <c r="K29" s="60">
        <v>329.87</v>
      </c>
      <c r="L29" s="60">
        <v>27.55</v>
      </c>
      <c r="M29" s="60">
        <v>51.32</v>
      </c>
      <c r="N29" s="60">
        <v>4.9000000000000004</v>
      </c>
      <c r="O29" s="60">
        <v>0</v>
      </c>
      <c r="P29" s="60">
        <v>0.73</v>
      </c>
      <c r="Q29" s="60">
        <v>21.13</v>
      </c>
      <c r="R29" s="44"/>
      <c r="S29" s="44"/>
      <c r="T29" s="44"/>
      <c r="U29" s="44"/>
    </row>
    <row r="30" spans="1:21" s="12" customFormat="1" x14ac:dyDescent="0.25">
      <c r="A30" s="59" t="s">
        <v>179</v>
      </c>
      <c r="B30" s="60">
        <v>15.16</v>
      </c>
      <c r="C30" s="60">
        <v>40.9</v>
      </c>
      <c r="D30" s="60">
        <v>35.380000000000003</v>
      </c>
      <c r="E30" s="60">
        <v>3.81</v>
      </c>
      <c r="F30" s="60">
        <v>13.59</v>
      </c>
      <c r="G30" s="60">
        <v>41.43</v>
      </c>
      <c r="H30" s="60">
        <v>17.649999999999999</v>
      </c>
      <c r="I30" s="60">
        <v>0.56000000000000005</v>
      </c>
      <c r="J30" s="60">
        <v>0.41</v>
      </c>
      <c r="K30" s="60">
        <v>258.73</v>
      </c>
      <c r="L30" s="60">
        <v>27.24</v>
      </c>
      <c r="M30" s="60">
        <v>57.19</v>
      </c>
      <c r="N30" s="60">
        <v>5</v>
      </c>
      <c r="O30" s="60">
        <v>0</v>
      </c>
      <c r="P30" s="60">
        <v>0.89</v>
      </c>
      <c r="Q30" s="60">
        <v>23.95</v>
      </c>
      <c r="R30" s="44"/>
      <c r="S30" s="44"/>
      <c r="T30" s="44"/>
      <c r="U30" s="44"/>
    </row>
    <row r="31" spans="1:21" s="12" customFormat="1" x14ac:dyDescent="0.25">
      <c r="A31" s="59" t="s">
        <v>180</v>
      </c>
      <c r="B31" s="60">
        <v>5.63</v>
      </c>
      <c r="C31" s="60">
        <v>20.66</v>
      </c>
      <c r="D31" s="60">
        <v>16.559999999999999</v>
      </c>
      <c r="E31" s="60">
        <v>2.69</v>
      </c>
      <c r="F31" s="60">
        <v>4.92</v>
      </c>
      <c r="G31" s="60">
        <v>41.43</v>
      </c>
      <c r="H31" s="60">
        <v>16.95</v>
      </c>
      <c r="I31" s="60">
        <v>0.61</v>
      </c>
      <c r="J31" s="60">
        <v>0.39</v>
      </c>
      <c r="K31" s="60">
        <v>266.14</v>
      </c>
      <c r="L31" s="60">
        <v>26</v>
      </c>
      <c r="M31" s="60">
        <v>65.930000000000007</v>
      </c>
      <c r="N31" s="60">
        <v>5.0999999999999996</v>
      </c>
      <c r="O31" s="60">
        <v>0</v>
      </c>
      <c r="P31" s="60">
        <v>0.67</v>
      </c>
      <c r="Q31" s="60">
        <v>23.51</v>
      </c>
      <c r="R31" s="44"/>
      <c r="S31" s="44"/>
      <c r="T31" s="44"/>
      <c r="U31" s="44"/>
    </row>
    <row r="32" spans="1:21" s="12" customFormat="1" x14ac:dyDescent="0.25">
      <c r="A32" s="59" t="s">
        <v>181</v>
      </c>
      <c r="B32" s="60">
        <v>5.04</v>
      </c>
      <c r="C32" s="60">
        <v>15.36</v>
      </c>
      <c r="D32" s="60">
        <v>13.17</v>
      </c>
      <c r="E32" s="60">
        <v>2.2200000000000002</v>
      </c>
      <c r="F32" s="60">
        <v>7.15</v>
      </c>
      <c r="G32" s="60">
        <v>41.21</v>
      </c>
      <c r="H32" s="60">
        <v>16.95</v>
      </c>
      <c r="I32" s="60">
        <v>0.6</v>
      </c>
      <c r="J32" s="60">
        <v>1.07</v>
      </c>
      <c r="K32" s="60">
        <v>252.96</v>
      </c>
      <c r="L32" s="60">
        <v>24.93</v>
      </c>
      <c r="M32" s="60">
        <v>74.23</v>
      </c>
      <c r="N32" s="60">
        <v>5.0999999999999996</v>
      </c>
      <c r="O32" s="60">
        <v>0</v>
      </c>
      <c r="P32" s="60">
        <v>0.61</v>
      </c>
      <c r="Q32" s="60">
        <v>23.89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1.91</v>
      </c>
      <c r="C34" s="29">
        <f t="shared" si="0"/>
        <v>15.36</v>
      </c>
      <c r="D34" s="29">
        <f t="shared" si="0"/>
        <v>13.17</v>
      </c>
      <c r="E34" s="29">
        <f t="shared" si="0"/>
        <v>1.79</v>
      </c>
      <c r="F34" s="29">
        <f t="shared" si="0"/>
        <v>3.45</v>
      </c>
      <c r="G34" s="29">
        <f t="shared" si="0"/>
        <v>34.29</v>
      </c>
      <c r="H34" s="29">
        <f t="shared" si="0"/>
        <v>9.84</v>
      </c>
      <c r="I34" s="29">
        <f t="shared" si="0"/>
        <v>0.45</v>
      </c>
      <c r="J34" s="29">
        <f t="shared" si="0"/>
        <v>0.11</v>
      </c>
      <c r="K34" s="29">
        <f t="shared" si="0"/>
        <v>252.96</v>
      </c>
      <c r="L34" s="29">
        <f t="shared" si="0"/>
        <v>21.67</v>
      </c>
      <c r="M34" s="29">
        <f t="shared" si="0"/>
        <v>35.57</v>
      </c>
      <c r="N34" s="29">
        <f t="shared" si="0"/>
        <v>4.8</v>
      </c>
      <c r="O34" s="29">
        <f t="shared" si="0"/>
        <v>0</v>
      </c>
      <c r="P34" s="29">
        <f t="shared" si="0"/>
        <v>0.36</v>
      </c>
      <c r="Q34" s="29">
        <f t="shared" si="0"/>
        <v>7.86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25.37</v>
      </c>
      <c r="C35" s="30">
        <f t="shared" si="1"/>
        <v>50.11</v>
      </c>
      <c r="D35" s="30">
        <f t="shared" si="1"/>
        <v>35.380000000000003</v>
      </c>
      <c r="E35" s="30">
        <f t="shared" si="1"/>
        <v>9.3699999999999992</v>
      </c>
      <c r="F35" s="30">
        <f t="shared" si="1"/>
        <v>46.06</v>
      </c>
      <c r="G35" s="30">
        <f t="shared" si="1"/>
        <v>105.93</v>
      </c>
      <c r="H35" s="30">
        <f t="shared" si="1"/>
        <v>30.76</v>
      </c>
      <c r="I35" s="30">
        <f t="shared" si="1"/>
        <v>0.61</v>
      </c>
      <c r="J35" s="30">
        <f t="shared" si="1"/>
        <v>1.34</v>
      </c>
      <c r="K35" s="30">
        <f t="shared" si="1"/>
        <v>331.81</v>
      </c>
      <c r="L35" s="30">
        <f t="shared" si="1"/>
        <v>35.75</v>
      </c>
      <c r="M35" s="30">
        <f t="shared" si="1"/>
        <v>84.09</v>
      </c>
      <c r="N35" s="30">
        <f t="shared" si="1"/>
        <v>988.6</v>
      </c>
      <c r="O35" s="30">
        <f t="shared" si="1"/>
        <v>0</v>
      </c>
      <c r="P35" s="30">
        <f t="shared" si="1"/>
        <v>0.89</v>
      </c>
      <c r="Q35" s="30">
        <f t="shared" si="1"/>
        <v>26.42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11.905217391304348</v>
      </c>
      <c r="C36" s="29">
        <f t="shared" si="2"/>
        <v>29.977391304347826</v>
      </c>
      <c r="D36" s="29">
        <f t="shared" si="2"/>
        <v>26.066086956521737</v>
      </c>
      <c r="E36" s="29">
        <f t="shared" si="2"/>
        <v>3.3726086956521737</v>
      </c>
      <c r="F36" s="29">
        <f t="shared" si="2"/>
        <v>12.573333333333331</v>
      </c>
      <c r="G36" s="29">
        <f t="shared" si="2"/>
        <v>69.139130434782615</v>
      </c>
      <c r="H36" s="29">
        <f t="shared" si="2"/>
        <v>19.693043478260865</v>
      </c>
      <c r="I36" s="29">
        <f t="shared" si="2"/>
        <v>0.51749999999999996</v>
      </c>
      <c r="J36" s="29">
        <f t="shared" si="2"/>
        <v>0.55833333333333335</v>
      </c>
      <c r="K36" s="29">
        <f t="shared" si="2"/>
        <v>293.15583333333331</v>
      </c>
      <c r="L36" s="29">
        <f t="shared" si="2"/>
        <v>29.176249999999992</v>
      </c>
      <c r="M36" s="29">
        <f t="shared" si="2"/>
        <v>54.951249999999995</v>
      </c>
      <c r="N36" s="29">
        <f t="shared" si="2"/>
        <v>325.63636363636363</v>
      </c>
      <c r="O36" s="29">
        <f t="shared" si="2"/>
        <v>0</v>
      </c>
      <c r="P36" s="29">
        <f t="shared" si="2"/>
        <v>0.67833333333333334</v>
      </c>
      <c r="Q36" s="29">
        <f t="shared" si="2"/>
        <v>21.994583333333335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7.4227762936207586</v>
      </c>
      <c r="C37" s="29">
        <f t="shared" ref="C37:Q37" si="3">STDEV(C9:C32)</f>
        <v>8.6447036951120833</v>
      </c>
      <c r="D37" s="29">
        <f t="shared" si="3"/>
        <v>6.1551720595775397</v>
      </c>
      <c r="E37" s="29">
        <f t="shared" si="3"/>
        <v>1.4985211418756239</v>
      </c>
      <c r="F37" s="29">
        <f t="shared" si="3"/>
        <v>10.950972427207063</v>
      </c>
      <c r="G37" s="29">
        <f t="shared" si="3"/>
        <v>26.274016530862369</v>
      </c>
      <c r="H37" s="29">
        <f t="shared" si="3"/>
        <v>6.7785500157633756</v>
      </c>
      <c r="I37" s="29">
        <f t="shared" si="3"/>
        <v>5.5779598746886414E-2</v>
      </c>
      <c r="J37" s="29">
        <f t="shared" si="3"/>
        <v>0.33655113529249436</v>
      </c>
      <c r="K37" s="29">
        <f t="shared" si="3"/>
        <v>20.258035639494132</v>
      </c>
      <c r="L37" s="29">
        <f t="shared" si="3"/>
        <v>4.8531386639271679</v>
      </c>
      <c r="M37" s="29">
        <f t="shared" si="3"/>
        <v>17.491123540738929</v>
      </c>
      <c r="N37" s="29">
        <f t="shared" si="3"/>
        <v>382.2917753128641</v>
      </c>
      <c r="O37" s="29">
        <f t="shared" si="3"/>
        <v>0</v>
      </c>
      <c r="P37" s="29">
        <f t="shared" si="3"/>
        <v>0.15549826412191056</v>
      </c>
      <c r="Q37" s="29">
        <f t="shared" si="3"/>
        <v>4.6350479376224296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COUNT(B9:B32)+1</f>
        <v>24</v>
      </c>
      <c r="C38" s="33">
        <f>COUNT(C9:C32)+1</f>
        <v>24</v>
      </c>
      <c r="D38" s="33">
        <f>COUNT(D9:D32)+1</f>
        <v>24</v>
      </c>
      <c r="E38" s="33">
        <f>COUNT(E9:E32)+1</f>
        <v>24</v>
      </c>
      <c r="F38" s="33">
        <f t="shared" ref="F38:Q38" si="4">COUNT(F9:F32)</f>
        <v>24</v>
      </c>
      <c r="G38" s="33">
        <f>COUNT(G9:G32)+1</f>
        <v>24</v>
      </c>
      <c r="H38" s="33">
        <f>COUNT(H9:H32)+1</f>
        <v>24</v>
      </c>
      <c r="I38" s="33">
        <f>COUNT(I9:I32)+12</f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>COUNT(N9:N32)+2</f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72" sqref="I72"/>
    </sheetView>
  </sheetViews>
  <sheetFormatPr defaultColWidth="8.85546875" defaultRowHeight="15" x14ac:dyDescent="0.25"/>
  <cols>
    <col min="1" max="1" width="18.28515625" style="27" customWidth="1"/>
    <col min="2" max="2" width="13.57031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06-05-2023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182</v>
      </c>
      <c r="B9" s="60">
        <v>4.5999999999999996</v>
      </c>
      <c r="C9" s="60">
        <v>13.85</v>
      </c>
      <c r="D9" s="60">
        <v>11.8</v>
      </c>
      <c r="E9" s="60">
        <v>1.6</v>
      </c>
      <c r="F9" s="60">
        <v>8.16</v>
      </c>
      <c r="G9" s="60">
        <v>40.11</v>
      </c>
      <c r="H9" s="60">
        <v>14.97</v>
      </c>
      <c r="I9" s="60">
        <v>0.56000000000000005</v>
      </c>
      <c r="J9" s="60">
        <v>0.79</v>
      </c>
      <c r="K9" s="60">
        <v>250.24</v>
      </c>
      <c r="L9" s="60">
        <v>23.93</v>
      </c>
      <c r="M9" s="60">
        <v>75.209999999999994</v>
      </c>
      <c r="N9" s="60">
        <v>4.8</v>
      </c>
      <c r="O9" s="60">
        <v>0</v>
      </c>
      <c r="P9" s="60">
        <v>0.5</v>
      </c>
      <c r="Q9" s="60">
        <v>23.2</v>
      </c>
      <c r="R9" s="44"/>
      <c r="S9" s="44"/>
      <c r="T9" s="44"/>
      <c r="U9" s="44"/>
    </row>
    <row r="10" spans="1:21" s="12" customFormat="1" x14ac:dyDescent="0.25">
      <c r="A10" s="59" t="s">
        <v>183</v>
      </c>
      <c r="B10" s="60">
        <v>5.01</v>
      </c>
      <c r="C10" s="60">
        <v>15.09</v>
      </c>
      <c r="D10" s="60">
        <v>12.99</v>
      </c>
      <c r="E10" s="60">
        <v>1.74</v>
      </c>
      <c r="F10" s="60">
        <v>4.4800000000000004</v>
      </c>
      <c r="G10" s="60">
        <v>30.61</v>
      </c>
      <c r="H10" s="60">
        <v>14.04</v>
      </c>
      <c r="I10" s="60">
        <v>0.56999999999999995</v>
      </c>
      <c r="J10" s="60">
        <v>0.52</v>
      </c>
      <c r="K10" s="60">
        <v>244.93</v>
      </c>
      <c r="L10" s="60">
        <v>23.78</v>
      </c>
      <c r="M10" s="60">
        <v>76.260000000000005</v>
      </c>
      <c r="N10" s="60">
        <v>4.9000000000000004</v>
      </c>
      <c r="O10" s="60">
        <v>0</v>
      </c>
      <c r="P10" s="60">
        <v>0.49</v>
      </c>
      <c r="Q10" s="60">
        <v>23.96</v>
      </c>
      <c r="R10" s="44"/>
      <c r="S10" s="44"/>
      <c r="T10" s="44"/>
      <c r="U10" s="44"/>
    </row>
    <row r="11" spans="1:21" s="12" customFormat="1" x14ac:dyDescent="0.25">
      <c r="A11" s="59" t="s">
        <v>184</v>
      </c>
      <c r="B11" s="60">
        <v>4.21</v>
      </c>
      <c r="C11" s="60">
        <v>13.33</v>
      </c>
      <c r="D11" s="60">
        <v>11.38</v>
      </c>
      <c r="E11" s="60">
        <v>1.25</v>
      </c>
      <c r="F11" s="60">
        <v>7.83</v>
      </c>
      <c r="G11" s="60">
        <v>26.25</v>
      </c>
      <c r="H11" s="60">
        <v>11.89</v>
      </c>
      <c r="I11" s="60">
        <v>0.55000000000000004</v>
      </c>
      <c r="J11" s="60">
        <v>0.36</v>
      </c>
      <c r="K11" s="60">
        <v>259.33</v>
      </c>
      <c r="L11" s="60">
        <v>23.41</v>
      </c>
      <c r="M11" s="60">
        <v>76.47</v>
      </c>
      <c r="N11" s="60">
        <v>5</v>
      </c>
      <c r="O11" s="60">
        <v>0</v>
      </c>
      <c r="P11" s="60">
        <v>0.44</v>
      </c>
      <c r="Q11" s="60">
        <v>21.51</v>
      </c>
      <c r="R11" s="44"/>
      <c r="S11" s="44"/>
      <c r="T11" s="44"/>
      <c r="U11" s="44"/>
    </row>
    <row r="12" spans="1:21" s="12" customFormat="1" x14ac:dyDescent="0.25">
      <c r="A12" s="59" t="s">
        <v>185</v>
      </c>
      <c r="B12" s="60">
        <v>4.08</v>
      </c>
      <c r="C12" s="60">
        <v>13.38</v>
      </c>
      <c r="D12" s="60">
        <v>11.31</v>
      </c>
      <c r="E12" s="60">
        <v>1.24</v>
      </c>
      <c r="F12" s="60">
        <v>7.4</v>
      </c>
      <c r="G12" s="60">
        <v>24.69</v>
      </c>
      <c r="H12" s="60">
        <v>11.52</v>
      </c>
      <c r="I12" s="60">
        <v>0.52</v>
      </c>
      <c r="J12" s="60">
        <v>0.25</v>
      </c>
      <c r="K12" s="60">
        <v>271.35000000000002</v>
      </c>
      <c r="L12" s="60">
        <v>23.23</v>
      </c>
      <c r="M12" s="60">
        <v>78.28</v>
      </c>
      <c r="N12" s="60">
        <v>5</v>
      </c>
      <c r="O12" s="60">
        <v>0</v>
      </c>
      <c r="P12" s="60">
        <v>0.38</v>
      </c>
      <c r="Q12" s="60">
        <v>23.91</v>
      </c>
      <c r="R12" s="44"/>
      <c r="S12" s="44"/>
      <c r="T12" s="44"/>
      <c r="U12" s="44"/>
    </row>
    <row r="13" spans="1:21" s="12" customFormat="1" x14ac:dyDescent="0.25">
      <c r="A13" s="59" t="s">
        <v>186</v>
      </c>
      <c r="B13" s="60">
        <v>4.62</v>
      </c>
      <c r="C13" s="60">
        <v>14.22</v>
      </c>
      <c r="D13" s="60">
        <v>12.2</v>
      </c>
      <c r="E13" s="60">
        <v>1.75</v>
      </c>
      <c r="F13" s="60">
        <v>3.77</v>
      </c>
      <c r="G13" s="60">
        <v>21.34</v>
      </c>
      <c r="H13" s="60">
        <v>11.52</v>
      </c>
      <c r="I13" s="60">
        <v>0.54</v>
      </c>
      <c r="J13" s="60">
        <v>0.2</v>
      </c>
      <c r="K13" s="60">
        <v>349.43</v>
      </c>
      <c r="L13" s="60">
        <v>23</v>
      </c>
      <c r="M13" s="60">
        <v>78.260000000000005</v>
      </c>
      <c r="N13" s="60">
        <v>5</v>
      </c>
      <c r="O13" s="60">
        <v>0</v>
      </c>
      <c r="P13" s="60">
        <v>0.38</v>
      </c>
      <c r="Q13" s="60">
        <v>23.84</v>
      </c>
      <c r="R13" s="44"/>
      <c r="S13" s="44"/>
      <c r="T13" s="44"/>
      <c r="U13" s="44"/>
    </row>
    <row r="14" spans="1:21" s="12" customFormat="1" x14ac:dyDescent="0.25">
      <c r="A14" s="59" t="s">
        <v>187</v>
      </c>
      <c r="B14" s="60">
        <v>4.8</v>
      </c>
      <c r="C14" s="60">
        <v>15.13</v>
      </c>
      <c r="D14" s="60">
        <v>12.85</v>
      </c>
      <c r="E14" s="60">
        <v>1.86</v>
      </c>
      <c r="F14" s="60">
        <v>6.16</v>
      </c>
      <c r="G14" s="60">
        <v>19.97</v>
      </c>
      <c r="H14" s="60">
        <v>9.17</v>
      </c>
      <c r="I14" s="60">
        <v>0.53</v>
      </c>
      <c r="J14" s="60">
        <v>0.06</v>
      </c>
      <c r="K14" s="60">
        <v>357.53</v>
      </c>
      <c r="L14" s="60">
        <v>23.16</v>
      </c>
      <c r="M14" s="60">
        <v>77.88</v>
      </c>
      <c r="N14" s="60">
        <v>28.9</v>
      </c>
      <c r="O14" s="60">
        <v>0</v>
      </c>
      <c r="P14" s="60">
        <v>0.36</v>
      </c>
      <c r="Q14" s="60">
        <v>21.88</v>
      </c>
      <c r="R14" s="44"/>
      <c r="S14" s="44"/>
      <c r="T14" s="44"/>
      <c r="U14" s="44"/>
    </row>
    <row r="15" spans="1:21" s="12" customFormat="1" x14ac:dyDescent="0.25">
      <c r="A15" s="59" t="s">
        <v>188</v>
      </c>
      <c r="B15" s="60">
        <v>7.89</v>
      </c>
      <c r="C15" s="60">
        <v>18.14</v>
      </c>
      <c r="D15" s="60">
        <v>16.98</v>
      </c>
      <c r="E15" s="60">
        <v>1.81</v>
      </c>
      <c r="F15" s="60">
        <v>5.36</v>
      </c>
      <c r="G15" s="60">
        <v>21.89</v>
      </c>
      <c r="H15" s="60">
        <v>10.3</v>
      </c>
      <c r="I15" s="60">
        <v>0.52</v>
      </c>
      <c r="J15" s="60">
        <v>0.09</v>
      </c>
      <c r="K15" s="60">
        <v>343.47</v>
      </c>
      <c r="L15" s="60">
        <v>23.96</v>
      </c>
      <c r="M15" s="60">
        <v>77.16</v>
      </c>
      <c r="N15" s="60">
        <v>97.4</v>
      </c>
      <c r="O15" s="60">
        <v>0</v>
      </c>
      <c r="P15" s="60">
        <v>0.38</v>
      </c>
      <c r="Q15" s="60">
        <v>23.93</v>
      </c>
      <c r="R15" s="44"/>
      <c r="S15" s="44"/>
      <c r="T15" s="44"/>
      <c r="U15" s="44"/>
    </row>
    <row r="16" spans="1:21" s="12" customFormat="1" x14ac:dyDescent="0.25">
      <c r="A16" s="59" t="s">
        <v>189</v>
      </c>
      <c r="B16" s="60">
        <v>6.83</v>
      </c>
      <c r="C16" s="60">
        <v>19.329999999999998</v>
      </c>
      <c r="D16" s="60">
        <v>16.79</v>
      </c>
      <c r="E16" s="60">
        <v>2.1</v>
      </c>
      <c r="F16" s="60">
        <v>3.5</v>
      </c>
      <c r="G16" s="60">
        <v>32.06</v>
      </c>
      <c r="H16" s="60">
        <v>14.5</v>
      </c>
      <c r="I16" s="60">
        <v>0.53</v>
      </c>
      <c r="J16" s="60">
        <v>0.15</v>
      </c>
      <c r="K16" s="60">
        <v>294.88</v>
      </c>
      <c r="L16" s="60">
        <v>25.88</v>
      </c>
      <c r="M16" s="60">
        <v>76.400000000000006</v>
      </c>
      <c r="N16" s="60">
        <v>324.5</v>
      </c>
      <c r="O16" s="60">
        <v>0</v>
      </c>
      <c r="P16" s="60">
        <v>0.47</v>
      </c>
      <c r="Q16" s="60">
        <v>23.98</v>
      </c>
      <c r="R16" s="44"/>
      <c r="S16" s="44"/>
      <c r="T16" s="44"/>
      <c r="U16" s="44"/>
    </row>
    <row r="17" spans="1:21" s="12" customFormat="1" x14ac:dyDescent="0.25">
      <c r="A17" s="59" t="s">
        <v>190</v>
      </c>
      <c r="B17" s="60">
        <v>6.14</v>
      </c>
      <c r="C17" s="60">
        <v>19.79</v>
      </c>
      <c r="D17" s="60">
        <v>16.010000000000002</v>
      </c>
      <c r="E17" s="60">
        <v>2.46</v>
      </c>
      <c r="F17" s="60">
        <v>7.8</v>
      </c>
      <c r="G17" s="60">
        <v>35.72</v>
      </c>
      <c r="H17" s="60">
        <v>17.63</v>
      </c>
      <c r="I17" s="60">
        <v>0.53</v>
      </c>
      <c r="J17" s="60">
        <v>0.31</v>
      </c>
      <c r="K17" s="60">
        <v>293.06</v>
      </c>
      <c r="L17" s="60">
        <v>31.21</v>
      </c>
      <c r="M17" s="60">
        <v>64.739999999999995</v>
      </c>
      <c r="N17" s="60">
        <v>631.4</v>
      </c>
      <c r="O17" s="60">
        <v>0</v>
      </c>
      <c r="P17" s="60">
        <v>0.56999999999999995</v>
      </c>
      <c r="Q17" s="60">
        <v>24.04</v>
      </c>
      <c r="R17" s="44"/>
      <c r="S17" s="44"/>
      <c r="T17" s="44"/>
      <c r="U17" s="44"/>
    </row>
    <row r="18" spans="1:21" s="12" customFormat="1" x14ac:dyDescent="0.25">
      <c r="A18" s="59" t="s">
        <v>191</v>
      </c>
      <c r="B18" s="60">
        <v>5.9</v>
      </c>
      <c r="C18" s="60">
        <v>24.03</v>
      </c>
      <c r="D18" s="60">
        <v>18.64</v>
      </c>
      <c r="E18" s="60">
        <v>3.19</v>
      </c>
      <c r="F18" s="60">
        <v>10.64</v>
      </c>
      <c r="G18" s="60">
        <v>43.95</v>
      </c>
      <c r="H18" s="60">
        <v>19.940000000000001</v>
      </c>
      <c r="I18" s="60">
        <v>0.51</v>
      </c>
      <c r="J18" s="60">
        <v>0.59</v>
      </c>
      <c r="K18" s="60">
        <v>287.11</v>
      </c>
      <c r="L18" s="60">
        <v>34.909999999999997</v>
      </c>
      <c r="M18" s="60">
        <v>51.19</v>
      </c>
      <c r="N18" s="60">
        <v>800.1</v>
      </c>
      <c r="O18" s="60">
        <v>0</v>
      </c>
      <c r="P18" s="60">
        <v>0.59</v>
      </c>
      <c r="Q18" s="60">
        <v>21.81</v>
      </c>
      <c r="R18" s="44"/>
      <c r="S18" s="44"/>
      <c r="T18" s="44"/>
      <c r="U18" s="44"/>
    </row>
    <row r="19" spans="1:21" s="12" customFormat="1" x14ac:dyDescent="0.25">
      <c r="A19" s="59" t="s">
        <v>192</v>
      </c>
      <c r="B19" s="60">
        <v>2.98</v>
      </c>
      <c r="C19" s="60">
        <v>44.73</v>
      </c>
      <c r="D19" s="60">
        <v>26.53</v>
      </c>
      <c r="E19" s="60">
        <v>4.8600000000000003</v>
      </c>
      <c r="F19" s="60">
        <v>39.799999999999997</v>
      </c>
      <c r="G19" s="60">
        <v>43.95</v>
      </c>
      <c r="H19" s="60">
        <v>19.940000000000001</v>
      </c>
      <c r="I19" s="60">
        <v>0.52</v>
      </c>
      <c r="J19" s="60">
        <v>0.47</v>
      </c>
      <c r="K19" s="60">
        <v>279.94</v>
      </c>
      <c r="L19" s="60">
        <v>34.619999999999997</v>
      </c>
      <c r="M19" s="60">
        <v>39.4</v>
      </c>
      <c r="N19" s="60">
        <v>897.8</v>
      </c>
      <c r="O19" s="60">
        <v>0</v>
      </c>
      <c r="P19" s="60">
        <v>0.61</v>
      </c>
      <c r="Q19" s="60">
        <v>22.16</v>
      </c>
      <c r="R19" s="44"/>
      <c r="S19" s="44"/>
      <c r="T19" s="44"/>
      <c r="U19" s="44"/>
    </row>
    <row r="20" spans="1:21" s="12" customFormat="1" x14ac:dyDescent="0.25">
      <c r="A20" s="59" t="s">
        <v>193</v>
      </c>
      <c r="B20" s="60">
        <v>6.77</v>
      </c>
      <c r="C20" s="60">
        <v>39.46</v>
      </c>
      <c r="D20" s="60">
        <v>25.54</v>
      </c>
      <c r="E20" s="60">
        <v>3.65</v>
      </c>
      <c r="F20" s="60">
        <v>26.12</v>
      </c>
      <c r="G20" s="60">
        <v>42.21</v>
      </c>
      <c r="H20" s="60">
        <v>19.329999999999998</v>
      </c>
      <c r="I20" s="60">
        <v>0.53</v>
      </c>
      <c r="J20" s="60">
        <v>0.53</v>
      </c>
      <c r="K20" s="60">
        <v>295.62</v>
      </c>
      <c r="L20" s="60">
        <v>36.28</v>
      </c>
      <c r="M20" s="60">
        <v>37.18</v>
      </c>
      <c r="N20" s="60">
        <v>924.2</v>
      </c>
      <c r="O20" s="60">
        <v>0</v>
      </c>
      <c r="P20" s="60">
        <v>0.57999999999999996</v>
      </c>
      <c r="Q20" s="60">
        <v>20.48</v>
      </c>
      <c r="R20" s="44"/>
      <c r="S20" s="44"/>
      <c r="T20" s="44"/>
      <c r="U20" s="44"/>
    </row>
    <row r="21" spans="1:21" s="12" customFormat="1" x14ac:dyDescent="0.25">
      <c r="A21" s="59" t="s">
        <v>194</v>
      </c>
      <c r="B21" s="60">
        <v>4.18</v>
      </c>
      <c r="C21" s="60">
        <v>34.86</v>
      </c>
      <c r="D21" s="60">
        <v>23.24</v>
      </c>
      <c r="E21" s="60">
        <v>4.57</v>
      </c>
      <c r="F21" s="60">
        <v>29.81</v>
      </c>
      <c r="G21" s="60">
        <v>40.06</v>
      </c>
      <c r="H21" s="60">
        <v>18.77</v>
      </c>
      <c r="I21" s="60">
        <v>0.54</v>
      </c>
      <c r="J21" s="60">
        <v>0.77</v>
      </c>
      <c r="K21" s="60">
        <v>288.89</v>
      </c>
      <c r="L21" s="60">
        <v>37</v>
      </c>
      <c r="M21" s="60">
        <v>32.93</v>
      </c>
      <c r="N21" s="60">
        <v>881.6</v>
      </c>
      <c r="O21" s="60">
        <v>0</v>
      </c>
      <c r="P21" s="60">
        <v>0.56999999999999995</v>
      </c>
      <c r="Q21" s="60">
        <v>21.01</v>
      </c>
      <c r="R21" s="44"/>
      <c r="S21" s="44"/>
      <c r="T21" s="44"/>
      <c r="U21" s="44"/>
    </row>
    <row r="22" spans="1:21" s="12" customFormat="1" x14ac:dyDescent="0.25">
      <c r="A22" s="59" t="s">
        <v>195</v>
      </c>
      <c r="B22" s="60">
        <v>3.7</v>
      </c>
      <c r="C22" s="60">
        <v>27.4</v>
      </c>
      <c r="D22" s="60">
        <v>18.739999999999998</v>
      </c>
      <c r="E22" s="60">
        <v>5.48</v>
      </c>
      <c r="F22" s="60">
        <v>34.89</v>
      </c>
      <c r="G22" s="60">
        <v>43.85</v>
      </c>
      <c r="H22" s="60">
        <v>19.39</v>
      </c>
      <c r="I22" s="60">
        <v>0.57999999999999996</v>
      </c>
      <c r="J22" s="60">
        <v>0.31</v>
      </c>
      <c r="K22" s="60">
        <v>280.68</v>
      </c>
      <c r="L22" s="60">
        <v>35.130000000000003</v>
      </c>
      <c r="M22" s="60">
        <v>33.92</v>
      </c>
      <c r="N22" s="60">
        <v>827.4</v>
      </c>
      <c r="O22" s="60">
        <v>0</v>
      </c>
      <c r="P22" s="60">
        <v>0.52</v>
      </c>
      <c r="Q22" s="60">
        <v>20.54</v>
      </c>
      <c r="R22" s="44"/>
      <c r="S22" s="44"/>
      <c r="T22" s="44"/>
      <c r="U22" s="44"/>
    </row>
    <row r="23" spans="1:21" s="12" customFormat="1" x14ac:dyDescent="0.25">
      <c r="A23" s="59" t="s">
        <v>196</v>
      </c>
      <c r="B23" s="60">
        <v>5.98</v>
      </c>
      <c r="C23" s="60">
        <v>28.64</v>
      </c>
      <c r="D23" s="60">
        <v>20.97</v>
      </c>
      <c r="E23" s="60">
        <v>4.9000000000000004</v>
      </c>
      <c r="F23" s="60">
        <v>34.35</v>
      </c>
      <c r="G23" s="60">
        <v>43.85</v>
      </c>
      <c r="H23" s="60">
        <v>19.39</v>
      </c>
      <c r="I23" s="60">
        <v>0.6</v>
      </c>
      <c r="J23" s="60">
        <v>0.25</v>
      </c>
      <c r="K23" s="60">
        <v>293.45999999999998</v>
      </c>
      <c r="L23" s="60">
        <v>34.590000000000003</v>
      </c>
      <c r="M23" s="60">
        <v>32.9</v>
      </c>
      <c r="N23" s="60">
        <v>479.9</v>
      </c>
      <c r="O23" s="60">
        <v>0</v>
      </c>
      <c r="P23" s="60">
        <v>0.54</v>
      </c>
      <c r="Q23" s="60">
        <v>22.54</v>
      </c>
      <c r="R23" s="44"/>
      <c r="S23" s="44"/>
      <c r="T23" s="44"/>
      <c r="U23" s="44"/>
    </row>
    <row r="24" spans="1:21" s="12" customFormat="1" x14ac:dyDescent="0.25">
      <c r="A24" s="59" t="s">
        <v>197</v>
      </c>
      <c r="B24" s="60">
        <v>8.43</v>
      </c>
      <c r="C24" s="60">
        <v>30.69</v>
      </c>
      <c r="D24" s="60">
        <v>24.34</v>
      </c>
      <c r="E24" s="60">
        <v>5.4</v>
      </c>
      <c r="F24" s="60">
        <v>32.299999999999997</v>
      </c>
      <c r="G24" s="60">
        <v>46.35</v>
      </c>
      <c r="H24" s="60">
        <v>18.399999999999999</v>
      </c>
      <c r="I24" s="60">
        <v>0.6</v>
      </c>
      <c r="J24" s="60">
        <v>0.49</v>
      </c>
      <c r="K24" s="60">
        <v>304.19</v>
      </c>
      <c r="L24" s="60">
        <v>33.89</v>
      </c>
      <c r="M24" s="60">
        <v>32.630000000000003</v>
      </c>
      <c r="N24" s="60">
        <v>251.1</v>
      </c>
      <c r="O24" s="60">
        <v>0</v>
      </c>
      <c r="P24" s="60">
        <v>0.62</v>
      </c>
      <c r="Q24" s="60">
        <v>23.99</v>
      </c>
      <c r="R24" s="44"/>
      <c r="S24" s="44"/>
      <c r="T24" s="44"/>
      <c r="U24" s="44"/>
    </row>
    <row r="25" spans="1:21" s="12" customFormat="1" x14ac:dyDescent="0.25">
      <c r="A25" s="59" t="s">
        <v>198</v>
      </c>
      <c r="B25" s="60">
        <v>5.09</v>
      </c>
      <c r="C25" s="60">
        <v>25.19</v>
      </c>
      <c r="D25" s="60">
        <v>18.63</v>
      </c>
      <c r="E25" s="60">
        <v>3.74</v>
      </c>
      <c r="F25" s="60">
        <v>33.4</v>
      </c>
      <c r="G25" s="60">
        <v>46.35</v>
      </c>
      <c r="H25" s="60">
        <v>18.02</v>
      </c>
      <c r="I25" s="60">
        <v>0.69</v>
      </c>
      <c r="J25" s="60">
        <v>0.52</v>
      </c>
      <c r="K25" s="60">
        <v>284.10000000000002</v>
      </c>
      <c r="L25" s="60">
        <v>32.85</v>
      </c>
      <c r="M25" s="60">
        <v>41.14</v>
      </c>
      <c r="N25" s="60">
        <v>138.80000000000001</v>
      </c>
      <c r="O25" s="60">
        <v>0</v>
      </c>
      <c r="P25" s="60">
        <v>0.54</v>
      </c>
      <c r="Q25" s="60">
        <v>22.17</v>
      </c>
      <c r="R25" s="44"/>
      <c r="S25" s="44"/>
      <c r="T25" s="44"/>
      <c r="U25" s="44"/>
    </row>
    <row r="26" spans="1:21" s="12" customFormat="1" x14ac:dyDescent="0.25">
      <c r="A26" s="59" t="s">
        <v>199</v>
      </c>
      <c r="B26" s="60">
        <v>6.35</v>
      </c>
      <c r="C26" s="60">
        <v>39.22</v>
      </c>
      <c r="D26" s="60">
        <v>27.38</v>
      </c>
      <c r="E26" s="60">
        <v>5.6</v>
      </c>
      <c r="F26" s="60">
        <v>39.17</v>
      </c>
      <c r="G26" s="62" t="s">
        <v>14</v>
      </c>
      <c r="H26" s="62" t="s">
        <v>14</v>
      </c>
      <c r="I26" s="60">
        <v>0.57999999999999996</v>
      </c>
      <c r="J26" s="60">
        <v>0.28999999999999998</v>
      </c>
      <c r="K26" s="60">
        <v>236.17</v>
      </c>
      <c r="L26" s="60">
        <v>30.78</v>
      </c>
      <c r="M26" s="60">
        <v>43.03</v>
      </c>
      <c r="N26" s="60">
        <v>48.2</v>
      </c>
      <c r="O26" s="60">
        <v>0</v>
      </c>
      <c r="P26" s="60">
        <v>0.79</v>
      </c>
      <c r="Q26" s="60">
        <v>18.63</v>
      </c>
      <c r="R26" s="44"/>
      <c r="S26" s="44"/>
      <c r="T26" s="44"/>
      <c r="U26" s="44"/>
    </row>
    <row r="27" spans="1:21" s="12" customFormat="1" x14ac:dyDescent="0.25">
      <c r="A27" s="59" t="s">
        <v>200</v>
      </c>
      <c r="B27" s="60">
        <v>5.15</v>
      </c>
      <c r="C27" s="60">
        <v>48.75</v>
      </c>
      <c r="D27" s="60">
        <v>31.68</v>
      </c>
      <c r="E27" s="60">
        <v>6.07</v>
      </c>
      <c r="F27" s="60">
        <v>41.34</v>
      </c>
      <c r="G27" s="62" t="s">
        <v>14</v>
      </c>
      <c r="H27" s="62" t="s">
        <v>14</v>
      </c>
      <c r="I27" s="60">
        <v>0.6</v>
      </c>
      <c r="J27" s="60">
        <v>0.11</v>
      </c>
      <c r="K27" s="60">
        <v>253.88</v>
      </c>
      <c r="L27" s="60">
        <v>30.49</v>
      </c>
      <c r="M27" s="60">
        <v>47.03</v>
      </c>
      <c r="N27" s="60">
        <v>18.100000000000001</v>
      </c>
      <c r="O27" s="60">
        <v>0</v>
      </c>
      <c r="P27" s="60">
        <v>0.82</v>
      </c>
      <c r="Q27" s="60">
        <v>18.91</v>
      </c>
      <c r="R27" s="44"/>
      <c r="S27" s="44"/>
      <c r="T27" s="44"/>
      <c r="U27" s="44"/>
    </row>
    <row r="28" spans="1:21" s="12" customFormat="1" x14ac:dyDescent="0.25">
      <c r="A28" s="59" t="s">
        <v>201</v>
      </c>
      <c r="B28" s="60">
        <v>7.48</v>
      </c>
      <c r="C28" s="60">
        <v>45.28</v>
      </c>
      <c r="D28" s="60">
        <v>31.63</v>
      </c>
      <c r="E28" s="60">
        <v>3.43</v>
      </c>
      <c r="F28" s="60">
        <v>18.25</v>
      </c>
      <c r="G28" s="62" t="s">
        <v>14</v>
      </c>
      <c r="H28" s="62" t="s">
        <v>14</v>
      </c>
      <c r="I28" s="60">
        <v>0.61</v>
      </c>
      <c r="J28" s="60">
        <v>0.11</v>
      </c>
      <c r="K28" s="60">
        <v>348.12</v>
      </c>
      <c r="L28" s="60">
        <v>29.27</v>
      </c>
      <c r="M28" s="60">
        <v>49.65</v>
      </c>
      <c r="N28" s="60">
        <v>7.5</v>
      </c>
      <c r="O28" s="60">
        <v>0</v>
      </c>
      <c r="P28" s="60">
        <v>1.07</v>
      </c>
      <c r="Q28" s="60">
        <v>20.64</v>
      </c>
      <c r="R28" s="44"/>
      <c r="S28" s="44"/>
      <c r="T28" s="44"/>
      <c r="U28" s="44"/>
    </row>
    <row r="29" spans="1:21" s="12" customFormat="1" x14ac:dyDescent="0.25">
      <c r="A29" s="59" t="s">
        <v>202</v>
      </c>
      <c r="B29" s="60">
        <v>33.42</v>
      </c>
      <c r="C29" s="60">
        <v>70.94</v>
      </c>
      <c r="D29" s="60">
        <v>66.599999999999994</v>
      </c>
      <c r="E29" s="60">
        <v>4.1500000000000004</v>
      </c>
      <c r="F29" s="60">
        <v>11.11</v>
      </c>
      <c r="G29" s="62" t="s">
        <v>14</v>
      </c>
      <c r="H29" s="62" t="s">
        <v>14</v>
      </c>
      <c r="I29" s="60">
        <v>0.68</v>
      </c>
      <c r="J29" s="60">
        <v>0.09</v>
      </c>
      <c r="K29" s="60">
        <v>295.79000000000002</v>
      </c>
      <c r="L29" s="60">
        <v>28.46</v>
      </c>
      <c r="M29" s="60">
        <v>54.33</v>
      </c>
      <c r="N29" s="60">
        <v>7.6</v>
      </c>
      <c r="O29" s="60">
        <v>0</v>
      </c>
      <c r="P29" s="60">
        <v>1.6</v>
      </c>
      <c r="Q29" s="60">
        <v>19.29</v>
      </c>
      <c r="R29" s="44"/>
      <c r="S29" s="44"/>
      <c r="T29" s="44"/>
      <c r="U29" s="44"/>
    </row>
    <row r="30" spans="1:21" s="12" customFormat="1" x14ac:dyDescent="0.25">
      <c r="A30" s="59" t="s">
        <v>203</v>
      </c>
      <c r="B30" s="60">
        <v>94.95</v>
      </c>
      <c r="C30" s="60">
        <v>66.599999999999994</v>
      </c>
      <c r="D30" s="60">
        <v>111.94</v>
      </c>
      <c r="E30" s="60">
        <v>4.2</v>
      </c>
      <c r="F30" s="60">
        <v>6.95</v>
      </c>
      <c r="G30" s="62" t="s">
        <v>14</v>
      </c>
      <c r="H30" s="62" t="s">
        <v>14</v>
      </c>
      <c r="I30" s="60">
        <v>0.84</v>
      </c>
      <c r="J30" s="60">
        <v>0.12</v>
      </c>
      <c r="K30" s="60">
        <v>269.74</v>
      </c>
      <c r="L30" s="60">
        <v>27.23</v>
      </c>
      <c r="M30" s="60">
        <v>61.76</v>
      </c>
      <c r="N30" s="60">
        <v>8</v>
      </c>
      <c r="O30" s="60">
        <v>0</v>
      </c>
      <c r="P30" s="60">
        <v>2.2200000000000002</v>
      </c>
      <c r="Q30" s="60">
        <v>19.23</v>
      </c>
      <c r="R30" s="44"/>
      <c r="S30" s="44"/>
      <c r="T30" s="44"/>
      <c r="U30" s="44"/>
    </row>
    <row r="31" spans="1:21" s="12" customFormat="1" x14ac:dyDescent="0.25">
      <c r="A31" s="59" t="s">
        <v>204</v>
      </c>
      <c r="B31" s="60">
        <v>113.16</v>
      </c>
      <c r="C31" s="60">
        <v>66.709999999999994</v>
      </c>
      <c r="D31" s="60">
        <v>124.75</v>
      </c>
      <c r="E31" s="60">
        <v>3.72</v>
      </c>
      <c r="F31" s="60">
        <v>3.77</v>
      </c>
      <c r="G31" s="62" t="s">
        <v>14</v>
      </c>
      <c r="H31" s="62" t="s">
        <v>14</v>
      </c>
      <c r="I31" s="60">
        <v>0.99</v>
      </c>
      <c r="J31" s="60">
        <v>0.1</v>
      </c>
      <c r="K31" s="60">
        <v>344</v>
      </c>
      <c r="L31" s="60">
        <v>26.27</v>
      </c>
      <c r="M31" s="60">
        <v>68.53</v>
      </c>
      <c r="N31" s="60">
        <v>8.1</v>
      </c>
      <c r="O31" s="60">
        <v>0</v>
      </c>
      <c r="P31" s="60">
        <v>2.0099999999999998</v>
      </c>
      <c r="Q31" s="60">
        <v>22.43</v>
      </c>
      <c r="R31" s="44"/>
      <c r="S31" s="44"/>
      <c r="T31" s="44"/>
      <c r="U31" s="44"/>
    </row>
    <row r="32" spans="1:21" s="12" customFormat="1" x14ac:dyDescent="0.25">
      <c r="A32" s="59" t="s">
        <v>205</v>
      </c>
      <c r="B32" s="60">
        <v>99.46</v>
      </c>
      <c r="C32" s="60">
        <v>64.16</v>
      </c>
      <c r="D32" s="60">
        <v>115.49</v>
      </c>
      <c r="E32" s="60">
        <v>2.9</v>
      </c>
      <c r="F32" s="60">
        <v>3.91</v>
      </c>
      <c r="G32" s="62" t="s">
        <v>14</v>
      </c>
      <c r="H32" s="62" t="s">
        <v>14</v>
      </c>
      <c r="I32" s="60">
        <v>0.91</v>
      </c>
      <c r="J32" s="60">
        <v>0.18</v>
      </c>
      <c r="K32" s="60">
        <v>291.02999999999997</v>
      </c>
      <c r="L32" s="60">
        <v>25.32</v>
      </c>
      <c r="M32" s="60">
        <v>72.459999999999994</v>
      </c>
      <c r="N32" s="60">
        <v>8</v>
      </c>
      <c r="O32" s="60">
        <v>0</v>
      </c>
      <c r="P32" s="60">
        <v>2.06</v>
      </c>
      <c r="Q32" s="60">
        <v>25.78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2.98</v>
      </c>
      <c r="C34" s="29">
        <f t="shared" si="0"/>
        <v>13.33</v>
      </c>
      <c r="D34" s="29">
        <f t="shared" si="0"/>
        <v>11.31</v>
      </c>
      <c r="E34" s="29">
        <f t="shared" si="0"/>
        <v>1.24</v>
      </c>
      <c r="F34" s="29">
        <f t="shared" si="0"/>
        <v>3.5</v>
      </c>
      <c r="G34" s="29">
        <f t="shared" si="0"/>
        <v>19.97</v>
      </c>
      <c r="H34" s="29">
        <f t="shared" si="0"/>
        <v>9.17</v>
      </c>
      <c r="I34" s="29">
        <f t="shared" si="0"/>
        <v>0.51</v>
      </c>
      <c r="J34" s="29">
        <f t="shared" si="0"/>
        <v>0.06</v>
      </c>
      <c r="K34" s="29">
        <f t="shared" si="0"/>
        <v>236.17</v>
      </c>
      <c r="L34" s="29">
        <f t="shared" si="0"/>
        <v>23</v>
      </c>
      <c r="M34" s="29">
        <f t="shared" si="0"/>
        <v>32.630000000000003</v>
      </c>
      <c r="N34" s="29">
        <f t="shared" si="0"/>
        <v>4.8</v>
      </c>
      <c r="O34" s="29">
        <f t="shared" si="0"/>
        <v>0</v>
      </c>
      <c r="P34" s="29">
        <f t="shared" si="0"/>
        <v>0.36</v>
      </c>
      <c r="Q34" s="29">
        <f t="shared" si="0"/>
        <v>18.63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113.16</v>
      </c>
      <c r="C35" s="30">
        <f t="shared" si="1"/>
        <v>70.94</v>
      </c>
      <c r="D35" s="30">
        <f t="shared" si="1"/>
        <v>124.75</v>
      </c>
      <c r="E35" s="30">
        <f t="shared" si="1"/>
        <v>6.07</v>
      </c>
      <c r="F35" s="30">
        <f t="shared" si="1"/>
        <v>41.34</v>
      </c>
      <c r="G35" s="30">
        <f t="shared" si="1"/>
        <v>46.35</v>
      </c>
      <c r="H35" s="30">
        <f t="shared" si="1"/>
        <v>19.940000000000001</v>
      </c>
      <c r="I35" s="30">
        <f t="shared" si="1"/>
        <v>0.99</v>
      </c>
      <c r="J35" s="30">
        <f t="shared" si="1"/>
        <v>0.79</v>
      </c>
      <c r="K35" s="30">
        <f t="shared" si="1"/>
        <v>357.53</v>
      </c>
      <c r="L35" s="30">
        <f t="shared" si="1"/>
        <v>37</v>
      </c>
      <c r="M35" s="30">
        <f t="shared" si="1"/>
        <v>78.28</v>
      </c>
      <c r="N35" s="30">
        <f t="shared" si="1"/>
        <v>924.2</v>
      </c>
      <c r="O35" s="30">
        <f t="shared" si="1"/>
        <v>0</v>
      </c>
      <c r="P35" s="30">
        <f t="shared" si="1"/>
        <v>2.2200000000000002</v>
      </c>
      <c r="Q35" s="30">
        <f t="shared" si="1"/>
        <v>25.78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18.799166666666668</v>
      </c>
      <c r="C36" s="29">
        <f t="shared" si="2"/>
        <v>33.288333333333327</v>
      </c>
      <c r="D36" s="29">
        <f t="shared" si="2"/>
        <v>33.683750000000003</v>
      </c>
      <c r="E36" s="29">
        <f t="shared" si="2"/>
        <v>3.4029166666666675</v>
      </c>
      <c r="F36" s="29">
        <f t="shared" si="2"/>
        <v>17.51125</v>
      </c>
      <c r="G36" s="29">
        <f t="shared" si="2"/>
        <v>35.48294117647059</v>
      </c>
      <c r="H36" s="29">
        <f t="shared" si="2"/>
        <v>15.807058823529413</v>
      </c>
      <c r="I36" s="29">
        <f t="shared" si="2"/>
        <v>0.60958333333333325</v>
      </c>
      <c r="J36" s="29">
        <f t="shared" si="2"/>
        <v>0.31916666666666665</v>
      </c>
      <c r="K36" s="29">
        <f t="shared" si="2"/>
        <v>292.3725</v>
      </c>
      <c r="L36" s="29">
        <f t="shared" si="2"/>
        <v>29.110416666666669</v>
      </c>
      <c r="M36" s="29">
        <f t="shared" si="2"/>
        <v>57.447499999999991</v>
      </c>
      <c r="N36" s="29">
        <f t="shared" si="2"/>
        <v>267.22083333333336</v>
      </c>
      <c r="O36" s="29">
        <f t="shared" si="2"/>
        <v>0</v>
      </c>
      <c r="P36" s="29">
        <f t="shared" si="2"/>
        <v>0.79624999999999979</v>
      </c>
      <c r="Q36" s="29">
        <f t="shared" si="2"/>
        <v>22.077500000000004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32.966318901024692</v>
      </c>
      <c r="C37" s="29">
        <f t="shared" ref="C37:Q37" si="3">STDEV(C9:C32)</f>
        <v>18.887281127938905</v>
      </c>
      <c r="D37" s="29">
        <f t="shared" si="3"/>
        <v>34.30687468341408</v>
      </c>
      <c r="E37" s="29">
        <f t="shared" si="3"/>
        <v>1.5223422433201734</v>
      </c>
      <c r="F37" s="29">
        <f t="shared" si="3"/>
        <v>14.14068638408488</v>
      </c>
      <c r="G37" s="29">
        <f t="shared" si="3"/>
        <v>9.584789880786321</v>
      </c>
      <c r="H37" s="29">
        <f t="shared" si="3"/>
        <v>3.7747678152203625</v>
      </c>
      <c r="I37" s="29">
        <f t="shared" si="3"/>
        <v>0.12821446593642352</v>
      </c>
      <c r="J37" s="29">
        <f t="shared" si="3"/>
        <v>0.21841159124095455</v>
      </c>
      <c r="K37" s="29">
        <f t="shared" si="3"/>
        <v>34.369267775024312</v>
      </c>
      <c r="L37" s="29">
        <f t="shared" si="3"/>
        <v>4.8824401233369761</v>
      </c>
      <c r="M37" s="29">
        <f t="shared" si="3"/>
        <v>17.797520161894607</v>
      </c>
      <c r="N37" s="29">
        <f t="shared" si="3"/>
        <v>353.76126803890327</v>
      </c>
      <c r="O37" s="29">
        <f t="shared" si="3"/>
        <v>0</v>
      </c>
      <c r="P37" s="29">
        <f t="shared" si="3"/>
        <v>0.56756392093563024</v>
      </c>
      <c r="Q37" s="29">
        <f t="shared" si="3"/>
        <v>1.9364001787269887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COUNT(G9:G32)+7</f>
        <v>24</v>
      </c>
      <c r="H38" s="33">
        <f>COUNT(H9:H32)+7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7" customWidth="1"/>
    <col min="2" max="2" width="1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07-05-2023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206</v>
      </c>
      <c r="B9" s="60">
        <v>82.41</v>
      </c>
      <c r="C9" s="60">
        <v>54.6</v>
      </c>
      <c r="D9" s="60">
        <v>96.86</v>
      </c>
      <c r="E9" s="60">
        <v>3.02</v>
      </c>
      <c r="F9" s="60">
        <v>7.09</v>
      </c>
      <c r="G9" s="62" t="s">
        <v>14</v>
      </c>
      <c r="H9" s="62" t="s">
        <v>14</v>
      </c>
      <c r="I9" s="60">
        <v>0.98</v>
      </c>
      <c r="J9" s="60">
        <v>0.26</v>
      </c>
      <c r="K9" s="60">
        <v>264.08</v>
      </c>
      <c r="L9" s="60">
        <v>25.55</v>
      </c>
      <c r="M9" s="60">
        <v>69.5</v>
      </c>
      <c r="N9" s="60">
        <v>7.7</v>
      </c>
      <c r="O9" s="60">
        <v>0</v>
      </c>
      <c r="P9" s="60">
        <v>1.73</v>
      </c>
      <c r="Q9" s="60">
        <v>31.48</v>
      </c>
      <c r="R9" s="44"/>
      <c r="S9" s="44"/>
      <c r="T9" s="44"/>
      <c r="U9" s="44"/>
    </row>
    <row r="10" spans="1:21" s="12" customFormat="1" x14ac:dyDescent="0.25">
      <c r="A10" s="59" t="s">
        <v>207</v>
      </c>
      <c r="B10" s="60">
        <v>51.97</v>
      </c>
      <c r="C10" s="60">
        <v>34.119999999999997</v>
      </c>
      <c r="D10" s="60">
        <v>58.82</v>
      </c>
      <c r="E10" s="60">
        <v>2.62</v>
      </c>
      <c r="F10" s="60">
        <v>6.58</v>
      </c>
      <c r="G10" s="62" t="s">
        <v>14</v>
      </c>
      <c r="H10" s="62" t="s">
        <v>14</v>
      </c>
      <c r="I10" s="60">
        <v>0.8</v>
      </c>
      <c r="J10" s="60">
        <v>0.1</v>
      </c>
      <c r="K10" s="60">
        <v>291.39</v>
      </c>
      <c r="L10" s="60">
        <v>24.62</v>
      </c>
      <c r="M10" s="60">
        <v>70.97</v>
      </c>
      <c r="N10" s="60">
        <v>8</v>
      </c>
      <c r="O10" s="60">
        <v>0</v>
      </c>
      <c r="P10" s="60">
        <v>1.19</v>
      </c>
      <c r="Q10" s="60">
        <v>30.41</v>
      </c>
      <c r="R10" s="44"/>
      <c r="S10" s="44"/>
      <c r="T10" s="44"/>
      <c r="U10" s="44"/>
    </row>
    <row r="11" spans="1:21" s="12" customFormat="1" x14ac:dyDescent="0.25">
      <c r="A11" s="59" t="s">
        <v>208</v>
      </c>
      <c r="B11" s="60">
        <v>34.89</v>
      </c>
      <c r="C11" s="60">
        <v>27.28</v>
      </c>
      <c r="D11" s="60">
        <v>43.68</v>
      </c>
      <c r="E11" s="60">
        <v>2.67</v>
      </c>
      <c r="F11" s="60">
        <v>12.89</v>
      </c>
      <c r="G11" s="62" t="s">
        <v>14</v>
      </c>
      <c r="H11" s="62" t="s">
        <v>14</v>
      </c>
      <c r="I11" s="60">
        <v>0.73</v>
      </c>
      <c r="J11" s="60">
        <v>0.09</v>
      </c>
      <c r="K11" s="60">
        <v>339.36</v>
      </c>
      <c r="L11" s="60">
        <v>24.81</v>
      </c>
      <c r="M11" s="60">
        <v>69.150000000000006</v>
      </c>
      <c r="N11" s="60">
        <v>7.7</v>
      </c>
      <c r="O11" s="60">
        <v>0</v>
      </c>
      <c r="P11" s="60">
        <v>0.89</v>
      </c>
      <c r="Q11" s="60">
        <v>29.76</v>
      </c>
      <c r="R11" s="44"/>
      <c r="S11" s="44"/>
      <c r="T11" s="44"/>
      <c r="U11" s="44"/>
    </row>
    <row r="12" spans="1:21" s="12" customFormat="1" x14ac:dyDescent="0.25">
      <c r="A12" s="59" t="s">
        <v>209</v>
      </c>
      <c r="B12" s="60">
        <v>37.03</v>
      </c>
      <c r="C12" s="60">
        <v>25.7</v>
      </c>
      <c r="D12" s="60">
        <v>43.43</v>
      </c>
      <c r="E12" s="60">
        <v>2.86</v>
      </c>
      <c r="F12" s="60">
        <v>7.74</v>
      </c>
      <c r="G12" s="62" t="s">
        <v>14</v>
      </c>
      <c r="H12" s="62" t="s">
        <v>14</v>
      </c>
      <c r="I12" s="60">
        <v>0.76</v>
      </c>
      <c r="J12" s="60">
        <v>0.17</v>
      </c>
      <c r="K12" s="60">
        <v>261.7</v>
      </c>
      <c r="L12" s="60">
        <v>24.48</v>
      </c>
      <c r="M12" s="60">
        <v>68.69</v>
      </c>
      <c r="N12" s="60">
        <v>7.5</v>
      </c>
      <c r="O12" s="60">
        <v>0</v>
      </c>
      <c r="P12" s="60">
        <v>0.98</v>
      </c>
      <c r="Q12" s="60">
        <v>29.78</v>
      </c>
      <c r="R12" s="44"/>
      <c r="S12" s="44"/>
      <c r="T12" s="44"/>
      <c r="U12" s="44"/>
    </row>
    <row r="13" spans="1:21" s="12" customFormat="1" x14ac:dyDescent="0.25">
      <c r="A13" s="59" t="s">
        <v>210</v>
      </c>
      <c r="B13" s="60">
        <v>33.97</v>
      </c>
      <c r="C13" s="60">
        <v>28.27</v>
      </c>
      <c r="D13" s="60">
        <v>43.49</v>
      </c>
      <c r="E13" s="60">
        <v>2.2400000000000002</v>
      </c>
      <c r="F13" s="60">
        <v>4.04</v>
      </c>
      <c r="G13" s="62" t="s">
        <v>14</v>
      </c>
      <c r="H13" s="62" t="s">
        <v>14</v>
      </c>
      <c r="I13" s="60">
        <v>0.7</v>
      </c>
      <c r="J13" s="60">
        <v>0.14000000000000001</v>
      </c>
      <c r="K13" s="60">
        <v>262.99</v>
      </c>
      <c r="L13" s="60">
        <v>24.1</v>
      </c>
      <c r="M13" s="60">
        <v>71.959999999999994</v>
      </c>
      <c r="N13" s="60">
        <v>7.4</v>
      </c>
      <c r="O13" s="60">
        <v>0</v>
      </c>
      <c r="P13" s="60">
        <v>0.95</v>
      </c>
      <c r="Q13" s="60">
        <v>27.94</v>
      </c>
      <c r="R13" s="44"/>
      <c r="S13" s="44"/>
      <c r="T13" s="44"/>
      <c r="U13" s="44"/>
    </row>
    <row r="14" spans="1:21" s="12" customFormat="1" x14ac:dyDescent="0.25">
      <c r="A14" s="59" t="s">
        <v>211</v>
      </c>
      <c r="B14" s="60">
        <v>26.88</v>
      </c>
      <c r="C14" s="60">
        <v>31.4</v>
      </c>
      <c r="D14" s="60">
        <v>39.51</v>
      </c>
      <c r="E14" s="60">
        <v>2.5099999999999998</v>
      </c>
      <c r="F14" s="60">
        <v>5.26</v>
      </c>
      <c r="G14" s="62" t="s">
        <v>14</v>
      </c>
      <c r="H14" s="62" t="s">
        <v>14</v>
      </c>
      <c r="I14" s="60">
        <v>0.66</v>
      </c>
      <c r="J14" s="60">
        <v>0.36</v>
      </c>
      <c r="K14" s="60">
        <v>243.93</v>
      </c>
      <c r="L14" s="60">
        <v>23.65</v>
      </c>
      <c r="M14" s="60">
        <v>76.03</v>
      </c>
      <c r="N14" s="60">
        <v>46.7</v>
      </c>
      <c r="O14" s="60">
        <v>0</v>
      </c>
      <c r="P14" s="60">
        <v>0.96</v>
      </c>
      <c r="Q14" s="60">
        <v>27.75</v>
      </c>
      <c r="R14" s="44"/>
      <c r="S14" s="44"/>
      <c r="T14" s="44"/>
      <c r="U14" s="44"/>
    </row>
    <row r="15" spans="1:21" s="12" customFormat="1" x14ac:dyDescent="0.25">
      <c r="A15" s="59" t="s">
        <v>212</v>
      </c>
      <c r="B15" s="60">
        <v>31.12</v>
      </c>
      <c r="C15" s="60">
        <v>21.06</v>
      </c>
      <c r="D15" s="60">
        <v>35.020000000000003</v>
      </c>
      <c r="E15" s="60">
        <v>2.5499999999999998</v>
      </c>
      <c r="F15" s="60">
        <v>4.32</v>
      </c>
      <c r="G15" s="62" t="s">
        <v>14</v>
      </c>
      <c r="H15" s="62" t="s">
        <v>14</v>
      </c>
      <c r="I15" s="60">
        <v>0.69</v>
      </c>
      <c r="J15" s="60">
        <v>0.28999999999999998</v>
      </c>
      <c r="K15" s="60">
        <v>236.93</v>
      </c>
      <c r="L15" s="60">
        <v>25.82</v>
      </c>
      <c r="M15" s="60">
        <v>72.959999999999994</v>
      </c>
      <c r="N15" s="60">
        <v>204</v>
      </c>
      <c r="O15" s="60">
        <v>0</v>
      </c>
      <c r="P15" s="60">
        <v>0.89</v>
      </c>
      <c r="Q15" s="60">
        <v>27.67</v>
      </c>
      <c r="R15" s="44"/>
      <c r="S15" s="44"/>
      <c r="T15" s="44"/>
      <c r="U15" s="44"/>
    </row>
    <row r="16" spans="1:21" s="12" customFormat="1" x14ac:dyDescent="0.25">
      <c r="A16" s="59" t="s">
        <v>213</v>
      </c>
      <c r="B16" s="60">
        <v>26.39</v>
      </c>
      <c r="C16" s="60">
        <v>21.59</v>
      </c>
      <c r="D16" s="60">
        <v>32.58</v>
      </c>
      <c r="E16" s="60">
        <v>1.93</v>
      </c>
      <c r="F16" s="60">
        <v>4.3600000000000003</v>
      </c>
      <c r="G16" s="62" t="s">
        <v>14</v>
      </c>
      <c r="H16" s="62" t="s">
        <v>14</v>
      </c>
      <c r="I16" s="60">
        <v>0.67</v>
      </c>
      <c r="J16" s="60">
        <v>0.37</v>
      </c>
      <c r="K16" s="60">
        <v>284.11</v>
      </c>
      <c r="L16" s="60">
        <v>32.119999999999997</v>
      </c>
      <c r="M16" s="60">
        <v>58.05</v>
      </c>
      <c r="N16" s="60">
        <v>429.1</v>
      </c>
      <c r="O16" s="60">
        <v>0</v>
      </c>
      <c r="P16" s="60">
        <v>0.85</v>
      </c>
      <c r="Q16" s="60">
        <v>26.66</v>
      </c>
      <c r="R16" s="44"/>
      <c r="S16" s="44"/>
      <c r="T16" s="44"/>
      <c r="U16" s="44"/>
    </row>
    <row r="17" spans="1:21" s="12" customFormat="1" x14ac:dyDescent="0.25">
      <c r="A17" s="59" t="s">
        <v>214</v>
      </c>
      <c r="B17" s="60">
        <v>19.45</v>
      </c>
      <c r="C17" s="60">
        <v>29.12</v>
      </c>
      <c r="D17" s="60">
        <v>30.38</v>
      </c>
      <c r="E17" s="60">
        <v>3.61</v>
      </c>
      <c r="F17" s="60">
        <v>6.08</v>
      </c>
      <c r="G17" s="62" t="s">
        <v>14</v>
      </c>
      <c r="H17" s="62" t="s">
        <v>14</v>
      </c>
      <c r="I17" s="60">
        <v>0.63</v>
      </c>
      <c r="J17" s="60">
        <v>0.41</v>
      </c>
      <c r="K17" s="60">
        <v>302.42</v>
      </c>
      <c r="L17" s="60">
        <v>33.869999999999997</v>
      </c>
      <c r="M17" s="60">
        <v>45.09</v>
      </c>
      <c r="N17" s="60">
        <v>619.79999999999995</v>
      </c>
      <c r="O17" s="60">
        <v>0</v>
      </c>
      <c r="P17" s="60">
        <v>1.05</v>
      </c>
      <c r="Q17" s="60">
        <v>25.55</v>
      </c>
      <c r="R17" s="44"/>
      <c r="S17" s="44"/>
      <c r="T17" s="44"/>
      <c r="U17" s="44"/>
    </row>
    <row r="18" spans="1:21" s="12" customFormat="1" x14ac:dyDescent="0.25">
      <c r="A18" s="59" t="s">
        <v>215</v>
      </c>
      <c r="B18" s="60">
        <v>13.77</v>
      </c>
      <c r="C18" s="60">
        <v>31.42</v>
      </c>
      <c r="D18" s="60">
        <v>26.2</v>
      </c>
      <c r="E18" s="60">
        <v>4</v>
      </c>
      <c r="F18" s="60">
        <v>4.54</v>
      </c>
      <c r="G18" s="62" t="s">
        <v>14</v>
      </c>
      <c r="H18" s="62" t="s">
        <v>14</v>
      </c>
      <c r="I18" s="60">
        <v>0.63</v>
      </c>
      <c r="J18" s="60">
        <v>0.95</v>
      </c>
      <c r="K18" s="60">
        <v>278.58</v>
      </c>
      <c r="L18" s="60">
        <v>35.76</v>
      </c>
      <c r="M18" s="60">
        <v>40.549999999999997</v>
      </c>
      <c r="N18" s="60">
        <v>778.5</v>
      </c>
      <c r="O18" s="60">
        <v>0</v>
      </c>
      <c r="P18" s="60">
        <v>1.25</v>
      </c>
      <c r="Q18" s="60">
        <v>23.93</v>
      </c>
      <c r="R18" s="44"/>
      <c r="S18" s="44"/>
      <c r="T18" s="44"/>
      <c r="U18" s="44"/>
    </row>
    <row r="19" spans="1:21" s="12" customFormat="1" x14ac:dyDescent="0.25">
      <c r="A19" s="59" t="s">
        <v>216</v>
      </c>
      <c r="B19" s="60">
        <v>5.78</v>
      </c>
      <c r="C19" s="60">
        <v>32.340000000000003</v>
      </c>
      <c r="D19" s="60">
        <v>21.94</v>
      </c>
      <c r="E19" s="60">
        <v>3.24</v>
      </c>
      <c r="F19" s="60">
        <v>10.85</v>
      </c>
      <c r="G19" s="62" t="s">
        <v>14</v>
      </c>
      <c r="H19" s="62" t="s">
        <v>14</v>
      </c>
      <c r="I19" s="60">
        <v>0.57999999999999996</v>
      </c>
      <c r="J19" s="60">
        <v>0.51</v>
      </c>
      <c r="K19" s="60">
        <v>281.76</v>
      </c>
      <c r="L19" s="60">
        <v>37.5</v>
      </c>
      <c r="M19" s="60">
        <v>35.369999999999997</v>
      </c>
      <c r="N19" s="60">
        <v>854.1</v>
      </c>
      <c r="O19" s="60">
        <v>0</v>
      </c>
      <c r="P19" s="60">
        <v>1.26</v>
      </c>
      <c r="Q19" s="60">
        <v>22.44</v>
      </c>
      <c r="R19" s="44"/>
      <c r="S19" s="44"/>
      <c r="T19" s="44"/>
      <c r="U19" s="44"/>
    </row>
    <row r="20" spans="1:21" s="12" customFormat="1" x14ac:dyDescent="0.25">
      <c r="A20" s="59" t="s">
        <v>217</v>
      </c>
      <c r="B20" s="60">
        <v>3.36</v>
      </c>
      <c r="C20" s="60">
        <v>31.97</v>
      </c>
      <c r="D20" s="60">
        <v>20.77</v>
      </c>
      <c r="E20" s="60">
        <v>6.19</v>
      </c>
      <c r="F20" s="60">
        <v>34.04</v>
      </c>
      <c r="G20" s="62" t="s">
        <v>14</v>
      </c>
      <c r="H20" s="62" t="s">
        <v>14</v>
      </c>
      <c r="I20" s="60">
        <v>0.56999999999999995</v>
      </c>
      <c r="J20" s="60">
        <v>0.54</v>
      </c>
      <c r="K20" s="60">
        <v>310.54000000000002</v>
      </c>
      <c r="L20" s="60">
        <v>37.79</v>
      </c>
      <c r="M20" s="60">
        <v>36.630000000000003</v>
      </c>
      <c r="N20" s="60">
        <v>884.4</v>
      </c>
      <c r="O20" s="60">
        <v>0</v>
      </c>
      <c r="P20" s="60">
        <v>1.21</v>
      </c>
      <c r="Q20" s="60">
        <v>20.079999999999998</v>
      </c>
      <c r="R20" s="44"/>
      <c r="S20" s="44"/>
      <c r="T20" s="44"/>
      <c r="U20" s="44"/>
    </row>
    <row r="21" spans="1:21" s="12" customFormat="1" x14ac:dyDescent="0.25">
      <c r="A21" s="59" t="s">
        <v>218</v>
      </c>
      <c r="B21" s="60">
        <v>1.66</v>
      </c>
      <c r="C21" s="60">
        <v>26.39</v>
      </c>
      <c r="D21" s="60">
        <v>16.54</v>
      </c>
      <c r="E21" s="60">
        <v>5.87</v>
      </c>
      <c r="F21" s="60">
        <v>11.51</v>
      </c>
      <c r="G21" s="62" t="s">
        <v>14</v>
      </c>
      <c r="H21" s="62" t="s">
        <v>14</v>
      </c>
      <c r="I21" s="60">
        <v>0.65</v>
      </c>
      <c r="J21" s="60">
        <v>0.3</v>
      </c>
      <c r="K21" s="60">
        <v>289.29000000000002</v>
      </c>
      <c r="L21" s="60">
        <v>35.78</v>
      </c>
      <c r="M21" s="60">
        <v>37.94</v>
      </c>
      <c r="N21" s="60">
        <v>832.6</v>
      </c>
      <c r="O21" s="60">
        <v>0</v>
      </c>
      <c r="P21" s="60">
        <v>1.1599999999999999</v>
      </c>
      <c r="Q21" s="60">
        <v>21.04</v>
      </c>
      <c r="R21" s="44"/>
      <c r="S21" s="44"/>
      <c r="T21" s="44"/>
      <c r="U21" s="44"/>
    </row>
    <row r="22" spans="1:21" s="12" customFormat="1" x14ac:dyDescent="0.25">
      <c r="A22" s="59" t="s">
        <v>219</v>
      </c>
      <c r="B22" s="60">
        <v>1.3</v>
      </c>
      <c r="C22" s="60">
        <v>23.87</v>
      </c>
      <c r="D22" s="60">
        <v>14.86</v>
      </c>
      <c r="E22" s="60">
        <v>3.67</v>
      </c>
      <c r="F22" s="60">
        <v>25.32</v>
      </c>
      <c r="G22" s="62" t="s">
        <v>14</v>
      </c>
      <c r="H22" s="62" t="s">
        <v>14</v>
      </c>
      <c r="I22" s="60">
        <v>0.66</v>
      </c>
      <c r="J22" s="60">
        <v>0.24</v>
      </c>
      <c r="K22" s="60">
        <v>295.87</v>
      </c>
      <c r="L22" s="60">
        <v>36.47</v>
      </c>
      <c r="M22" s="60">
        <v>31.97</v>
      </c>
      <c r="N22" s="60">
        <v>766.8</v>
      </c>
      <c r="O22" s="60">
        <v>0</v>
      </c>
      <c r="P22" s="60">
        <v>1</v>
      </c>
      <c r="Q22" s="60">
        <v>18.79</v>
      </c>
      <c r="R22" s="44"/>
      <c r="S22" s="44"/>
      <c r="T22" s="44"/>
      <c r="U22" s="44"/>
    </row>
    <row r="23" spans="1:21" s="12" customFormat="1" x14ac:dyDescent="0.25">
      <c r="A23" s="59" t="s">
        <v>220</v>
      </c>
      <c r="B23" s="60">
        <v>3.53</v>
      </c>
      <c r="C23" s="60">
        <v>27.76</v>
      </c>
      <c r="D23" s="60">
        <v>18.8</v>
      </c>
      <c r="E23" s="60">
        <v>4.8</v>
      </c>
      <c r="F23" s="60">
        <v>36.03</v>
      </c>
      <c r="G23" s="62" t="s">
        <v>14</v>
      </c>
      <c r="H23" s="62" t="s">
        <v>14</v>
      </c>
      <c r="I23" s="60">
        <v>0.59</v>
      </c>
      <c r="J23" s="60">
        <v>1.6</v>
      </c>
      <c r="K23" s="60">
        <v>336.99</v>
      </c>
      <c r="L23" s="60">
        <v>35.1</v>
      </c>
      <c r="M23" s="60">
        <v>37.19</v>
      </c>
      <c r="N23" s="60">
        <v>459.6</v>
      </c>
      <c r="O23" s="60">
        <v>0</v>
      </c>
      <c r="P23" s="60">
        <v>0.83</v>
      </c>
      <c r="Q23" s="60">
        <v>18.190000000000001</v>
      </c>
      <c r="R23" s="44"/>
      <c r="S23" s="44"/>
      <c r="T23" s="44"/>
      <c r="U23" s="44"/>
    </row>
    <row r="24" spans="1:21" s="12" customFormat="1" x14ac:dyDescent="0.25">
      <c r="A24" s="59" t="s">
        <v>221</v>
      </c>
      <c r="B24" s="60">
        <v>1.49</v>
      </c>
      <c r="C24" s="60">
        <v>22.33</v>
      </c>
      <c r="D24" s="60">
        <v>14.06</v>
      </c>
      <c r="E24" s="60">
        <v>3.22</v>
      </c>
      <c r="F24" s="60">
        <v>9.85</v>
      </c>
      <c r="G24" s="62" t="s">
        <v>14</v>
      </c>
      <c r="H24" s="62" t="s">
        <v>14</v>
      </c>
      <c r="I24" s="60">
        <v>0.6</v>
      </c>
      <c r="J24" s="60">
        <v>2.29</v>
      </c>
      <c r="K24" s="60">
        <v>273.56</v>
      </c>
      <c r="L24" s="60">
        <v>30.06</v>
      </c>
      <c r="M24" s="60">
        <v>65.38</v>
      </c>
      <c r="N24" s="60">
        <v>100.3</v>
      </c>
      <c r="O24" s="60">
        <v>1.8</v>
      </c>
      <c r="P24" s="60">
        <v>0.73</v>
      </c>
      <c r="Q24" s="60">
        <v>18.28</v>
      </c>
      <c r="R24" s="44"/>
      <c r="S24" s="44"/>
      <c r="T24" s="44"/>
      <c r="U24" s="44"/>
    </row>
    <row r="25" spans="1:21" s="12" customFormat="1" x14ac:dyDescent="0.25">
      <c r="A25" s="59" t="s">
        <v>222</v>
      </c>
      <c r="B25" s="60">
        <v>6.48</v>
      </c>
      <c r="C25" s="60">
        <v>45.67</v>
      </c>
      <c r="D25" s="60">
        <v>30.02</v>
      </c>
      <c r="E25" s="60">
        <v>2.85</v>
      </c>
      <c r="F25" s="60">
        <v>27.64</v>
      </c>
      <c r="G25" s="62" t="s">
        <v>14</v>
      </c>
      <c r="H25" s="62" t="s">
        <v>14</v>
      </c>
      <c r="I25" s="60">
        <v>0.56999999999999995</v>
      </c>
      <c r="J25" s="60">
        <v>0.98</v>
      </c>
      <c r="K25" s="60">
        <v>274.35000000000002</v>
      </c>
      <c r="L25" s="60">
        <v>29.16</v>
      </c>
      <c r="M25" s="60">
        <v>56.65</v>
      </c>
      <c r="N25" s="60">
        <v>188.4</v>
      </c>
      <c r="O25" s="60">
        <v>0</v>
      </c>
      <c r="P25" s="60">
        <v>0.84</v>
      </c>
      <c r="Q25" s="60">
        <v>21.27</v>
      </c>
      <c r="R25" s="44"/>
      <c r="S25" s="44"/>
      <c r="T25" s="44"/>
      <c r="U25" s="44"/>
    </row>
    <row r="26" spans="1:21" s="12" customFormat="1" x14ac:dyDescent="0.25">
      <c r="A26" s="59" t="s">
        <v>223</v>
      </c>
      <c r="B26" s="60">
        <v>39.71</v>
      </c>
      <c r="C26" s="60">
        <v>86.87</v>
      </c>
      <c r="D26" s="60">
        <v>80.430000000000007</v>
      </c>
      <c r="E26" s="60">
        <v>3.08</v>
      </c>
      <c r="F26" s="60">
        <v>22.49</v>
      </c>
      <c r="G26" s="62" t="s">
        <v>14</v>
      </c>
      <c r="H26" s="62" t="s">
        <v>14</v>
      </c>
      <c r="I26" s="60">
        <v>0.68</v>
      </c>
      <c r="J26" s="60">
        <v>0.15</v>
      </c>
      <c r="K26" s="60">
        <v>261.12</v>
      </c>
      <c r="L26" s="60">
        <v>29.65</v>
      </c>
      <c r="M26" s="60">
        <v>58.03</v>
      </c>
      <c r="N26" s="60">
        <v>54</v>
      </c>
      <c r="O26" s="60">
        <v>0</v>
      </c>
      <c r="P26" s="60">
        <v>0.95</v>
      </c>
      <c r="Q26" s="60">
        <v>20.02</v>
      </c>
      <c r="R26" s="44"/>
      <c r="S26" s="44"/>
      <c r="T26" s="44"/>
      <c r="U26" s="44"/>
    </row>
    <row r="27" spans="1:21" s="12" customFormat="1" x14ac:dyDescent="0.25">
      <c r="A27" s="59" t="s">
        <v>224</v>
      </c>
      <c r="B27" s="60">
        <v>11.37</v>
      </c>
      <c r="C27" s="60">
        <v>53.96</v>
      </c>
      <c r="D27" s="60">
        <v>39.54</v>
      </c>
      <c r="E27" s="60">
        <v>2.5299999999999998</v>
      </c>
      <c r="F27" s="60">
        <v>13.92</v>
      </c>
      <c r="G27" s="62" t="s">
        <v>14</v>
      </c>
      <c r="H27" s="62" t="s">
        <v>14</v>
      </c>
      <c r="I27" s="60">
        <v>0.65</v>
      </c>
      <c r="J27" s="60">
        <v>0.14000000000000001</v>
      </c>
      <c r="K27" s="60">
        <v>276.57</v>
      </c>
      <c r="L27" s="60">
        <v>27.94</v>
      </c>
      <c r="M27" s="60">
        <v>63.34</v>
      </c>
      <c r="N27" s="60">
        <v>15.7</v>
      </c>
      <c r="O27" s="60">
        <v>0</v>
      </c>
      <c r="P27" s="60">
        <v>0.8</v>
      </c>
      <c r="Q27" s="60">
        <v>23.99</v>
      </c>
      <c r="R27" s="44"/>
      <c r="S27" s="44"/>
      <c r="T27" s="44"/>
      <c r="U27" s="44"/>
    </row>
    <row r="28" spans="1:21" s="12" customFormat="1" x14ac:dyDescent="0.25">
      <c r="A28" s="59" t="s">
        <v>225</v>
      </c>
      <c r="B28" s="60">
        <v>23.87</v>
      </c>
      <c r="C28" s="60">
        <v>58.28</v>
      </c>
      <c r="D28" s="60">
        <v>51.95</v>
      </c>
      <c r="E28" s="60">
        <v>2.84</v>
      </c>
      <c r="F28" s="60">
        <v>10.99</v>
      </c>
      <c r="G28" s="62" t="s">
        <v>14</v>
      </c>
      <c r="H28" s="62" t="s">
        <v>14</v>
      </c>
      <c r="I28" s="60">
        <v>0.69</v>
      </c>
      <c r="J28" s="60">
        <v>0.75</v>
      </c>
      <c r="K28" s="60">
        <v>270.45999999999998</v>
      </c>
      <c r="L28" s="60">
        <v>27.9</v>
      </c>
      <c r="M28" s="60">
        <v>58.37</v>
      </c>
      <c r="N28" s="60">
        <v>7.5</v>
      </c>
      <c r="O28" s="60">
        <v>0</v>
      </c>
      <c r="P28" s="60">
        <v>1.44</v>
      </c>
      <c r="Q28" s="60">
        <v>22.35</v>
      </c>
      <c r="R28" s="44"/>
      <c r="S28" s="44"/>
      <c r="T28" s="44"/>
      <c r="U28" s="44"/>
    </row>
    <row r="29" spans="1:21" s="12" customFormat="1" x14ac:dyDescent="0.25">
      <c r="A29" s="59" t="s">
        <v>226</v>
      </c>
      <c r="B29" s="60">
        <v>48.64</v>
      </c>
      <c r="C29" s="60">
        <v>69.48</v>
      </c>
      <c r="D29" s="60">
        <v>77.989999999999995</v>
      </c>
      <c r="E29" s="60">
        <v>3.08</v>
      </c>
      <c r="F29" s="60">
        <v>19.59</v>
      </c>
      <c r="G29" s="62" t="s">
        <v>14</v>
      </c>
      <c r="H29" s="62" t="s">
        <v>14</v>
      </c>
      <c r="I29" s="60">
        <v>0.88</v>
      </c>
      <c r="J29" s="60">
        <v>0.26</v>
      </c>
      <c r="K29" s="60">
        <v>289.14999999999998</v>
      </c>
      <c r="L29" s="60">
        <v>28.14</v>
      </c>
      <c r="M29" s="60">
        <v>56.32</v>
      </c>
      <c r="N29" s="60">
        <v>8.1999999999999993</v>
      </c>
      <c r="O29" s="60">
        <v>0</v>
      </c>
      <c r="P29" s="60">
        <v>2.39</v>
      </c>
      <c r="Q29" s="60">
        <v>22.89</v>
      </c>
      <c r="R29" s="44"/>
      <c r="S29" s="44"/>
      <c r="T29" s="44"/>
      <c r="U29" s="44"/>
    </row>
    <row r="30" spans="1:21" s="12" customFormat="1" x14ac:dyDescent="0.25">
      <c r="A30" s="59" t="s">
        <v>227</v>
      </c>
      <c r="B30" s="60">
        <v>46.86</v>
      </c>
      <c r="C30" s="60">
        <v>54.69</v>
      </c>
      <c r="D30" s="60">
        <v>68.41</v>
      </c>
      <c r="E30" s="60">
        <v>2.4700000000000002</v>
      </c>
      <c r="F30" s="60">
        <v>6.74</v>
      </c>
      <c r="G30" s="62" t="s">
        <v>14</v>
      </c>
      <c r="H30" s="62" t="s">
        <v>14</v>
      </c>
      <c r="I30" s="60">
        <v>0.87</v>
      </c>
      <c r="J30" s="60">
        <v>0.16</v>
      </c>
      <c r="K30" s="60">
        <v>316.72000000000003</v>
      </c>
      <c r="L30" s="60">
        <v>27.2</v>
      </c>
      <c r="M30" s="60">
        <v>62.84</v>
      </c>
      <c r="N30" s="60">
        <v>7.8</v>
      </c>
      <c r="O30" s="60">
        <v>0</v>
      </c>
      <c r="P30" s="60">
        <v>2.11</v>
      </c>
      <c r="Q30" s="60">
        <v>24.26</v>
      </c>
      <c r="R30" s="44"/>
      <c r="S30" s="44"/>
      <c r="T30" s="44"/>
      <c r="U30" s="44"/>
    </row>
    <row r="31" spans="1:21" s="12" customFormat="1" x14ac:dyDescent="0.25">
      <c r="A31" s="59" t="s">
        <v>228</v>
      </c>
      <c r="B31" s="60">
        <v>59.54</v>
      </c>
      <c r="C31" s="60">
        <v>71.260000000000005</v>
      </c>
      <c r="D31" s="60">
        <v>87.72</v>
      </c>
      <c r="E31" s="60">
        <v>9.5500000000000007</v>
      </c>
      <c r="F31" s="60">
        <v>4.5</v>
      </c>
      <c r="G31" s="62" t="s">
        <v>14</v>
      </c>
      <c r="H31" s="62" t="s">
        <v>14</v>
      </c>
      <c r="I31" s="60">
        <v>0.97</v>
      </c>
      <c r="J31" s="60">
        <v>0.61</v>
      </c>
      <c r="K31" s="60">
        <v>276.14</v>
      </c>
      <c r="L31" s="60">
        <v>27.8</v>
      </c>
      <c r="M31" s="60">
        <v>58.25</v>
      </c>
      <c r="N31" s="60">
        <v>7.9</v>
      </c>
      <c r="O31" s="60">
        <v>0</v>
      </c>
      <c r="P31" s="60">
        <v>2.2599999999999998</v>
      </c>
      <c r="Q31" s="60">
        <v>25.08</v>
      </c>
      <c r="R31" s="44"/>
      <c r="S31" s="44"/>
      <c r="T31" s="44"/>
      <c r="U31" s="44"/>
    </row>
    <row r="32" spans="1:21" s="12" customFormat="1" x14ac:dyDescent="0.25">
      <c r="A32" s="59" t="s">
        <v>229</v>
      </c>
      <c r="B32" s="60">
        <v>49.37</v>
      </c>
      <c r="C32" s="60">
        <v>65.39</v>
      </c>
      <c r="D32" s="60">
        <v>75.760000000000005</v>
      </c>
      <c r="E32" s="60">
        <v>8.81</v>
      </c>
      <c r="F32" s="60">
        <v>3.84</v>
      </c>
      <c r="G32" s="62" t="s">
        <v>14</v>
      </c>
      <c r="H32" s="62" t="s">
        <v>14</v>
      </c>
      <c r="I32" s="60">
        <v>1.05</v>
      </c>
      <c r="J32" s="60">
        <v>0.36</v>
      </c>
      <c r="K32" s="60">
        <v>225.17</v>
      </c>
      <c r="L32" s="60">
        <v>26.61</v>
      </c>
      <c r="M32" s="60">
        <v>66.260000000000005</v>
      </c>
      <c r="N32" s="60">
        <v>7.9</v>
      </c>
      <c r="O32" s="60">
        <v>0</v>
      </c>
      <c r="P32" s="60">
        <v>2.19</v>
      </c>
      <c r="Q32" s="60">
        <v>27.81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1.3</v>
      </c>
      <c r="C34" s="29">
        <f t="shared" si="0"/>
        <v>21.06</v>
      </c>
      <c r="D34" s="29">
        <f t="shared" si="0"/>
        <v>14.06</v>
      </c>
      <c r="E34" s="29">
        <f t="shared" si="0"/>
        <v>1.93</v>
      </c>
      <c r="F34" s="29">
        <f t="shared" si="0"/>
        <v>3.84</v>
      </c>
      <c r="G34" s="29">
        <f t="shared" si="0"/>
        <v>0</v>
      </c>
      <c r="H34" s="29">
        <f t="shared" si="0"/>
        <v>0</v>
      </c>
      <c r="I34" s="29">
        <f t="shared" si="0"/>
        <v>0.56999999999999995</v>
      </c>
      <c r="J34" s="29">
        <f t="shared" si="0"/>
        <v>0.09</v>
      </c>
      <c r="K34" s="29">
        <f t="shared" si="0"/>
        <v>225.17</v>
      </c>
      <c r="L34" s="29">
        <f t="shared" si="0"/>
        <v>23.65</v>
      </c>
      <c r="M34" s="29">
        <f t="shared" si="0"/>
        <v>31.97</v>
      </c>
      <c r="N34" s="29">
        <f t="shared" si="0"/>
        <v>7.4</v>
      </c>
      <c r="O34" s="29">
        <f t="shared" si="0"/>
        <v>0</v>
      </c>
      <c r="P34" s="29">
        <f t="shared" si="0"/>
        <v>0.73</v>
      </c>
      <c r="Q34" s="29">
        <f t="shared" si="0"/>
        <v>18.190000000000001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82.41</v>
      </c>
      <c r="C35" s="30">
        <f t="shared" si="1"/>
        <v>86.87</v>
      </c>
      <c r="D35" s="30">
        <f t="shared" si="1"/>
        <v>96.86</v>
      </c>
      <c r="E35" s="30">
        <f t="shared" si="1"/>
        <v>9.5500000000000007</v>
      </c>
      <c r="F35" s="30">
        <f t="shared" si="1"/>
        <v>36.03</v>
      </c>
      <c r="G35" s="30">
        <f t="shared" si="1"/>
        <v>0</v>
      </c>
      <c r="H35" s="30">
        <f t="shared" si="1"/>
        <v>0</v>
      </c>
      <c r="I35" s="30">
        <f t="shared" si="1"/>
        <v>1.05</v>
      </c>
      <c r="J35" s="30">
        <f t="shared" si="1"/>
        <v>2.29</v>
      </c>
      <c r="K35" s="30">
        <f t="shared" si="1"/>
        <v>339.36</v>
      </c>
      <c r="L35" s="30">
        <f t="shared" si="1"/>
        <v>37.79</v>
      </c>
      <c r="M35" s="30">
        <f t="shared" si="1"/>
        <v>76.03</v>
      </c>
      <c r="N35" s="30">
        <f t="shared" si="1"/>
        <v>884.4</v>
      </c>
      <c r="O35" s="30">
        <f t="shared" si="1"/>
        <v>1.8</v>
      </c>
      <c r="P35" s="30">
        <f t="shared" si="1"/>
        <v>2.39</v>
      </c>
      <c r="Q35" s="30">
        <f t="shared" si="1"/>
        <v>31.48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27.534999999999997</v>
      </c>
      <c r="C36" s="29">
        <f t="shared" si="2"/>
        <v>40.6175</v>
      </c>
      <c r="D36" s="29">
        <f t="shared" si="2"/>
        <v>44.531666666666666</v>
      </c>
      <c r="E36" s="29">
        <f t="shared" si="2"/>
        <v>3.7587499999999996</v>
      </c>
      <c r="F36" s="29">
        <f t="shared" si="2"/>
        <v>12.508749999999997</v>
      </c>
      <c r="G36" s="29" t="e">
        <f t="shared" si="2"/>
        <v>#DIV/0!</v>
      </c>
      <c r="H36" s="29" t="e">
        <f t="shared" si="2"/>
        <v>#DIV/0!</v>
      </c>
      <c r="I36" s="29">
        <f t="shared" si="2"/>
        <v>0.71916666666666673</v>
      </c>
      <c r="J36" s="29">
        <f t="shared" si="2"/>
        <v>0.50125000000000008</v>
      </c>
      <c r="K36" s="29">
        <f t="shared" si="2"/>
        <v>280.96583333333336</v>
      </c>
      <c r="L36" s="29">
        <f t="shared" si="2"/>
        <v>29.661666666666672</v>
      </c>
      <c r="M36" s="29">
        <f t="shared" si="2"/>
        <v>56.978749999999984</v>
      </c>
      <c r="N36" s="29">
        <f t="shared" si="2"/>
        <v>262.98333333333329</v>
      </c>
      <c r="O36" s="29">
        <f t="shared" si="2"/>
        <v>7.4999999999999997E-2</v>
      </c>
      <c r="P36" s="29">
        <f t="shared" si="2"/>
        <v>1.2462500000000001</v>
      </c>
      <c r="Q36" s="29">
        <f t="shared" si="2"/>
        <v>24.47583333333333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21.789267801014979</v>
      </c>
      <c r="C37" s="29">
        <f t="shared" ref="C37:Q37" si="3">STDEV(C9:C32)</f>
        <v>18.883361493768728</v>
      </c>
      <c r="D37" s="29">
        <f t="shared" si="3"/>
        <v>24.829130448740631</v>
      </c>
      <c r="E37" s="29">
        <f t="shared" si="3"/>
        <v>1.9717886660284525</v>
      </c>
      <c r="F37" s="29">
        <f t="shared" si="3"/>
        <v>9.7742542526605209</v>
      </c>
      <c r="G37" s="29" t="e">
        <f t="shared" si="3"/>
        <v>#DIV/0!</v>
      </c>
      <c r="H37" s="29" t="e">
        <f t="shared" si="3"/>
        <v>#DIV/0!</v>
      </c>
      <c r="I37" s="29">
        <f t="shared" si="3"/>
        <v>0.13682475833252347</v>
      </c>
      <c r="J37" s="29">
        <f t="shared" si="3"/>
        <v>0.51872177765030814</v>
      </c>
      <c r="K37" s="29">
        <f t="shared" si="3"/>
        <v>27.736345315294798</v>
      </c>
      <c r="L37" s="29">
        <f t="shared" si="3"/>
        <v>4.6810920935616673</v>
      </c>
      <c r="M37" s="29">
        <f t="shared" si="3"/>
        <v>13.815977931209009</v>
      </c>
      <c r="N37" s="29">
        <f t="shared" si="3"/>
        <v>336.97500831943609</v>
      </c>
      <c r="O37" s="29">
        <f t="shared" si="3"/>
        <v>0.36742346141747673</v>
      </c>
      <c r="P37" s="29">
        <f t="shared" si="3"/>
        <v>0.50641804779296218</v>
      </c>
      <c r="Q37" s="29">
        <f t="shared" si="3"/>
        <v>4.0319742889391899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COUNT(G9:G32)+24</f>
        <v>24</v>
      </c>
      <c r="H38" s="33">
        <f>COUNT(H9:H32)+24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L64" sqref="L64"/>
    </sheetView>
  </sheetViews>
  <sheetFormatPr defaultColWidth="8.85546875" defaultRowHeight="15" x14ac:dyDescent="0.25"/>
  <cols>
    <col min="1" max="1" width="18.28515625" style="27" customWidth="1"/>
    <col min="2" max="2" width="13.425781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08-05-2023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7" t="s">
        <v>230</v>
      </c>
      <c r="B9" s="12">
        <v>31.26</v>
      </c>
      <c r="C9" s="12">
        <v>26.66</v>
      </c>
      <c r="D9" s="12">
        <v>40.43</v>
      </c>
      <c r="E9" s="12">
        <v>5.28</v>
      </c>
      <c r="F9" s="12">
        <v>6.39</v>
      </c>
      <c r="G9" s="6" t="s">
        <v>14</v>
      </c>
      <c r="H9" s="6" t="s">
        <v>14</v>
      </c>
      <c r="I9" s="12">
        <v>0.94</v>
      </c>
      <c r="J9" s="12">
        <v>0.8</v>
      </c>
      <c r="K9" s="12">
        <v>296.5</v>
      </c>
      <c r="L9" s="12">
        <v>25.97</v>
      </c>
      <c r="M9" s="12">
        <v>64.59</v>
      </c>
      <c r="N9" s="12">
        <v>8</v>
      </c>
      <c r="O9" s="12">
        <v>0</v>
      </c>
      <c r="P9" s="12">
        <v>1.74</v>
      </c>
      <c r="Q9" s="12">
        <v>27.88</v>
      </c>
      <c r="R9" s="44"/>
      <c r="S9" s="44"/>
      <c r="T9" s="44"/>
      <c r="U9" s="44"/>
    </row>
    <row r="10" spans="1:21" s="12" customFormat="1" x14ac:dyDescent="0.25">
      <c r="A10" s="57" t="s">
        <v>231</v>
      </c>
      <c r="B10" s="12">
        <v>22.99</v>
      </c>
      <c r="C10" s="12">
        <v>25.62</v>
      </c>
      <c r="D10" s="12">
        <v>31.46</v>
      </c>
      <c r="E10" s="12">
        <v>3.77</v>
      </c>
      <c r="F10" s="12">
        <v>11.34</v>
      </c>
      <c r="G10" s="6" t="s">
        <v>14</v>
      </c>
      <c r="H10" s="6" t="s">
        <v>14</v>
      </c>
      <c r="I10" s="12">
        <v>0.79</v>
      </c>
      <c r="J10" s="12">
        <v>0.24</v>
      </c>
      <c r="K10" s="12">
        <v>297.13</v>
      </c>
      <c r="L10" s="12">
        <v>25.35</v>
      </c>
      <c r="M10" s="12">
        <v>65.11</v>
      </c>
      <c r="N10" s="12">
        <v>7.8</v>
      </c>
      <c r="O10" s="12">
        <v>0</v>
      </c>
      <c r="P10" s="12">
        <v>1.38</v>
      </c>
      <c r="Q10" s="12">
        <v>26.52</v>
      </c>
      <c r="R10" s="44"/>
      <c r="S10" s="44"/>
      <c r="T10" s="44"/>
      <c r="U10" s="44"/>
    </row>
    <row r="11" spans="1:21" s="12" customFormat="1" x14ac:dyDescent="0.25">
      <c r="A11" s="57" t="s">
        <v>232</v>
      </c>
      <c r="B11" s="12">
        <v>15.13</v>
      </c>
      <c r="C11" s="12">
        <v>30.13</v>
      </c>
      <c r="D11" s="12">
        <v>25.52</v>
      </c>
      <c r="E11" s="12">
        <v>3.15</v>
      </c>
      <c r="F11" s="12">
        <v>12.33</v>
      </c>
      <c r="G11" s="6" t="s">
        <v>14</v>
      </c>
      <c r="H11" s="6" t="s">
        <v>14</v>
      </c>
      <c r="I11" s="12">
        <v>0.66</v>
      </c>
      <c r="J11" s="12">
        <v>0.18</v>
      </c>
      <c r="K11" s="12">
        <v>295.7</v>
      </c>
      <c r="L11" s="12">
        <v>25.39</v>
      </c>
      <c r="M11" s="12">
        <v>65.099999999999994</v>
      </c>
      <c r="N11" s="12">
        <v>7.9</v>
      </c>
      <c r="O11" s="12">
        <v>0</v>
      </c>
      <c r="P11" s="12">
        <v>1.1200000000000001</v>
      </c>
      <c r="Q11" s="12">
        <v>27.34</v>
      </c>
      <c r="R11" s="44"/>
      <c r="S11" s="44"/>
      <c r="T11" s="44"/>
      <c r="U11" s="44"/>
    </row>
    <row r="12" spans="1:21" s="12" customFormat="1" x14ac:dyDescent="0.25">
      <c r="A12" s="57" t="s">
        <v>233</v>
      </c>
      <c r="B12" s="12">
        <v>17.34</v>
      </c>
      <c r="C12" s="12">
        <v>25.58</v>
      </c>
      <c r="D12" s="12">
        <v>28.67</v>
      </c>
      <c r="E12" s="12">
        <v>2.86</v>
      </c>
      <c r="F12" s="12">
        <v>8.39</v>
      </c>
      <c r="G12" s="6" t="s">
        <v>14</v>
      </c>
      <c r="H12" s="6" t="s">
        <v>14</v>
      </c>
      <c r="I12" s="12">
        <v>0.72</v>
      </c>
      <c r="J12" s="12">
        <v>0.13</v>
      </c>
      <c r="K12" s="12">
        <v>289.23</v>
      </c>
      <c r="L12" s="12">
        <v>24.58</v>
      </c>
      <c r="M12" s="12">
        <v>73.11</v>
      </c>
      <c r="N12" s="12">
        <v>7.8</v>
      </c>
      <c r="O12" s="12">
        <v>0</v>
      </c>
      <c r="P12" s="12">
        <v>1.1399999999999999</v>
      </c>
      <c r="Q12" s="12">
        <v>26.84</v>
      </c>
      <c r="R12" s="44"/>
      <c r="S12" s="44"/>
      <c r="T12" s="44"/>
      <c r="U12" s="44"/>
    </row>
    <row r="13" spans="1:21" s="12" customFormat="1" x14ac:dyDescent="0.25">
      <c r="A13" s="57" t="s">
        <v>234</v>
      </c>
      <c r="B13" s="12">
        <v>19.420000000000002</v>
      </c>
      <c r="C13" s="12">
        <v>36.82</v>
      </c>
      <c r="D13" s="12">
        <v>36.54</v>
      </c>
      <c r="E13" s="12">
        <v>2.65</v>
      </c>
      <c r="F13" s="12">
        <v>6.37</v>
      </c>
      <c r="G13" s="6" t="s">
        <v>14</v>
      </c>
      <c r="H13" s="6" t="s">
        <v>14</v>
      </c>
      <c r="I13" s="12">
        <v>0.68</v>
      </c>
      <c r="J13" s="12">
        <v>0.19</v>
      </c>
      <c r="K13" s="12">
        <v>335.18</v>
      </c>
      <c r="L13" s="12">
        <v>24.27</v>
      </c>
      <c r="M13" s="12">
        <v>69.72</v>
      </c>
      <c r="N13" s="12">
        <v>7.6</v>
      </c>
      <c r="O13" s="12">
        <v>0</v>
      </c>
      <c r="P13" s="12">
        <v>1.07</v>
      </c>
      <c r="Q13" s="12">
        <v>25.14</v>
      </c>
      <c r="R13" s="44"/>
      <c r="S13" s="44"/>
      <c r="T13" s="44"/>
      <c r="U13" s="44"/>
    </row>
    <row r="14" spans="1:21" s="12" customFormat="1" x14ac:dyDescent="0.25">
      <c r="A14" s="57" t="s">
        <v>235</v>
      </c>
      <c r="B14" s="12">
        <v>57.17</v>
      </c>
      <c r="C14" s="12">
        <v>40.28</v>
      </c>
      <c r="D14" s="12">
        <v>63.34</v>
      </c>
      <c r="E14" s="12">
        <v>2.69</v>
      </c>
      <c r="F14" s="12">
        <v>4.57</v>
      </c>
      <c r="G14" s="6" t="s">
        <v>14</v>
      </c>
      <c r="H14" s="6" t="s">
        <v>14</v>
      </c>
      <c r="I14" s="12">
        <v>0.7</v>
      </c>
      <c r="J14" s="12">
        <v>0.08</v>
      </c>
      <c r="K14" s="12">
        <v>290.07</v>
      </c>
      <c r="L14" s="12">
        <v>23.67</v>
      </c>
      <c r="M14" s="12">
        <v>77.319999999999993</v>
      </c>
      <c r="N14" s="12">
        <v>36.299999999999997</v>
      </c>
      <c r="O14" s="12">
        <v>0</v>
      </c>
      <c r="P14" s="12">
        <v>1.27</v>
      </c>
      <c r="Q14" s="12">
        <v>24.71</v>
      </c>
      <c r="R14" s="44"/>
      <c r="S14" s="44"/>
      <c r="T14" s="44"/>
      <c r="U14" s="44"/>
    </row>
    <row r="15" spans="1:21" s="12" customFormat="1" x14ac:dyDescent="0.25">
      <c r="A15" s="57" t="s">
        <v>236</v>
      </c>
      <c r="B15" s="12">
        <v>63.39</v>
      </c>
      <c r="C15" s="12">
        <v>46.74</v>
      </c>
      <c r="D15" s="12">
        <v>77.27</v>
      </c>
      <c r="E15" s="12">
        <v>3.09</v>
      </c>
      <c r="F15" s="12">
        <v>4.8</v>
      </c>
      <c r="G15" s="6" t="s">
        <v>14</v>
      </c>
      <c r="H15" s="6" t="s">
        <v>14</v>
      </c>
      <c r="I15" s="12">
        <v>0.75</v>
      </c>
      <c r="J15" s="12">
        <v>0.27</v>
      </c>
      <c r="K15" s="12">
        <v>178.4</v>
      </c>
      <c r="L15" s="12">
        <v>27.41</v>
      </c>
      <c r="M15" s="12">
        <v>73.27</v>
      </c>
      <c r="N15" s="12">
        <v>199.5</v>
      </c>
      <c r="O15" s="12">
        <v>0</v>
      </c>
      <c r="P15" s="12">
        <v>1.46</v>
      </c>
      <c r="Q15" s="12">
        <v>27.79</v>
      </c>
      <c r="R15" s="44"/>
      <c r="S15" s="44"/>
      <c r="T15" s="44"/>
      <c r="U15" s="44"/>
    </row>
    <row r="16" spans="1:21" s="12" customFormat="1" x14ac:dyDescent="0.25">
      <c r="A16" s="57" t="s">
        <v>237</v>
      </c>
      <c r="B16" s="12">
        <v>36.97</v>
      </c>
      <c r="C16" s="12">
        <v>31.89</v>
      </c>
      <c r="D16" s="12">
        <v>47.89</v>
      </c>
      <c r="E16" s="12">
        <v>3.33</v>
      </c>
      <c r="F16" s="12">
        <v>11.75</v>
      </c>
      <c r="G16" s="12">
        <v>106.89</v>
      </c>
      <c r="H16" s="12">
        <v>30.59</v>
      </c>
      <c r="I16" s="12">
        <v>0.74</v>
      </c>
      <c r="J16" s="12">
        <v>0.88</v>
      </c>
      <c r="K16" s="12">
        <v>216.7</v>
      </c>
      <c r="L16" s="12">
        <v>28.12</v>
      </c>
      <c r="M16" s="12">
        <v>60.37</v>
      </c>
      <c r="N16" s="12">
        <v>405.8</v>
      </c>
      <c r="O16" s="12">
        <v>0</v>
      </c>
      <c r="P16" s="12">
        <v>1.21</v>
      </c>
      <c r="Q16" s="12">
        <v>28.74</v>
      </c>
      <c r="R16" s="44"/>
      <c r="S16" s="44"/>
      <c r="T16" s="44"/>
      <c r="U16" s="44"/>
    </row>
    <row r="17" spans="1:21" s="12" customFormat="1" x14ac:dyDescent="0.25">
      <c r="A17" s="57" t="s">
        <v>238</v>
      </c>
      <c r="B17" s="12">
        <v>24.84</v>
      </c>
      <c r="C17" s="12">
        <v>26.15</v>
      </c>
      <c r="D17" s="12">
        <v>35</v>
      </c>
      <c r="E17" s="12">
        <v>2.5499999999999998</v>
      </c>
      <c r="F17" s="12">
        <v>12.09</v>
      </c>
      <c r="G17" s="12">
        <v>85.57</v>
      </c>
      <c r="H17" s="12">
        <v>32.869999999999997</v>
      </c>
      <c r="I17" s="12">
        <v>0.71</v>
      </c>
      <c r="J17" s="12">
        <v>0.24</v>
      </c>
      <c r="K17" s="12">
        <v>282.7</v>
      </c>
      <c r="L17" s="12">
        <v>31.22</v>
      </c>
      <c r="M17" s="12">
        <v>57.69</v>
      </c>
      <c r="N17" s="12">
        <v>619.6</v>
      </c>
      <c r="O17" s="12">
        <v>0</v>
      </c>
      <c r="P17" s="12">
        <v>1.08</v>
      </c>
      <c r="Q17" s="12">
        <v>28.41</v>
      </c>
      <c r="R17" s="44"/>
      <c r="S17" s="44"/>
      <c r="T17" s="44"/>
      <c r="U17" s="44"/>
    </row>
    <row r="18" spans="1:21" s="12" customFormat="1" x14ac:dyDescent="0.25">
      <c r="A18" s="57" t="s">
        <v>239</v>
      </c>
      <c r="B18" s="12">
        <v>17.100000000000001</v>
      </c>
      <c r="C18" s="12">
        <v>33.53</v>
      </c>
      <c r="D18" s="12">
        <v>29.18</v>
      </c>
      <c r="E18" s="12">
        <v>2.57</v>
      </c>
      <c r="F18" s="12">
        <v>5.28</v>
      </c>
      <c r="G18" s="12">
        <v>56.13</v>
      </c>
      <c r="H18" s="12">
        <v>30.79</v>
      </c>
      <c r="I18" s="12">
        <v>0.71</v>
      </c>
      <c r="J18" s="12">
        <v>0.18</v>
      </c>
      <c r="K18" s="12">
        <v>348.48</v>
      </c>
      <c r="L18" s="12">
        <v>33.4</v>
      </c>
      <c r="M18" s="12">
        <v>45.65</v>
      </c>
      <c r="N18" s="12">
        <v>765.9</v>
      </c>
      <c r="O18" s="12">
        <v>0</v>
      </c>
      <c r="P18" s="12">
        <v>1.32</v>
      </c>
      <c r="Q18" s="12">
        <v>24.85</v>
      </c>
      <c r="R18" s="44"/>
      <c r="S18" s="44"/>
      <c r="T18" s="44"/>
      <c r="U18" s="44"/>
    </row>
    <row r="19" spans="1:21" s="12" customFormat="1" x14ac:dyDescent="0.25">
      <c r="A19" s="57" t="s">
        <v>240</v>
      </c>
      <c r="B19" s="12">
        <v>4.51</v>
      </c>
      <c r="C19" s="12">
        <v>39.729999999999997</v>
      </c>
      <c r="D19" s="12">
        <v>26.15</v>
      </c>
      <c r="E19" s="12">
        <v>5.52</v>
      </c>
      <c r="F19" s="12">
        <v>21</v>
      </c>
      <c r="G19" s="12">
        <v>48.14</v>
      </c>
      <c r="H19" s="12">
        <v>32.67</v>
      </c>
      <c r="I19" s="12">
        <v>0.62</v>
      </c>
      <c r="J19" s="12">
        <v>0.28999999999999998</v>
      </c>
      <c r="K19" s="12">
        <v>286.87</v>
      </c>
      <c r="L19" s="12">
        <v>35.86</v>
      </c>
      <c r="M19" s="12">
        <v>41.88</v>
      </c>
      <c r="N19" s="12">
        <v>872.6</v>
      </c>
      <c r="O19" s="12">
        <v>0</v>
      </c>
      <c r="P19" s="12">
        <v>1.47</v>
      </c>
      <c r="Q19" s="12">
        <v>22.38</v>
      </c>
      <c r="R19" s="44"/>
      <c r="S19" s="44"/>
      <c r="T19" s="44"/>
      <c r="U19" s="44"/>
    </row>
    <row r="20" spans="1:21" s="12" customFormat="1" x14ac:dyDescent="0.25">
      <c r="A20" s="57" t="s">
        <v>241</v>
      </c>
      <c r="B20" s="12">
        <v>1.78</v>
      </c>
      <c r="C20" s="12">
        <v>30.1</v>
      </c>
      <c r="D20" s="12">
        <v>18.690000000000001</v>
      </c>
      <c r="E20" s="12">
        <v>4.38</v>
      </c>
      <c r="F20" s="12">
        <v>18.04</v>
      </c>
      <c r="G20" s="12">
        <v>71.36</v>
      </c>
      <c r="H20" s="12">
        <v>29.76</v>
      </c>
      <c r="I20" s="12">
        <v>0.54</v>
      </c>
      <c r="J20" s="12">
        <v>0.44</v>
      </c>
      <c r="K20" s="12">
        <v>278.14999999999998</v>
      </c>
      <c r="L20" s="12">
        <v>37.619999999999997</v>
      </c>
      <c r="M20" s="12">
        <v>34.299999999999997</v>
      </c>
      <c r="N20" s="12">
        <v>908.1</v>
      </c>
      <c r="O20" s="12">
        <v>0</v>
      </c>
      <c r="P20" s="12">
        <v>1.32</v>
      </c>
      <c r="Q20" s="12">
        <v>21.13</v>
      </c>
      <c r="R20" s="44"/>
      <c r="S20" s="44"/>
      <c r="T20" s="44"/>
      <c r="U20" s="44"/>
    </row>
    <row r="21" spans="1:21" s="12" customFormat="1" x14ac:dyDescent="0.25">
      <c r="A21" s="57" t="s">
        <v>242</v>
      </c>
      <c r="B21" s="12">
        <v>1.01</v>
      </c>
      <c r="C21" s="12">
        <v>24.65</v>
      </c>
      <c r="D21" s="12">
        <v>15.06</v>
      </c>
      <c r="E21" s="12">
        <v>6.62</v>
      </c>
      <c r="F21" s="12">
        <v>25.91</v>
      </c>
      <c r="G21" s="12">
        <v>68.11</v>
      </c>
      <c r="H21" s="12">
        <v>28.91</v>
      </c>
      <c r="I21" s="12">
        <v>0.56000000000000005</v>
      </c>
      <c r="J21" s="12">
        <v>0.37</v>
      </c>
      <c r="K21" s="12">
        <v>245.08</v>
      </c>
      <c r="L21" s="12">
        <v>36.04</v>
      </c>
      <c r="M21" s="12">
        <v>33.229999999999997</v>
      </c>
      <c r="N21" s="12">
        <v>922.2</v>
      </c>
      <c r="O21" s="12">
        <v>0</v>
      </c>
      <c r="P21" s="12">
        <v>1.04</v>
      </c>
      <c r="Q21" s="12">
        <v>20.21</v>
      </c>
      <c r="R21" s="44"/>
      <c r="S21" s="44"/>
      <c r="T21" s="44"/>
      <c r="U21" s="44"/>
    </row>
    <row r="22" spans="1:21" s="12" customFormat="1" x14ac:dyDescent="0.25">
      <c r="A22" s="57" t="s">
        <v>243</v>
      </c>
      <c r="B22" s="12">
        <v>2.09</v>
      </c>
      <c r="C22" s="12">
        <v>35.74</v>
      </c>
      <c r="D22" s="12">
        <v>22.05</v>
      </c>
      <c r="E22" s="12">
        <v>10.01</v>
      </c>
      <c r="F22" s="12">
        <v>59.21</v>
      </c>
      <c r="G22" s="12">
        <v>53.17</v>
      </c>
      <c r="H22" s="12">
        <v>28.03</v>
      </c>
      <c r="I22" s="12">
        <v>0.53</v>
      </c>
      <c r="J22" s="12">
        <v>0.52</v>
      </c>
      <c r="K22" s="12">
        <v>291.94</v>
      </c>
      <c r="L22" s="12">
        <v>37.03</v>
      </c>
      <c r="M22" s="12">
        <v>33.06</v>
      </c>
      <c r="N22" s="12">
        <v>817.4</v>
      </c>
      <c r="O22" s="12">
        <v>0</v>
      </c>
      <c r="P22" s="12">
        <v>0.92</v>
      </c>
      <c r="Q22" s="12">
        <v>23.58</v>
      </c>
      <c r="R22" s="44"/>
      <c r="S22" s="44"/>
      <c r="T22" s="44"/>
      <c r="U22" s="44"/>
    </row>
    <row r="23" spans="1:21" s="12" customFormat="1" x14ac:dyDescent="0.25">
      <c r="A23" s="57" t="s">
        <v>244</v>
      </c>
      <c r="B23" s="12">
        <v>1.81</v>
      </c>
      <c r="C23" s="12">
        <v>29.96</v>
      </c>
      <c r="D23" s="12">
        <v>18.63</v>
      </c>
      <c r="E23" s="12">
        <v>16.91</v>
      </c>
      <c r="F23" s="12">
        <v>56.09</v>
      </c>
      <c r="G23" s="12">
        <v>79.55</v>
      </c>
      <c r="H23" s="12">
        <v>24.91</v>
      </c>
      <c r="I23" s="12">
        <v>0.57999999999999996</v>
      </c>
      <c r="J23" s="12">
        <v>0.3</v>
      </c>
      <c r="K23" s="12">
        <v>230.15</v>
      </c>
      <c r="L23" s="12">
        <v>35.75</v>
      </c>
      <c r="M23" s="12">
        <v>31.17</v>
      </c>
      <c r="N23" s="12">
        <v>661.4</v>
      </c>
      <c r="O23" s="12">
        <v>0</v>
      </c>
      <c r="P23" s="12">
        <v>0.79</v>
      </c>
      <c r="Q23" s="12">
        <v>22.06</v>
      </c>
      <c r="R23" s="44"/>
      <c r="S23" s="44"/>
      <c r="T23" s="44"/>
      <c r="U23" s="44"/>
    </row>
    <row r="24" spans="1:21" s="12" customFormat="1" x14ac:dyDescent="0.25">
      <c r="A24" s="57" t="s">
        <v>245</v>
      </c>
      <c r="B24" s="12">
        <v>1.48</v>
      </c>
      <c r="C24" s="12">
        <v>22.85</v>
      </c>
      <c r="D24" s="12">
        <v>14.33</v>
      </c>
      <c r="E24" s="12">
        <v>6.44</v>
      </c>
      <c r="F24" s="12">
        <v>23.67</v>
      </c>
      <c r="G24" s="12">
        <v>56.74</v>
      </c>
      <c r="H24" s="12">
        <v>20.54</v>
      </c>
      <c r="I24" s="12">
        <v>0.59</v>
      </c>
      <c r="J24" s="12">
        <v>0.5</v>
      </c>
      <c r="K24" s="12">
        <v>269.39</v>
      </c>
      <c r="L24" s="12">
        <v>35.24</v>
      </c>
      <c r="M24" s="12">
        <v>31.46</v>
      </c>
      <c r="N24" s="12">
        <v>297</v>
      </c>
      <c r="O24" s="12">
        <v>0</v>
      </c>
      <c r="P24" s="12">
        <v>0.72</v>
      </c>
      <c r="Q24" s="12">
        <v>22.7</v>
      </c>
      <c r="R24" s="44"/>
      <c r="S24" s="44"/>
      <c r="T24" s="44"/>
      <c r="U24" s="44"/>
    </row>
    <row r="25" spans="1:21" s="12" customFormat="1" x14ac:dyDescent="0.25">
      <c r="A25" s="57" t="s">
        <v>246</v>
      </c>
      <c r="B25" s="12">
        <v>5.47</v>
      </c>
      <c r="C25" s="12">
        <v>35.159999999999997</v>
      </c>
      <c r="D25" s="12">
        <v>23.37</v>
      </c>
      <c r="E25" s="12">
        <v>8.5299999999999994</v>
      </c>
      <c r="F25" s="12">
        <v>38.79</v>
      </c>
      <c r="G25" s="12">
        <v>36.33</v>
      </c>
      <c r="H25" s="12">
        <v>20.86</v>
      </c>
      <c r="I25" s="12">
        <v>0.56999999999999995</v>
      </c>
      <c r="J25" s="12">
        <v>0.31</v>
      </c>
      <c r="K25" s="12">
        <v>315.3</v>
      </c>
      <c r="L25" s="12">
        <v>34.6</v>
      </c>
      <c r="M25" s="12">
        <v>33.85</v>
      </c>
      <c r="N25" s="12">
        <v>136.6</v>
      </c>
      <c r="O25" s="12">
        <v>0</v>
      </c>
      <c r="P25" s="12">
        <v>0.75</v>
      </c>
      <c r="Q25" s="12">
        <v>22.84</v>
      </c>
      <c r="R25" s="44"/>
      <c r="S25" s="44"/>
      <c r="T25" s="44"/>
      <c r="U25" s="44"/>
    </row>
    <row r="26" spans="1:21" s="12" customFormat="1" x14ac:dyDescent="0.25">
      <c r="A26" s="57" t="s">
        <v>247</v>
      </c>
      <c r="B26" s="12">
        <v>9.52</v>
      </c>
      <c r="C26" s="12">
        <v>46.11</v>
      </c>
      <c r="D26" s="12">
        <v>33.729999999999997</v>
      </c>
      <c r="E26" s="12">
        <v>8.52</v>
      </c>
      <c r="F26" s="12">
        <v>43.98</v>
      </c>
      <c r="G26" s="12">
        <v>53.14</v>
      </c>
      <c r="H26" s="12">
        <v>23.72</v>
      </c>
      <c r="I26" s="12">
        <v>0.59</v>
      </c>
      <c r="J26" s="12">
        <v>0.56999999999999995</v>
      </c>
      <c r="K26" s="12">
        <v>358.27</v>
      </c>
      <c r="L26" s="12">
        <v>33.729999999999997</v>
      </c>
      <c r="M26" s="12">
        <v>35.08</v>
      </c>
      <c r="N26" s="12">
        <v>75.7</v>
      </c>
      <c r="O26" s="12">
        <v>0</v>
      </c>
      <c r="P26" s="12">
        <v>0.88</v>
      </c>
      <c r="Q26" s="12">
        <v>21.04</v>
      </c>
      <c r="R26" s="44"/>
      <c r="S26" s="44"/>
      <c r="T26" s="44"/>
      <c r="U26" s="44"/>
    </row>
    <row r="27" spans="1:21" s="12" customFormat="1" x14ac:dyDescent="0.25">
      <c r="A27" s="57" t="s">
        <v>248</v>
      </c>
      <c r="B27" s="12">
        <v>23.5</v>
      </c>
      <c r="C27" s="12">
        <v>74.150000000000006</v>
      </c>
      <c r="D27" s="12">
        <v>60.41</v>
      </c>
      <c r="E27" s="12">
        <v>10.37</v>
      </c>
      <c r="F27" s="12">
        <v>22.77</v>
      </c>
      <c r="G27" s="12">
        <v>47.74</v>
      </c>
      <c r="H27" s="12">
        <v>19.61</v>
      </c>
      <c r="I27" s="12">
        <v>0.69</v>
      </c>
      <c r="J27" s="12">
        <v>0.3</v>
      </c>
      <c r="K27" s="12">
        <v>269.11</v>
      </c>
      <c r="L27" s="12">
        <v>32.68</v>
      </c>
      <c r="M27" s="12">
        <v>40.17</v>
      </c>
      <c r="N27" s="12">
        <v>17.600000000000001</v>
      </c>
      <c r="O27" s="12">
        <v>0</v>
      </c>
      <c r="P27" s="12">
        <v>1.2</v>
      </c>
      <c r="Q27" s="12">
        <v>21.06</v>
      </c>
      <c r="R27" s="44"/>
      <c r="S27" s="44"/>
      <c r="T27" s="44"/>
      <c r="U27" s="44"/>
    </row>
    <row r="28" spans="1:21" s="12" customFormat="1" x14ac:dyDescent="0.25">
      <c r="A28" s="57" t="s">
        <v>249</v>
      </c>
      <c r="B28" s="12">
        <v>8.68</v>
      </c>
      <c r="C28" s="12">
        <v>74.849999999999994</v>
      </c>
      <c r="D28" s="12">
        <v>48.32</v>
      </c>
      <c r="E28" s="12">
        <v>11.75</v>
      </c>
      <c r="F28" s="12">
        <v>31</v>
      </c>
      <c r="G28" s="12">
        <v>70.569999999999993</v>
      </c>
      <c r="H28" s="12">
        <v>26.22</v>
      </c>
      <c r="I28" s="12">
        <v>0.72</v>
      </c>
      <c r="J28" s="12">
        <v>0.16</v>
      </c>
      <c r="K28" s="12">
        <v>267.54000000000002</v>
      </c>
      <c r="L28" s="12">
        <v>31.38</v>
      </c>
      <c r="M28" s="12">
        <v>42.7</v>
      </c>
      <c r="N28" s="12">
        <v>6.4</v>
      </c>
      <c r="O28" s="12">
        <v>0</v>
      </c>
      <c r="P28" s="12">
        <v>1.41</v>
      </c>
      <c r="Q28" s="12">
        <v>22.58</v>
      </c>
      <c r="R28" s="44"/>
      <c r="S28" s="44"/>
      <c r="T28" s="44"/>
      <c r="U28" s="44"/>
    </row>
    <row r="29" spans="1:21" s="12" customFormat="1" x14ac:dyDescent="0.25">
      <c r="A29" s="57" t="s">
        <v>250</v>
      </c>
      <c r="B29" s="12">
        <v>37.04</v>
      </c>
      <c r="C29" s="12">
        <v>64.56</v>
      </c>
      <c r="D29" s="12">
        <v>64.03</v>
      </c>
      <c r="E29" s="12">
        <v>10.18</v>
      </c>
      <c r="F29" s="12">
        <v>23.17</v>
      </c>
      <c r="G29" s="12">
        <v>67.95</v>
      </c>
      <c r="H29" s="12">
        <v>28.43</v>
      </c>
      <c r="I29" s="12">
        <v>0.74</v>
      </c>
      <c r="J29" s="12">
        <v>0.17</v>
      </c>
      <c r="K29" s="12">
        <v>304.11</v>
      </c>
      <c r="L29" s="12">
        <v>30.33</v>
      </c>
      <c r="M29" s="12">
        <v>51.78</v>
      </c>
      <c r="N29" s="12">
        <v>6.3</v>
      </c>
      <c r="O29" s="12">
        <v>0</v>
      </c>
      <c r="P29" s="12">
        <v>2.2999999999999998</v>
      </c>
      <c r="Q29" s="12">
        <v>21.7</v>
      </c>
      <c r="R29" s="44"/>
      <c r="S29" s="44"/>
      <c r="T29" s="44"/>
      <c r="U29" s="44"/>
    </row>
    <row r="30" spans="1:21" s="12" customFormat="1" x14ac:dyDescent="0.25">
      <c r="A30" s="57" t="s">
        <v>251</v>
      </c>
      <c r="B30" s="12">
        <v>19.309999999999999</v>
      </c>
      <c r="C30" s="12">
        <v>45.13</v>
      </c>
      <c r="D30" s="12">
        <v>37.39</v>
      </c>
      <c r="E30" s="12">
        <v>10.75</v>
      </c>
      <c r="F30" s="12">
        <v>14.35</v>
      </c>
      <c r="G30" s="12">
        <v>83.92</v>
      </c>
      <c r="H30" s="12">
        <v>29.48</v>
      </c>
      <c r="I30" s="12">
        <v>1.01</v>
      </c>
      <c r="J30" s="12">
        <v>0.62</v>
      </c>
      <c r="K30" s="12">
        <v>295.97000000000003</v>
      </c>
      <c r="L30" s="12">
        <v>29.59</v>
      </c>
      <c r="M30" s="12">
        <v>45.07</v>
      </c>
      <c r="N30" s="12">
        <v>6.2</v>
      </c>
      <c r="O30" s="12">
        <v>0</v>
      </c>
      <c r="P30" s="12">
        <v>1.47</v>
      </c>
      <c r="Q30" s="12">
        <v>24.12</v>
      </c>
      <c r="R30" s="44"/>
      <c r="S30" s="44"/>
      <c r="T30" s="44"/>
      <c r="U30" s="44"/>
    </row>
    <row r="31" spans="1:21" s="12" customFormat="1" x14ac:dyDescent="0.25">
      <c r="A31" s="57" t="s">
        <v>252</v>
      </c>
      <c r="B31" s="12">
        <v>17.95</v>
      </c>
      <c r="C31" s="12">
        <v>43.7</v>
      </c>
      <c r="D31" s="12">
        <v>39.159999999999997</v>
      </c>
      <c r="E31" s="12">
        <v>8.11</v>
      </c>
      <c r="F31" s="12">
        <v>24.11</v>
      </c>
      <c r="G31" s="12">
        <v>73.680000000000007</v>
      </c>
      <c r="H31" s="12">
        <v>29.63</v>
      </c>
      <c r="I31" s="12">
        <v>0.71</v>
      </c>
      <c r="J31" s="12">
        <v>0.54</v>
      </c>
      <c r="K31" s="12">
        <v>296.54000000000002</v>
      </c>
      <c r="L31" s="12">
        <v>28.72</v>
      </c>
      <c r="M31" s="12">
        <v>49.14</v>
      </c>
      <c r="N31" s="12">
        <v>6.3</v>
      </c>
      <c r="O31" s="12">
        <v>0</v>
      </c>
      <c r="P31" s="12">
        <v>1.22</v>
      </c>
      <c r="Q31" s="12">
        <v>25.07</v>
      </c>
      <c r="R31" s="44"/>
      <c r="S31" s="44"/>
      <c r="T31" s="44"/>
      <c r="U31" s="44"/>
    </row>
    <row r="32" spans="1:21" s="12" customFormat="1" x14ac:dyDescent="0.25">
      <c r="A32" s="57" t="s">
        <v>253</v>
      </c>
      <c r="B32" s="12">
        <v>14.18</v>
      </c>
      <c r="C32" s="12">
        <v>42.83</v>
      </c>
      <c r="D32" s="12">
        <v>35.119999999999997</v>
      </c>
      <c r="E32" s="12">
        <v>17.82</v>
      </c>
      <c r="F32" s="12">
        <v>14.09</v>
      </c>
      <c r="G32" s="12">
        <v>68.41</v>
      </c>
      <c r="H32" s="12">
        <v>27.69</v>
      </c>
      <c r="I32" s="12">
        <v>0.67</v>
      </c>
      <c r="J32" s="12">
        <v>0.2</v>
      </c>
      <c r="K32" s="12">
        <v>311.56</v>
      </c>
      <c r="L32" s="12">
        <v>27.19</v>
      </c>
      <c r="M32" s="12">
        <v>56.17</v>
      </c>
      <c r="N32" s="12">
        <v>6.3</v>
      </c>
      <c r="O32" s="12">
        <v>0</v>
      </c>
      <c r="P32" s="12">
        <v>1.18</v>
      </c>
      <c r="Q32" s="12">
        <v>25.28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1.01</v>
      </c>
      <c r="C34" s="29">
        <f t="shared" si="0"/>
        <v>22.85</v>
      </c>
      <c r="D34" s="29">
        <f t="shared" si="0"/>
        <v>14.33</v>
      </c>
      <c r="E34" s="29">
        <f t="shared" si="0"/>
        <v>2.5499999999999998</v>
      </c>
      <c r="F34" s="29">
        <f t="shared" si="0"/>
        <v>4.57</v>
      </c>
      <c r="G34" s="29">
        <f t="shared" si="0"/>
        <v>36.33</v>
      </c>
      <c r="H34" s="29">
        <f t="shared" si="0"/>
        <v>19.61</v>
      </c>
      <c r="I34" s="29">
        <f t="shared" si="0"/>
        <v>0.53</v>
      </c>
      <c r="J34" s="29">
        <f t="shared" si="0"/>
        <v>0.08</v>
      </c>
      <c r="K34" s="29">
        <f t="shared" si="0"/>
        <v>178.4</v>
      </c>
      <c r="L34" s="29">
        <f t="shared" si="0"/>
        <v>23.67</v>
      </c>
      <c r="M34" s="29">
        <f t="shared" si="0"/>
        <v>31.17</v>
      </c>
      <c r="N34" s="29">
        <f t="shared" si="0"/>
        <v>6.2</v>
      </c>
      <c r="O34" s="29">
        <f t="shared" si="0"/>
        <v>0</v>
      </c>
      <c r="P34" s="29">
        <f t="shared" si="0"/>
        <v>0.72</v>
      </c>
      <c r="Q34" s="29">
        <f t="shared" si="0"/>
        <v>20.21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63.39</v>
      </c>
      <c r="C35" s="30">
        <f t="shared" si="1"/>
        <v>74.849999999999994</v>
      </c>
      <c r="D35" s="30">
        <f t="shared" si="1"/>
        <v>77.27</v>
      </c>
      <c r="E35" s="30">
        <f t="shared" si="1"/>
        <v>17.82</v>
      </c>
      <c r="F35" s="30">
        <f t="shared" si="1"/>
        <v>59.21</v>
      </c>
      <c r="G35" s="30">
        <f t="shared" si="1"/>
        <v>106.89</v>
      </c>
      <c r="H35" s="30">
        <f t="shared" si="1"/>
        <v>32.869999999999997</v>
      </c>
      <c r="I35" s="30">
        <f t="shared" si="1"/>
        <v>1.01</v>
      </c>
      <c r="J35" s="30">
        <f t="shared" si="1"/>
        <v>0.88</v>
      </c>
      <c r="K35" s="30">
        <f t="shared" si="1"/>
        <v>358.27</v>
      </c>
      <c r="L35" s="30">
        <f t="shared" si="1"/>
        <v>37.619999999999997</v>
      </c>
      <c r="M35" s="30">
        <f t="shared" si="1"/>
        <v>77.319999999999993</v>
      </c>
      <c r="N35" s="30">
        <f t="shared" si="1"/>
        <v>922.2</v>
      </c>
      <c r="O35" s="30">
        <f t="shared" si="1"/>
        <v>0</v>
      </c>
      <c r="P35" s="30">
        <f t="shared" si="1"/>
        <v>2.2999999999999998</v>
      </c>
      <c r="Q35" s="30">
        <f t="shared" si="1"/>
        <v>28.74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18.914166666666663</v>
      </c>
      <c r="C36" s="29">
        <f t="shared" si="2"/>
        <v>38.87166666666667</v>
      </c>
      <c r="D36" s="29">
        <f t="shared" si="2"/>
        <v>36.322499999999998</v>
      </c>
      <c r="E36" s="29">
        <f t="shared" si="2"/>
        <v>6.9937499999999986</v>
      </c>
      <c r="F36" s="29">
        <f t="shared" si="2"/>
        <v>20.812083333333337</v>
      </c>
      <c r="G36" s="29">
        <f t="shared" si="2"/>
        <v>66.317647058823539</v>
      </c>
      <c r="H36" s="29">
        <f t="shared" si="2"/>
        <v>27.33588235294118</v>
      </c>
      <c r="I36" s="29">
        <f t="shared" si="2"/>
        <v>0.68833333333333335</v>
      </c>
      <c r="J36" s="29">
        <f t="shared" si="2"/>
        <v>0.35333333333333333</v>
      </c>
      <c r="K36" s="29">
        <f t="shared" si="2"/>
        <v>285.41958333333332</v>
      </c>
      <c r="L36" s="29">
        <f t="shared" si="2"/>
        <v>30.630833333333342</v>
      </c>
      <c r="M36" s="29">
        <f t="shared" si="2"/>
        <v>50.457916666666669</v>
      </c>
      <c r="N36" s="29">
        <f t="shared" si="2"/>
        <v>283.59583333333336</v>
      </c>
      <c r="O36" s="29">
        <f t="shared" si="2"/>
        <v>0</v>
      </c>
      <c r="P36" s="29">
        <f t="shared" si="2"/>
        <v>1.2274999999999998</v>
      </c>
      <c r="Q36" s="29">
        <f t="shared" si="2"/>
        <v>24.33208333333333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16.733326267392695</v>
      </c>
      <c r="C37" s="29">
        <f t="shared" ref="C37:Q37" si="3">STDEV(C9:C32)</f>
        <v>14.527486890798377</v>
      </c>
      <c r="D37" s="29">
        <f t="shared" si="3"/>
        <v>16.619642713158527</v>
      </c>
      <c r="E37" s="29">
        <f t="shared" si="3"/>
        <v>4.4176846311161713</v>
      </c>
      <c r="F37" s="29">
        <f t="shared" si="3"/>
        <v>15.441265711571779</v>
      </c>
      <c r="G37" s="29">
        <f t="shared" si="3"/>
        <v>17.18742146506121</v>
      </c>
      <c r="H37" s="29">
        <f t="shared" si="3"/>
        <v>4.1051279803794412</v>
      </c>
      <c r="I37" s="29">
        <f t="shared" si="3"/>
        <v>0.11502992679286136</v>
      </c>
      <c r="J37" s="29">
        <f t="shared" si="3"/>
        <v>0.21233006845714159</v>
      </c>
      <c r="K37" s="29">
        <f t="shared" si="3"/>
        <v>39.632650733539144</v>
      </c>
      <c r="L37" s="29">
        <f t="shared" si="3"/>
        <v>4.5105267374525999</v>
      </c>
      <c r="M37" s="29">
        <f t="shared" si="3"/>
        <v>15.236012824074489</v>
      </c>
      <c r="N37" s="29">
        <f t="shared" si="3"/>
        <v>355.18490527949785</v>
      </c>
      <c r="O37" s="29">
        <f t="shared" si="3"/>
        <v>0</v>
      </c>
      <c r="P37" s="29">
        <f t="shared" si="3"/>
        <v>0.33986250416768649</v>
      </c>
      <c r="Q37" s="29">
        <f t="shared" si="3"/>
        <v>2.6084777822668865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COUNT(G9:G32)+7</f>
        <v>24</v>
      </c>
      <c r="H38" s="33">
        <f>COUNT(H9:H32)+7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50" sqref="H50"/>
    </sheetView>
  </sheetViews>
  <sheetFormatPr defaultColWidth="8.85546875" defaultRowHeight="15" x14ac:dyDescent="0.25"/>
  <cols>
    <col min="1" max="1" width="18.28515625" style="27" customWidth="1"/>
    <col min="2" max="2" width="13.855468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09-05-2023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254</v>
      </c>
      <c r="B9" s="60">
        <v>10.71</v>
      </c>
      <c r="C9" s="60">
        <v>38.869999999999997</v>
      </c>
      <c r="D9" s="60">
        <v>30.69</v>
      </c>
      <c r="E9" s="60">
        <v>19.93</v>
      </c>
      <c r="F9" s="60">
        <v>19.190000000000001</v>
      </c>
      <c r="G9" s="60">
        <v>84.65</v>
      </c>
      <c r="H9" s="60">
        <v>28.27</v>
      </c>
      <c r="I9" s="60">
        <v>0.66</v>
      </c>
      <c r="J9" s="60">
        <v>0.23</v>
      </c>
      <c r="K9" s="60">
        <v>124.68</v>
      </c>
      <c r="L9" s="60">
        <v>26.8</v>
      </c>
      <c r="M9" s="60">
        <v>55.28</v>
      </c>
      <c r="N9" s="60">
        <v>6.1</v>
      </c>
      <c r="O9" s="60">
        <v>0</v>
      </c>
      <c r="P9" s="60">
        <v>1.1299999999999999</v>
      </c>
      <c r="Q9" s="60">
        <v>25.18</v>
      </c>
      <c r="R9" s="44"/>
      <c r="S9" s="44"/>
      <c r="T9" s="44"/>
      <c r="U9" s="44"/>
    </row>
    <row r="10" spans="1:21" s="12" customFormat="1" x14ac:dyDescent="0.25">
      <c r="A10" s="59" t="s">
        <v>255</v>
      </c>
      <c r="B10" s="60">
        <v>4.9000000000000004</v>
      </c>
      <c r="C10" s="60">
        <v>30.87</v>
      </c>
      <c r="D10" s="60">
        <v>21.31</v>
      </c>
      <c r="E10" s="60">
        <v>13.9</v>
      </c>
      <c r="F10" s="60">
        <v>30.61</v>
      </c>
      <c r="G10" s="60">
        <v>79.55</v>
      </c>
      <c r="H10" s="60">
        <v>30.51</v>
      </c>
      <c r="I10" s="60">
        <v>0.6</v>
      </c>
      <c r="J10" s="60">
        <v>0.28000000000000003</v>
      </c>
      <c r="K10" s="60">
        <v>258.92</v>
      </c>
      <c r="L10" s="60">
        <v>26.85</v>
      </c>
      <c r="M10" s="60">
        <v>66.11</v>
      </c>
      <c r="N10" s="60">
        <v>6.5</v>
      </c>
      <c r="O10" s="60">
        <v>0</v>
      </c>
      <c r="P10" s="60">
        <v>0.75</v>
      </c>
      <c r="Q10" s="60">
        <v>24.95</v>
      </c>
      <c r="R10" s="44"/>
      <c r="S10" s="44"/>
      <c r="T10" s="44"/>
      <c r="U10" s="44"/>
    </row>
    <row r="11" spans="1:21" s="12" customFormat="1" x14ac:dyDescent="0.25">
      <c r="A11" s="59" t="s">
        <v>256</v>
      </c>
      <c r="B11" s="60">
        <v>11.69</v>
      </c>
      <c r="C11" s="60">
        <v>29.36</v>
      </c>
      <c r="D11" s="60">
        <v>26.22</v>
      </c>
      <c r="E11" s="60">
        <v>7.8</v>
      </c>
      <c r="F11" s="60">
        <v>8.34</v>
      </c>
      <c r="G11" s="60">
        <v>61.44</v>
      </c>
      <c r="H11" s="60">
        <v>26.15</v>
      </c>
      <c r="I11" s="60">
        <v>0.66</v>
      </c>
      <c r="J11" s="60">
        <v>0.1</v>
      </c>
      <c r="K11" s="60">
        <v>332.38</v>
      </c>
      <c r="L11" s="60">
        <v>24.99</v>
      </c>
      <c r="M11" s="60">
        <v>65.62</v>
      </c>
      <c r="N11" s="60">
        <v>6.1</v>
      </c>
      <c r="O11" s="60">
        <v>0</v>
      </c>
      <c r="P11" s="60">
        <v>0.87</v>
      </c>
      <c r="Q11" s="60">
        <v>25.67</v>
      </c>
      <c r="R11" s="44"/>
      <c r="S11" s="44"/>
      <c r="T11" s="44"/>
      <c r="U11" s="44"/>
    </row>
    <row r="12" spans="1:21" s="12" customFormat="1" x14ac:dyDescent="0.25">
      <c r="A12" s="59" t="s">
        <v>257</v>
      </c>
      <c r="B12" s="60">
        <v>12.59</v>
      </c>
      <c r="C12" s="60">
        <v>39.840000000000003</v>
      </c>
      <c r="D12" s="60">
        <v>32.72</v>
      </c>
      <c r="E12" s="60">
        <v>7.01</v>
      </c>
      <c r="F12" s="60">
        <v>9.66</v>
      </c>
      <c r="G12" s="60">
        <v>62.19</v>
      </c>
      <c r="H12" s="60">
        <v>26.77</v>
      </c>
      <c r="I12" s="60">
        <v>0.67</v>
      </c>
      <c r="J12" s="60">
        <v>0.39</v>
      </c>
      <c r="K12" s="60">
        <v>358.41</v>
      </c>
      <c r="L12" s="60">
        <v>25.71</v>
      </c>
      <c r="M12" s="60">
        <v>65.23</v>
      </c>
      <c r="N12" s="60">
        <v>6.2</v>
      </c>
      <c r="O12" s="60">
        <v>0</v>
      </c>
      <c r="P12" s="60">
        <v>0.77</v>
      </c>
      <c r="Q12" s="60">
        <v>25.36</v>
      </c>
      <c r="R12" s="44"/>
      <c r="S12" s="44"/>
      <c r="T12" s="44"/>
      <c r="U12" s="44"/>
    </row>
    <row r="13" spans="1:21" s="12" customFormat="1" x14ac:dyDescent="0.25">
      <c r="A13" s="59" t="s">
        <v>258</v>
      </c>
      <c r="B13" s="60">
        <v>19.79</v>
      </c>
      <c r="C13" s="60">
        <v>43.37</v>
      </c>
      <c r="D13" s="60">
        <v>39.770000000000003</v>
      </c>
      <c r="E13" s="60">
        <v>7.98</v>
      </c>
      <c r="F13" s="60">
        <v>8.5500000000000007</v>
      </c>
      <c r="G13" s="60">
        <v>58.24</v>
      </c>
      <c r="H13" s="60">
        <v>26.43</v>
      </c>
      <c r="I13" s="60">
        <v>0.62</v>
      </c>
      <c r="J13" s="60">
        <v>0.23</v>
      </c>
      <c r="K13" s="60">
        <v>283.67</v>
      </c>
      <c r="L13" s="60">
        <v>25.23</v>
      </c>
      <c r="M13" s="60">
        <v>66.400000000000006</v>
      </c>
      <c r="N13" s="60">
        <v>6.3</v>
      </c>
      <c r="O13" s="60">
        <v>0</v>
      </c>
      <c r="P13" s="60">
        <v>0.66</v>
      </c>
      <c r="Q13" s="60">
        <v>24.59</v>
      </c>
      <c r="R13" s="44"/>
      <c r="S13" s="44"/>
      <c r="T13" s="44"/>
      <c r="U13" s="44"/>
    </row>
    <row r="14" spans="1:21" s="12" customFormat="1" x14ac:dyDescent="0.25">
      <c r="A14" s="59" t="s">
        <v>259</v>
      </c>
      <c r="B14" s="60">
        <v>14.58</v>
      </c>
      <c r="C14" s="60">
        <v>26.25</v>
      </c>
      <c r="D14" s="60">
        <v>26.67</v>
      </c>
      <c r="E14" s="60">
        <v>5.67</v>
      </c>
      <c r="F14" s="60">
        <v>4.63</v>
      </c>
      <c r="G14" s="60">
        <v>68.28</v>
      </c>
      <c r="H14" s="60">
        <v>23.33</v>
      </c>
      <c r="I14" s="60">
        <v>0.68</v>
      </c>
      <c r="J14" s="60">
        <v>0.44</v>
      </c>
      <c r="K14" s="60">
        <v>268.86</v>
      </c>
      <c r="L14" s="60">
        <v>24.66</v>
      </c>
      <c r="M14" s="60">
        <v>70.73</v>
      </c>
      <c r="N14" s="60">
        <v>39.9</v>
      </c>
      <c r="O14" s="60">
        <v>0</v>
      </c>
      <c r="P14" s="60">
        <v>0.73</v>
      </c>
      <c r="Q14" s="60">
        <v>26.01</v>
      </c>
      <c r="R14" s="44"/>
      <c r="S14" s="44"/>
      <c r="T14" s="44"/>
      <c r="U14" s="44"/>
    </row>
    <row r="15" spans="1:21" s="12" customFormat="1" x14ac:dyDescent="0.25">
      <c r="A15" s="59" t="s">
        <v>260</v>
      </c>
      <c r="B15" s="60">
        <v>18.52</v>
      </c>
      <c r="C15" s="60">
        <v>35.130000000000003</v>
      </c>
      <c r="D15" s="60">
        <v>34.880000000000003</v>
      </c>
      <c r="E15" s="60">
        <v>6.46</v>
      </c>
      <c r="F15" s="60">
        <v>7.46</v>
      </c>
      <c r="G15" s="60">
        <v>64.319999999999993</v>
      </c>
      <c r="H15" s="60">
        <v>23.01</v>
      </c>
      <c r="I15" s="60">
        <v>0.69</v>
      </c>
      <c r="J15" s="60">
        <v>0.67</v>
      </c>
      <c r="K15" s="60">
        <v>288.37</v>
      </c>
      <c r="L15" s="60">
        <v>28.81</v>
      </c>
      <c r="M15" s="60">
        <v>65.77</v>
      </c>
      <c r="N15" s="60">
        <v>195.6</v>
      </c>
      <c r="O15" s="60">
        <v>0</v>
      </c>
      <c r="P15" s="60">
        <v>0.97</v>
      </c>
      <c r="Q15" s="60">
        <v>25.58</v>
      </c>
      <c r="R15" s="44"/>
      <c r="S15" s="44"/>
      <c r="T15" s="44"/>
      <c r="U15" s="44"/>
    </row>
    <row r="16" spans="1:21" s="12" customFormat="1" x14ac:dyDescent="0.25">
      <c r="A16" s="59" t="s">
        <v>261</v>
      </c>
      <c r="B16" s="60">
        <v>16.489999999999998</v>
      </c>
      <c r="C16" s="60">
        <v>40.94</v>
      </c>
      <c r="D16" s="60">
        <v>36.46</v>
      </c>
      <c r="E16" s="60">
        <v>11.35</v>
      </c>
      <c r="F16" s="60">
        <v>20.32</v>
      </c>
      <c r="G16" s="60">
        <v>87.26</v>
      </c>
      <c r="H16" s="60">
        <v>30.11</v>
      </c>
      <c r="I16" s="60">
        <v>0.63</v>
      </c>
      <c r="J16" s="60">
        <v>0.39</v>
      </c>
      <c r="K16" s="60">
        <v>171.07</v>
      </c>
      <c r="L16" s="60">
        <v>30.05</v>
      </c>
      <c r="M16" s="60">
        <v>53.03</v>
      </c>
      <c r="N16" s="60">
        <v>395</v>
      </c>
      <c r="O16" s="60">
        <v>0</v>
      </c>
      <c r="P16" s="60">
        <v>0.85</v>
      </c>
      <c r="Q16" s="60">
        <v>26.39</v>
      </c>
      <c r="R16" s="44"/>
      <c r="S16" s="44"/>
      <c r="T16" s="44"/>
      <c r="U16" s="44"/>
    </row>
    <row r="17" spans="1:21" s="12" customFormat="1" x14ac:dyDescent="0.25">
      <c r="A17" s="59" t="s">
        <v>262</v>
      </c>
      <c r="B17" s="60">
        <v>11.6</v>
      </c>
      <c r="C17" s="60">
        <v>30.68</v>
      </c>
      <c r="D17" s="60">
        <v>26.54</v>
      </c>
      <c r="E17" s="60">
        <v>10.57</v>
      </c>
      <c r="F17" s="60">
        <v>16.82</v>
      </c>
      <c r="G17" s="60">
        <v>86.67</v>
      </c>
      <c r="H17" s="60">
        <v>37.380000000000003</v>
      </c>
      <c r="I17" s="60">
        <v>0.68</v>
      </c>
      <c r="J17" s="60">
        <v>0.48</v>
      </c>
      <c r="K17" s="60">
        <v>299.08999999999997</v>
      </c>
      <c r="L17" s="60">
        <v>34.4</v>
      </c>
      <c r="M17" s="60">
        <v>49.5</v>
      </c>
      <c r="N17" s="60">
        <v>583.4</v>
      </c>
      <c r="O17" s="60">
        <v>0</v>
      </c>
      <c r="P17" s="60">
        <v>0.94</v>
      </c>
      <c r="Q17" s="60">
        <v>27.12</v>
      </c>
      <c r="R17" s="44"/>
      <c r="S17" s="44"/>
      <c r="T17" s="44"/>
      <c r="U17" s="44"/>
    </row>
    <row r="18" spans="1:21" s="12" customFormat="1" x14ac:dyDescent="0.25">
      <c r="A18" s="59" t="s">
        <v>263</v>
      </c>
      <c r="B18" s="60">
        <v>8.68</v>
      </c>
      <c r="C18" s="60">
        <v>44.53</v>
      </c>
      <c r="D18" s="60">
        <v>30.82</v>
      </c>
      <c r="E18" s="60">
        <v>16.98</v>
      </c>
      <c r="F18" s="60">
        <v>15.11</v>
      </c>
      <c r="G18" s="60">
        <v>93.96</v>
      </c>
      <c r="H18" s="60">
        <v>39.090000000000003</v>
      </c>
      <c r="I18" s="60">
        <v>0.73</v>
      </c>
      <c r="J18" s="60">
        <v>0.39</v>
      </c>
      <c r="K18" s="60">
        <v>284.61</v>
      </c>
      <c r="L18" s="60">
        <v>36.94</v>
      </c>
      <c r="M18" s="60">
        <v>40.72</v>
      </c>
      <c r="N18" s="60">
        <v>684.4</v>
      </c>
      <c r="O18" s="60">
        <v>0</v>
      </c>
      <c r="P18" s="60">
        <v>1.22</v>
      </c>
      <c r="Q18" s="60">
        <v>25.9</v>
      </c>
      <c r="R18" s="44"/>
      <c r="S18" s="44"/>
      <c r="T18" s="44"/>
      <c r="U18" s="44"/>
    </row>
    <row r="19" spans="1:21" s="12" customFormat="1" x14ac:dyDescent="0.25">
      <c r="A19" s="59" t="s">
        <v>264</v>
      </c>
      <c r="B19" s="60">
        <v>7.88</v>
      </c>
      <c r="C19" s="60">
        <v>57.81</v>
      </c>
      <c r="D19" s="60">
        <v>36.93</v>
      </c>
      <c r="E19" s="60">
        <v>41.04</v>
      </c>
      <c r="F19" s="60">
        <v>34.909999999999997</v>
      </c>
      <c r="G19" s="60">
        <v>124.2</v>
      </c>
      <c r="H19" s="60">
        <v>55.64</v>
      </c>
      <c r="I19" s="60">
        <v>0.72</v>
      </c>
      <c r="J19" s="60">
        <v>0.37</v>
      </c>
      <c r="K19" s="60">
        <v>277.61</v>
      </c>
      <c r="L19" s="60">
        <v>37.25</v>
      </c>
      <c r="M19" s="60">
        <v>34.9</v>
      </c>
      <c r="N19" s="60">
        <v>833.9</v>
      </c>
      <c r="O19" s="60">
        <v>0</v>
      </c>
      <c r="P19" s="60">
        <v>1.38</v>
      </c>
      <c r="Q19" s="60">
        <v>24.78</v>
      </c>
      <c r="R19" s="44"/>
      <c r="S19" s="44"/>
      <c r="T19" s="44"/>
      <c r="U19" s="44"/>
    </row>
    <row r="20" spans="1:21" s="12" customFormat="1" x14ac:dyDescent="0.25">
      <c r="A20" s="59" t="s">
        <v>265</v>
      </c>
      <c r="B20" s="60">
        <v>1.76</v>
      </c>
      <c r="C20" s="60">
        <v>50.34</v>
      </c>
      <c r="D20" s="60">
        <v>29.72</v>
      </c>
      <c r="E20" s="60">
        <v>22.39</v>
      </c>
      <c r="F20" s="60">
        <v>20.76</v>
      </c>
      <c r="G20" s="60">
        <v>116.17</v>
      </c>
      <c r="H20" s="60">
        <v>54.8</v>
      </c>
      <c r="I20" s="60">
        <v>0.63</v>
      </c>
      <c r="J20" s="60">
        <v>0.73</v>
      </c>
      <c r="K20" s="60">
        <v>262.23</v>
      </c>
      <c r="L20" s="60">
        <v>35.82</v>
      </c>
      <c r="M20" s="60">
        <v>35.5</v>
      </c>
      <c r="N20" s="60">
        <v>896.4</v>
      </c>
      <c r="O20" s="60">
        <v>0</v>
      </c>
      <c r="P20" s="60">
        <v>1.33</v>
      </c>
      <c r="Q20" s="60">
        <v>23.95</v>
      </c>
      <c r="R20" s="44"/>
      <c r="S20" s="44"/>
      <c r="T20" s="44"/>
      <c r="U20" s="44"/>
    </row>
    <row r="21" spans="1:21" s="12" customFormat="1" x14ac:dyDescent="0.25">
      <c r="A21" s="59" t="s">
        <v>266</v>
      </c>
      <c r="B21" s="60">
        <v>2.16</v>
      </c>
      <c r="C21" s="60">
        <v>40.54</v>
      </c>
      <c r="D21" s="60">
        <v>24.2</v>
      </c>
      <c r="E21" s="60">
        <v>11.82</v>
      </c>
      <c r="F21" s="60">
        <v>37.36</v>
      </c>
      <c r="G21" s="60">
        <v>97.14</v>
      </c>
      <c r="H21" s="60">
        <v>49.24</v>
      </c>
      <c r="I21" s="60">
        <v>0.62</v>
      </c>
      <c r="J21" s="60">
        <v>0.6</v>
      </c>
      <c r="K21" s="60">
        <v>289.76</v>
      </c>
      <c r="L21" s="60">
        <v>38.93</v>
      </c>
      <c r="M21" s="60">
        <v>29.43</v>
      </c>
      <c r="N21" s="60">
        <v>893.2</v>
      </c>
      <c r="O21" s="60">
        <v>0</v>
      </c>
      <c r="P21" s="60">
        <v>1.1399999999999999</v>
      </c>
      <c r="Q21" s="60">
        <v>22.98</v>
      </c>
      <c r="R21" s="44"/>
      <c r="S21" s="44"/>
      <c r="T21" s="44"/>
      <c r="U21" s="44"/>
    </row>
    <row r="22" spans="1:21" s="12" customFormat="1" x14ac:dyDescent="0.25">
      <c r="A22" s="59" t="s">
        <v>267</v>
      </c>
      <c r="B22" s="60">
        <v>2.48</v>
      </c>
      <c r="C22" s="60">
        <v>27.3</v>
      </c>
      <c r="D22" s="60">
        <v>17.7</v>
      </c>
      <c r="E22" s="60">
        <v>14.75</v>
      </c>
      <c r="F22" s="60">
        <v>59.26</v>
      </c>
      <c r="G22" s="60">
        <v>78.84</v>
      </c>
      <c r="H22" s="60">
        <v>41.74</v>
      </c>
      <c r="I22" s="60">
        <v>0.59</v>
      </c>
      <c r="J22" s="60">
        <v>0.34</v>
      </c>
      <c r="K22" s="60">
        <v>305.45999999999998</v>
      </c>
      <c r="L22" s="60">
        <v>38.159999999999997</v>
      </c>
      <c r="M22" s="60">
        <v>29.81</v>
      </c>
      <c r="N22" s="60">
        <v>767.3</v>
      </c>
      <c r="O22" s="60">
        <v>0</v>
      </c>
      <c r="P22" s="60">
        <v>0.88</v>
      </c>
      <c r="Q22" s="60">
        <v>20.3</v>
      </c>
      <c r="R22" s="44"/>
      <c r="S22" s="44"/>
      <c r="T22" s="44"/>
      <c r="U22" s="44"/>
    </row>
    <row r="23" spans="1:21" s="12" customFormat="1" x14ac:dyDescent="0.25">
      <c r="A23" s="59" t="s">
        <v>268</v>
      </c>
      <c r="B23" s="60">
        <v>1.61</v>
      </c>
      <c r="C23" s="60">
        <v>26.49</v>
      </c>
      <c r="D23" s="60">
        <v>16.559999999999999</v>
      </c>
      <c r="E23" s="60">
        <v>10.58</v>
      </c>
      <c r="F23" s="60">
        <v>41.22</v>
      </c>
      <c r="G23" s="60">
        <v>73.569999999999993</v>
      </c>
      <c r="H23" s="60">
        <v>36.159999999999997</v>
      </c>
      <c r="I23" s="60">
        <v>0.65</v>
      </c>
      <c r="J23" s="60">
        <v>1.32</v>
      </c>
      <c r="K23" s="60">
        <v>132.04</v>
      </c>
      <c r="L23" s="60">
        <v>37.049999999999997</v>
      </c>
      <c r="M23" s="60">
        <v>31.6</v>
      </c>
      <c r="N23" s="60">
        <v>491.1</v>
      </c>
      <c r="O23" s="60">
        <v>0</v>
      </c>
      <c r="P23" s="60">
        <v>0.76</v>
      </c>
      <c r="Q23" s="60">
        <v>23.46</v>
      </c>
      <c r="R23" s="44"/>
      <c r="S23" s="44"/>
      <c r="T23" s="44"/>
      <c r="U23" s="44"/>
    </row>
    <row r="24" spans="1:21" s="12" customFormat="1" x14ac:dyDescent="0.25">
      <c r="A24" s="59" t="s">
        <v>269</v>
      </c>
      <c r="B24" s="60">
        <v>1.0900000000000001</v>
      </c>
      <c r="C24" s="60">
        <v>22.74</v>
      </c>
      <c r="D24" s="60">
        <v>14</v>
      </c>
      <c r="E24" s="60">
        <v>10.08</v>
      </c>
      <c r="F24" s="60">
        <v>63.5</v>
      </c>
      <c r="G24" s="60">
        <v>67.11</v>
      </c>
      <c r="H24" s="60">
        <v>29.54</v>
      </c>
      <c r="I24" s="60">
        <v>0.61</v>
      </c>
      <c r="J24" s="60">
        <v>0.49</v>
      </c>
      <c r="K24" s="60">
        <v>231.74</v>
      </c>
      <c r="L24" s="60">
        <v>34.880000000000003</v>
      </c>
      <c r="M24" s="60">
        <v>33.33</v>
      </c>
      <c r="N24" s="60">
        <v>196.2</v>
      </c>
      <c r="O24" s="60">
        <v>0</v>
      </c>
      <c r="P24" s="60">
        <v>0.56000000000000005</v>
      </c>
      <c r="Q24" s="60">
        <v>24.67</v>
      </c>
      <c r="R24" s="44"/>
      <c r="S24" s="44"/>
      <c r="T24" s="44"/>
      <c r="U24" s="44"/>
    </row>
    <row r="25" spans="1:21" s="12" customFormat="1" x14ac:dyDescent="0.25">
      <c r="A25" s="59" t="s">
        <v>270</v>
      </c>
      <c r="B25" s="60">
        <v>1.25</v>
      </c>
      <c r="C25" s="60">
        <v>29.62</v>
      </c>
      <c r="D25" s="60">
        <v>17.989999999999998</v>
      </c>
      <c r="E25" s="60">
        <v>8.91</v>
      </c>
      <c r="F25" s="60">
        <v>54.6</v>
      </c>
      <c r="G25" s="60">
        <v>46.56</v>
      </c>
      <c r="H25" s="60">
        <v>28.49</v>
      </c>
      <c r="I25" s="60">
        <v>0.62</v>
      </c>
      <c r="J25" s="60">
        <v>0.98</v>
      </c>
      <c r="K25" s="60">
        <v>210.91</v>
      </c>
      <c r="L25" s="60">
        <v>33.770000000000003</v>
      </c>
      <c r="M25" s="60">
        <v>34.78</v>
      </c>
      <c r="N25" s="60">
        <v>147.6</v>
      </c>
      <c r="O25" s="60">
        <v>0</v>
      </c>
      <c r="P25" s="60">
        <v>0.49</v>
      </c>
      <c r="Q25" s="60">
        <v>21.79</v>
      </c>
      <c r="R25" s="44"/>
      <c r="S25" s="44"/>
      <c r="T25" s="44"/>
      <c r="U25" s="44"/>
    </row>
    <row r="26" spans="1:21" s="12" customFormat="1" x14ac:dyDescent="0.25">
      <c r="A26" s="59" t="s">
        <v>271</v>
      </c>
      <c r="B26" s="60">
        <v>9.5</v>
      </c>
      <c r="C26" s="60">
        <v>56.83</v>
      </c>
      <c r="D26" s="60">
        <v>39.630000000000003</v>
      </c>
      <c r="E26" s="60">
        <v>9.08</v>
      </c>
      <c r="F26" s="60">
        <v>33.4</v>
      </c>
      <c r="G26" s="60">
        <v>38.69</v>
      </c>
      <c r="H26" s="60">
        <v>25.69</v>
      </c>
      <c r="I26" s="60">
        <v>0.61</v>
      </c>
      <c r="J26" s="60">
        <v>0.1</v>
      </c>
      <c r="K26" s="60">
        <v>336.64</v>
      </c>
      <c r="L26" s="60">
        <v>33.630000000000003</v>
      </c>
      <c r="M26" s="60">
        <v>35.299999999999997</v>
      </c>
      <c r="N26" s="60">
        <v>64.400000000000006</v>
      </c>
      <c r="O26" s="60">
        <v>0</v>
      </c>
      <c r="P26" s="60">
        <v>1.2</v>
      </c>
      <c r="Q26" s="60">
        <v>22.37</v>
      </c>
      <c r="R26" s="44"/>
      <c r="S26" s="44"/>
      <c r="T26" s="44"/>
      <c r="U26" s="44"/>
    </row>
    <row r="27" spans="1:21" s="12" customFormat="1" x14ac:dyDescent="0.25">
      <c r="A27" s="59" t="s">
        <v>272</v>
      </c>
      <c r="B27" s="60">
        <v>9.56</v>
      </c>
      <c r="C27" s="60">
        <v>96.1</v>
      </c>
      <c r="D27" s="60">
        <v>61.35</v>
      </c>
      <c r="E27" s="60">
        <v>11.53</v>
      </c>
      <c r="F27" s="60">
        <v>37.54</v>
      </c>
      <c r="G27" s="60">
        <v>151.53</v>
      </c>
      <c r="H27" s="60">
        <v>25.99</v>
      </c>
      <c r="I27" s="60">
        <v>0.73</v>
      </c>
      <c r="J27" s="60">
        <v>0.13</v>
      </c>
      <c r="K27" s="60">
        <v>338.12</v>
      </c>
      <c r="L27" s="60">
        <v>32.25</v>
      </c>
      <c r="M27" s="60">
        <v>38.979999999999997</v>
      </c>
      <c r="N27" s="60">
        <v>15.1</v>
      </c>
      <c r="O27" s="60">
        <v>0</v>
      </c>
      <c r="P27" s="60">
        <v>1.49</v>
      </c>
      <c r="Q27" s="60">
        <v>21.52</v>
      </c>
      <c r="R27" s="44"/>
      <c r="S27" s="44"/>
      <c r="T27" s="44"/>
      <c r="U27" s="44"/>
    </row>
    <row r="28" spans="1:21" s="12" customFormat="1" x14ac:dyDescent="0.25">
      <c r="A28" s="59" t="s">
        <v>273</v>
      </c>
      <c r="B28" s="60">
        <v>2.2000000000000002</v>
      </c>
      <c r="C28" s="60">
        <v>31.8</v>
      </c>
      <c r="D28" s="60">
        <v>19.96</v>
      </c>
      <c r="E28" s="60">
        <v>7.02</v>
      </c>
      <c r="F28" s="60">
        <v>13.19</v>
      </c>
      <c r="G28" s="60">
        <v>83.06</v>
      </c>
      <c r="H28" s="60">
        <v>24.95</v>
      </c>
      <c r="I28" s="60">
        <v>0.72</v>
      </c>
      <c r="J28" s="60">
        <v>3.13</v>
      </c>
      <c r="K28" s="60">
        <v>270.88</v>
      </c>
      <c r="L28" s="60">
        <v>29.33</v>
      </c>
      <c r="M28" s="60">
        <v>75.48</v>
      </c>
      <c r="N28" s="60">
        <v>15.2</v>
      </c>
      <c r="O28" s="60">
        <v>0.4</v>
      </c>
      <c r="P28" s="60">
        <v>0.78</v>
      </c>
      <c r="Q28" s="60">
        <v>22.01</v>
      </c>
      <c r="R28" s="44"/>
      <c r="S28" s="44"/>
      <c r="T28" s="44"/>
      <c r="U28" s="44"/>
    </row>
    <row r="29" spans="1:21" s="12" customFormat="1" x14ac:dyDescent="0.25">
      <c r="A29" s="59" t="s">
        <v>274</v>
      </c>
      <c r="B29" s="60">
        <v>4.03</v>
      </c>
      <c r="C29" s="60">
        <v>28.49</v>
      </c>
      <c r="D29" s="60">
        <v>18.84</v>
      </c>
      <c r="E29" s="60">
        <v>4.07</v>
      </c>
      <c r="F29" s="60">
        <v>14.1</v>
      </c>
      <c r="G29" s="60">
        <v>61.6</v>
      </c>
      <c r="H29" s="60">
        <v>23.83</v>
      </c>
      <c r="I29" s="60">
        <v>0.56000000000000005</v>
      </c>
      <c r="J29" s="60">
        <v>1.91</v>
      </c>
      <c r="K29" s="60">
        <v>345.05</v>
      </c>
      <c r="L29" s="60">
        <v>25.54</v>
      </c>
      <c r="M29" s="60">
        <v>71.11</v>
      </c>
      <c r="N29" s="60">
        <v>6.5</v>
      </c>
      <c r="O29" s="60">
        <v>0.4</v>
      </c>
      <c r="P29" s="60">
        <v>0.66</v>
      </c>
      <c r="Q29" s="60">
        <v>21.73</v>
      </c>
      <c r="R29" s="44"/>
      <c r="S29" s="44"/>
      <c r="T29" s="44"/>
      <c r="U29" s="44"/>
    </row>
    <row r="30" spans="1:21" s="12" customFormat="1" x14ac:dyDescent="0.25">
      <c r="A30" s="59" t="s">
        <v>275</v>
      </c>
      <c r="B30" s="60">
        <v>2.88</v>
      </c>
      <c r="C30" s="60">
        <v>29.73</v>
      </c>
      <c r="D30" s="60">
        <v>19.36</v>
      </c>
      <c r="E30" s="60">
        <v>4.1100000000000003</v>
      </c>
      <c r="F30" s="60">
        <v>12.69</v>
      </c>
      <c r="G30" s="60">
        <v>39.299999999999997</v>
      </c>
      <c r="H30" s="60">
        <v>20.62</v>
      </c>
      <c r="I30" s="60">
        <v>0.54</v>
      </c>
      <c r="J30" s="60">
        <v>0.94</v>
      </c>
      <c r="K30" s="60">
        <v>220.17</v>
      </c>
      <c r="L30" s="60">
        <v>26.76</v>
      </c>
      <c r="M30" s="60">
        <v>58.69</v>
      </c>
      <c r="N30" s="60">
        <v>6.8</v>
      </c>
      <c r="O30" s="60">
        <v>0</v>
      </c>
      <c r="P30" s="60">
        <v>0.7</v>
      </c>
      <c r="Q30" s="60">
        <v>22.24</v>
      </c>
      <c r="R30" s="44"/>
      <c r="S30" s="44"/>
      <c r="T30" s="44"/>
      <c r="U30" s="44"/>
    </row>
    <row r="31" spans="1:21" s="12" customFormat="1" x14ac:dyDescent="0.25">
      <c r="A31" s="59" t="s">
        <v>276</v>
      </c>
      <c r="B31" s="60">
        <v>1.52</v>
      </c>
      <c r="C31" s="60">
        <v>23</v>
      </c>
      <c r="D31" s="60">
        <v>14.34</v>
      </c>
      <c r="E31" s="60">
        <v>3.7</v>
      </c>
      <c r="F31" s="60">
        <v>18.440000000000001</v>
      </c>
      <c r="G31" s="60">
        <v>24.76</v>
      </c>
      <c r="H31" s="60">
        <v>20.34</v>
      </c>
      <c r="I31" s="60">
        <v>0.53</v>
      </c>
      <c r="J31" s="60">
        <v>0.96</v>
      </c>
      <c r="K31" s="60">
        <v>221.22</v>
      </c>
      <c r="L31" s="60">
        <v>25.66</v>
      </c>
      <c r="M31" s="60">
        <v>56.95</v>
      </c>
      <c r="N31" s="60">
        <v>6.2</v>
      </c>
      <c r="O31" s="60">
        <v>0</v>
      </c>
      <c r="P31" s="60">
        <v>0.59</v>
      </c>
      <c r="Q31" s="60">
        <v>22.11</v>
      </c>
      <c r="R31" s="44"/>
      <c r="S31" s="44"/>
      <c r="T31" s="44"/>
      <c r="U31" s="44"/>
    </row>
    <row r="32" spans="1:21" s="12" customFormat="1" x14ac:dyDescent="0.25">
      <c r="A32" s="59" t="s">
        <v>277</v>
      </c>
      <c r="B32" s="60">
        <v>2.84</v>
      </c>
      <c r="C32" s="60">
        <v>24.23</v>
      </c>
      <c r="D32" s="60">
        <v>16.260000000000002</v>
      </c>
      <c r="E32" s="60">
        <v>3.53</v>
      </c>
      <c r="F32" s="60">
        <v>14.07</v>
      </c>
      <c r="G32" s="60">
        <v>29.97</v>
      </c>
      <c r="H32" s="60">
        <v>17.91</v>
      </c>
      <c r="I32" s="60">
        <v>0.54</v>
      </c>
      <c r="J32" s="60">
        <v>0.16</v>
      </c>
      <c r="K32" s="60">
        <v>262.69</v>
      </c>
      <c r="L32" s="60">
        <v>25.33</v>
      </c>
      <c r="M32" s="60">
        <v>64.34</v>
      </c>
      <c r="N32" s="60">
        <v>6.4</v>
      </c>
      <c r="O32" s="60">
        <v>0</v>
      </c>
      <c r="P32" s="60">
        <v>0.63</v>
      </c>
      <c r="Q32" s="60">
        <v>22.11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1.0900000000000001</v>
      </c>
      <c r="C34" s="29">
        <f t="shared" si="0"/>
        <v>22.74</v>
      </c>
      <c r="D34" s="29">
        <f t="shared" si="0"/>
        <v>14</v>
      </c>
      <c r="E34" s="29">
        <f t="shared" si="0"/>
        <v>3.53</v>
      </c>
      <c r="F34" s="29">
        <f t="shared" si="0"/>
        <v>4.63</v>
      </c>
      <c r="G34" s="29">
        <f t="shared" si="0"/>
        <v>24.76</v>
      </c>
      <c r="H34" s="29">
        <f t="shared" si="0"/>
        <v>17.91</v>
      </c>
      <c r="I34" s="29">
        <f t="shared" si="0"/>
        <v>0.53</v>
      </c>
      <c r="J34" s="29">
        <f t="shared" si="0"/>
        <v>0.1</v>
      </c>
      <c r="K34" s="29">
        <f t="shared" si="0"/>
        <v>124.68</v>
      </c>
      <c r="L34" s="29">
        <f t="shared" si="0"/>
        <v>24.66</v>
      </c>
      <c r="M34" s="29">
        <f t="shared" si="0"/>
        <v>29.43</v>
      </c>
      <c r="N34" s="29">
        <f t="shared" si="0"/>
        <v>6.1</v>
      </c>
      <c r="O34" s="29">
        <f t="shared" si="0"/>
        <v>0</v>
      </c>
      <c r="P34" s="29">
        <f t="shared" si="0"/>
        <v>0.49</v>
      </c>
      <c r="Q34" s="29">
        <f t="shared" si="0"/>
        <v>20.3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19.79</v>
      </c>
      <c r="C35" s="30">
        <f t="shared" si="1"/>
        <v>96.1</v>
      </c>
      <c r="D35" s="30">
        <f t="shared" si="1"/>
        <v>61.35</v>
      </c>
      <c r="E35" s="30">
        <f t="shared" si="1"/>
        <v>41.04</v>
      </c>
      <c r="F35" s="30">
        <f t="shared" si="1"/>
        <v>63.5</v>
      </c>
      <c r="G35" s="30">
        <f t="shared" si="1"/>
        <v>151.53</v>
      </c>
      <c r="H35" s="30">
        <f t="shared" si="1"/>
        <v>55.64</v>
      </c>
      <c r="I35" s="30">
        <f t="shared" si="1"/>
        <v>0.73</v>
      </c>
      <c r="J35" s="30">
        <f t="shared" si="1"/>
        <v>3.13</v>
      </c>
      <c r="K35" s="30">
        <f t="shared" si="1"/>
        <v>358.41</v>
      </c>
      <c r="L35" s="30">
        <f t="shared" si="1"/>
        <v>38.93</v>
      </c>
      <c r="M35" s="30">
        <f t="shared" si="1"/>
        <v>75.48</v>
      </c>
      <c r="N35" s="30">
        <f t="shared" si="1"/>
        <v>896.4</v>
      </c>
      <c r="O35" s="30">
        <f t="shared" si="1"/>
        <v>0.4</v>
      </c>
      <c r="P35" s="30">
        <f t="shared" si="1"/>
        <v>1.49</v>
      </c>
      <c r="Q35" s="30">
        <f t="shared" si="1"/>
        <v>27.12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7.5129166666666656</v>
      </c>
      <c r="C36" s="29">
        <f t="shared" si="2"/>
        <v>37.702500000000008</v>
      </c>
      <c r="D36" s="29">
        <f t="shared" si="2"/>
        <v>27.205000000000002</v>
      </c>
      <c r="E36" s="29">
        <f t="shared" si="2"/>
        <v>11.260833333333332</v>
      </c>
      <c r="F36" s="29">
        <f t="shared" si="2"/>
        <v>24.822083333333339</v>
      </c>
      <c r="G36" s="29">
        <f t="shared" si="2"/>
        <v>74.127499999999984</v>
      </c>
      <c r="H36" s="29">
        <f t="shared" si="2"/>
        <v>31.082916666666673</v>
      </c>
      <c r="I36" s="29">
        <f t="shared" si="2"/>
        <v>0.63708333333333333</v>
      </c>
      <c r="J36" s="29">
        <f t="shared" si="2"/>
        <v>0.65666666666666662</v>
      </c>
      <c r="K36" s="29">
        <f t="shared" si="2"/>
        <v>265.60750000000002</v>
      </c>
      <c r="L36" s="29">
        <f t="shared" si="2"/>
        <v>30.783333333333335</v>
      </c>
      <c r="M36" s="29">
        <f t="shared" si="2"/>
        <v>51.191249999999997</v>
      </c>
      <c r="N36" s="29">
        <f t="shared" si="2"/>
        <v>261.49166666666667</v>
      </c>
      <c r="O36" s="29">
        <f t="shared" si="2"/>
        <v>3.3333333333333333E-2</v>
      </c>
      <c r="P36" s="29">
        <f t="shared" si="2"/>
        <v>0.89500000000000002</v>
      </c>
      <c r="Q36" s="29">
        <f t="shared" si="2"/>
        <v>23.865416666666665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5.9380984214072141</v>
      </c>
      <c r="C37" s="29">
        <f t="shared" ref="C37:Q37" si="3">STDEV(C9:C32)</f>
        <v>15.94937405068598</v>
      </c>
      <c r="D37" s="29">
        <f t="shared" si="3"/>
        <v>10.948433677928547</v>
      </c>
      <c r="E37" s="29">
        <f t="shared" si="3"/>
        <v>8.0313136705872914</v>
      </c>
      <c r="F37" s="29">
        <f t="shared" si="3"/>
        <v>16.967348689703133</v>
      </c>
      <c r="G37" s="29">
        <f t="shared" si="3"/>
        <v>29.686268857767423</v>
      </c>
      <c r="H37" s="29">
        <f t="shared" si="3"/>
        <v>10.405161127042195</v>
      </c>
      <c r="I37" s="29">
        <f t="shared" si="3"/>
        <v>5.9744322391094312E-2</v>
      </c>
      <c r="J37" s="29">
        <f t="shared" si="3"/>
        <v>0.67776273048949798</v>
      </c>
      <c r="K37" s="29">
        <f t="shared" si="3"/>
        <v>62.290581411708338</v>
      </c>
      <c r="L37" s="29">
        <f t="shared" si="3"/>
        <v>5.0189550849681295</v>
      </c>
      <c r="M37" s="29">
        <f t="shared" si="3"/>
        <v>15.674946033469261</v>
      </c>
      <c r="N37" s="29">
        <f t="shared" si="3"/>
        <v>333.32789042657669</v>
      </c>
      <c r="O37" s="29">
        <f t="shared" si="3"/>
        <v>0.11293194051465599</v>
      </c>
      <c r="P37" s="29">
        <f t="shared" si="3"/>
        <v>0.27867699862962697</v>
      </c>
      <c r="Q37" s="29">
        <f t="shared" si="3"/>
        <v>1.8831956631739311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69" sqref="H69"/>
    </sheetView>
  </sheetViews>
  <sheetFormatPr defaultColWidth="8.85546875" defaultRowHeight="15" x14ac:dyDescent="0.25"/>
  <cols>
    <col min="1" max="1" width="18.28515625" style="27" customWidth="1"/>
    <col min="2" max="2" width="13.855468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10-05-2023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278</v>
      </c>
      <c r="B9" s="60">
        <v>2.04</v>
      </c>
      <c r="C9" s="60">
        <v>18.53</v>
      </c>
      <c r="D9" s="60">
        <v>12.51</v>
      </c>
      <c r="E9" s="60">
        <v>4.3499999999999996</v>
      </c>
      <c r="F9" s="60">
        <v>23.52</v>
      </c>
      <c r="G9" s="60">
        <v>48.75</v>
      </c>
      <c r="H9" s="60">
        <v>18.8</v>
      </c>
      <c r="I9" s="60">
        <v>0.53</v>
      </c>
      <c r="J9" s="60">
        <v>0.31</v>
      </c>
      <c r="K9" s="60">
        <v>245.44</v>
      </c>
      <c r="L9" s="60">
        <v>25.13</v>
      </c>
      <c r="M9" s="60">
        <v>64.209999999999994</v>
      </c>
      <c r="N9" s="60">
        <v>6.1</v>
      </c>
      <c r="O9" s="60">
        <v>0</v>
      </c>
      <c r="P9" s="60">
        <v>0.54</v>
      </c>
      <c r="Q9" s="60">
        <v>21.57</v>
      </c>
      <c r="R9" s="44"/>
      <c r="S9" s="44"/>
      <c r="T9" s="44"/>
      <c r="U9" s="44"/>
    </row>
    <row r="10" spans="1:21" s="12" customFormat="1" x14ac:dyDescent="0.25">
      <c r="A10" s="59" t="s">
        <v>279</v>
      </c>
      <c r="B10" s="60">
        <v>2.0499999999999998</v>
      </c>
      <c r="C10" s="60">
        <v>14.96</v>
      </c>
      <c r="D10" s="60">
        <v>10</v>
      </c>
      <c r="E10" s="60">
        <v>4.4000000000000004</v>
      </c>
      <c r="F10" s="60">
        <v>26.25</v>
      </c>
      <c r="G10" s="60">
        <v>30.04</v>
      </c>
      <c r="H10" s="60">
        <v>14.71</v>
      </c>
      <c r="I10" s="60">
        <v>0.55000000000000004</v>
      </c>
      <c r="J10" s="60">
        <v>0.18</v>
      </c>
      <c r="K10" s="60">
        <v>265.81</v>
      </c>
      <c r="L10" s="60">
        <v>24.14</v>
      </c>
      <c r="M10" s="60">
        <v>66.95</v>
      </c>
      <c r="N10" s="60">
        <v>6</v>
      </c>
      <c r="O10" s="60">
        <v>0</v>
      </c>
      <c r="P10" s="60">
        <v>0.51</v>
      </c>
      <c r="Q10" s="60">
        <v>23.47</v>
      </c>
      <c r="R10" s="44"/>
      <c r="S10" s="44"/>
      <c r="T10" s="44"/>
      <c r="U10" s="44"/>
    </row>
    <row r="11" spans="1:21" s="12" customFormat="1" x14ac:dyDescent="0.25">
      <c r="A11" s="59" t="s">
        <v>280</v>
      </c>
      <c r="B11" s="60">
        <v>1.69</v>
      </c>
      <c r="C11" s="60">
        <v>11.9</v>
      </c>
      <c r="D11" s="60">
        <v>8.56</v>
      </c>
      <c r="E11" s="60">
        <v>3.94</v>
      </c>
      <c r="F11" s="60">
        <v>7.78</v>
      </c>
      <c r="G11" s="60">
        <v>29.75</v>
      </c>
      <c r="H11" s="60">
        <v>12.52</v>
      </c>
      <c r="I11" s="60">
        <v>0.57999999999999996</v>
      </c>
      <c r="J11" s="60">
        <v>0.16</v>
      </c>
      <c r="K11" s="60">
        <v>336.46</v>
      </c>
      <c r="L11" s="60">
        <v>23.8</v>
      </c>
      <c r="M11" s="60">
        <v>71.77</v>
      </c>
      <c r="N11" s="60">
        <v>5.8</v>
      </c>
      <c r="O11" s="60">
        <v>0</v>
      </c>
      <c r="P11" s="60">
        <v>0.48</v>
      </c>
      <c r="Q11" s="60">
        <v>22.38</v>
      </c>
      <c r="R11" s="44"/>
      <c r="S11" s="44"/>
      <c r="T11" s="44"/>
      <c r="U11" s="44"/>
    </row>
    <row r="12" spans="1:21" s="12" customFormat="1" x14ac:dyDescent="0.25">
      <c r="A12" s="59" t="s">
        <v>281</v>
      </c>
      <c r="B12" s="60">
        <v>1.67</v>
      </c>
      <c r="C12" s="60">
        <v>15.1</v>
      </c>
      <c r="D12" s="60">
        <v>10.32</v>
      </c>
      <c r="E12" s="60">
        <v>4.16</v>
      </c>
      <c r="F12" s="60">
        <v>14.24</v>
      </c>
      <c r="G12" s="60">
        <v>9.7200000000000006</v>
      </c>
      <c r="H12" s="60">
        <v>11.18</v>
      </c>
      <c r="I12" s="60">
        <v>0.55000000000000004</v>
      </c>
      <c r="J12" s="60">
        <v>0.11</v>
      </c>
      <c r="K12" s="60">
        <v>308.24</v>
      </c>
      <c r="L12" s="60">
        <v>23.63</v>
      </c>
      <c r="M12" s="60">
        <v>72</v>
      </c>
      <c r="N12" s="60">
        <v>5.8</v>
      </c>
      <c r="O12" s="60">
        <v>0</v>
      </c>
      <c r="P12" s="60">
        <v>0.43</v>
      </c>
      <c r="Q12" s="60">
        <v>22.35</v>
      </c>
      <c r="R12" s="44"/>
      <c r="S12" s="44"/>
      <c r="T12" s="44"/>
      <c r="U12" s="44"/>
    </row>
    <row r="13" spans="1:21" s="12" customFormat="1" x14ac:dyDescent="0.25">
      <c r="A13" s="59" t="s">
        <v>282</v>
      </c>
      <c r="B13" s="60">
        <v>2.5499999999999998</v>
      </c>
      <c r="C13" s="60">
        <v>15.76</v>
      </c>
      <c r="D13" s="60">
        <v>10.94</v>
      </c>
      <c r="E13" s="60">
        <v>3.43</v>
      </c>
      <c r="F13" s="60">
        <v>7.98</v>
      </c>
      <c r="G13" s="60">
        <v>31.6</v>
      </c>
      <c r="H13" s="60">
        <v>13.6</v>
      </c>
      <c r="I13" s="60">
        <v>0.54</v>
      </c>
      <c r="J13" s="60">
        <v>0.27</v>
      </c>
      <c r="K13" s="60">
        <v>335.53</v>
      </c>
      <c r="L13" s="60">
        <v>23.37</v>
      </c>
      <c r="M13" s="60">
        <v>73.209999999999994</v>
      </c>
      <c r="N13" s="60">
        <v>5.9</v>
      </c>
      <c r="O13" s="60">
        <v>0</v>
      </c>
      <c r="P13" s="60">
        <v>0.42</v>
      </c>
      <c r="Q13" s="60">
        <v>22.63</v>
      </c>
      <c r="R13" s="44"/>
      <c r="S13" s="44"/>
      <c r="T13" s="44"/>
      <c r="U13" s="44"/>
    </row>
    <row r="14" spans="1:21" s="12" customFormat="1" x14ac:dyDescent="0.25">
      <c r="A14" s="59" t="s">
        <v>283</v>
      </c>
      <c r="B14" s="60">
        <v>6.11</v>
      </c>
      <c r="C14" s="60">
        <v>16.690000000000001</v>
      </c>
      <c r="D14" s="60">
        <v>14.75</v>
      </c>
      <c r="E14" s="60">
        <v>3.3</v>
      </c>
      <c r="F14" s="60">
        <v>5.49</v>
      </c>
      <c r="G14" s="60">
        <v>42.41</v>
      </c>
      <c r="H14" s="60">
        <v>16.309999999999999</v>
      </c>
      <c r="I14" s="60">
        <v>0.55000000000000004</v>
      </c>
      <c r="J14" s="60">
        <v>0.83</v>
      </c>
      <c r="K14" s="60">
        <v>287.25</v>
      </c>
      <c r="L14" s="60">
        <v>23.61</v>
      </c>
      <c r="M14" s="60">
        <v>74</v>
      </c>
      <c r="N14" s="60">
        <v>50.4</v>
      </c>
      <c r="O14" s="60">
        <v>0</v>
      </c>
      <c r="P14" s="60">
        <v>0.48</v>
      </c>
      <c r="Q14" s="60">
        <v>22.83</v>
      </c>
      <c r="R14" s="44"/>
      <c r="S14" s="44"/>
      <c r="T14" s="44"/>
      <c r="U14" s="44"/>
    </row>
    <row r="15" spans="1:21" s="12" customFormat="1" x14ac:dyDescent="0.25">
      <c r="A15" s="59" t="s">
        <v>284</v>
      </c>
      <c r="B15" s="60">
        <v>12.86</v>
      </c>
      <c r="C15" s="60">
        <v>31.26</v>
      </c>
      <c r="D15" s="60">
        <v>28.21</v>
      </c>
      <c r="E15" s="60">
        <v>6.71</v>
      </c>
      <c r="F15" s="60">
        <v>10.35</v>
      </c>
      <c r="G15" s="60">
        <v>54.11</v>
      </c>
      <c r="H15" s="60">
        <v>23.77</v>
      </c>
      <c r="I15" s="60">
        <v>0.54</v>
      </c>
      <c r="J15" s="60">
        <v>0.54</v>
      </c>
      <c r="K15" s="60">
        <v>270.57</v>
      </c>
      <c r="L15" s="60">
        <v>26.96</v>
      </c>
      <c r="M15" s="60">
        <v>70.739999999999995</v>
      </c>
      <c r="N15" s="60">
        <v>208.2</v>
      </c>
      <c r="O15" s="60">
        <v>0</v>
      </c>
      <c r="P15" s="60">
        <v>0.71</v>
      </c>
      <c r="Q15" s="60">
        <v>23.41</v>
      </c>
      <c r="R15" s="44"/>
      <c r="S15" s="44"/>
      <c r="T15" s="44"/>
      <c r="U15" s="44"/>
    </row>
    <row r="16" spans="1:21" s="12" customFormat="1" x14ac:dyDescent="0.25">
      <c r="A16" s="59" t="s">
        <v>285</v>
      </c>
      <c r="B16" s="60">
        <v>10.92</v>
      </c>
      <c r="C16" s="60">
        <v>23.03</v>
      </c>
      <c r="D16" s="60">
        <v>21.63</v>
      </c>
      <c r="E16" s="60">
        <v>5.71</v>
      </c>
      <c r="F16" s="60">
        <v>7.37</v>
      </c>
      <c r="G16" s="60">
        <v>61.56</v>
      </c>
      <c r="H16" s="60">
        <v>27.3</v>
      </c>
      <c r="I16" s="60">
        <v>0.56000000000000005</v>
      </c>
      <c r="J16" s="60">
        <v>0.5</v>
      </c>
      <c r="K16" s="60">
        <v>270.64</v>
      </c>
      <c r="L16" s="60">
        <v>31.31</v>
      </c>
      <c r="M16" s="60">
        <v>58.09</v>
      </c>
      <c r="N16" s="60">
        <v>384</v>
      </c>
      <c r="O16" s="60">
        <v>0</v>
      </c>
      <c r="P16" s="60">
        <v>0.63</v>
      </c>
      <c r="Q16" s="60">
        <v>23.75</v>
      </c>
      <c r="R16" s="44"/>
      <c r="S16" s="44"/>
      <c r="T16" s="44"/>
      <c r="U16" s="44"/>
    </row>
    <row r="17" spans="1:21" s="12" customFormat="1" x14ac:dyDescent="0.25">
      <c r="A17" s="59" t="s">
        <v>286</v>
      </c>
      <c r="B17" s="60">
        <v>11.63</v>
      </c>
      <c r="C17" s="60">
        <v>24.54</v>
      </c>
      <c r="D17" s="60">
        <v>21.83</v>
      </c>
      <c r="E17" s="60">
        <v>5.41</v>
      </c>
      <c r="F17" s="60">
        <v>5.49</v>
      </c>
      <c r="G17" s="60">
        <v>71.64</v>
      </c>
      <c r="H17" s="60">
        <v>27.23</v>
      </c>
      <c r="I17" s="60">
        <v>0.56999999999999995</v>
      </c>
      <c r="J17" s="60">
        <v>0.56999999999999995</v>
      </c>
      <c r="K17" s="60">
        <v>278.95999999999998</v>
      </c>
      <c r="L17" s="60">
        <v>34.590000000000003</v>
      </c>
      <c r="M17" s="60">
        <v>46.92</v>
      </c>
      <c r="N17" s="60">
        <v>605.5</v>
      </c>
      <c r="O17" s="60">
        <v>0</v>
      </c>
      <c r="P17" s="60">
        <v>0.66</v>
      </c>
      <c r="Q17" s="60">
        <v>23.24</v>
      </c>
      <c r="R17" s="44"/>
      <c r="S17" s="44"/>
      <c r="T17" s="44"/>
      <c r="U17" s="44"/>
    </row>
    <row r="18" spans="1:21" s="12" customFormat="1" x14ac:dyDescent="0.25">
      <c r="A18" s="59" t="s">
        <v>287</v>
      </c>
      <c r="B18" s="60">
        <v>7.1</v>
      </c>
      <c r="C18" s="60">
        <v>26.57</v>
      </c>
      <c r="D18" s="60">
        <v>20.82</v>
      </c>
      <c r="E18" s="60">
        <v>4.6500000000000004</v>
      </c>
      <c r="F18" s="60">
        <v>13.76</v>
      </c>
      <c r="G18" s="60">
        <v>55.9</v>
      </c>
      <c r="H18" s="60">
        <v>25.61</v>
      </c>
      <c r="I18" s="60">
        <v>0.56000000000000005</v>
      </c>
      <c r="J18" s="60">
        <v>0.92</v>
      </c>
      <c r="K18" s="60">
        <v>302.76</v>
      </c>
      <c r="L18" s="60">
        <v>36.49</v>
      </c>
      <c r="M18" s="60">
        <v>40.229999999999997</v>
      </c>
      <c r="N18" s="60">
        <v>798.9</v>
      </c>
      <c r="O18" s="60">
        <v>0</v>
      </c>
      <c r="P18" s="60">
        <v>0.67</v>
      </c>
      <c r="Q18" s="60">
        <v>22.9</v>
      </c>
      <c r="R18" s="44"/>
      <c r="S18" s="44"/>
      <c r="T18" s="44"/>
      <c r="U18" s="44"/>
    </row>
    <row r="19" spans="1:21" s="12" customFormat="1" x14ac:dyDescent="0.25">
      <c r="A19" s="59" t="s">
        <v>288</v>
      </c>
      <c r="B19" s="60">
        <v>5.9</v>
      </c>
      <c r="C19" s="60">
        <v>27.63</v>
      </c>
      <c r="D19" s="60">
        <v>19.45</v>
      </c>
      <c r="E19" s="60">
        <v>4.29</v>
      </c>
      <c r="F19" s="60">
        <v>13.33</v>
      </c>
      <c r="G19" s="60">
        <v>54.85</v>
      </c>
      <c r="H19" s="60">
        <v>25.6</v>
      </c>
      <c r="I19" s="60">
        <v>0.6</v>
      </c>
      <c r="J19" s="60">
        <v>0.89</v>
      </c>
      <c r="K19" s="60">
        <v>301.27</v>
      </c>
      <c r="L19" s="60">
        <v>37.89</v>
      </c>
      <c r="M19" s="60">
        <v>37.380000000000003</v>
      </c>
      <c r="N19" s="60">
        <v>856.1</v>
      </c>
      <c r="O19" s="60">
        <v>0</v>
      </c>
      <c r="P19" s="60">
        <v>0.7</v>
      </c>
      <c r="Q19" s="60">
        <v>22.56</v>
      </c>
      <c r="R19" s="44"/>
      <c r="S19" s="44"/>
      <c r="T19" s="44"/>
      <c r="U19" s="44"/>
    </row>
    <row r="20" spans="1:21" s="12" customFormat="1" x14ac:dyDescent="0.25">
      <c r="A20" s="59" t="s">
        <v>289</v>
      </c>
      <c r="B20" s="60">
        <v>2.71</v>
      </c>
      <c r="C20" s="60">
        <v>23.96</v>
      </c>
      <c r="D20" s="60">
        <v>16.04</v>
      </c>
      <c r="E20" s="60">
        <v>4.2300000000000004</v>
      </c>
      <c r="F20" s="60">
        <v>16.149999999999999</v>
      </c>
      <c r="G20" s="60">
        <v>46.18</v>
      </c>
      <c r="H20" s="60">
        <v>22.65</v>
      </c>
      <c r="I20" s="60">
        <v>0.62</v>
      </c>
      <c r="J20" s="60">
        <v>0.82</v>
      </c>
      <c r="K20" s="60">
        <v>287.91000000000003</v>
      </c>
      <c r="L20" s="60">
        <v>38.72</v>
      </c>
      <c r="M20" s="60">
        <v>34.56</v>
      </c>
      <c r="N20" s="60">
        <v>922</v>
      </c>
      <c r="O20" s="60">
        <v>0</v>
      </c>
      <c r="P20" s="60">
        <v>0.7</v>
      </c>
      <c r="Q20" s="60">
        <v>20.190000000000001</v>
      </c>
      <c r="R20" s="44"/>
      <c r="S20" s="44"/>
      <c r="T20" s="44"/>
      <c r="U20" s="44"/>
    </row>
    <row r="21" spans="1:21" s="12" customFormat="1" x14ac:dyDescent="0.25">
      <c r="A21" s="59" t="s">
        <v>290</v>
      </c>
      <c r="B21" s="60">
        <v>4.5199999999999996</v>
      </c>
      <c r="C21" s="60">
        <v>29.1</v>
      </c>
      <c r="D21" s="60">
        <v>19.28</v>
      </c>
      <c r="E21" s="60">
        <v>10.52</v>
      </c>
      <c r="F21" s="60">
        <v>39.880000000000003</v>
      </c>
      <c r="G21" s="60">
        <v>46.9</v>
      </c>
      <c r="H21" s="60">
        <v>22.8</v>
      </c>
      <c r="I21" s="60">
        <v>0.6</v>
      </c>
      <c r="J21" s="60">
        <v>0.75</v>
      </c>
      <c r="K21" s="60">
        <v>299.27999999999997</v>
      </c>
      <c r="L21" s="60">
        <v>38.229999999999997</v>
      </c>
      <c r="M21" s="60">
        <v>32.979999999999997</v>
      </c>
      <c r="N21" s="60">
        <v>926</v>
      </c>
      <c r="O21" s="60">
        <v>0</v>
      </c>
      <c r="P21" s="60">
        <v>0.69</v>
      </c>
      <c r="Q21" s="60">
        <v>21.55</v>
      </c>
      <c r="R21" s="44"/>
      <c r="S21" s="44"/>
      <c r="T21" s="44"/>
      <c r="U21" s="44"/>
    </row>
    <row r="22" spans="1:21" s="12" customFormat="1" x14ac:dyDescent="0.25">
      <c r="A22" s="59" t="s">
        <v>291</v>
      </c>
      <c r="B22" s="60">
        <v>3.66</v>
      </c>
      <c r="C22" s="60">
        <v>25.52</v>
      </c>
      <c r="D22" s="60">
        <v>17</v>
      </c>
      <c r="E22" s="60">
        <v>11.06</v>
      </c>
      <c r="F22" s="60">
        <v>32.119999999999997</v>
      </c>
      <c r="G22" s="60">
        <v>38.01</v>
      </c>
      <c r="H22" s="60">
        <v>21.95</v>
      </c>
      <c r="I22" s="60">
        <v>0.74</v>
      </c>
      <c r="J22" s="60">
        <v>0.77</v>
      </c>
      <c r="K22" s="60">
        <v>282.89</v>
      </c>
      <c r="L22" s="60">
        <v>39.03</v>
      </c>
      <c r="M22" s="60">
        <v>29.25</v>
      </c>
      <c r="N22" s="60">
        <v>842</v>
      </c>
      <c r="O22" s="60">
        <v>0</v>
      </c>
      <c r="P22" s="60">
        <v>0.68</v>
      </c>
      <c r="Q22" s="60">
        <v>22.25</v>
      </c>
      <c r="R22" s="44"/>
      <c r="S22" s="44"/>
      <c r="T22" s="44"/>
      <c r="U22" s="44"/>
    </row>
    <row r="23" spans="1:21" s="12" customFormat="1" x14ac:dyDescent="0.25">
      <c r="A23" s="59" t="s">
        <v>292</v>
      </c>
      <c r="B23" s="60">
        <v>5.14</v>
      </c>
      <c r="C23" s="60">
        <v>30.26</v>
      </c>
      <c r="D23" s="60">
        <v>21.47</v>
      </c>
      <c r="E23" s="60">
        <v>9.14</v>
      </c>
      <c r="F23" s="60">
        <v>38.29</v>
      </c>
      <c r="G23" s="60">
        <v>36.71</v>
      </c>
      <c r="H23" s="60">
        <v>23.63</v>
      </c>
      <c r="I23" s="60">
        <v>0.74</v>
      </c>
      <c r="J23" s="60">
        <v>0.66</v>
      </c>
      <c r="K23" s="60">
        <v>305.07</v>
      </c>
      <c r="L23" s="60">
        <v>38.19</v>
      </c>
      <c r="M23" s="60">
        <v>27.98</v>
      </c>
      <c r="N23" s="60">
        <v>430.1</v>
      </c>
      <c r="O23" s="60">
        <v>0</v>
      </c>
      <c r="P23" s="60">
        <v>0.66</v>
      </c>
      <c r="Q23" s="60">
        <v>21.8</v>
      </c>
      <c r="R23" s="44"/>
      <c r="S23" s="44"/>
      <c r="T23" s="44"/>
      <c r="U23" s="44"/>
    </row>
    <row r="24" spans="1:21" s="12" customFormat="1" x14ac:dyDescent="0.25">
      <c r="A24" s="59" t="s">
        <v>293</v>
      </c>
      <c r="B24" s="60">
        <v>8.07</v>
      </c>
      <c r="C24" s="60">
        <v>36.11</v>
      </c>
      <c r="D24" s="60">
        <v>24.47</v>
      </c>
      <c r="E24" s="60">
        <v>9.35</v>
      </c>
      <c r="F24" s="60">
        <v>36.25</v>
      </c>
      <c r="G24" s="60">
        <v>35.69</v>
      </c>
      <c r="H24" s="60">
        <v>24.74</v>
      </c>
      <c r="I24" s="60">
        <v>0.65</v>
      </c>
      <c r="J24" s="60">
        <v>0.77</v>
      </c>
      <c r="K24" s="60">
        <v>282.26</v>
      </c>
      <c r="L24" s="60">
        <v>36.729999999999997</v>
      </c>
      <c r="M24" s="60">
        <v>28.51</v>
      </c>
      <c r="N24" s="60">
        <v>302.10000000000002</v>
      </c>
      <c r="O24" s="60">
        <v>0</v>
      </c>
      <c r="P24" s="60">
        <v>0.66</v>
      </c>
      <c r="Q24" s="60">
        <v>22.45</v>
      </c>
      <c r="R24" s="44"/>
      <c r="S24" s="44"/>
      <c r="T24" s="44"/>
      <c r="U24" s="44"/>
    </row>
    <row r="25" spans="1:21" s="12" customFormat="1" x14ac:dyDescent="0.25">
      <c r="A25" s="59" t="s">
        <v>294</v>
      </c>
      <c r="B25" s="60">
        <v>7.84</v>
      </c>
      <c r="C25" s="60">
        <v>37.04</v>
      </c>
      <c r="D25" s="60">
        <v>27.26</v>
      </c>
      <c r="E25" s="60">
        <v>6.66</v>
      </c>
      <c r="F25" s="60">
        <v>30.68</v>
      </c>
      <c r="G25" s="60">
        <v>46.24</v>
      </c>
      <c r="H25" s="60">
        <v>22.15</v>
      </c>
      <c r="I25" s="60">
        <v>0.73</v>
      </c>
      <c r="J25" s="60">
        <v>0.9</v>
      </c>
      <c r="K25" s="60">
        <v>283.27999999999997</v>
      </c>
      <c r="L25" s="60">
        <v>36.5</v>
      </c>
      <c r="M25" s="60">
        <v>19.010000000000002</v>
      </c>
      <c r="N25" s="60">
        <v>134.6</v>
      </c>
      <c r="O25" s="60">
        <v>0</v>
      </c>
      <c r="P25" s="60">
        <v>0.68</v>
      </c>
      <c r="Q25" s="60">
        <v>22.41</v>
      </c>
      <c r="R25" s="44"/>
      <c r="S25" s="44"/>
      <c r="T25" s="44"/>
      <c r="U25" s="44"/>
    </row>
    <row r="26" spans="1:21" s="12" customFormat="1" x14ac:dyDescent="0.25">
      <c r="A26" s="59" t="s">
        <v>295</v>
      </c>
      <c r="B26" s="60">
        <v>11.44</v>
      </c>
      <c r="C26" s="60">
        <v>50.57</v>
      </c>
      <c r="D26" s="60">
        <v>37.21</v>
      </c>
      <c r="E26" s="60">
        <v>7.55</v>
      </c>
      <c r="F26" s="60">
        <v>35.630000000000003</v>
      </c>
      <c r="G26" s="60">
        <v>43.42</v>
      </c>
      <c r="H26" s="60">
        <v>19.91</v>
      </c>
      <c r="I26" s="60">
        <v>0.65</v>
      </c>
      <c r="J26" s="60">
        <v>0.44</v>
      </c>
      <c r="K26" s="60">
        <v>272.45</v>
      </c>
      <c r="L26" s="60">
        <v>34.96</v>
      </c>
      <c r="M26" s="60">
        <v>34.159999999999997</v>
      </c>
      <c r="N26" s="60">
        <v>64.2</v>
      </c>
      <c r="O26" s="60">
        <v>0</v>
      </c>
      <c r="P26" s="60">
        <v>0.9</v>
      </c>
      <c r="Q26" s="60">
        <v>23.15</v>
      </c>
      <c r="R26" s="44"/>
      <c r="S26" s="44"/>
      <c r="T26" s="44"/>
      <c r="U26" s="44"/>
    </row>
    <row r="27" spans="1:21" s="12" customFormat="1" x14ac:dyDescent="0.25">
      <c r="A27" s="59" t="s">
        <v>296</v>
      </c>
      <c r="B27" s="60">
        <v>1.69</v>
      </c>
      <c r="C27" s="60">
        <v>47.06</v>
      </c>
      <c r="D27" s="60">
        <v>27.98</v>
      </c>
      <c r="E27" s="60">
        <v>11.41</v>
      </c>
      <c r="F27" s="60">
        <v>46.33</v>
      </c>
      <c r="G27" s="60">
        <v>65.59</v>
      </c>
      <c r="H27" s="60">
        <v>20.9</v>
      </c>
      <c r="I27" s="60">
        <v>0.64</v>
      </c>
      <c r="J27" s="60">
        <v>0.32</v>
      </c>
      <c r="K27" s="60">
        <v>265.24</v>
      </c>
      <c r="L27" s="60">
        <v>32.15</v>
      </c>
      <c r="M27" s="60">
        <v>41.01</v>
      </c>
      <c r="N27" s="60">
        <v>19</v>
      </c>
      <c r="O27" s="60">
        <v>0</v>
      </c>
      <c r="P27" s="60">
        <v>0.72</v>
      </c>
      <c r="Q27" s="60">
        <v>23.02</v>
      </c>
      <c r="R27" s="44"/>
      <c r="S27" s="44"/>
      <c r="T27" s="44"/>
      <c r="U27" s="44"/>
    </row>
    <row r="28" spans="1:21" s="12" customFormat="1" x14ac:dyDescent="0.25">
      <c r="A28" s="59" t="s">
        <v>297</v>
      </c>
      <c r="B28" s="60">
        <v>7.07</v>
      </c>
      <c r="C28" s="60">
        <v>52.7</v>
      </c>
      <c r="D28" s="60">
        <v>35.020000000000003</v>
      </c>
      <c r="E28" s="60">
        <v>10.57</v>
      </c>
      <c r="F28" s="60">
        <v>29.94</v>
      </c>
      <c r="G28" s="60">
        <v>53.99</v>
      </c>
      <c r="H28" s="60">
        <v>23.36</v>
      </c>
      <c r="I28" s="60">
        <v>0.66</v>
      </c>
      <c r="J28" s="60">
        <v>0.18</v>
      </c>
      <c r="K28" s="60">
        <v>263.82</v>
      </c>
      <c r="L28" s="60">
        <v>30.05</v>
      </c>
      <c r="M28" s="60">
        <v>42.86</v>
      </c>
      <c r="N28" s="60">
        <v>5.8</v>
      </c>
      <c r="O28" s="60">
        <v>0</v>
      </c>
      <c r="P28" s="60">
        <v>1.02</v>
      </c>
      <c r="Q28" s="60">
        <v>22.14</v>
      </c>
      <c r="R28" s="44"/>
      <c r="S28" s="44"/>
      <c r="T28" s="44"/>
      <c r="U28" s="44"/>
    </row>
    <row r="29" spans="1:21" s="12" customFormat="1" x14ac:dyDescent="0.25">
      <c r="A29" s="59" t="s">
        <v>298</v>
      </c>
      <c r="B29" s="60">
        <v>39.15</v>
      </c>
      <c r="C29" s="60">
        <v>90.14</v>
      </c>
      <c r="D29" s="60">
        <v>80.52</v>
      </c>
      <c r="E29" s="60">
        <v>8.52</v>
      </c>
      <c r="F29" s="60">
        <v>9.4499999999999993</v>
      </c>
      <c r="G29" s="60">
        <v>57.85</v>
      </c>
      <c r="H29" s="60">
        <v>23.53</v>
      </c>
      <c r="I29" s="60">
        <v>1.01</v>
      </c>
      <c r="J29" s="60">
        <v>0.14000000000000001</v>
      </c>
      <c r="K29" s="60">
        <v>320.01</v>
      </c>
      <c r="L29" s="60">
        <v>29.96</v>
      </c>
      <c r="M29" s="60">
        <v>46.65</v>
      </c>
      <c r="N29" s="60">
        <v>6</v>
      </c>
      <c r="O29" s="60">
        <v>0</v>
      </c>
      <c r="P29" s="60">
        <v>2.23</v>
      </c>
      <c r="Q29" s="60">
        <v>21.19</v>
      </c>
      <c r="R29" s="44"/>
      <c r="S29" s="44"/>
      <c r="T29" s="44"/>
      <c r="U29" s="44"/>
    </row>
    <row r="30" spans="1:21" s="12" customFormat="1" x14ac:dyDescent="0.25">
      <c r="A30" s="59" t="s">
        <v>299</v>
      </c>
      <c r="B30" s="60">
        <v>109.22</v>
      </c>
      <c r="C30" s="60">
        <v>100.36</v>
      </c>
      <c r="D30" s="60">
        <v>139.31</v>
      </c>
      <c r="E30" s="60">
        <v>8.33</v>
      </c>
      <c r="F30" s="60">
        <v>4.55</v>
      </c>
      <c r="G30" s="60">
        <v>81.62</v>
      </c>
      <c r="H30" s="60">
        <v>30.43</v>
      </c>
      <c r="I30" s="60">
        <v>1.23</v>
      </c>
      <c r="J30" s="60">
        <v>0.08</v>
      </c>
      <c r="K30" s="60">
        <v>295.61</v>
      </c>
      <c r="L30" s="60">
        <v>27.97</v>
      </c>
      <c r="M30" s="60">
        <v>54.7</v>
      </c>
      <c r="N30" s="60">
        <v>5.9</v>
      </c>
      <c r="O30" s="60">
        <v>0</v>
      </c>
      <c r="P30" s="60">
        <v>3.5</v>
      </c>
      <c r="Q30" s="60">
        <v>19</v>
      </c>
      <c r="R30" s="44"/>
      <c r="S30" s="44"/>
      <c r="T30" s="44"/>
      <c r="U30" s="44"/>
    </row>
    <row r="31" spans="1:21" s="12" customFormat="1" x14ac:dyDescent="0.25">
      <c r="A31" s="59" t="s">
        <v>300</v>
      </c>
      <c r="B31" s="60">
        <v>46.61</v>
      </c>
      <c r="C31" s="60">
        <v>69.260000000000005</v>
      </c>
      <c r="D31" s="60">
        <v>71.739999999999995</v>
      </c>
      <c r="E31" s="60">
        <v>7.57</v>
      </c>
      <c r="F31" s="60">
        <v>6.65</v>
      </c>
      <c r="G31" s="60">
        <v>104.2</v>
      </c>
      <c r="H31" s="60">
        <v>34.53</v>
      </c>
      <c r="I31" s="60">
        <v>1.1499999999999999</v>
      </c>
      <c r="J31" s="60">
        <v>0.18</v>
      </c>
      <c r="K31" s="60">
        <v>261.64999999999998</v>
      </c>
      <c r="L31" s="60">
        <v>27.6</v>
      </c>
      <c r="M31" s="60">
        <v>53.42</v>
      </c>
      <c r="N31" s="60">
        <v>6</v>
      </c>
      <c r="O31" s="60">
        <v>0</v>
      </c>
      <c r="P31" s="60">
        <v>2.12</v>
      </c>
      <c r="Q31" s="60">
        <v>25.48</v>
      </c>
      <c r="R31" s="44"/>
      <c r="S31" s="44"/>
      <c r="T31" s="44"/>
      <c r="U31" s="44"/>
    </row>
    <row r="32" spans="1:21" s="12" customFormat="1" x14ac:dyDescent="0.25">
      <c r="A32" s="59" t="s">
        <v>301</v>
      </c>
      <c r="B32" s="60">
        <v>64.63</v>
      </c>
      <c r="C32" s="60">
        <v>62.98</v>
      </c>
      <c r="D32" s="60">
        <v>85.18</v>
      </c>
      <c r="E32" s="60">
        <v>6.58</v>
      </c>
      <c r="F32" s="60">
        <v>5.62</v>
      </c>
      <c r="G32" s="60">
        <v>99.5</v>
      </c>
      <c r="H32" s="60">
        <v>35.18</v>
      </c>
      <c r="I32" s="60">
        <v>0.93</v>
      </c>
      <c r="J32" s="60">
        <v>0.24</v>
      </c>
      <c r="K32" s="60">
        <v>336.89</v>
      </c>
      <c r="L32" s="60">
        <v>26.46</v>
      </c>
      <c r="M32" s="60">
        <v>57.55</v>
      </c>
      <c r="N32" s="60">
        <v>5.9</v>
      </c>
      <c r="O32" s="60">
        <v>0</v>
      </c>
      <c r="P32" s="60">
        <v>2.16</v>
      </c>
      <c r="Q32" s="60">
        <v>26.79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1.67</v>
      </c>
      <c r="C34" s="29">
        <f t="shared" si="0"/>
        <v>11.9</v>
      </c>
      <c r="D34" s="29">
        <f t="shared" si="0"/>
        <v>8.56</v>
      </c>
      <c r="E34" s="29">
        <f t="shared" si="0"/>
        <v>3.3</v>
      </c>
      <c r="F34" s="29">
        <f t="shared" si="0"/>
        <v>4.55</v>
      </c>
      <c r="G34" s="29">
        <f t="shared" si="0"/>
        <v>9.7200000000000006</v>
      </c>
      <c r="H34" s="29">
        <f t="shared" si="0"/>
        <v>11.18</v>
      </c>
      <c r="I34" s="29">
        <f t="shared" si="0"/>
        <v>0.53</v>
      </c>
      <c r="J34" s="29">
        <f t="shared" si="0"/>
        <v>0.08</v>
      </c>
      <c r="K34" s="29">
        <f t="shared" si="0"/>
        <v>245.44</v>
      </c>
      <c r="L34" s="29">
        <f t="shared" si="0"/>
        <v>23.37</v>
      </c>
      <c r="M34" s="29">
        <f t="shared" si="0"/>
        <v>19.010000000000002</v>
      </c>
      <c r="N34" s="29">
        <f t="shared" si="0"/>
        <v>5.8</v>
      </c>
      <c r="O34" s="29">
        <f t="shared" si="0"/>
        <v>0</v>
      </c>
      <c r="P34" s="29">
        <f t="shared" si="0"/>
        <v>0.42</v>
      </c>
      <c r="Q34" s="29">
        <f t="shared" si="0"/>
        <v>19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109.22</v>
      </c>
      <c r="C35" s="30">
        <f t="shared" si="1"/>
        <v>100.36</v>
      </c>
      <c r="D35" s="30">
        <f t="shared" si="1"/>
        <v>139.31</v>
      </c>
      <c r="E35" s="30">
        <f t="shared" si="1"/>
        <v>11.41</v>
      </c>
      <c r="F35" s="30">
        <f t="shared" si="1"/>
        <v>46.33</v>
      </c>
      <c r="G35" s="30">
        <f t="shared" si="1"/>
        <v>104.2</v>
      </c>
      <c r="H35" s="30">
        <f t="shared" si="1"/>
        <v>35.18</v>
      </c>
      <c r="I35" s="30">
        <f t="shared" si="1"/>
        <v>1.23</v>
      </c>
      <c r="J35" s="30">
        <f t="shared" si="1"/>
        <v>0.92</v>
      </c>
      <c r="K35" s="30">
        <f t="shared" si="1"/>
        <v>336.89</v>
      </c>
      <c r="L35" s="30">
        <f t="shared" si="1"/>
        <v>39.03</v>
      </c>
      <c r="M35" s="30">
        <f t="shared" si="1"/>
        <v>74</v>
      </c>
      <c r="N35" s="30">
        <f t="shared" si="1"/>
        <v>926</v>
      </c>
      <c r="O35" s="30">
        <f t="shared" si="1"/>
        <v>0</v>
      </c>
      <c r="P35" s="30">
        <f t="shared" si="1"/>
        <v>3.5</v>
      </c>
      <c r="Q35" s="30">
        <f t="shared" si="1"/>
        <v>26.79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15.677916666666667</v>
      </c>
      <c r="C36" s="29">
        <f t="shared" si="2"/>
        <v>36.709583333333335</v>
      </c>
      <c r="D36" s="29">
        <f t="shared" si="2"/>
        <v>32.5625</v>
      </c>
      <c r="E36" s="29">
        <f t="shared" si="2"/>
        <v>6.7433333333333332</v>
      </c>
      <c r="F36" s="29">
        <f t="shared" si="2"/>
        <v>19.462499999999999</v>
      </c>
      <c r="G36" s="29">
        <f t="shared" si="2"/>
        <v>51.926250000000003</v>
      </c>
      <c r="H36" s="29">
        <f t="shared" si="2"/>
        <v>22.599583333333332</v>
      </c>
      <c r="I36" s="29">
        <f t="shared" si="2"/>
        <v>0.68666666666666687</v>
      </c>
      <c r="J36" s="29">
        <f t="shared" si="2"/>
        <v>0.48041666666666666</v>
      </c>
      <c r="K36" s="29">
        <f t="shared" si="2"/>
        <v>289.97041666666661</v>
      </c>
      <c r="L36" s="29">
        <f t="shared" si="2"/>
        <v>31.144583333333333</v>
      </c>
      <c r="M36" s="29">
        <f t="shared" si="2"/>
        <v>49.089166666666664</v>
      </c>
      <c r="N36" s="29">
        <f t="shared" si="2"/>
        <v>275.09583333333336</v>
      </c>
      <c r="O36" s="29">
        <f t="shared" si="2"/>
        <v>0</v>
      </c>
      <c r="P36" s="29">
        <f t="shared" si="2"/>
        <v>0.95625000000000016</v>
      </c>
      <c r="Q36" s="29">
        <f t="shared" si="2"/>
        <v>22.604583333333334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25.412228822594134</v>
      </c>
      <c r="C37" s="29">
        <f t="shared" ref="C37:Q37" si="3">STDEV(C9:C32)</f>
        <v>23.659167628264498</v>
      </c>
      <c r="D37" s="29">
        <f t="shared" si="3"/>
        <v>31.127810891059546</v>
      </c>
      <c r="E37" s="29">
        <f t="shared" si="3"/>
        <v>2.6130869079320345</v>
      </c>
      <c r="F37" s="29">
        <f t="shared" si="3"/>
        <v>13.464305871774291</v>
      </c>
      <c r="G37" s="29">
        <f t="shared" si="3"/>
        <v>21.600998530160595</v>
      </c>
      <c r="H37" s="29">
        <f t="shared" si="3"/>
        <v>6.1573628454188931</v>
      </c>
      <c r="I37" s="29">
        <f t="shared" si="3"/>
        <v>0.19637290760331344</v>
      </c>
      <c r="J37" s="29">
        <f t="shared" si="3"/>
        <v>0.29521516348863797</v>
      </c>
      <c r="K37" s="29">
        <f t="shared" si="3"/>
        <v>24.952717631755959</v>
      </c>
      <c r="L37" s="29">
        <f t="shared" si="3"/>
        <v>5.7422560171649044</v>
      </c>
      <c r="M37" s="29">
        <f t="shared" si="3"/>
        <v>17.006630399236428</v>
      </c>
      <c r="N37" s="29">
        <f t="shared" si="3"/>
        <v>350.81158262466636</v>
      </c>
      <c r="O37" s="29">
        <f t="shared" si="3"/>
        <v>0</v>
      </c>
      <c r="P37" s="29">
        <f t="shared" si="3"/>
        <v>0.7580628200422671</v>
      </c>
      <c r="Q37" s="29">
        <f t="shared" si="3"/>
        <v>1.527751912385352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546875" defaultRowHeight="15" x14ac:dyDescent="0.25"/>
  <cols>
    <col min="1" max="1" width="18.28515625" style="27" customWidth="1"/>
    <col min="2" max="2" width="14.4257812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5.5" customHeight="1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11-05-2023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302</v>
      </c>
      <c r="B9" s="60">
        <v>41.99</v>
      </c>
      <c r="C9" s="60">
        <v>69.489999999999995</v>
      </c>
      <c r="D9" s="60">
        <v>66.709999999999994</v>
      </c>
      <c r="E9" s="60">
        <v>14.56</v>
      </c>
      <c r="F9" s="60">
        <v>5.91</v>
      </c>
      <c r="G9" s="60">
        <v>110.32</v>
      </c>
      <c r="H9" s="60">
        <v>42.49</v>
      </c>
      <c r="I9" s="60">
        <v>0.96</v>
      </c>
      <c r="J9" s="60">
        <v>0.14000000000000001</v>
      </c>
      <c r="K9" s="60">
        <v>283.95999999999998</v>
      </c>
      <c r="L9" s="60">
        <v>25.9</v>
      </c>
      <c r="M9" s="60">
        <v>64.83</v>
      </c>
      <c r="N9" s="60">
        <v>6</v>
      </c>
      <c r="O9" s="60">
        <v>0</v>
      </c>
      <c r="P9" s="60">
        <v>2.0699999999999998</v>
      </c>
      <c r="Q9" s="60">
        <v>26.8</v>
      </c>
      <c r="R9" s="44"/>
      <c r="S9" s="44"/>
      <c r="T9" s="44"/>
      <c r="U9" s="44"/>
    </row>
    <row r="10" spans="1:21" s="12" customFormat="1" x14ac:dyDescent="0.25">
      <c r="A10" s="59" t="s">
        <v>303</v>
      </c>
      <c r="B10" s="60">
        <v>41.66</v>
      </c>
      <c r="C10" s="60">
        <v>45.49</v>
      </c>
      <c r="D10" s="60">
        <v>57.17</v>
      </c>
      <c r="E10" s="60">
        <v>9.33</v>
      </c>
      <c r="F10" s="60">
        <v>4.6399999999999997</v>
      </c>
      <c r="G10" s="60">
        <v>125.34</v>
      </c>
      <c r="H10" s="60">
        <v>53.71</v>
      </c>
      <c r="I10" s="60">
        <v>1.1499999999999999</v>
      </c>
      <c r="J10" s="60">
        <v>0.2</v>
      </c>
      <c r="K10" s="60">
        <v>270.92</v>
      </c>
      <c r="L10" s="60">
        <v>24.47</v>
      </c>
      <c r="M10" s="60">
        <v>71.48</v>
      </c>
      <c r="N10" s="60">
        <v>5.8</v>
      </c>
      <c r="O10" s="60">
        <v>0</v>
      </c>
      <c r="P10" s="60">
        <v>1.9</v>
      </c>
      <c r="Q10" s="60">
        <v>27.39</v>
      </c>
      <c r="R10" s="44"/>
      <c r="S10" s="44"/>
      <c r="T10" s="44"/>
      <c r="U10" s="44"/>
    </row>
    <row r="11" spans="1:21" s="12" customFormat="1" x14ac:dyDescent="0.25">
      <c r="A11" s="59" t="s">
        <v>304</v>
      </c>
      <c r="B11" s="60">
        <v>30.2</v>
      </c>
      <c r="C11" s="60">
        <v>48.57</v>
      </c>
      <c r="D11" s="60">
        <v>43.01</v>
      </c>
      <c r="E11" s="60">
        <v>36.11</v>
      </c>
      <c r="F11" s="60">
        <v>10.65</v>
      </c>
      <c r="G11" s="60">
        <v>122.42</v>
      </c>
      <c r="H11" s="60">
        <v>63.49</v>
      </c>
      <c r="I11" s="60">
        <v>1</v>
      </c>
      <c r="J11" s="60">
        <v>0.59</v>
      </c>
      <c r="K11" s="60">
        <v>293.60000000000002</v>
      </c>
      <c r="L11" s="60">
        <v>25.2</v>
      </c>
      <c r="M11" s="60">
        <v>60.74</v>
      </c>
      <c r="N11" s="60">
        <v>5.6</v>
      </c>
      <c r="O11" s="60">
        <v>0</v>
      </c>
      <c r="P11" s="60">
        <v>1.79</v>
      </c>
      <c r="Q11" s="60">
        <v>26.85</v>
      </c>
      <c r="R11" s="44"/>
      <c r="S11" s="44"/>
      <c r="T11" s="44"/>
      <c r="U11" s="44"/>
    </row>
    <row r="12" spans="1:21" s="12" customFormat="1" x14ac:dyDescent="0.25">
      <c r="A12" s="59" t="s">
        <v>305</v>
      </c>
      <c r="B12" s="60">
        <v>20.8</v>
      </c>
      <c r="C12" s="60">
        <v>41.53</v>
      </c>
      <c r="D12" s="60">
        <v>36.159999999999997</v>
      </c>
      <c r="E12" s="60">
        <v>64.83</v>
      </c>
      <c r="F12" s="60">
        <v>14.21</v>
      </c>
      <c r="G12" s="60">
        <v>21.65</v>
      </c>
      <c r="H12" s="60">
        <v>63.5</v>
      </c>
      <c r="I12" s="60">
        <v>0.79</v>
      </c>
      <c r="J12" s="60">
        <v>0.79</v>
      </c>
      <c r="K12" s="60">
        <v>303.85000000000002</v>
      </c>
      <c r="L12" s="60">
        <v>25.68</v>
      </c>
      <c r="M12" s="60">
        <v>35.75</v>
      </c>
      <c r="N12" s="60">
        <v>5.8</v>
      </c>
      <c r="O12" s="60">
        <v>0</v>
      </c>
      <c r="P12" s="60">
        <v>1.56</v>
      </c>
      <c r="Q12" s="60">
        <v>26.73</v>
      </c>
      <c r="R12" s="44"/>
      <c r="S12" s="44"/>
      <c r="T12" s="44"/>
      <c r="U12" s="44"/>
    </row>
    <row r="13" spans="1:21" s="12" customFormat="1" x14ac:dyDescent="0.25">
      <c r="A13" s="59" t="s">
        <v>306</v>
      </c>
      <c r="B13" s="60">
        <v>20.21</v>
      </c>
      <c r="C13" s="60">
        <v>33.299999999999997</v>
      </c>
      <c r="D13" s="60">
        <v>33.159999999999997</v>
      </c>
      <c r="E13" s="60">
        <v>26.79</v>
      </c>
      <c r="F13" s="60">
        <v>9.73</v>
      </c>
      <c r="G13" s="60">
        <v>198.2</v>
      </c>
      <c r="H13" s="60">
        <v>68.400000000000006</v>
      </c>
      <c r="I13" s="60">
        <v>0.78</v>
      </c>
      <c r="J13" s="60">
        <v>0.27</v>
      </c>
      <c r="K13" s="60">
        <v>283.02999999999997</v>
      </c>
      <c r="L13" s="60">
        <v>25.64</v>
      </c>
      <c r="M13" s="60">
        <v>39.43</v>
      </c>
      <c r="N13" s="60">
        <v>6.6</v>
      </c>
      <c r="O13" s="60">
        <v>0</v>
      </c>
      <c r="P13" s="60">
        <v>1.57</v>
      </c>
      <c r="Q13" s="60">
        <v>27.58</v>
      </c>
      <c r="R13" s="44"/>
      <c r="S13" s="44"/>
      <c r="T13" s="44"/>
      <c r="U13" s="44"/>
    </row>
    <row r="14" spans="1:21" s="12" customFormat="1" x14ac:dyDescent="0.25">
      <c r="A14" s="59" t="s">
        <v>307</v>
      </c>
      <c r="B14" s="60">
        <v>75.14</v>
      </c>
      <c r="C14" s="60">
        <v>62.81</v>
      </c>
      <c r="D14" s="60">
        <v>95.57</v>
      </c>
      <c r="E14" s="60">
        <v>12.23</v>
      </c>
      <c r="F14" s="60">
        <v>3.34</v>
      </c>
      <c r="G14" s="60">
        <v>119.5</v>
      </c>
      <c r="H14" s="60">
        <v>57.8</v>
      </c>
      <c r="I14" s="60">
        <v>0.79</v>
      </c>
      <c r="J14" s="60">
        <v>0.18</v>
      </c>
      <c r="K14" s="60">
        <v>258.20999999999998</v>
      </c>
      <c r="L14" s="60">
        <v>23.12</v>
      </c>
      <c r="M14" s="60">
        <v>46.13</v>
      </c>
      <c r="N14" s="60">
        <v>49.5</v>
      </c>
      <c r="O14" s="60">
        <v>0</v>
      </c>
      <c r="P14" s="60">
        <v>1.64</v>
      </c>
      <c r="Q14" s="60">
        <v>26.65</v>
      </c>
      <c r="R14" s="44"/>
      <c r="S14" s="44"/>
      <c r="T14" s="44"/>
      <c r="U14" s="44"/>
    </row>
    <row r="15" spans="1:21" s="12" customFormat="1" x14ac:dyDescent="0.25">
      <c r="A15" s="59" t="s">
        <v>308</v>
      </c>
      <c r="B15" s="60">
        <v>131.03</v>
      </c>
      <c r="C15" s="60">
        <v>93.47</v>
      </c>
      <c r="D15" s="60">
        <v>157.31</v>
      </c>
      <c r="E15" s="60">
        <v>11.35</v>
      </c>
      <c r="F15" s="60">
        <v>4.8899999999999997</v>
      </c>
      <c r="G15" s="60">
        <v>101.18</v>
      </c>
      <c r="H15" s="60">
        <v>58.56</v>
      </c>
      <c r="I15" s="60">
        <v>0.77</v>
      </c>
      <c r="J15" s="60">
        <v>0.25</v>
      </c>
      <c r="K15" s="60">
        <v>258.47000000000003</v>
      </c>
      <c r="L15" s="60">
        <v>27.98</v>
      </c>
      <c r="M15" s="60">
        <v>44.5</v>
      </c>
      <c r="N15" s="60">
        <v>238</v>
      </c>
      <c r="O15" s="60">
        <v>0</v>
      </c>
      <c r="P15" s="60">
        <v>1.72</v>
      </c>
      <c r="Q15" s="60">
        <v>27.89</v>
      </c>
      <c r="R15" s="44"/>
      <c r="S15" s="44"/>
      <c r="T15" s="44"/>
      <c r="U15" s="44"/>
    </row>
    <row r="16" spans="1:21" s="12" customFormat="1" x14ac:dyDescent="0.25">
      <c r="A16" s="59" t="s">
        <v>309</v>
      </c>
      <c r="B16" s="60">
        <v>41.81</v>
      </c>
      <c r="C16" s="60">
        <v>41.26</v>
      </c>
      <c r="D16" s="60">
        <v>55.07</v>
      </c>
      <c r="E16" s="60">
        <v>7.54</v>
      </c>
      <c r="F16" s="60">
        <v>9.66</v>
      </c>
      <c r="G16" s="60">
        <v>150.07</v>
      </c>
      <c r="H16" s="60">
        <v>58.38</v>
      </c>
      <c r="I16" s="60">
        <v>0.77</v>
      </c>
      <c r="J16" s="60">
        <v>0.42</v>
      </c>
      <c r="K16" s="60">
        <v>300.73</v>
      </c>
      <c r="L16" s="60">
        <v>31.85</v>
      </c>
      <c r="M16" s="60">
        <v>29.07</v>
      </c>
      <c r="N16" s="60">
        <v>468.9</v>
      </c>
      <c r="O16" s="60">
        <v>0</v>
      </c>
      <c r="P16" s="60">
        <v>1.41</v>
      </c>
      <c r="Q16" s="60">
        <v>29.02</v>
      </c>
      <c r="R16" s="44"/>
      <c r="S16" s="44"/>
      <c r="T16" s="44"/>
      <c r="U16" s="44"/>
    </row>
    <row r="17" spans="1:21" s="12" customFormat="1" x14ac:dyDescent="0.25">
      <c r="A17" s="59" t="s">
        <v>310</v>
      </c>
      <c r="B17" s="60">
        <v>29.89</v>
      </c>
      <c r="C17" s="60">
        <v>45.72</v>
      </c>
      <c r="D17" s="60">
        <v>46.43</v>
      </c>
      <c r="E17" s="60">
        <v>14.33</v>
      </c>
      <c r="F17" s="60">
        <v>30.53</v>
      </c>
      <c r="G17" s="60">
        <v>100.84</v>
      </c>
      <c r="H17" s="60">
        <v>46.69</v>
      </c>
      <c r="I17" s="60">
        <v>0.71</v>
      </c>
      <c r="J17" s="60">
        <v>0.35</v>
      </c>
      <c r="K17" s="60">
        <v>270.66000000000003</v>
      </c>
      <c r="L17" s="60">
        <v>33.82</v>
      </c>
      <c r="M17" s="60">
        <v>23.25</v>
      </c>
      <c r="N17" s="60">
        <v>685.4</v>
      </c>
      <c r="O17" s="60">
        <v>0</v>
      </c>
      <c r="P17" s="60">
        <v>1.29</v>
      </c>
      <c r="Q17" s="60">
        <v>27.95</v>
      </c>
      <c r="R17" s="44"/>
      <c r="S17" s="44"/>
      <c r="T17" s="44"/>
      <c r="U17" s="44"/>
    </row>
    <row r="18" spans="1:21" s="12" customFormat="1" x14ac:dyDescent="0.25">
      <c r="A18" s="59" t="s">
        <v>311</v>
      </c>
      <c r="B18" s="60">
        <v>14.79</v>
      </c>
      <c r="C18" s="60">
        <v>41.98</v>
      </c>
      <c r="D18" s="60">
        <v>35.01</v>
      </c>
      <c r="E18" s="60">
        <v>16.03</v>
      </c>
      <c r="F18" s="60">
        <v>29.33</v>
      </c>
      <c r="G18" s="60">
        <v>112.46</v>
      </c>
      <c r="H18" s="60">
        <v>45.75</v>
      </c>
      <c r="I18" s="60">
        <v>0.72</v>
      </c>
      <c r="J18" s="60">
        <v>0.73</v>
      </c>
      <c r="K18" s="60">
        <v>250.16</v>
      </c>
      <c r="L18" s="60">
        <v>33.64</v>
      </c>
      <c r="M18" s="60">
        <v>20.75</v>
      </c>
      <c r="N18" s="60">
        <v>797.9</v>
      </c>
      <c r="O18" s="60">
        <v>0</v>
      </c>
      <c r="P18" s="60">
        <v>1.1000000000000001</v>
      </c>
      <c r="Q18" s="60">
        <v>28.9</v>
      </c>
      <c r="R18" s="44"/>
      <c r="S18" s="44"/>
      <c r="T18" s="44"/>
      <c r="U18" s="44"/>
    </row>
    <row r="19" spans="1:21" s="12" customFormat="1" x14ac:dyDescent="0.25">
      <c r="A19" s="59" t="s">
        <v>312</v>
      </c>
      <c r="B19" s="60">
        <v>8.07</v>
      </c>
      <c r="C19" s="60">
        <v>36.49</v>
      </c>
      <c r="D19" s="60">
        <v>27.25</v>
      </c>
      <c r="E19" s="60">
        <v>9.8699999999999992</v>
      </c>
      <c r="F19" s="60">
        <v>17.940000000000001</v>
      </c>
      <c r="G19" s="60">
        <v>112.46</v>
      </c>
      <c r="H19" s="60">
        <v>35.909999999999997</v>
      </c>
      <c r="I19" s="60">
        <v>0.79</v>
      </c>
      <c r="J19" s="60">
        <v>1.33</v>
      </c>
      <c r="K19" s="60">
        <v>129.1</v>
      </c>
      <c r="L19" s="60">
        <v>34.43</v>
      </c>
      <c r="M19" s="60">
        <v>18.190000000000001</v>
      </c>
      <c r="N19" s="60">
        <v>964.7</v>
      </c>
      <c r="O19" s="60">
        <v>0</v>
      </c>
      <c r="P19" s="60">
        <v>1.04</v>
      </c>
      <c r="Q19" s="60">
        <v>29.02</v>
      </c>
      <c r="R19" s="44"/>
      <c r="S19" s="44"/>
      <c r="T19" s="44"/>
      <c r="U19" s="44"/>
    </row>
    <row r="20" spans="1:21" s="12" customFormat="1" x14ac:dyDescent="0.25">
      <c r="A20" s="59" t="s">
        <v>313</v>
      </c>
      <c r="B20" s="60">
        <v>4.8899999999999997</v>
      </c>
      <c r="C20" s="60">
        <v>38.28</v>
      </c>
      <c r="D20" s="60">
        <v>25.7</v>
      </c>
      <c r="E20" s="60">
        <v>21.31</v>
      </c>
      <c r="F20" s="60">
        <v>40.28</v>
      </c>
      <c r="G20" s="60">
        <v>117</v>
      </c>
      <c r="H20" s="60">
        <v>31.99</v>
      </c>
      <c r="I20" s="60">
        <v>0.73</v>
      </c>
      <c r="J20" s="60">
        <v>0.88</v>
      </c>
      <c r="K20" s="60">
        <v>146.51</v>
      </c>
      <c r="L20" s="60">
        <v>36.81</v>
      </c>
      <c r="M20" s="60">
        <v>12.81</v>
      </c>
      <c r="N20" s="60">
        <v>983</v>
      </c>
      <c r="O20" s="60">
        <v>0</v>
      </c>
      <c r="P20" s="60">
        <v>0.8</v>
      </c>
      <c r="Q20" s="60">
        <v>28.62</v>
      </c>
      <c r="R20" s="44"/>
      <c r="S20" s="44"/>
      <c r="T20" s="44"/>
      <c r="U20" s="44"/>
    </row>
    <row r="21" spans="1:21" s="12" customFormat="1" x14ac:dyDescent="0.25">
      <c r="A21" s="59" t="s">
        <v>314</v>
      </c>
      <c r="B21" s="60">
        <v>3.87</v>
      </c>
      <c r="C21" s="60">
        <v>41.16</v>
      </c>
      <c r="D21" s="60">
        <v>25.45</v>
      </c>
      <c r="E21" s="60">
        <v>23.02</v>
      </c>
      <c r="F21" s="60">
        <v>36.56</v>
      </c>
      <c r="G21" s="60">
        <v>47.71</v>
      </c>
      <c r="H21" s="60">
        <v>31.7</v>
      </c>
      <c r="I21" s="60">
        <v>0.72</v>
      </c>
      <c r="J21" s="60">
        <v>1.35</v>
      </c>
      <c r="K21" s="60">
        <v>128.53</v>
      </c>
      <c r="L21" s="60">
        <v>36.159999999999997</v>
      </c>
      <c r="M21" s="60">
        <v>11.11</v>
      </c>
      <c r="N21" s="60">
        <v>936.5</v>
      </c>
      <c r="O21" s="60">
        <v>0</v>
      </c>
      <c r="P21" s="60">
        <v>0.66</v>
      </c>
      <c r="Q21" s="60">
        <v>28.84</v>
      </c>
      <c r="R21" s="44"/>
      <c r="S21" s="44"/>
      <c r="T21" s="44"/>
      <c r="U21" s="44"/>
    </row>
    <row r="22" spans="1:21" s="12" customFormat="1" x14ac:dyDescent="0.25">
      <c r="A22" s="59" t="s">
        <v>315</v>
      </c>
      <c r="B22" s="60">
        <v>4.63</v>
      </c>
      <c r="C22" s="60">
        <v>42.47</v>
      </c>
      <c r="D22" s="60">
        <v>26.6</v>
      </c>
      <c r="E22" s="60">
        <v>14.26</v>
      </c>
      <c r="F22" s="60">
        <v>27.25</v>
      </c>
      <c r="G22" s="60">
        <v>41.1</v>
      </c>
      <c r="H22" s="60">
        <v>31.01</v>
      </c>
      <c r="I22" s="60">
        <v>0.8</v>
      </c>
      <c r="J22" s="60">
        <v>1.53</v>
      </c>
      <c r="K22" s="60">
        <v>290.07</v>
      </c>
      <c r="L22" s="60">
        <v>39.619999999999997</v>
      </c>
      <c r="M22" s="60">
        <v>8.3699999999999992</v>
      </c>
      <c r="N22" s="60">
        <v>841.4</v>
      </c>
      <c r="O22" s="60">
        <v>0</v>
      </c>
      <c r="P22" s="60">
        <v>0.67</v>
      </c>
      <c r="Q22" s="60">
        <v>29.68</v>
      </c>
      <c r="R22" s="44"/>
      <c r="S22" s="44"/>
      <c r="T22" s="44"/>
      <c r="U22" s="44"/>
    </row>
    <row r="23" spans="1:21" s="12" customFormat="1" x14ac:dyDescent="0.25">
      <c r="A23" s="59" t="s">
        <v>316</v>
      </c>
      <c r="B23" s="60">
        <v>3.43</v>
      </c>
      <c r="C23" s="60">
        <v>43.44</v>
      </c>
      <c r="D23" s="60">
        <v>26.82</v>
      </c>
      <c r="E23" s="60">
        <v>6.48</v>
      </c>
      <c r="F23" s="60">
        <v>18.3</v>
      </c>
      <c r="G23" s="60">
        <v>27.19</v>
      </c>
      <c r="H23" s="60">
        <v>26.19</v>
      </c>
      <c r="I23" s="60">
        <v>0.78</v>
      </c>
      <c r="J23" s="60">
        <v>2.21</v>
      </c>
      <c r="K23" s="60">
        <v>275.7</v>
      </c>
      <c r="L23" s="60">
        <v>38.549999999999997</v>
      </c>
      <c r="M23" s="60">
        <v>7.07</v>
      </c>
      <c r="N23" s="60">
        <v>732</v>
      </c>
      <c r="O23" s="60">
        <v>0</v>
      </c>
      <c r="P23" s="60">
        <v>0.62</v>
      </c>
      <c r="Q23" s="60">
        <v>28.39</v>
      </c>
      <c r="R23" s="44"/>
      <c r="S23" s="44"/>
      <c r="T23" s="44"/>
      <c r="U23" s="44"/>
    </row>
    <row r="24" spans="1:21" s="12" customFormat="1" x14ac:dyDescent="0.25">
      <c r="A24" s="59" t="s">
        <v>317</v>
      </c>
      <c r="B24" s="60">
        <v>4.21</v>
      </c>
      <c r="C24" s="60">
        <v>38.58</v>
      </c>
      <c r="D24" s="60">
        <v>25.03</v>
      </c>
      <c r="E24" s="60">
        <v>6.03</v>
      </c>
      <c r="F24" s="60">
        <v>19.3</v>
      </c>
      <c r="G24" s="62" t="s">
        <v>14</v>
      </c>
      <c r="H24" s="62" t="s">
        <v>14</v>
      </c>
      <c r="I24" s="60">
        <v>0.67</v>
      </c>
      <c r="J24" s="60">
        <v>1.78</v>
      </c>
      <c r="K24" s="60">
        <v>286.41000000000003</v>
      </c>
      <c r="L24" s="60">
        <v>37.119999999999997</v>
      </c>
      <c r="M24" s="60">
        <v>7.38</v>
      </c>
      <c r="N24" s="60">
        <v>351</v>
      </c>
      <c r="O24" s="60">
        <v>0</v>
      </c>
      <c r="P24" s="60">
        <v>0.53</v>
      </c>
      <c r="Q24" s="60">
        <v>24.58</v>
      </c>
      <c r="R24" s="44"/>
      <c r="S24" s="44"/>
      <c r="T24" s="44"/>
      <c r="U24" s="44"/>
    </row>
    <row r="25" spans="1:21" s="12" customFormat="1" x14ac:dyDescent="0.25">
      <c r="A25" s="59" t="s">
        <v>318</v>
      </c>
      <c r="B25" s="60">
        <v>6.81</v>
      </c>
      <c r="C25" s="60">
        <v>48.67</v>
      </c>
      <c r="D25" s="60">
        <v>32.97</v>
      </c>
      <c r="E25" s="60">
        <v>7.2</v>
      </c>
      <c r="F25" s="60">
        <v>35.79</v>
      </c>
      <c r="G25" s="62" t="s">
        <v>14</v>
      </c>
      <c r="H25" s="62" t="s">
        <v>14</v>
      </c>
      <c r="I25" s="60">
        <v>0.64</v>
      </c>
      <c r="J25" s="60">
        <v>0.92</v>
      </c>
      <c r="K25" s="60">
        <v>287.04000000000002</v>
      </c>
      <c r="L25" s="60">
        <v>35.9</v>
      </c>
      <c r="M25" s="60">
        <v>8.5</v>
      </c>
      <c r="N25" s="60">
        <v>98.1</v>
      </c>
      <c r="O25" s="60">
        <v>0</v>
      </c>
      <c r="P25" s="60">
        <v>0.63</v>
      </c>
      <c r="Q25" s="60">
        <v>23.59</v>
      </c>
      <c r="R25" s="44"/>
      <c r="S25" s="44"/>
      <c r="T25" s="44"/>
      <c r="U25" s="44"/>
    </row>
    <row r="26" spans="1:21" s="12" customFormat="1" x14ac:dyDescent="0.25">
      <c r="A26" s="59" t="s">
        <v>319</v>
      </c>
      <c r="B26" s="60">
        <v>6.6</v>
      </c>
      <c r="C26" s="60">
        <v>54.15</v>
      </c>
      <c r="D26" s="60">
        <v>35.82</v>
      </c>
      <c r="E26" s="60">
        <v>13.86</v>
      </c>
      <c r="F26" s="60">
        <v>71.52</v>
      </c>
      <c r="G26" s="62" t="s">
        <v>14</v>
      </c>
      <c r="H26" s="62" t="s">
        <v>14</v>
      </c>
      <c r="I26" s="60">
        <v>0.59</v>
      </c>
      <c r="J26" s="60">
        <v>0.53</v>
      </c>
      <c r="K26" s="60">
        <v>203.59</v>
      </c>
      <c r="L26" s="60">
        <v>34.770000000000003</v>
      </c>
      <c r="M26" s="60">
        <v>12.95</v>
      </c>
      <c r="N26" s="60">
        <v>62.3</v>
      </c>
      <c r="O26" s="60">
        <v>0</v>
      </c>
      <c r="P26" s="60">
        <v>0.67</v>
      </c>
      <c r="Q26" s="60">
        <v>23.94</v>
      </c>
      <c r="R26" s="44"/>
      <c r="S26" s="44"/>
      <c r="T26" s="44"/>
      <c r="U26" s="44"/>
    </row>
    <row r="27" spans="1:21" s="12" customFormat="1" x14ac:dyDescent="0.25">
      <c r="A27" s="59" t="s">
        <v>320</v>
      </c>
      <c r="B27" s="60">
        <v>93.18</v>
      </c>
      <c r="C27" s="60">
        <v>128.19</v>
      </c>
      <c r="D27" s="60">
        <v>137.54</v>
      </c>
      <c r="E27" s="60">
        <v>13.16</v>
      </c>
      <c r="F27" s="60">
        <v>16.39</v>
      </c>
      <c r="G27" s="60">
        <v>94.63</v>
      </c>
      <c r="H27" s="60">
        <v>18.07</v>
      </c>
      <c r="I27" s="60">
        <v>0.8</v>
      </c>
      <c r="J27" s="60">
        <v>0.18</v>
      </c>
      <c r="K27" s="60">
        <v>267.45</v>
      </c>
      <c r="L27" s="60">
        <v>31.99</v>
      </c>
      <c r="M27" s="60">
        <v>26.95</v>
      </c>
      <c r="N27" s="60">
        <v>19.100000000000001</v>
      </c>
      <c r="O27" s="60">
        <v>0</v>
      </c>
      <c r="P27" s="60">
        <v>2.5299999999999998</v>
      </c>
      <c r="Q27" s="60">
        <v>18.3</v>
      </c>
      <c r="R27" s="44"/>
      <c r="S27" s="44"/>
      <c r="T27" s="44"/>
      <c r="U27" s="44"/>
    </row>
    <row r="28" spans="1:21" s="12" customFormat="1" x14ac:dyDescent="0.25">
      <c r="A28" s="59" t="s">
        <v>321</v>
      </c>
      <c r="B28" s="60">
        <v>91.45</v>
      </c>
      <c r="C28" s="60">
        <v>106.75</v>
      </c>
      <c r="D28" s="60">
        <v>132.88999999999999</v>
      </c>
      <c r="E28" s="60">
        <v>8.99</v>
      </c>
      <c r="F28" s="60">
        <v>4.05</v>
      </c>
      <c r="G28" s="60">
        <v>119.69</v>
      </c>
      <c r="H28" s="60">
        <v>27.01</v>
      </c>
      <c r="I28" s="60">
        <v>1.1100000000000001</v>
      </c>
      <c r="J28" s="60">
        <v>0.09</v>
      </c>
      <c r="K28" s="60">
        <v>196.18</v>
      </c>
      <c r="L28" s="60">
        <v>28.43</v>
      </c>
      <c r="M28" s="60">
        <v>36.32</v>
      </c>
      <c r="N28" s="60">
        <v>6.3</v>
      </c>
      <c r="O28" s="60">
        <v>0</v>
      </c>
      <c r="P28" s="60">
        <v>1.76</v>
      </c>
      <c r="Q28" s="60">
        <v>22.2</v>
      </c>
      <c r="R28" s="44"/>
      <c r="S28" s="44"/>
      <c r="T28" s="44"/>
      <c r="U28" s="44"/>
    </row>
    <row r="29" spans="1:21" s="12" customFormat="1" x14ac:dyDescent="0.25">
      <c r="A29" s="59" t="s">
        <v>322</v>
      </c>
      <c r="B29" s="60">
        <v>224.7</v>
      </c>
      <c r="C29" s="60">
        <v>127.27</v>
      </c>
      <c r="D29" s="60">
        <v>251.08</v>
      </c>
      <c r="E29" s="60">
        <v>10.199999999999999</v>
      </c>
      <c r="F29" s="60">
        <v>3.99</v>
      </c>
      <c r="G29" s="62" t="s">
        <v>14</v>
      </c>
      <c r="H29" s="62" t="s">
        <v>14</v>
      </c>
      <c r="I29" s="60">
        <v>1.4</v>
      </c>
      <c r="J29" s="60">
        <v>0.11</v>
      </c>
      <c r="K29" s="60">
        <v>309.88</v>
      </c>
      <c r="L29" s="60">
        <v>27.82</v>
      </c>
      <c r="M29" s="60">
        <v>39.880000000000003</v>
      </c>
      <c r="N29" s="60">
        <v>5.9</v>
      </c>
      <c r="O29" s="60">
        <v>0</v>
      </c>
      <c r="P29" s="60">
        <v>5.23</v>
      </c>
      <c r="Q29" s="60">
        <v>24.5</v>
      </c>
      <c r="R29" s="44"/>
      <c r="S29" s="44"/>
      <c r="T29" s="44"/>
      <c r="U29" s="44"/>
    </row>
    <row r="30" spans="1:21" s="12" customFormat="1" x14ac:dyDescent="0.25">
      <c r="A30" s="59" t="s">
        <v>323</v>
      </c>
      <c r="B30" s="60">
        <v>207.37</v>
      </c>
      <c r="C30" s="60">
        <v>129.93</v>
      </c>
      <c r="D30" s="60">
        <v>238.64</v>
      </c>
      <c r="E30" s="60">
        <v>10.81</v>
      </c>
      <c r="F30" s="60">
        <v>4</v>
      </c>
      <c r="G30" s="62" t="s">
        <v>14</v>
      </c>
      <c r="H30" s="62" t="s">
        <v>14</v>
      </c>
      <c r="I30" s="60">
        <v>1.84</v>
      </c>
      <c r="J30" s="60">
        <v>0.13</v>
      </c>
      <c r="K30" s="60">
        <v>282.52</v>
      </c>
      <c r="L30" s="60">
        <v>26.54</v>
      </c>
      <c r="M30" s="60">
        <v>41.32</v>
      </c>
      <c r="N30" s="60">
        <v>5.8</v>
      </c>
      <c r="O30" s="60">
        <v>0</v>
      </c>
      <c r="P30" s="60">
        <v>5.35</v>
      </c>
      <c r="Q30" s="60">
        <v>26.53</v>
      </c>
      <c r="R30" s="44"/>
      <c r="S30" s="44"/>
      <c r="T30" s="44"/>
      <c r="U30" s="44"/>
    </row>
    <row r="31" spans="1:21" s="12" customFormat="1" x14ac:dyDescent="0.25">
      <c r="A31" s="59" t="s">
        <v>324</v>
      </c>
      <c r="B31" s="60">
        <v>154.69999999999999</v>
      </c>
      <c r="C31" s="60">
        <v>99.51</v>
      </c>
      <c r="D31" s="60">
        <v>179.62</v>
      </c>
      <c r="E31" s="60">
        <v>8.27</v>
      </c>
      <c r="F31" s="60">
        <v>3.34</v>
      </c>
      <c r="G31" s="62" t="s">
        <v>14</v>
      </c>
      <c r="H31" s="62" t="s">
        <v>14</v>
      </c>
      <c r="I31" s="60">
        <v>1.65</v>
      </c>
      <c r="J31" s="60">
        <v>0.17</v>
      </c>
      <c r="K31" s="60">
        <v>265.66000000000003</v>
      </c>
      <c r="L31" s="60">
        <v>26.12</v>
      </c>
      <c r="M31" s="60">
        <v>41.56</v>
      </c>
      <c r="N31" s="60">
        <v>5.8</v>
      </c>
      <c r="O31" s="60">
        <v>0</v>
      </c>
      <c r="P31" s="60">
        <v>4</v>
      </c>
      <c r="Q31" s="60">
        <v>33.29</v>
      </c>
      <c r="R31" s="44"/>
      <c r="S31" s="44"/>
      <c r="T31" s="44"/>
      <c r="U31" s="44"/>
    </row>
    <row r="32" spans="1:21" s="12" customFormat="1" x14ac:dyDescent="0.25">
      <c r="A32" s="59" t="s">
        <v>325</v>
      </c>
      <c r="B32" s="60">
        <v>131.74</v>
      </c>
      <c r="C32" s="60">
        <v>88.1</v>
      </c>
      <c r="D32" s="60">
        <v>152.07</v>
      </c>
      <c r="E32" s="60">
        <v>12.48</v>
      </c>
      <c r="F32" s="60">
        <v>3.67</v>
      </c>
      <c r="G32" s="62" t="s">
        <v>14</v>
      </c>
      <c r="H32" s="62" t="s">
        <v>14</v>
      </c>
      <c r="I32" s="60">
        <v>1.49</v>
      </c>
      <c r="J32" s="60">
        <v>0.18</v>
      </c>
      <c r="K32" s="60">
        <v>272.2</v>
      </c>
      <c r="L32" s="60">
        <v>25.34</v>
      </c>
      <c r="M32" s="60">
        <v>45.18</v>
      </c>
      <c r="N32" s="60">
        <v>6</v>
      </c>
      <c r="O32" s="60">
        <v>0</v>
      </c>
      <c r="P32" s="60">
        <v>3.33</v>
      </c>
      <c r="Q32" s="60">
        <v>33.44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3.43</v>
      </c>
      <c r="C34" s="29">
        <f t="shared" si="0"/>
        <v>33.299999999999997</v>
      </c>
      <c r="D34" s="29">
        <f t="shared" si="0"/>
        <v>25.03</v>
      </c>
      <c r="E34" s="29">
        <f t="shared" si="0"/>
        <v>6.03</v>
      </c>
      <c r="F34" s="29">
        <f t="shared" si="0"/>
        <v>3.34</v>
      </c>
      <c r="G34" s="29">
        <f t="shared" si="0"/>
        <v>21.65</v>
      </c>
      <c r="H34" s="29">
        <f t="shared" si="0"/>
        <v>18.07</v>
      </c>
      <c r="I34" s="29">
        <f t="shared" si="0"/>
        <v>0.59</v>
      </c>
      <c r="J34" s="29">
        <f t="shared" si="0"/>
        <v>0.09</v>
      </c>
      <c r="K34" s="29">
        <f t="shared" si="0"/>
        <v>128.53</v>
      </c>
      <c r="L34" s="29">
        <f t="shared" si="0"/>
        <v>23.12</v>
      </c>
      <c r="M34" s="29">
        <f t="shared" si="0"/>
        <v>7.07</v>
      </c>
      <c r="N34" s="29">
        <f t="shared" si="0"/>
        <v>5.6</v>
      </c>
      <c r="O34" s="29">
        <f t="shared" si="0"/>
        <v>0</v>
      </c>
      <c r="P34" s="29">
        <f t="shared" si="0"/>
        <v>0.53</v>
      </c>
      <c r="Q34" s="29">
        <f t="shared" si="0"/>
        <v>18.3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224.7</v>
      </c>
      <c r="C35" s="30">
        <f t="shared" si="1"/>
        <v>129.93</v>
      </c>
      <c r="D35" s="30">
        <f t="shared" si="1"/>
        <v>251.08</v>
      </c>
      <c r="E35" s="30">
        <f t="shared" si="1"/>
        <v>64.83</v>
      </c>
      <c r="F35" s="30">
        <f t="shared" si="1"/>
        <v>71.52</v>
      </c>
      <c r="G35" s="30">
        <f t="shared" si="1"/>
        <v>198.2</v>
      </c>
      <c r="H35" s="30">
        <f t="shared" si="1"/>
        <v>68.400000000000006</v>
      </c>
      <c r="I35" s="30">
        <f t="shared" si="1"/>
        <v>1.84</v>
      </c>
      <c r="J35" s="30">
        <f t="shared" si="1"/>
        <v>2.21</v>
      </c>
      <c r="K35" s="30">
        <f t="shared" si="1"/>
        <v>309.88</v>
      </c>
      <c r="L35" s="30">
        <f t="shared" si="1"/>
        <v>39.619999999999997</v>
      </c>
      <c r="M35" s="30">
        <f t="shared" si="1"/>
        <v>71.48</v>
      </c>
      <c r="N35" s="30">
        <f t="shared" si="1"/>
        <v>983</v>
      </c>
      <c r="O35" s="30">
        <f t="shared" si="1"/>
        <v>0</v>
      </c>
      <c r="P35" s="30">
        <f t="shared" si="1"/>
        <v>5.35</v>
      </c>
      <c r="Q35" s="30">
        <f t="shared" si="1"/>
        <v>33.44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58.048750000000005</v>
      </c>
      <c r="C36" s="29">
        <f t="shared" si="2"/>
        <v>64.442083333333329</v>
      </c>
      <c r="D36" s="29">
        <f t="shared" si="2"/>
        <v>80.961666666666659</v>
      </c>
      <c r="E36" s="29">
        <f t="shared" si="2"/>
        <v>15.793333333333335</v>
      </c>
      <c r="F36" s="29">
        <f t="shared" si="2"/>
        <v>17.719583333333336</v>
      </c>
      <c r="G36" s="29">
        <f t="shared" si="2"/>
        <v>101.27999999999999</v>
      </c>
      <c r="H36" s="29">
        <f t="shared" si="2"/>
        <v>44.744117647058829</v>
      </c>
      <c r="I36" s="29">
        <f t="shared" si="2"/>
        <v>0.93541666666666667</v>
      </c>
      <c r="J36" s="29">
        <f t="shared" si="2"/>
        <v>0.63791666666666658</v>
      </c>
      <c r="K36" s="29">
        <f t="shared" si="2"/>
        <v>254.76791666666665</v>
      </c>
      <c r="L36" s="29">
        <f t="shared" si="2"/>
        <v>30.704166666666666</v>
      </c>
      <c r="M36" s="29">
        <f t="shared" si="2"/>
        <v>31.396666666666672</v>
      </c>
      <c r="N36" s="29">
        <f t="shared" si="2"/>
        <v>303.64166666666671</v>
      </c>
      <c r="O36" s="29">
        <f t="shared" si="2"/>
        <v>0</v>
      </c>
      <c r="P36" s="29">
        <f t="shared" si="2"/>
        <v>1.8279166666666671</v>
      </c>
      <c r="Q36" s="29">
        <f t="shared" si="2"/>
        <v>27.111666666666661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66.635148990440925</v>
      </c>
      <c r="C37" s="29">
        <f t="shared" ref="C37:Q37" si="3">STDEV(C9:C32)</f>
        <v>32.439630751552976</v>
      </c>
      <c r="D37" s="29">
        <f t="shared" si="3"/>
        <v>70.212382945179854</v>
      </c>
      <c r="E37" s="29">
        <f t="shared" si="3"/>
        <v>12.581899236832141</v>
      </c>
      <c r="F37" s="29">
        <f t="shared" si="3"/>
        <v>16.57669251091572</v>
      </c>
      <c r="G37" s="29">
        <f t="shared" si="3"/>
        <v>45.010778847960452</v>
      </c>
      <c r="H37" s="29">
        <f t="shared" si="3"/>
        <v>15.552486159302417</v>
      </c>
      <c r="I37" s="29">
        <f t="shared" si="3"/>
        <v>0.3361932566205062</v>
      </c>
      <c r="J37" s="29">
        <f t="shared" si="3"/>
        <v>0.60007955390472401</v>
      </c>
      <c r="K37" s="29">
        <f t="shared" si="3"/>
        <v>53.510891534923445</v>
      </c>
      <c r="L37" s="29">
        <f t="shared" si="3"/>
        <v>5.1779280031492227</v>
      </c>
      <c r="M37" s="29">
        <f t="shared" si="3"/>
        <v>18.933964803717306</v>
      </c>
      <c r="N37" s="29">
        <f t="shared" si="3"/>
        <v>380.37697195953047</v>
      </c>
      <c r="O37" s="29">
        <f t="shared" si="3"/>
        <v>0</v>
      </c>
      <c r="P37" s="29">
        <f t="shared" si="3"/>
        <v>1.3672726873046481</v>
      </c>
      <c r="Q37" s="29">
        <f t="shared" si="3"/>
        <v>3.2445521787420906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COUNT(G9:G32)+7</f>
        <v>24</v>
      </c>
      <c r="H38" s="33">
        <f>COUNT(H9:H32)+7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12-05-2023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326</v>
      </c>
      <c r="B9" s="60">
        <v>116.12</v>
      </c>
      <c r="C9" s="60">
        <v>74.19</v>
      </c>
      <c r="D9" s="60">
        <v>126.09</v>
      </c>
      <c r="E9" s="60">
        <v>11.86</v>
      </c>
      <c r="F9" s="60">
        <v>3.55</v>
      </c>
      <c r="G9" s="60">
        <v>157.58000000000001</v>
      </c>
      <c r="H9" s="60">
        <v>57.16</v>
      </c>
      <c r="I9" s="60">
        <v>1.44</v>
      </c>
      <c r="J9" s="60">
        <v>0.14000000000000001</v>
      </c>
      <c r="K9" s="60">
        <v>260.88</v>
      </c>
      <c r="L9" s="60">
        <v>23.99</v>
      </c>
      <c r="M9" s="60">
        <v>52.54</v>
      </c>
      <c r="N9" s="60">
        <v>6.1</v>
      </c>
      <c r="O9" s="60">
        <v>0</v>
      </c>
      <c r="P9" s="60">
        <v>2.91</v>
      </c>
      <c r="Q9" s="60">
        <v>34.5</v>
      </c>
      <c r="R9" s="44"/>
      <c r="S9" s="44"/>
      <c r="T9" s="44"/>
      <c r="U9" s="44"/>
    </row>
    <row r="10" spans="1:21" s="12" customFormat="1" x14ac:dyDescent="0.25">
      <c r="A10" s="59" t="s">
        <v>327</v>
      </c>
      <c r="B10" s="60">
        <v>114.74</v>
      </c>
      <c r="C10" s="60">
        <v>51.28</v>
      </c>
      <c r="D10" s="60">
        <v>118.44</v>
      </c>
      <c r="E10" s="60">
        <v>7.14</v>
      </c>
      <c r="F10" s="60">
        <v>3.28</v>
      </c>
      <c r="G10" s="66" t="s">
        <v>8</v>
      </c>
      <c r="H10" s="66" t="s">
        <v>8</v>
      </c>
      <c r="I10" s="60">
        <v>1.34</v>
      </c>
      <c r="J10" s="60">
        <v>0.19</v>
      </c>
      <c r="K10" s="60">
        <v>269.25</v>
      </c>
      <c r="L10" s="60">
        <v>22.97</v>
      </c>
      <c r="M10" s="60">
        <v>57.45</v>
      </c>
      <c r="N10" s="60">
        <v>5.9</v>
      </c>
      <c r="O10" s="60">
        <v>0</v>
      </c>
      <c r="P10" s="60">
        <v>2.69</v>
      </c>
      <c r="Q10" s="60">
        <v>34.700000000000003</v>
      </c>
      <c r="R10" s="44"/>
      <c r="S10" s="44"/>
      <c r="T10" s="44"/>
      <c r="U10" s="44"/>
    </row>
    <row r="11" spans="1:21" s="12" customFormat="1" x14ac:dyDescent="0.25">
      <c r="A11" s="59" t="s">
        <v>328</v>
      </c>
      <c r="B11" s="60">
        <v>94.77</v>
      </c>
      <c r="C11" s="60">
        <v>53.38</v>
      </c>
      <c r="D11" s="60">
        <v>106.11</v>
      </c>
      <c r="E11" s="60">
        <v>6.72</v>
      </c>
      <c r="F11" s="60">
        <v>3.2</v>
      </c>
      <c r="G11" s="66" t="s">
        <v>8</v>
      </c>
      <c r="H11" s="66" t="s">
        <v>8</v>
      </c>
      <c r="I11" s="60">
        <v>1.3</v>
      </c>
      <c r="J11" s="60">
        <v>0.2</v>
      </c>
      <c r="K11" s="60">
        <v>272.7</v>
      </c>
      <c r="L11" s="60">
        <v>22.27</v>
      </c>
      <c r="M11" s="60">
        <v>58.29</v>
      </c>
      <c r="N11" s="60">
        <v>5.8</v>
      </c>
      <c r="O11" s="60">
        <v>0</v>
      </c>
      <c r="P11" s="60">
        <v>2.19</v>
      </c>
      <c r="Q11" s="60">
        <v>35.28</v>
      </c>
      <c r="R11" s="44"/>
      <c r="S11" s="44"/>
      <c r="T11" s="44"/>
      <c r="U11" s="44"/>
    </row>
    <row r="12" spans="1:21" s="12" customFormat="1" x14ac:dyDescent="0.25">
      <c r="A12" s="59" t="s">
        <v>329</v>
      </c>
      <c r="B12" s="60">
        <v>97.85</v>
      </c>
      <c r="C12" s="60">
        <v>48.17</v>
      </c>
      <c r="D12" s="60">
        <v>95.94</v>
      </c>
      <c r="E12" s="60">
        <v>6.42</v>
      </c>
      <c r="F12" s="60">
        <v>3.63</v>
      </c>
      <c r="G12" s="66" t="s">
        <v>8</v>
      </c>
      <c r="H12" s="66" t="s">
        <v>8</v>
      </c>
      <c r="I12" s="60">
        <v>1.23</v>
      </c>
      <c r="J12" s="60">
        <v>0.17</v>
      </c>
      <c r="K12" s="60">
        <v>278.89999999999998</v>
      </c>
      <c r="L12" s="60">
        <v>22.49</v>
      </c>
      <c r="M12" s="60">
        <v>57.36</v>
      </c>
      <c r="N12" s="60">
        <v>5.5</v>
      </c>
      <c r="O12" s="60">
        <v>0</v>
      </c>
      <c r="P12" s="60">
        <v>2.2599999999999998</v>
      </c>
      <c r="Q12" s="60">
        <v>35.54</v>
      </c>
      <c r="R12" s="44"/>
      <c r="S12" s="44"/>
      <c r="T12" s="44"/>
      <c r="U12" s="44"/>
    </row>
    <row r="13" spans="1:21" s="12" customFormat="1" x14ac:dyDescent="0.25">
      <c r="A13" s="59" t="s">
        <v>330</v>
      </c>
      <c r="B13" s="60">
        <v>94.28</v>
      </c>
      <c r="C13" s="60">
        <v>40.79</v>
      </c>
      <c r="D13" s="60">
        <v>95.26</v>
      </c>
      <c r="E13" s="60">
        <v>6.12</v>
      </c>
      <c r="F13" s="60">
        <v>2.98</v>
      </c>
      <c r="G13" s="60">
        <v>131.30000000000001</v>
      </c>
      <c r="H13" s="60">
        <v>58.35</v>
      </c>
      <c r="I13" s="60">
        <v>1.19</v>
      </c>
      <c r="J13" s="60">
        <v>0.19</v>
      </c>
      <c r="K13" s="60">
        <v>273.73</v>
      </c>
      <c r="L13" s="60">
        <v>23.17</v>
      </c>
      <c r="M13" s="60">
        <v>55.73</v>
      </c>
      <c r="N13" s="60">
        <v>6</v>
      </c>
      <c r="O13" s="60">
        <v>0</v>
      </c>
      <c r="P13" s="60">
        <v>2.11</v>
      </c>
      <c r="Q13" s="60">
        <v>33.44</v>
      </c>
      <c r="R13" s="44"/>
      <c r="S13" s="44"/>
      <c r="T13" s="44"/>
      <c r="U13" s="44"/>
    </row>
    <row r="14" spans="1:21" s="12" customFormat="1" x14ac:dyDescent="0.25">
      <c r="A14" s="59" t="s">
        <v>331</v>
      </c>
      <c r="B14" s="60">
        <v>110.75</v>
      </c>
      <c r="C14" s="60">
        <v>48.11</v>
      </c>
      <c r="D14" s="60">
        <v>115.6</v>
      </c>
      <c r="E14" s="60">
        <v>7.13</v>
      </c>
      <c r="F14" s="60">
        <v>2.91</v>
      </c>
      <c r="G14" s="60">
        <v>216.12</v>
      </c>
      <c r="H14" s="60">
        <v>72.48</v>
      </c>
      <c r="I14" s="60">
        <v>1.1299999999999999</v>
      </c>
      <c r="J14" s="60">
        <v>0.15</v>
      </c>
      <c r="K14" s="60">
        <v>257.11</v>
      </c>
      <c r="L14" s="60">
        <v>21.58</v>
      </c>
      <c r="M14" s="60">
        <v>63.46</v>
      </c>
      <c r="N14" s="60">
        <v>36.799999999999997</v>
      </c>
      <c r="O14" s="60">
        <v>0</v>
      </c>
      <c r="P14" s="60">
        <v>1.97</v>
      </c>
      <c r="Q14" s="60">
        <v>32.68</v>
      </c>
      <c r="R14" s="44"/>
      <c r="S14" s="44"/>
      <c r="T14" s="44"/>
      <c r="U14" s="44"/>
    </row>
    <row r="15" spans="1:21" s="12" customFormat="1" x14ac:dyDescent="0.25">
      <c r="A15" s="59" t="s">
        <v>332</v>
      </c>
      <c r="B15" s="60">
        <v>93.78</v>
      </c>
      <c r="C15" s="60">
        <v>41.97</v>
      </c>
      <c r="D15" s="60">
        <v>99.02</v>
      </c>
      <c r="E15" s="60">
        <v>12.19</v>
      </c>
      <c r="F15" s="60">
        <v>4.46</v>
      </c>
      <c r="G15" s="60">
        <v>159.43</v>
      </c>
      <c r="H15" s="60">
        <v>72.180000000000007</v>
      </c>
      <c r="I15" s="60">
        <v>1.03</v>
      </c>
      <c r="J15" s="60">
        <v>0.66</v>
      </c>
      <c r="K15" s="60">
        <v>286.67</v>
      </c>
      <c r="L15" s="60">
        <v>27.91</v>
      </c>
      <c r="M15" s="60">
        <v>42.58</v>
      </c>
      <c r="N15" s="60">
        <v>228.1</v>
      </c>
      <c r="O15" s="60">
        <v>0</v>
      </c>
      <c r="P15" s="60">
        <v>1.91</v>
      </c>
      <c r="Q15" s="60">
        <v>34.83</v>
      </c>
      <c r="R15" s="44"/>
      <c r="S15" s="44"/>
      <c r="T15" s="44"/>
      <c r="U15" s="44"/>
    </row>
    <row r="16" spans="1:21" s="12" customFormat="1" x14ac:dyDescent="0.25">
      <c r="A16" s="59" t="s">
        <v>333</v>
      </c>
      <c r="B16" s="60">
        <v>78.040000000000006</v>
      </c>
      <c r="C16" s="60">
        <v>50.88</v>
      </c>
      <c r="D16" s="60">
        <v>85.84</v>
      </c>
      <c r="E16" s="60">
        <v>16.329999999999998</v>
      </c>
      <c r="F16" s="60">
        <v>5.75</v>
      </c>
      <c r="G16" s="66" t="s">
        <v>8</v>
      </c>
      <c r="H16" s="66" t="s">
        <v>8</v>
      </c>
      <c r="I16" s="60">
        <v>1.03</v>
      </c>
      <c r="J16" s="60">
        <v>0.81</v>
      </c>
      <c r="K16" s="60">
        <v>311.62</v>
      </c>
      <c r="L16" s="60">
        <v>32.92</v>
      </c>
      <c r="M16" s="60">
        <v>28.69</v>
      </c>
      <c r="N16" s="60">
        <v>456.2</v>
      </c>
      <c r="O16" s="60">
        <v>0</v>
      </c>
      <c r="P16" s="60">
        <v>1.86</v>
      </c>
      <c r="Q16" s="60">
        <v>33.01</v>
      </c>
      <c r="R16" s="44"/>
      <c r="S16" s="44"/>
      <c r="T16" s="44"/>
      <c r="U16" s="44"/>
    </row>
    <row r="17" spans="1:21" s="12" customFormat="1" x14ac:dyDescent="0.25">
      <c r="A17" s="59" t="s">
        <v>334</v>
      </c>
      <c r="B17" s="60">
        <v>47.8</v>
      </c>
      <c r="C17" s="60">
        <v>68.19</v>
      </c>
      <c r="D17" s="60">
        <v>76.61</v>
      </c>
      <c r="E17" s="60">
        <v>73.59</v>
      </c>
      <c r="F17" s="60">
        <v>27.97</v>
      </c>
      <c r="G17" s="66" t="s">
        <v>8</v>
      </c>
      <c r="H17" s="66" t="s">
        <v>8</v>
      </c>
      <c r="I17" s="60">
        <v>0.87</v>
      </c>
      <c r="J17" s="60">
        <v>0.5</v>
      </c>
      <c r="K17" s="60">
        <v>297.83999999999997</v>
      </c>
      <c r="L17" s="60">
        <v>34.270000000000003</v>
      </c>
      <c r="M17" s="60">
        <v>20.260000000000002</v>
      </c>
      <c r="N17" s="60">
        <v>631.1</v>
      </c>
      <c r="O17" s="60">
        <v>0</v>
      </c>
      <c r="P17" s="60">
        <v>1.58</v>
      </c>
      <c r="Q17" s="60">
        <v>32.04</v>
      </c>
      <c r="R17" s="44"/>
      <c r="S17" s="44"/>
      <c r="T17" s="44"/>
      <c r="U17" s="44"/>
    </row>
    <row r="18" spans="1:21" s="12" customFormat="1" x14ac:dyDescent="0.25">
      <c r="A18" s="59" t="s">
        <v>335</v>
      </c>
      <c r="B18" s="60">
        <v>48.09</v>
      </c>
      <c r="C18" s="60">
        <v>53.67</v>
      </c>
      <c r="D18" s="60">
        <v>67.25</v>
      </c>
      <c r="E18" s="60">
        <v>23.55</v>
      </c>
      <c r="F18" s="60">
        <v>15.7</v>
      </c>
      <c r="G18" s="66" t="s">
        <v>8</v>
      </c>
      <c r="H18" s="66" t="s">
        <v>8</v>
      </c>
      <c r="I18" s="60">
        <v>0.84</v>
      </c>
      <c r="J18" s="60">
        <v>0.89</v>
      </c>
      <c r="K18" s="60">
        <v>239.34</v>
      </c>
      <c r="L18" s="60">
        <v>33.630000000000003</v>
      </c>
      <c r="M18" s="60">
        <v>19</v>
      </c>
      <c r="N18" s="60">
        <v>816.8</v>
      </c>
      <c r="O18" s="60">
        <v>0</v>
      </c>
      <c r="P18" s="60">
        <v>1.52</v>
      </c>
      <c r="Q18" s="60">
        <v>32.43</v>
      </c>
      <c r="R18" s="44"/>
      <c r="S18" s="44"/>
      <c r="T18" s="44"/>
      <c r="U18" s="44"/>
    </row>
    <row r="19" spans="1:21" s="12" customFormat="1" x14ac:dyDescent="0.25">
      <c r="A19" s="59" t="s">
        <v>336</v>
      </c>
      <c r="B19" s="60">
        <v>15.25</v>
      </c>
      <c r="C19" s="60">
        <v>52.66</v>
      </c>
      <c r="D19" s="60">
        <v>41.93</v>
      </c>
      <c r="E19" s="60">
        <v>20.190000000000001</v>
      </c>
      <c r="F19" s="60">
        <v>54.07</v>
      </c>
      <c r="G19" s="66" t="s">
        <v>8</v>
      </c>
      <c r="H19" s="66" t="s">
        <v>8</v>
      </c>
      <c r="I19" s="60">
        <v>0.9</v>
      </c>
      <c r="J19" s="60">
        <v>1.18</v>
      </c>
      <c r="K19" s="60">
        <v>141.94999999999999</v>
      </c>
      <c r="L19" s="60">
        <v>33.81</v>
      </c>
      <c r="M19" s="60">
        <v>17.100000000000001</v>
      </c>
      <c r="N19" s="60">
        <v>858.5</v>
      </c>
      <c r="O19" s="60">
        <v>0</v>
      </c>
      <c r="P19" s="60">
        <v>1.01</v>
      </c>
      <c r="Q19" s="60">
        <v>30.8</v>
      </c>
      <c r="R19" s="44"/>
      <c r="S19" s="44"/>
      <c r="T19" s="44"/>
      <c r="U19" s="44"/>
    </row>
    <row r="20" spans="1:21" s="12" customFormat="1" x14ac:dyDescent="0.25">
      <c r="A20" s="59" t="s">
        <v>337</v>
      </c>
      <c r="B20" s="60">
        <v>1.97</v>
      </c>
      <c r="C20" s="60">
        <v>40.99</v>
      </c>
      <c r="D20" s="60">
        <v>24.85</v>
      </c>
      <c r="E20" s="60">
        <v>26.65</v>
      </c>
      <c r="F20" s="60">
        <v>72.03</v>
      </c>
      <c r="G20" s="66" t="s">
        <v>8</v>
      </c>
      <c r="H20" s="66" t="s">
        <v>8</v>
      </c>
      <c r="I20" s="60">
        <v>0.54</v>
      </c>
      <c r="J20" s="60">
        <v>0.97</v>
      </c>
      <c r="K20" s="60">
        <v>215.38</v>
      </c>
      <c r="L20" s="60">
        <v>35.19</v>
      </c>
      <c r="M20" s="60">
        <v>16.36</v>
      </c>
      <c r="N20" s="60">
        <v>909.5</v>
      </c>
      <c r="O20" s="60">
        <v>0</v>
      </c>
      <c r="P20" s="60">
        <v>0.41</v>
      </c>
      <c r="Q20" s="60">
        <v>23.31</v>
      </c>
      <c r="R20" s="44"/>
      <c r="S20" s="44"/>
      <c r="T20" s="44"/>
      <c r="U20" s="44"/>
    </row>
    <row r="21" spans="1:21" s="12" customFormat="1" x14ac:dyDescent="0.25">
      <c r="A21" s="59" t="s">
        <v>338</v>
      </c>
      <c r="B21" s="60">
        <v>3.45</v>
      </c>
      <c r="C21" s="60">
        <v>42.17</v>
      </c>
      <c r="D21" s="60">
        <v>26.69</v>
      </c>
      <c r="E21" s="60">
        <v>13.57</v>
      </c>
      <c r="F21" s="60">
        <v>32.99</v>
      </c>
      <c r="G21" s="66" t="s">
        <v>8</v>
      </c>
      <c r="H21" s="66" t="s">
        <v>8</v>
      </c>
      <c r="I21" s="60">
        <v>0.67</v>
      </c>
      <c r="J21" s="60">
        <v>0.42</v>
      </c>
      <c r="K21" s="60">
        <v>296.85000000000002</v>
      </c>
      <c r="L21" s="60">
        <v>39.520000000000003</v>
      </c>
      <c r="M21" s="60">
        <v>13.31</v>
      </c>
      <c r="N21" s="60">
        <v>924.8</v>
      </c>
      <c r="O21" s="60">
        <v>0</v>
      </c>
      <c r="P21" s="60">
        <v>0.38</v>
      </c>
      <c r="Q21" s="60">
        <v>24.47</v>
      </c>
      <c r="R21" s="44"/>
      <c r="S21" s="44"/>
      <c r="T21" s="44"/>
      <c r="U21" s="44"/>
    </row>
    <row r="22" spans="1:21" s="12" customFormat="1" x14ac:dyDescent="0.25">
      <c r="A22" s="59" t="s">
        <v>339</v>
      </c>
      <c r="B22" s="60">
        <v>2.25</v>
      </c>
      <c r="C22" s="60">
        <v>43.8</v>
      </c>
      <c r="D22" s="60">
        <v>25.9</v>
      </c>
      <c r="E22" s="60">
        <v>9.34</v>
      </c>
      <c r="F22" s="60">
        <v>38.61</v>
      </c>
      <c r="G22" s="60">
        <v>166.17</v>
      </c>
      <c r="H22" s="60">
        <v>28.06</v>
      </c>
      <c r="I22" s="60">
        <v>0.74</v>
      </c>
      <c r="J22" s="60">
        <v>0.82</v>
      </c>
      <c r="K22" s="60">
        <v>306.69</v>
      </c>
      <c r="L22" s="60">
        <v>38.78</v>
      </c>
      <c r="M22" s="60">
        <v>11.83</v>
      </c>
      <c r="N22" s="60">
        <v>726.3</v>
      </c>
      <c r="O22" s="60">
        <v>0</v>
      </c>
      <c r="P22" s="60">
        <v>0.66</v>
      </c>
      <c r="Q22" s="60">
        <v>24.35</v>
      </c>
      <c r="R22" s="44"/>
      <c r="S22" s="44"/>
      <c r="T22" s="44"/>
      <c r="U22" s="44"/>
    </row>
    <row r="23" spans="1:21" s="12" customFormat="1" x14ac:dyDescent="0.25">
      <c r="A23" s="59" t="s">
        <v>340</v>
      </c>
      <c r="B23" s="60">
        <v>6.72</v>
      </c>
      <c r="C23" s="60">
        <v>41.14</v>
      </c>
      <c r="D23" s="60">
        <v>27.77</v>
      </c>
      <c r="E23" s="60">
        <v>14.45</v>
      </c>
      <c r="F23" s="60">
        <v>53.23</v>
      </c>
      <c r="G23" s="60">
        <v>100.6</v>
      </c>
      <c r="H23" s="60">
        <v>28.06</v>
      </c>
      <c r="I23" s="60">
        <v>0.68</v>
      </c>
      <c r="J23" s="60">
        <v>1.81</v>
      </c>
      <c r="K23" s="60">
        <v>294.76</v>
      </c>
      <c r="L23" s="60">
        <v>38.61</v>
      </c>
      <c r="M23" s="60">
        <v>9.91</v>
      </c>
      <c r="N23" s="60">
        <v>562.1</v>
      </c>
      <c r="O23" s="60">
        <v>0</v>
      </c>
      <c r="P23" s="60">
        <v>0.69</v>
      </c>
      <c r="Q23" s="60">
        <v>24.02</v>
      </c>
      <c r="R23" s="44"/>
      <c r="S23" s="44"/>
      <c r="T23" s="44"/>
      <c r="U23" s="44"/>
    </row>
    <row r="24" spans="1:21" s="12" customFormat="1" x14ac:dyDescent="0.25">
      <c r="A24" s="59" t="s">
        <v>341</v>
      </c>
      <c r="B24" s="60">
        <v>2.99</v>
      </c>
      <c r="C24" s="60">
        <v>40.01</v>
      </c>
      <c r="D24" s="60">
        <v>25.11</v>
      </c>
      <c r="E24" s="60">
        <v>10.09</v>
      </c>
      <c r="F24" s="60">
        <v>33.89</v>
      </c>
      <c r="G24" s="60">
        <v>47.66</v>
      </c>
      <c r="H24" s="60">
        <v>25.35</v>
      </c>
      <c r="I24" s="60">
        <v>0.77</v>
      </c>
      <c r="J24" s="60">
        <v>0.94</v>
      </c>
      <c r="K24" s="60">
        <v>289.32</v>
      </c>
      <c r="L24" s="60">
        <v>36.99</v>
      </c>
      <c r="M24" s="60">
        <v>11</v>
      </c>
      <c r="N24" s="60">
        <v>345.3</v>
      </c>
      <c r="O24" s="60">
        <v>0</v>
      </c>
      <c r="P24" s="60">
        <v>0.69</v>
      </c>
      <c r="Q24" s="60">
        <v>23.86</v>
      </c>
      <c r="R24" s="44"/>
      <c r="S24" s="44"/>
      <c r="T24" s="44"/>
      <c r="U24" s="44"/>
    </row>
    <row r="25" spans="1:21" s="12" customFormat="1" x14ac:dyDescent="0.25">
      <c r="A25" s="59" t="s">
        <v>342</v>
      </c>
      <c r="B25" s="60">
        <v>7.62</v>
      </c>
      <c r="C25" s="60">
        <v>52.17</v>
      </c>
      <c r="D25" s="60">
        <v>33.9</v>
      </c>
      <c r="E25" s="60">
        <v>15.43</v>
      </c>
      <c r="F25" s="60">
        <v>63.39</v>
      </c>
      <c r="G25" s="60">
        <v>41.39</v>
      </c>
      <c r="H25" s="60">
        <v>24.29</v>
      </c>
      <c r="I25" s="60">
        <v>0.75</v>
      </c>
      <c r="J25" s="60">
        <v>0.74</v>
      </c>
      <c r="K25" s="60">
        <v>299.27</v>
      </c>
      <c r="L25" s="60">
        <v>36.83</v>
      </c>
      <c r="M25" s="60">
        <v>13.86</v>
      </c>
      <c r="N25" s="60">
        <v>146.9</v>
      </c>
      <c r="O25" s="60">
        <v>0</v>
      </c>
      <c r="P25" s="60">
        <v>0.8</v>
      </c>
      <c r="Q25" s="60">
        <v>23.45</v>
      </c>
      <c r="R25" s="44"/>
      <c r="S25" s="44"/>
      <c r="T25" s="44"/>
      <c r="U25" s="44"/>
    </row>
    <row r="26" spans="1:21" s="12" customFormat="1" x14ac:dyDescent="0.25">
      <c r="A26" s="59" t="s">
        <v>343</v>
      </c>
      <c r="B26" s="60">
        <v>16.79</v>
      </c>
      <c r="C26" s="60">
        <v>96.33</v>
      </c>
      <c r="D26" s="60">
        <v>60.88</v>
      </c>
      <c r="E26" s="60">
        <v>18.2</v>
      </c>
      <c r="F26" s="60">
        <v>61.29</v>
      </c>
      <c r="G26" s="60">
        <v>45.52</v>
      </c>
      <c r="H26" s="60">
        <v>26.02</v>
      </c>
      <c r="I26" s="60">
        <v>0.7</v>
      </c>
      <c r="J26" s="60">
        <v>0.41</v>
      </c>
      <c r="K26" s="60">
        <v>305.38</v>
      </c>
      <c r="L26" s="60">
        <v>35.01</v>
      </c>
      <c r="M26" s="60">
        <v>20.309999999999999</v>
      </c>
      <c r="N26" s="60">
        <v>88</v>
      </c>
      <c r="O26" s="60">
        <v>0</v>
      </c>
      <c r="P26" s="60">
        <v>1.43</v>
      </c>
      <c r="Q26" s="60">
        <v>20.13</v>
      </c>
      <c r="R26" s="44"/>
      <c r="S26" s="44"/>
      <c r="T26" s="44"/>
      <c r="U26" s="44"/>
    </row>
    <row r="27" spans="1:21" s="12" customFormat="1" x14ac:dyDescent="0.25">
      <c r="A27" s="59" t="s">
        <v>344</v>
      </c>
      <c r="B27" s="60">
        <v>68.27</v>
      </c>
      <c r="C27" s="60">
        <v>142.75</v>
      </c>
      <c r="D27" s="60">
        <v>134.18</v>
      </c>
      <c r="E27" s="60">
        <v>13.17</v>
      </c>
      <c r="F27" s="60">
        <v>23.04</v>
      </c>
      <c r="G27" s="60">
        <v>166.36</v>
      </c>
      <c r="H27" s="60">
        <v>33.090000000000003</v>
      </c>
      <c r="I27" s="60">
        <v>0.95</v>
      </c>
      <c r="J27" s="60">
        <v>0.14000000000000001</v>
      </c>
      <c r="K27" s="60">
        <v>279.33999999999997</v>
      </c>
      <c r="L27" s="60">
        <v>32.299999999999997</v>
      </c>
      <c r="M27" s="60">
        <v>25.16</v>
      </c>
      <c r="N27" s="60">
        <v>32.200000000000003</v>
      </c>
      <c r="O27" s="60">
        <v>0</v>
      </c>
      <c r="P27" s="60">
        <v>1.9</v>
      </c>
      <c r="Q27" s="60">
        <v>23.05</v>
      </c>
      <c r="R27" s="44"/>
      <c r="S27" s="44"/>
      <c r="T27" s="44"/>
      <c r="U27" s="44"/>
    </row>
    <row r="28" spans="1:21" s="12" customFormat="1" x14ac:dyDescent="0.25">
      <c r="A28" s="59" t="s">
        <v>345</v>
      </c>
      <c r="B28" s="60">
        <v>111.05</v>
      </c>
      <c r="C28" s="60">
        <v>117.33</v>
      </c>
      <c r="D28" s="60">
        <v>154.44999999999999</v>
      </c>
      <c r="E28" s="60">
        <v>13.23</v>
      </c>
      <c r="F28" s="60">
        <v>27.05</v>
      </c>
      <c r="G28" s="60">
        <v>166.36</v>
      </c>
      <c r="H28" s="60">
        <v>33.090000000000003</v>
      </c>
      <c r="I28" s="60">
        <v>0.95</v>
      </c>
      <c r="J28" s="60">
        <v>0.21</v>
      </c>
      <c r="K28" s="60">
        <v>284.27999999999997</v>
      </c>
      <c r="L28" s="60">
        <v>30.77</v>
      </c>
      <c r="M28" s="60">
        <v>31.53</v>
      </c>
      <c r="N28" s="60">
        <v>10.5</v>
      </c>
      <c r="O28" s="60">
        <v>0</v>
      </c>
      <c r="P28" s="60">
        <v>2.73</v>
      </c>
      <c r="Q28" s="60">
        <v>25.6</v>
      </c>
      <c r="R28" s="44"/>
      <c r="S28" s="44"/>
      <c r="T28" s="44"/>
      <c r="U28" s="44"/>
    </row>
    <row r="29" spans="1:21" s="12" customFormat="1" x14ac:dyDescent="0.25">
      <c r="A29" s="59" t="s">
        <v>346</v>
      </c>
      <c r="B29" s="60">
        <v>85.72</v>
      </c>
      <c r="C29" s="60">
        <v>131.16</v>
      </c>
      <c r="D29" s="60">
        <v>141.77000000000001</v>
      </c>
      <c r="E29" s="60">
        <v>16.14</v>
      </c>
      <c r="F29" s="60">
        <v>34.42</v>
      </c>
      <c r="G29" s="60">
        <v>210.75</v>
      </c>
      <c r="H29" s="60">
        <v>35.909999999999997</v>
      </c>
      <c r="I29" s="60">
        <v>1.06</v>
      </c>
      <c r="J29" s="60">
        <v>0.18</v>
      </c>
      <c r="K29" s="60">
        <v>284.44</v>
      </c>
      <c r="L29" s="60">
        <v>30.41</v>
      </c>
      <c r="M29" s="60">
        <v>29.85</v>
      </c>
      <c r="N29" s="60">
        <v>10.5</v>
      </c>
      <c r="O29" s="60">
        <v>0</v>
      </c>
      <c r="P29" s="60">
        <v>2.4</v>
      </c>
      <c r="Q29" s="60">
        <v>26</v>
      </c>
      <c r="R29" s="44"/>
      <c r="S29" s="44"/>
      <c r="T29" s="44"/>
      <c r="U29" s="44"/>
    </row>
    <row r="30" spans="1:21" s="12" customFormat="1" x14ac:dyDescent="0.25">
      <c r="A30" s="59" t="s">
        <v>347</v>
      </c>
      <c r="B30" s="60">
        <v>95.61</v>
      </c>
      <c r="C30" s="60">
        <v>96.46</v>
      </c>
      <c r="D30" s="60">
        <v>126.69</v>
      </c>
      <c r="E30" s="60">
        <v>10.16</v>
      </c>
      <c r="F30" s="60">
        <v>4.1399999999999997</v>
      </c>
      <c r="G30" s="60">
        <v>210.75</v>
      </c>
      <c r="H30" s="60">
        <v>42.97</v>
      </c>
      <c r="I30" s="60">
        <v>1.02</v>
      </c>
      <c r="J30" s="60">
        <v>0.15</v>
      </c>
      <c r="K30" s="60">
        <v>286.79000000000002</v>
      </c>
      <c r="L30" s="60">
        <v>27.99</v>
      </c>
      <c r="M30" s="60">
        <v>39.28</v>
      </c>
      <c r="N30" s="60">
        <v>10.5</v>
      </c>
      <c r="O30" s="60">
        <v>0</v>
      </c>
      <c r="P30" s="60">
        <v>3.01</v>
      </c>
      <c r="Q30" s="60">
        <v>24.95</v>
      </c>
      <c r="R30" s="44"/>
      <c r="S30" s="44"/>
      <c r="T30" s="44"/>
      <c r="U30" s="44"/>
    </row>
    <row r="31" spans="1:21" s="12" customFormat="1" x14ac:dyDescent="0.25">
      <c r="A31" s="59" t="s">
        <v>348</v>
      </c>
      <c r="B31" s="60">
        <v>127.17</v>
      </c>
      <c r="C31" s="60">
        <v>113.77</v>
      </c>
      <c r="D31" s="60">
        <v>165.41</v>
      </c>
      <c r="E31" s="60">
        <v>9.44</v>
      </c>
      <c r="F31" s="60">
        <v>4.34</v>
      </c>
      <c r="G31" s="60">
        <v>182.53</v>
      </c>
      <c r="H31" s="60">
        <v>51.31</v>
      </c>
      <c r="I31" s="60">
        <v>1.26</v>
      </c>
      <c r="J31" s="60">
        <v>0.15</v>
      </c>
      <c r="K31" s="60">
        <v>304.52999999999997</v>
      </c>
      <c r="L31" s="60">
        <v>26.42</v>
      </c>
      <c r="M31" s="60">
        <v>38.97</v>
      </c>
      <c r="N31" s="60">
        <v>10.3</v>
      </c>
      <c r="O31" s="60">
        <v>0</v>
      </c>
      <c r="P31" s="60">
        <v>2.91</v>
      </c>
      <c r="Q31" s="60">
        <v>28.08</v>
      </c>
      <c r="R31" s="44"/>
      <c r="S31" s="44"/>
      <c r="T31" s="44"/>
      <c r="U31" s="44"/>
    </row>
    <row r="32" spans="1:21" s="12" customFormat="1" x14ac:dyDescent="0.25">
      <c r="A32" s="59" t="s">
        <v>349</v>
      </c>
      <c r="B32" s="60">
        <v>150.76</v>
      </c>
      <c r="C32" s="60">
        <v>120.24</v>
      </c>
      <c r="D32" s="60">
        <v>187.9</v>
      </c>
      <c r="E32" s="60">
        <v>9.86</v>
      </c>
      <c r="F32" s="60">
        <v>9.9700000000000006</v>
      </c>
      <c r="G32" s="60">
        <v>140.27000000000001</v>
      </c>
      <c r="H32" s="60">
        <v>51.31</v>
      </c>
      <c r="I32" s="60">
        <v>1.1399999999999999</v>
      </c>
      <c r="J32" s="60">
        <v>0.16</v>
      </c>
      <c r="K32" s="60">
        <v>303.48</v>
      </c>
      <c r="L32" s="60">
        <v>25.69</v>
      </c>
      <c r="M32" s="60">
        <v>40.69</v>
      </c>
      <c r="N32" s="60">
        <v>10.3</v>
      </c>
      <c r="O32" s="60">
        <v>0</v>
      </c>
      <c r="P32" s="60">
        <v>2.3199999999999998</v>
      </c>
      <c r="Q32" s="60">
        <v>31.88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1.97</v>
      </c>
      <c r="C34" s="29">
        <f t="shared" si="0"/>
        <v>40.01</v>
      </c>
      <c r="D34" s="29">
        <f t="shared" si="0"/>
        <v>24.85</v>
      </c>
      <c r="E34" s="29">
        <f t="shared" si="0"/>
        <v>6.12</v>
      </c>
      <c r="F34" s="29">
        <f t="shared" si="0"/>
        <v>2.91</v>
      </c>
      <c r="G34" s="29">
        <f t="shared" si="0"/>
        <v>41.39</v>
      </c>
      <c r="H34" s="29">
        <f t="shared" si="0"/>
        <v>24.29</v>
      </c>
      <c r="I34" s="29">
        <f t="shared" si="0"/>
        <v>0.54</v>
      </c>
      <c r="J34" s="29">
        <f t="shared" si="0"/>
        <v>0.14000000000000001</v>
      </c>
      <c r="K34" s="29">
        <f t="shared" si="0"/>
        <v>141.94999999999999</v>
      </c>
      <c r="L34" s="29">
        <f t="shared" si="0"/>
        <v>21.58</v>
      </c>
      <c r="M34" s="29">
        <f t="shared" si="0"/>
        <v>9.91</v>
      </c>
      <c r="N34" s="29">
        <f t="shared" si="0"/>
        <v>5.5</v>
      </c>
      <c r="O34" s="29">
        <f t="shared" si="0"/>
        <v>0</v>
      </c>
      <c r="P34" s="29">
        <f t="shared" si="0"/>
        <v>0.38</v>
      </c>
      <c r="Q34" s="29">
        <f t="shared" si="0"/>
        <v>20.13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150.76</v>
      </c>
      <c r="C35" s="30">
        <f t="shared" si="1"/>
        <v>142.75</v>
      </c>
      <c r="D35" s="30">
        <f t="shared" si="1"/>
        <v>187.9</v>
      </c>
      <c r="E35" s="30">
        <f t="shared" si="1"/>
        <v>73.59</v>
      </c>
      <c r="F35" s="30">
        <f t="shared" si="1"/>
        <v>72.03</v>
      </c>
      <c r="G35" s="30">
        <f t="shared" si="1"/>
        <v>216.12</v>
      </c>
      <c r="H35" s="30">
        <f t="shared" si="1"/>
        <v>72.48</v>
      </c>
      <c r="I35" s="30">
        <f t="shared" si="1"/>
        <v>1.44</v>
      </c>
      <c r="J35" s="30">
        <f t="shared" si="1"/>
        <v>1.81</v>
      </c>
      <c r="K35" s="30">
        <f t="shared" si="1"/>
        <v>311.62</v>
      </c>
      <c r="L35" s="30">
        <f t="shared" si="1"/>
        <v>39.520000000000003</v>
      </c>
      <c r="M35" s="30">
        <f t="shared" si="1"/>
        <v>63.46</v>
      </c>
      <c r="N35" s="30">
        <f t="shared" si="1"/>
        <v>924.8</v>
      </c>
      <c r="O35" s="30">
        <f t="shared" si="1"/>
        <v>0</v>
      </c>
      <c r="P35" s="30">
        <f t="shared" si="1"/>
        <v>3.01</v>
      </c>
      <c r="Q35" s="30">
        <f t="shared" si="1"/>
        <v>35.54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66.326666666666668</v>
      </c>
      <c r="C36" s="29">
        <f t="shared" si="2"/>
        <v>69.233750000000001</v>
      </c>
      <c r="D36" s="29">
        <f t="shared" si="2"/>
        <v>90.149583333333354</v>
      </c>
      <c r="E36" s="29">
        <f t="shared" si="2"/>
        <v>15.457083333333335</v>
      </c>
      <c r="F36" s="29">
        <f t="shared" si="2"/>
        <v>24.412083333333332</v>
      </c>
      <c r="G36" s="29">
        <f t="shared" si="2"/>
        <v>142.85266666666669</v>
      </c>
      <c r="H36" s="29">
        <f t="shared" si="2"/>
        <v>42.64200000000001</v>
      </c>
      <c r="I36" s="29">
        <f t="shared" si="2"/>
        <v>0.9804166666666666</v>
      </c>
      <c r="J36" s="29">
        <f t="shared" si="2"/>
        <v>0.50750000000000006</v>
      </c>
      <c r="K36" s="29">
        <f t="shared" si="2"/>
        <v>276.6875</v>
      </c>
      <c r="L36" s="29">
        <f t="shared" si="2"/>
        <v>30.563333333333333</v>
      </c>
      <c r="M36" s="29">
        <f t="shared" si="2"/>
        <v>32.271666666666668</v>
      </c>
      <c r="N36" s="29">
        <f t="shared" si="2"/>
        <v>285.16666666666669</v>
      </c>
      <c r="O36" s="29">
        <f t="shared" si="2"/>
        <v>0</v>
      </c>
      <c r="P36" s="29">
        <f t="shared" si="2"/>
        <v>1.7641666666666664</v>
      </c>
      <c r="Q36" s="29">
        <f t="shared" si="2"/>
        <v>28.850000000000009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48.135092113276606</v>
      </c>
      <c r="C37" s="29">
        <f t="shared" ref="C37:Q37" si="3">STDEV(C9:C32)</f>
        <v>33.375462323780454</v>
      </c>
      <c r="D37" s="29">
        <f t="shared" si="3"/>
        <v>49.360199375889188</v>
      </c>
      <c r="E37" s="29">
        <f t="shared" si="3"/>
        <v>13.489547476590468</v>
      </c>
      <c r="F37" s="29">
        <f t="shared" si="3"/>
        <v>22.720830890189283</v>
      </c>
      <c r="G37" s="29">
        <f t="shared" si="3"/>
        <v>59.196081610992039</v>
      </c>
      <c r="H37" s="29">
        <f t="shared" si="3"/>
        <v>16.767017027485842</v>
      </c>
      <c r="I37" s="29">
        <f t="shared" si="3"/>
        <v>0.24157956951240137</v>
      </c>
      <c r="J37" s="29">
        <f t="shared" si="3"/>
        <v>0.43538338926993297</v>
      </c>
      <c r="K37" s="29">
        <f t="shared" si="3"/>
        <v>36.49836116034934</v>
      </c>
      <c r="L37" s="29">
        <f t="shared" si="3"/>
        <v>5.9025533654414462</v>
      </c>
      <c r="M37" s="29">
        <f t="shared" si="3"/>
        <v>17.730903914442386</v>
      </c>
      <c r="N37" s="29">
        <f t="shared" si="3"/>
        <v>348.19497869499179</v>
      </c>
      <c r="O37" s="29">
        <f t="shared" si="3"/>
        <v>0</v>
      </c>
      <c r="P37" s="29">
        <f t="shared" si="3"/>
        <v>0.84182470893869055</v>
      </c>
      <c r="Q37" s="29">
        <f t="shared" si="3"/>
        <v>4.9725603587828555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COUNT(G9:G32)+9</f>
        <v>24</v>
      </c>
      <c r="H38" s="33">
        <f>COUNT(H9:H32)+9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546875" defaultRowHeight="15" x14ac:dyDescent="0.25"/>
  <cols>
    <col min="1" max="1" width="18.28515625" style="27" customWidth="1"/>
    <col min="2" max="2" width="13.855468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13-05-2023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350</v>
      </c>
      <c r="B9" s="60">
        <v>77.44</v>
      </c>
      <c r="C9" s="60">
        <v>71.12</v>
      </c>
      <c r="D9" s="60">
        <v>101.11</v>
      </c>
      <c r="E9" s="60">
        <v>6.22</v>
      </c>
      <c r="F9" s="60">
        <v>3.62</v>
      </c>
      <c r="G9" s="60">
        <v>169.93</v>
      </c>
      <c r="H9" s="60">
        <v>52.02</v>
      </c>
      <c r="I9" s="60">
        <v>1.07</v>
      </c>
      <c r="J9" s="60">
        <v>0.13</v>
      </c>
      <c r="K9" s="60">
        <v>269.97000000000003</v>
      </c>
      <c r="L9" s="60">
        <v>24.25</v>
      </c>
      <c r="M9" s="60">
        <v>45.78</v>
      </c>
      <c r="N9" s="60">
        <v>10.1</v>
      </c>
      <c r="O9" s="60">
        <v>0</v>
      </c>
      <c r="P9" s="60">
        <v>2.23</v>
      </c>
      <c r="Q9" s="60">
        <v>32.51</v>
      </c>
      <c r="R9" s="44"/>
      <c r="S9" s="44"/>
      <c r="T9" s="44"/>
      <c r="U9" s="44"/>
    </row>
    <row r="10" spans="1:21" s="12" customFormat="1" x14ac:dyDescent="0.25">
      <c r="A10" s="59" t="s">
        <v>351</v>
      </c>
      <c r="B10" s="60">
        <v>63.23</v>
      </c>
      <c r="C10" s="60">
        <v>65.22</v>
      </c>
      <c r="D10" s="60">
        <v>80.569999999999993</v>
      </c>
      <c r="E10" s="60">
        <v>6.52</v>
      </c>
      <c r="F10" s="60">
        <v>12.27</v>
      </c>
      <c r="G10" s="60">
        <v>169.93</v>
      </c>
      <c r="H10" s="60">
        <v>52.02</v>
      </c>
      <c r="I10" s="60">
        <v>1.01</v>
      </c>
      <c r="J10" s="60">
        <v>0.19</v>
      </c>
      <c r="K10" s="60">
        <v>269.45</v>
      </c>
      <c r="L10" s="60">
        <v>24.39</v>
      </c>
      <c r="M10" s="60">
        <v>48.11</v>
      </c>
      <c r="N10" s="60">
        <v>9.8000000000000007</v>
      </c>
      <c r="O10" s="60">
        <v>0</v>
      </c>
      <c r="P10" s="60">
        <v>1.87</v>
      </c>
      <c r="Q10" s="60">
        <v>33.270000000000003</v>
      </c>
      <c r="R10" s="44"/>
      <c r="S10" s="44"/>
      <c r="T10" s="44"/>
      <c r="U10" s="44"/>
    </row>
    <row r="11" spans="1:21" s="12" customFormat="1" x14ac:dyDescent="0.25">
      <c r="A11" s="59" t="s">
        <v>352</v>
      </c>
      <c r="B11" s="60">
        <v>50.83</v>
      </c>
      <c r="C11" s="60">
        <v>68.849999999999994</v>
      </c>
      <c r="D11" s="60">
        <v>72.05</v>
      </c>
      <c r="E11" s="60">
        <v>17.399999999999999</v>
      </c>
      <c r="F11" s="60">
        <v>7.74</v>
      </c>
      <c r="G11" s="60">
        <v>154.9</v>
      </c>
      <c r="H11" s="60">
        <v>55.4</v>
      </c>
      <c r="I11" s="60">
        <v>0.99</v>
      </c>
      <c r="J11" s="60">
        <v>0.16</v>
      </c>
      <c r="K11" s="60">
        <v>298.04000000000002</v>
      </c>
      <c r="L11" s="60">
        <v>23.86</v>
      </c>
      <c r="M11" s="60">
        <v>44.9</v>
      </c>
      <c r="N11" s="60">
        <v>10.199999999999999</v>
      </c>
      <c r="O11" s="60">
        <v>0</v>
      </c>
      <c r="P11" s="60">
        <v>1.89</v>
      </c>
      <c r="Q11" s="60">
        <v>32.17</v>
      </c>
      <c r="R11" s="44"/>
      <c r="S11" s="44"/>
      <c r="T11" s="44"/>
      <c r="U11" s="44"/>
    </row>
    <row r="12" spans="1:21" s="12" customFormat="1" x14ac:dyDescent="0.25">
      <c r="A12" s="59" t="s">
        <v>353</v>
      </c>
      <c r="B12" s="60">
        <v>51.77</v>
      </c>
      <c r="C12" s="60">
        <v>53.53</v>
      </c>
      <c r="D12" s="60">
        <v>69.48</v>
      </c>
      <c r="E12" s="60">
        <v>9.1300000000000008</v>
      </c>
      <c r="F12" s="60">
        <v>5.03</v>
      </c>
      <c r="G12" s="60">
        <v>220.04</v>
      </c>
      <c r="H12" s="60">
        <v>127.95</v>
      </c>
      <c r="I12" s="60">
        <v>0.98</v>
      </c>
      <c r="J12" s="60">
        <v>0.78</v>
      </c>
      <c r="K12" s="60">
        <v>276.60000000000002</v>
      </c>
      <c r="L12" s="60">
        <v>23.77</v>
      </c>
      <c r="M12" s="60">
        <v>46.85</v>
      </c>
      <c r="N12" s="60">
        <v>10</v>
      </c>
      <c r="O12" s="60">
        <v>0</v>
      </c>
      <c r="P12" s="60">
        <v>1.88</v>
      </c>
      <c r="Q12" s="60">
        <v>30.93</v>
      </c>
      <c r="R12" s="44"/>
      <c r="S12" s="44"/>
      <c r="T12" s="44"/>
      <c r="U12" s="44"/>
    </row>
    <row r="13" spans="1:21" s="12" customFormat="1" x14ac:dyDescent="0.25">
      <c r="A13" s="59" t="s">
        <v>354</v>
      </c>
      <c r="B13" s="60">
        <v>39.869999999999997</v>
      </c>
      <c r="C13" s="60">
        <v>54.19</v>
      </c>
      <c r="D13" s="60">
        <v>58.33</v>
      </c>
      <c r="E13" s="60">
        <v>30.98</v>
      </c>
      <c r="F13" s="60">
        <v>21.02</v>
      </c>
      <c r="G13" s="60">
        <v>220.04</v>
      </c>
      <c r="H13" s="60">
        <v>127.95</v>
      </c>
      <c r="I13" s="60">
        <v>0.93</v>
      </c>
      <c r="J13" s="60">
        <v>0.53</v>
      </c>
      <c r="K13" s="60">
        <v>305.69</v>
      </c>
      <c r="L13" s="60">
        <v>24.62</v>
      </c>
      <c r="M13" s="60">
        <v>33.29</v>
      </c>
      <c r="N13" s="60">
        <v>9.9</v>
      </c>
      <c r="O13" s="60">
        <v>0</v>
      </c>
      <c r="P13" s="60">
        <v>1.74</v>
      </c>
      <c r="Q13" s="60">
        <v>30.01</v>
      </c>
      <c r="R13" s="44"/>
      <c r="S13" s="44"/>
      <c r="T13" s="44"/>
      <c r="U13" s="44"/>
    </row>
    <row r="14" spans="1:21" s="12" customFormat="1" x14ac:dyDescent="0.25">
      <c r="A14" s="59" t="s">
        <v>355</v>
      </c>
      <c r="B14" s="60">
        <v>35.92</v>
      </c>
      <c r="C14" s="60">
        <v>55.39</v>
      </c>
      <c r="D14" s="60">
        <v>56.06</v>
      </c>
      <c r="E14" s="60">
        <v>34.82</v>
      </c>
      <c r="F14" s="60">
        <v>20.36</v>
      </c>
      <c r="G14" s="60">
        <v>122.67</v>
      </c>
      <c r="H14" s="60">
        <v>66.34</v>
      </c>
      <c r="I14" s="60">
        <v>0.7</v>
      </c>
      <c r="J14" s="60">
        <v>0.12</v>
      </c>
      <c r="K14" s="60">
        <v>273.33999999999997</v>
      </c>
      <c r="L14" s="60">
        <v>24.31</v>
      </c>
      <c r="M14" s="60">
        <v>39.090000000000003</v>
      </c>
      <c r="N14" s="60">
        <v>55.9</v>
      </c>
      <c r="O14" s="60">
        <v>0</v>
      </c>
      <c r="P14" s="60">
        <v>1.54</v>
      </c>
      <c r="Q14" s="60">
        <v>29.64</v>
      </c>
      <c r="R14" s="44"/>
      <c r="S14" s="44"/>
      <c r="T14" s="44"/>
      <c r="U14" s="44"/>
    </row>
    <row r="15" spans="1:21" s="12" customFormat="1" x14ac:dyDescent="0.25">
      <c r="A15" s="59" t="s">
        <v>356</v>
      </c>
      <c r="B15" s="60">
        <v>45.07</v>
      </c>
      <c r="C15" s="60">
        <v>53.1</v>
      </c>
      <c r="D15" s="60">
        <v>63.58</v>
      </c>
      <c r="E15" s="60">
        <v>19.21</v>
      </c>
      <c r="F15" s="60">
        <v>5.98</v>
      </c>
      <c r="G15" s="60">
        <v>171.12</v>
      </c>
      <c r="H15" s="60">
        <v>77.02</v>
      </c>
      <c r="I15" s="60">
        <v>0.81</v>
      </c>
      <c r="J15" s="60">
        <v>0.39</v>
      </c>
      <c r="K15" s="60">
        <v>303.75</v>
      </c>
      <c r="L15" s="60">
        <v>28.03</v>
      </c>
      <c r="M15" s="60">
        <v>38.28</v>
      </c>
      <c r="N15" s="60">
        <v>195</v>
      </c>
      <c r="O15" s="60">
        <v>0</v>
      </c>
      <c r="P15" s="60">
        <v>1.64</v>
      </c>
      <c r="Q15" s="60">
        <v>30.27</v>
      </c>
      <c r="R15" s="44"/>
      <c r="S15" s="44"/>
      <c r="T15" s="44"/>
      <c r="U15" s="44"/>
    </row>
    <row r="16" spans="1:21" s="12" customFormat="1" x14ac:dyDescent="0.25">
      <c r="A16" s="59" t="s">
        <v>357</v>
      </c>
      <c r="B16" s="60">
        <v>41.55</v>
      </c>
      <c r="C16" s="60">
        <v>56.01</v>
      </c>
      <c r="D16" s="60">
        <v>61.83</v>
      </c>
      <c r="E16" s="60">
        <v>38.42</v>
      </c>
      <c r="F16" s="60">
        <v>25.52</v>
      </c>
      <c r="G16" s="60">
        <v>171.12</v>
      </c>
      <c r="H16" s="60">
        <v>77.02</v>
      </c>
      <c r="I16" s="60">
        <v>0.75</v>
      </c>
      <c r="J16" s="60">
        <v>0.6</v>
      </c>
      <c r="K16" s="60">
        <v>313.27999999999997</v>
      </c>
      <c r="L16" s="60">
        <v>31.16</v>
      </c>
      <c r="M16" s="60">
        <v>23.77</v>
      </c>
      <c r="N16" s="60">
        <v>493</v>
      </c>
      <c r="O16" s="60">
        <v>0</v>
      </c>
      <c r="P16" s="60">
        <v>1.63</v>
      </c>
      <c r="Q16" s="60">
        <v>30.06</v>
      </c>
      <c r="R16" s="44"/>
      <c r="S16" s="44"/>
      <c r="T16" s="44"/>
      <c r="U16" s="44"/>
    </row>
    <row r="17" spans="1:21" s="12" customFormat="1" x14ac:dyDescent="0.25">
      <c r="A17" s="59" t="s">
        <v>358</v>
      </c>
      <c r="B17" s="60">
        <v>25.32</v>
      </c>
      <c r="C17" s="60">
        <v>59.09</v>
      </c>
      <c r="D17" s="60">
        <v>53.12</v>
      </c>
      <c r="E17" s="60">
        <v>29.45</v>
      </c>
      <c r="F17" s="60">
        <v>26.74</v>
      </c>
      <c r="G17" s="60">
        <v>167.49</v>
      </c>
      <c r="H17" s="60">
        <v>65.67</v>
      </c>
      <c r="I17" s="60">
        <v>0.64</v>
      </c>
      <c r="J17" s="60">
        <v>0.63</v>
      </c>
      <c r="K17" s="60">
        <v>316.99</v>
      </c>
      <c r="L17" s="60">
        <v>33.03</v>
      </c>
      <c r="M17" s="60">
        <v>27.54</v>
      </c>
      <c r="N17" s="60">
        <v>549</v>
      </c>
      <c r="O17" s="60">
        <v>0</v>
      </c>
      <c r="P17" s="60">
        <v>1.48</v>
      </c>
      <c r="Q17" s="60">
        <v>28.4</v>
      </c>
      <c r="R17" s="44"/>
      <c r="S17" s="44"/>
      <c r="T17" s="44"/>
      <c r="U17" s="44"/>
    </row>
    <row r="18" spans="1:21" s="12" customFormat="1" x14ac:dyDescent="0.25">
      <c r="A18" s="59" t="s">
        <v>359</v>
      </c>
      <c r="B18" s="60">
        <v>17.61</v>
      </c>
      <c r="C18" s="60">
        <v>58.14</v>
      </c>
      <c r="D18" s="60">
        <v>46.01</v>
      </c>
      <c r="E18" s="60">
        <v>9.85</v>
      </c>
      <c r="F18" s="60">
        <v>16.579999999999998</v>
      </c>
      <c r="G18" s="60">
        <v>112.77</v>
      </c>
      <c r="H18" s="60">
        <v>43.35</v>
      </c>
      <c r="I18" s="60">
        <v>0.77</v>
      </c>
      <c r="J18" s="60">
        <v>0.4</v>
      </c>
      <c r="K18" s="60">
        <v>290.12</v>
      </c>
      <c r="L18" s="60">
        <v>32.11</v>
      </c>
      <c r="M18" s="60">
        <v>32.44</v>
      </c>
      <c r="N18" s="60">
        <v>787.1</v>
      </c>
      <c r="O18" s="60">
        <v>0</v>
      </c>
      <c r="P18" s="60">
        <v>1.38</v>
      </c>
      <c r="Q18" s="60">
        <v>28.64</v>
      </c>
      <c r="R18" s="44"/>
      <c r="S18" s="44"/>
      <c r="T18" s="44"/>
      <c r="U18" s="44"/>
    </row>
    <row r="19" spans="1:21" s="12" customFormat="1" x14ac:dyDescent="0.25">
      <c r="A19" s="59" t="s">
        <v>360</v>
      </c>
      <c r="B19" s="60">
        <v>6.39</v>
      </c>
      <c r="C19" s="60">
        <v>59.79</v>
      </c>
      <c r="D19" s="60">
        <v>38.770000000000003</v>
      </c>
      <c r="E19" s="60">
        <v>13.84</v>
      </c>
      <c r="F19" s="60">
        <v>43.54</v>
      </c>
      <c r="G19" s="60">
        <v>112.77</v>
      </c>
      <c r="H19" s="60">
        <v>43.35</v>
      </c>
      <c r="I19" s="60">
        <v>0.7</v>
      </c>
      <c r="J19" s="60">
        <v>1.23</v>
      </c>
      <c r="K19" s="60">
        <v>281.70999999999998</v>
      </c>
      <c r="L19" s="60">
        <v>34.659999999999997</v>
      </c>
      <c r="M19" s="60">
        <v>26.57</v>
      </c>
      <c r="N19" s="60">
        <v>889.1</v>
      </c>
      <c r="O19" s="60">
        <v>0</v>
      </c>
      <c r="P19" s="60">
        <v>1.22</v>
      </c>
      <c r="Q19" s="60">
        <v>28.53</v>
      </c>
      <c r="R19" s="44"/>
      <c r="S19" s="44"/>
      <c r="T19" s="44"/>
      <c r="U19" s="44"/>
    </row>
    <row r="20" spans="1:21" s="12" customFormat="1" x14ac:dyDescent="0.25">
      <c r="A20" s="59" t="s">
        <v>361</v>
      </c>
      <c r="B20" s="60">
        <v>4.03</v>
      </c>
      <c r="C20" s="60">
        <v>42.36</v>
      </c>
      <c r="D20" s="60">
        <v>26.55</v>
      </c>
      <c r="E20" s="60">
        <v>14.09</v>
      </c>
      <c r="F20" s="60">
        <v>37.22</v>
      </c>
      <c r="G20" s="60">
        <v>93.82</v>
      </c>
      <c r="H20" s="60">
        <v>34.270000000000003</v>
      </c>
      <c r="I20" s="60">
        <v>0.73</v>
      </c>
      <c r="J20" s="60">
        <v>1.1499999999999999</v>
      </c>
      <c r="K20" s="60">
        <v>191.77</v>
      </c>
      <c r="L20" s="60">
        <v>35.72</v>
      </c>
      <c r="M20" s="60">
        <v>24.1</v>
      </c>
      <c r="N20" s="60">
        <v>893.1</v>
      </c>
      <c r="O20" s="60">
        <v>0</v>
      </c>
      <c r="P20" s="60">
        <v>1.02</v>
      </c>
      <c r="Q20" s="60">
        <v>29.25</v>
      </c>
      <c r="R20" s="44"/>
      <c r="S20" s="44"/>
      <c r="T20" s="44"/>
      <c r="U20" s="44"/>
    </row>
    <row r="21" spans="1:21" s="12" customFormat="1" x14ac:dyDescent="0.25">
      <c r="A21" s="59" t="s">
        <v>362</v>
      </c>
      <c r="B21" s="60">
        <v>3.08</v>
      </c>
      <c r="C21" s="60">
        <v>48.57</v>
      </c>
      <c r="D21" s="60">
        <v>29.53</v>
      </c>
      <c r="E21" s="60">
        <v>15.53</v>
      </c>
      <c r="F21" s="60">
        <v>37.74</v>
      </c>
      <c r="G21" s="60">
        <v>69.510000000000005</v>
      </c>
      <c r="H21" s="60">
        <v>29.02</v>
      </c>
      <c r="I21" s="60">
        <v>0.78</v>
      </c>
      <c r="J21" s="60">
        <v>1.01</v>
      </c>
      <c r="K21" s="60">
        <v>286.10000000000002</v>
      </c>
      <c r="L21" s="60">
        <v>37.56</v>
      </c>
      <c r="M21" s="60">
        <v>20.21</v>
      </c>
      <c r="N21" s="60">
        <v>848.6</v>
      </c>
      <c r="O21" s="60">
        <v>0</v>
      </c>
      <c r="P21" s="60">
        <v>0.97</v>
      </c>
      <c r="Q21" s="60">
        <v>28.98</v>
      </c>
      <c r="R21" s="44"/>
      <c r="S21" s="44"/>
      <c r="T21" s="44"/>
      <c r="U21" s="44"/>
    </row>
    <row r="22" spans="1:21" s="12" customFormat="1" x14ac:dyDescent="0.25">
      <c r="A22" s="59" t="s">
        <v>363</v>
      </c>
      <c r="B22" s="60">
        <v>4.05</v>
      </c>
      <c r="C22" s="60">
        <v>45.62</v>
      </c>
      <c r="D22" s="60">
        <v>27.08</v>
      </c>
      <c r="E22" s="60">
        <v>9.2899999999999991</v>
      </c>
      <c r="F22" s="60">
        <v>42.57</v>
      </c>
      <c r="G22" s="60">
        <v>57</v>
      </c>
      <c r="H22" s="60">
        <v>29.02</v>
      </c>
      <c r="I22" s="60">
        <v>0.8</v>
      </c>
      <c r="J22" s="60">
        <v>1.64</v>
      </c>
      <c r="K22" s="60">
        <v>277.83999999999997</v>
      </c>
      <c r="L22" s="60">
        <v>38.409999999999997</v>
      </c>
      <c r="M22" s="60">
        <v>14.69</v>
      </c>
      <c r="N22" s="60">
        <v>781.9</v>
      </c>
      <c r="O22" s="60">
        <v>0</v>
      </c>
      <c r="P22" s="60">
        <v>0.85</v>
      </c>
      <c r="Q22" s="60">
        <v>27.79</v>
      </c>
      <c r="R22" s="44"/>
      <c r="S22" s="44"/>
      <c r="T22" s="44"/>
      <c r="U22" s="44"/>
    </row>
    <row r="23" spans="1:21" s="12" customFormat="1" x14ac:dyDescent="0.25">
      <c r="A23" s="59" t="s">
        <v>364</v>
      </c>
      <c r="B23" s="60">
        <v>4.13</v>
      </c>
      <c r="C23" s="60">
        <v>42.43</v>
      </c>
      <c r="D23" s="60">
        <v>27.37</v>
      </c>
      <c r="E23" s="60">
        <v>9.1199999999999992</v>
      </c>
      <c r="F23" s="60">
        <v>26.28</v>
      </c>
      <c r="G23" s="60">
        <v>56.51</v>
      </c>
      <c r="H23" s="60">
        <v>27.05</v>
      </c>
      <c r="I23" s="60">
        <v>0.74</v>
      </c>
      <c r="J23" s="60">
        <v>1.58</v>
      </c>
      <c r="K23" s="60">
        <v>286.52</v>
      </c>
      <c r="L23" s="60">
        <v>38.049999999999997</v>
      </c>
      <c r="M23" s="60">
        <v>14.91</v>
      </c>
      <c r="N23" s="60">
        <v>644.70000000000005</v>
      </c>
      <c r="O23" s="60">
        <v>0</v>
      </c>
      <c r="P23" s="60">
        <v>0.76</v>
      </c>
      <c r="Q23" s="60">
        <v>24.89</v>
      </c>
      <c r="R23" s="44"/>
      <c r="S23" s="44"/>
      <c r="T23" s="44"/>
      <c r="U23" s="44"/>
    </row>
    <row r="24" spans="1:21" s="12" customFormat="1" x14ac:dyDescent="0.25">
      <c r="A24" s="59" t="s">
        <v>365</v>
      </c>
      <c r="B24" s="60">
        <v>3.48</v>
      </c>
      <c r="C24" s="60">
        <v>42.56</v>
      </c>
      <c r="D24" s="60">
        <v>26.51</v>
      </c>
      <c r="E24" s="60">
        <v>6.53</v>
      </c>
      <c r="F24" s="60">
        <v>35.200000000000003</v>
      </c>
      <c r="G24" s="60">
        <v>91.88</v>
      </c>
      <c r="H24" s="60">
        <v>26.16</v>
      </c>
      <c r="I24" s="60">
        <v>0.73</v>
      </c>
      <c r="J24" s="60">
        <v>1.27</v>
      </c>
      <c r="K24" s="60">
        <v>293.07</v>
      </c>
      <c r="L24" s="60">
        <v>36.92</v>
      </c>
      <c r="M24" s="60">
        <v>13.88</v>
      </c>
      <c r="N24" s="60">
        <v>342.6</v>
      </c>
      <c r="O24" s="60">
        <v>0</v>
      </c>
      <c r="P24" s="60">
        <v>0.67</v>
      </c>
      <c r="Q24" s="60">
        <v>25.16</v>
      </c>
      <c r="R24" s="44"/>
      <c r="S24" s="44"/>
      <c r="T24" s="44"/>
      <c r="U24" s="44"/>
    </row>
    <row r="25" spans="1:21" s="12" customFormat="1" x14ac:dyDescent="0.25">
      <c r="A25" s="59" t="s">
        <v>366</v>
      </c>
      <c r="B25" s="60">
        <v>5.03</v>
      </c>
      <c r="C25" s="60">
        <v>43.53</v>
      </c>
      <c r="D25" s="60">
        <v>28.62</v>
      </c>
      <c r="E25" s="60">
        <v>12.12</v>
      </c>
      <c r="F25" s="60">
        <v>65.91</v>
      </c>
      <c r="G25" s="60">
        <v>91.88</v>
      </c>
      <c r="H25" s="60">
        <v>24.73</v>
      </c>
      <c r="I25" s="60">
        <v>0.67</v>
      </c>
      <c r="J25" s="60">
        <v>1.32</v>
      </c>
      <c r="K25" s="60">
        <v>284.2</v>
      </c>
      <c r="L25" s="60">
        <v>36.33</v>
      </c>
      <c r="M25" s="60">
        <v>14.48</v>
      </c>
      <c r="N25" s="60">
        <v>142.4</v>
      </c>
      <c r="O25" s="60">
        <v>0</v>
      </c>
      <c r="P25" s="60">
        <v>0.65</v>
      </c>
      <c r="Q25" s="60">
        <v>24.41</v>
      </c>
      <c r="R25" s="44"/>
      <c r="S25" s="44"/>
      <c r="T25" s="44"/>
      <c r="U25" s="44"/>
    </row>
    <row r="26" spans="1:21" s="12" customFormat="1" x14ac:dyDescent="0.25">
      <c r="A26" s="59" t="s">
        <v>367</v>
      </c>
      <c r="B26" s="60">
        <v>18.04</v>
      </c>
      <c r="C26" s="60">
        <v>93.58</v>
      </c>
      <c r="D26" s="60">
        <v>66.760000000000005</v>
      </c>
      <c r="E26" s="60">
        <v>13.65</v>
      </c>
      <c r="F26" s="60">
        <v>50.43</v>
      </c>
      <c r="G26" s="60">
        <v>64.25</v>
      </c>
      <c r="H26" s="60">
        <v>27.06</v>
      </c>
      <c r="I26" s="60">
        <v>0.61</v>
      </c>
      <c r="J26" s="60">
        <v>1.06</v>
      </c>
      <c r="K26" s="60">
        <v>300.77</v>
      </c>
      <c r="L26" s="60">
        <v>34.770000000000003</v>
      </c>
      <c r="M26" s="60">
        <v>17.309999999999999</v>
      </c>
      <c r="N26" s="60">
        <v>74.7</v>
      </c>
      <c r="O26" s="60">
        <v>0</v>
      </c>
      <c r="P26" s="60">
        <v>1.3</v>
      </c>
      <c r="Q26" s="60">
        <v>21.72</v>
      </c>
      <c r="R26" s="44"/>
      <c r="S26" s="44"/>
      <c r="T26" s="44"/>
      <c r="U26" s="44"/>
    </row>
    <row r="27" spans="1:21" s="12" customFormat="1" x14ac:dyDescent="0.25">
      <c r="A27" s="59" t="s">
        <v>368</v>
      </c>
      <c r="B27" s="60">
        <v>48.29</v>
      </c>
      <c r="C27" s="60">
        <v>135.94</v>
      </c>
      <c r="D27" s="60">
        <v>110.34</v>
      </c>
      <c r="E27" s="60">
        <v>16</v>
      </c>
      <c r="F27" s="60">
        <v>11.71</v>
      </c>
      <c r="G27" s="60">
        <v>103.5</v>
      </c>
      <c r="H27" s="60">
        <v>46.78</v>
      </c>
      <c r="I27" s="60">
        <v>0.95</v>
      </c>
      <c r="J27" s="60">
        <v>0.04</v>
      </c>
      <c r="K27" s="60">
        <v>337.07</v>
      </c>
      <c r="L27" s="60">
        <v>33.04</v>
      </c>
      <c r="M27" s="60">
        <v>29.17</v>
      </c>
      <c r="N27" s="60">
        <v>25.8</v>
      </c>
      <c r="O27" s="60">
        <v>0</v>
      </c>
      <c r="P27" s="60">
        <v>2.2400000000000002</v>
      </c>
      <c r="Q27" s="60">
        <v>19.399999999999999</v>
      </c>
      <c r="R27" s="44"/>
      <c r="S27" s="44"/>
      <c r="T27" s="44"/>
      <c r="U27" s="44"/>
    </row>
    <row r="28" spans="1:21" s="12" customFormat="1" x14ac:dyDescent="0.25">
      <c r="A28" s="59" t="s">
        <v>369</v>
      </c>
      <c r="B28" s="60">
        <v>188.72</v>
      </c>
      <c r="C28" s="60">
        <v>155.08000000000001</v>
      </c>
      <c r="D28" s="60">
        <v>237.57</v>
      </c>
      <c r="E28" s="60">
        <v>20.12</v>
      </c>
      <c r="F28" s="60">
        <v>3.77</v>
      </c>
      <c r="G28" s="60">
        <v>103.5</v>
      </c>
      <c r="H28" s="60">
        <v>71.23</v>
      </c>
      <c r="I28" s="60">
        <v>1.49</v>
      </c>
      <c r="J28" s="60">
        <v>0.2</v>
      </c>
      <c r="K28" s="60">
        <v>307.08999999999997</v>
      </c>
      <c r="L28" s="60">
        <v>29.44</v>
      </c>
      <c r="M28" s="60">
        <v>37.25</v>
      </c>
      <c r="N28" s="60">
        <v>7.3</v>
      </c>
      <c r="O28" s="60">
        <v>0</v>
      </c>
      <c r="P28" s="60">
        <v>4.55</v>
      </c>
      <c r="Q28" s="60">
        <v>16.670000000000002</v>
      </c>
      <c r="R28" s="44"/>
      <c r="S28" s="44"/>
      <c r="T28" s="44"/>
      <c r="U28" s="44"/>
    </row>
    <row r="29" spans="1:21" s="12" customFormat="1" x14ac:dyDescent="0.25">
      <c r="A29" s="59" t="s">
        <v>370</v>
      </c>
      <c r="B29" s="60">
        <v>158.33000000000001</v>
      </c>
      <c r="C29" s="60">
        <v>131.09</v>
      </c>
      <c r="D29" s="60">
        <v>199.96</v>
      </c>
      <c r="E29" s="60">
        <v>17.420000000000002</v>
      </c>
      <c r="F29" s="60">
        <v>10.6</v>
      </c>
      <c r="G29" s="60">
        <v>214.65</v>
      </c>
      <c r="H29" s="60">
        <v>75.819999999999993</v>
      </c>
      <c r="I29" s="60">
        <v>1.74</v>
      </c>
      <c r="J29" s="60">
        <v>0.2</v>
      </c>
      <c r="K29" s="60">
        <v>298.56</v>
      </c>
      <c r="L29" s="60">
        <v>28.79</v>
      </c>
      <c r="M29" s="60">
        <v>37.200000000000003</v>
      </c>
      <c r="N29" s="60">
        <v>7.2</v>
      </c>
      <c r="O29" s="60">
        <v>0</v>
      </c>
      <c r="P29" s="60">
        <v>4.63</v>
      </c>
      <c r="Q29" s="60">
        <v>28.45</v>
      </c>
      <c r="R29" s="44"/>
      <c r="S29" s="44"/>
      <c r="T29" s="44"/>
      <c r="U29" s="44"/>
    </row>
    <row r="30" spans="1:21" s="12" customFormat="1" x14ac:dyDescent="0.25">
      <c r="A30" s="59" t="s">
        <v>371</v>
      </c>
      <c r="B30" s="60">
        <v>136.99</v>
      </c>
      <c r="C30" s="60">
        <v>119.58</v>
      </c>
      <c r="D30" s="60">
        <v>176.5</v>
      </c>
      <c r="E30" s="60">
        <v>10.61</v>
      </c>
      <c r="F30" s="60">
        <v>3.91</v>
      </c>
      <c r="G30" s="60">
        <v>214.65</v>
      </c>
      <c r="H30" s="60">
        <v>75.819999999999993</v>
      </c>
      <c r="I30" s="60">
        <v>1.36</v>
      </c>
      <c r="J30" s="60">
        <v>0.14000000000000001</v>
      </c>
      <c r="K30" s="60">
        <v>277</v>
      </c>
      <c r="L30" s="60">
        <v>27.32</v>
      </c>
      <c r="M30" s="60">
        <v>41.21</v>
      </c>
      <c r="N30" s="60">
        <v>7</v>
      </c>
      <c r="O30" s="60">
        <v>0</v>
      </c>
      <c r="P30" s="60">
        <v>3.84</v>
      </c>
      <c r="Q30" s="60">
        <v>27</v>
      </c>
      <c r="R30" s="44"/>
      <c r="S30" s="44"/>
      <c r="T30" s="44"/>
      <c r="U30" s="44"/>
    </row>
    <row r="31" spans="1:21" s="12" customFormat="1" x14ac:dyDescent="0.25">
      <c r="A31" s="59" t="s">
        <v>372</v>
      </c>
      <c r="B31" s="60">
        <v>139.08000000000001</v>
      </c>
      <c r="C31" s="60">
        <v>122.79</v>
      </c>
      <c r="D31" s="60">
        <v>176.3</v>
      </c>
      <c r="E31" s="60">
        <v>10.6</v>
      </c>
      <c r="F31" s="60">
        <v>4.4000000000000004</v>
      </c>
      <c r="G31" s="60">
        <v>197.88</v>
      </c>
      <c r="H31" s="60">
        <v>71.400000000000006</v>
      </c>
      <c r="I31" s="60">
        <v>1.35</v>
      </c>
      <c r="J31" s="60">
        <v>0.15</v>
      </c>
      <c r="K31" s="60">
        <v>289.44</v>
      </c>
      <c r="L31" s="60">
        <v>26.58</v>
      </c>
      <c r="M31" s="60">
        <v>48.38</v>
      </c>
      <c r="N31" s="60">
        <v>6.9</v>
      </c>
      <c r="O31" s="60">
        <v>0</v>
      </c>
      <c r="P31" s="60">
        <v>3.02</v>
      </c>
      <c r="Q31" s="60">
        <v>29.8</v>
      </c>
      <c r="R31" s="44"/>
      <c r="S31" s="44"/>
      <c r="T31" s="44"/>
      <c r="U31" s="44"/>
    </row>
    <row r="32" spans="1:21" s="12" customFormat="1" x14ac:dyDescent="0.25">
      <c r="A32" s="59" t="s">
        <v>373</v>
      </c>
      <c r="B32" s="60">
        <v>128.59</v>
      </c>
      <c r="C32" s="60">
        <v>102.09</v>
      </c>
      <c r="D32" s="60">
        <v>148.93</v>
      </c>
      <c r="E32" s="60">
        <v>8.98</v>
      </c>
      <c r="F32" s="60">
        <v>3.58</v>
      </c>
      <c r="G32" s="60">
        <v>189.25</v>
      </c>
      <c r="H32" s="60">
        <v>65.510000000000005</v>
      </c>
      <c r="I32" s="60">
        <v>1.34</v>
      </c>
      <c r="J32" s="60">
        <v>0.27</v>
      </c>
      <c r="K32" s="60">
        <v>311.58</v>
      </c>
      <c r="L32" s="60">
        <v>25.73</v>
      </c>
      <c r="M32" s="60">
        <v>48.01</v>
      </c>
      <c r="N32" s="60">
        <v>6.9</v>
      </c>
      <c r="O32" s="60">
        <v>0</v>
      </c>
      <c r="P32" s="60">
        <v>2.9</v>
      </c>
      <c r="Q32" s="60">
        <v>33.93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3.08</v>
      </c>
      <c r="C34" s="29">
        <f t="shared" si="0"/>
        <v>42.36</v>
      </c>
      <c r="D34" s="29">
        <f t="shared" si="0"/>
        <v>26.51</v>
      </c>
      <c r="E34" s="29">
        <f t="shared" si="0"/>
        <v>6.22</v>
      </c>
      <c r="F34" s="29">
        <f t="shared" si="0"/>
        <v>3.58</v>
      </c>
      <c r="G34" s="29">
        <f t="shared" si="0"/>
        <v>56.51</v>
      </c>
      <c r="H34" s="29">
        <f t="shared" si="0"/>
        <v>24.73</v>
      </c>
      <c r="I34" s="29">
        <f t="shared" si="0"/>
        <v>0.61</v>
      </c>
      <c r="J34" s="29">
        <f t="shared" si="0"/>
        <v>0.04</v>
      </c>
      <c r="K34" s="29">
        <f t="shared" si="0"/>
        <v>191.77</v>
      </c>
      <c r="L34" s="29">
        <f t="shared" si="0"/>
        <v>23.77</v>
      </c>
      <c r="M34" s="29">
        <f t="shared" si="0"/>
        <v>13.88</v>
      </c>
      <c r="N34" s="29">
        <f t="shared" si="0"/>
        <v>6.9</v>
      </c>
      <c r="O34" s="29">
        <f t="shared" si="0"/>
        <v>0</v>
      </c>
      <c r="P34" s="29">
        <f t="shared" si="0"/>
        <v>0.65</v>
      </c>
      <c r="Q34" s="29">
        <f t="shared" si="0"/>
        <v>16.670000000000002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188.72</v>
      </c>
      <c r="C35" s="30">
        <f t="shared" si="1"/>
        <v>155.08000000000001</v>
      </c>
      <c r="D35" s="30">
        <f t="shared" si="1"/>
        <v>237.57</v>
      </c>
      <c r="E35" s="30">
        <f t="shared" si="1"/>
        <v>38.42</v>
      </c>
      <c r="F35" s="30">
        <f t="shared" si="1"/>
        <v>65.91</v>
      </c>
      <c r="G35" s="30">
        <f t="shared" si="1"/>
        <v>220.04</v>
      </c>
      <c r="H35" s="30">
        <f t="shared" si="1"/>
        <v>127.95</v>
      </c>
      <c r="I35" s="30">
        <f t="shared" si="1"/>
        <v>1.74</v>
      </c>
      <c r="J35" s="30">
        <f t="shared" si="1"/>
        <v>1.64</v>
      </c>
      <c r="K35" s="30">
        <f t="shared" si="1"/>
        <v>337.07</v>
      </c>
      <c r="L35" s="30">
        <f t="shared" si="1"/>
        <v>38.409999999999997</v>
      </c>
      <c r="M35" s="30">
        <f t="shared" si="1"/>
        <v>48.38</v>
      </c>
      <c r="N35" s="30">
        <f t="shared" si="1"/>
        <v>893.1</v>
      </c>
      <c r="O35" s="30">
        <f t="shared" si="1"/>
        <v>0</v>
      </c>
      <c r="P35" s="30">
        <f t="shared" si="1"/>
        <v>4.63</v>
      </c>
      <c r="Q35" s="30">
        <f t="shared" si="1"/>
        <v>33.93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54.034999999999997</v>
      </c>
      <c r="C36" s="29">
        <f t="shared" si="2"/>
        <v>74.152083333333323</v>
      </c>
      <c r="D36" s="29">
        <f t="shared" si="2"/>
        <v>82.622083333333322</v>
      </c>
      <c r="E36" s="29">
        <f t="shared" si="2"/>
        <v>15.829166666666666</v>
      </c>
      <c r="F36" s="29">
        <f t="shared" si="2"/>
        <v>21.738333333333333</v>
      </c>
      <c r="G36" s="29">
        <f t="shared" si="2"/>
        <v>139.21083333333334</v>
      </c>
      <c r="H36" s="29">
        <f t="shared" si="2"/>
        <v>57.998333333333328</v>
      </c>
      <c r="I36" s="29">
        <f t="shared" si="2"/>
        <v>0.94333333333333325</v>
      </c>
      <c r="J36" s="29">
        <f t="shared" si="2"/>
        <v>0.63291666666666668</v>
      </c>
      <c r="K36" s="29">
        <f t="shared" si="2"/>
        <v>289.16458333333327</v>
      </c>
      <c r="L36" s="29">
        <f t="shared" si="2"/>
        <v>30.535416666666674</v>
      </c>
      <c r="M36" s="29">
        <f t="shared" si="2"/>
        <v>31.97583333333333</v>
      </c>
      <c r="N36" s="29">
        <f t="shared" si="2"/>
        <v>283.67499999999995</v>
      </c>
      <c r="O36" s="29">
        <f t="shared" si="2"/>
        <v>0</v>
      </c>
      <c r="P36" s="29">
        <f t="shared" si="2"/>
        <v>1.9125000000000003</v>
      </c>
      <c r="Q36" s="29">
        <f t="shared" si="2"/>
        <v>27.994999999999994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55.519742591183771</v>
      </c>
      <c r="C37" s="29">
        <f t="shared" ref="C37:Q37" si="3">STDEV(C9:C32)</f>
        <v>34.497852860616661</v>
      </c>
      <c r="D37" s="29">
        <f t="shared" si="3"/>
        <v>61.078183394526093</v>
      </c>
      <c r="E37" s="29">
        <f t="shared" si="3"/>
        <v>9.0455076126779428</v>
      </c>
      <c r="F37" s="29">
        <f t="shared" si="3"/>
        <v>17.553140104728612</v>
      </c>
      <c r="G37" s="29">
        <f t="shared" si="3"/>
        <v>55.247626580275991</v>
      </c>
      <c r="H37" s="29">
        <f t="shared" si="3"/>
        <v>28.434578255703233</v>
      </c>
      <c r="I37" s="29">
        <f t="shared" si="3"/>
        <v>0.30325289584863019</v>
      </c>
      <c r="J37" s="29">
        <f t="shared" si="3"/>
        <v>0.51727949863699896</v>
      </c>
      <c r="K37" s="29">
        <f t="shared" si="3"/>
        <v>26.623150595767726</v>
      </c>
      <c r="L37" s="29">
        <f t="shared" si="3"/>
        <v>5.1932414098113187</v>
      </c>
      <c r="M37" s="29">
        <f t="shared" si="3"/>
        <v>12.08893094732845</v>
      </c>
      <c r="N37" s="29">
        <f t="shared" si="3"/>
        <v>346.01532166377683</v>
      </c>
      <c r="O37" s="29">
        <f t="shared" si="3"/>
        <v>0</v>
      </c>
      <c r="P37" s="29">
        <f t="shared" si="3"/>
        <v>1.1305491162916474</v>
      </c>
      <c r="Q37" s="29">
        <f t="shared" si="3"/>
        <v>4.1995362062764121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14-05-2023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374</v>
      </c>
      <c r="B9" s="60">
        <v>102.6</v>
      </c>
      <c r="C9" s="60">
        <v>76.89</v>
      </c>
      <c r="D9" s="60">
        <v>125.35</v>
      </c>
      <c r="E9" s="60">
        <v>7.5</v>
      </c>
      <c r="F9" s="60">
        <v>3.66</v>
      </c>
      <c r="G9" s="60">
        <v>150.87</v>
      </c>
      <c r="H9" s="60">
        <v>58.1</v>
      </c>
      <c r="I9" s="60">
        <v>1.18</v>
      </c>
      <c r="J9" s="60">
        <v>0.2</v>
      </c>
      <c r="K9" s="60">
        <v>285.66000000000003</v>
      </c>
      <c r="L9" s="60">
        <v>25.45</v>
      </c>
      <c r="M9" s="60">
        <v>48.64</v>
      </c>
      <c r="N9" s="60">
        <v>7</v>
      </c>
      <c r="O9" s="60">
        <v>0</v>
      </c>
      <c r="P9" s="60">
        <v>2.62</v>
      </c>
      <c r="Q9" s="60">
        <v>35.020000000000003</v>
      </c>
      <c r="R9" s="44"/>
      <c r="S9" s="44"/>
      <c r="T9" s="44"/>
      <c r="U9" s="44"/>
    </row>
    <row r="10" spans="1:21" s="12" customFormat="1" x14ac:dyDescent="0.25">
      <c r="A10" s="59" t="s">
        <v>375</v>
      </c>
      <c r="B10" s="60">
        <v>44.53</v>
      </c>
      <c r="C10" s="60">
        <v>78.39</v>
      </c>
      <c r="D10" s="60">
        <v>79.180000000000007</v>
      </c>
      <c r="E10" s="60">
        <v>8.0399999999999991</v>
      </c>
      <c r="F10" s="60">
        <v>10.220000000000001</v>
      </c>
      <c r="G10" s="60">
        <v>142.66</v>
      </c>
      <c r="H10" s="60">
        <v>57.06</v>
      </c>
      <c r="I10" s="60">
        <v>1.06</v>
      </c>
      <c r="J10" s="60">
        <v>0.13</v>
      </c>
      <c r="K10" s="60">
        <v>285.58999999999997</v>
      </c>
      <c r="L10" s="60">
        <v>24.74</v>
      </c>
      <c r="M10" s="60">
        <v>49.89</v>
      </c>
      <c r="N10" s="60">
        <v>7</v>
      </c>
      <c r="O10" s="60">
        <v>0</v>
      </c>
      <c r="P10" s="60">
        <v>1.64</v>
      </c>
      <c r="Q10" s="60">
        <v>38.24</v>
      </c>
      <c r="R10" s="44"/>
      <c r="S10" s="44"/>
      <c r="T10" s="44"/>
      <c r="U10" s="44"/>
    </row>
    <row r="11" spans="1:21" s="12" customFormat="1" x14ac:dyDescent="0.25">
      <c r="A11" s="59" t="s">
        <v>376</v>
      </c>
      <c r="B11" s="60">
        <v>57.41</v>
      </c>
      <c r="C11" s="60">
        <v>53.56</v>
      </c>
      <c r="D11" s="60">
        <v>75.72</v>
      </c>
      <c r="E11" s="60">
        <v>7.82</v>
      </c>
      <c r="F11" s="60">
        <v>9.84</v>
      </c>
      <c r="G11" s="60">
        <v>94.11</v>
      </c>
      <c r="H11" s="60">
        <v>49.59</v>
      </c>
      <c r="I11" s="60">
        <v>0.98</v>
      </c>
      <c r="J11" s="60">
        <v>0.14000000000000001</v>
      </c>
      <c r="K11" s="60">
        <v>268.97000000000003</v>
      </c>
      <c r="L11" s="60">
        <v>24.13</v>
      </c>
      <c r="M11" s="60">
        <v>51.1</v>
      </c>
      <c r="N11" s="60">
        <v>7.1</v>
      </c>
      <c r="O11" s="60">
        <v>0</v>
      </c>
      <c r="P11" s="60">
        <v>1.82</v>
      </c>
      <c r="Q11" s="60">
        <v>35.450000000000003</v>
      </c>
      <c r="R11" s="44"/>
      <c r="S11" s="44"/>
      <c r="T11" s="44"/>
      <c r="U11" s="44"/>
    </row>
    <row r="12" spans="1:21" s="12" customFormat="1" x14ac:dyDescent="0.25">
      <c r="A12" s="59" t="s">
        <v>377</v>
      </c>
      <c r="B12" s="60">
        <v>50.99</v>
      </c>
      <c r="C12" s="60">
        <v>52.17</v>
      </c>
      <c r="D12" s="60">
        <v>68.31</v>
      </c>
      <c r="E12" s="60">
        <v>6.12</v>
      </c>
      <c r="F12" s="60">
        <v>7.97</v>
      </c>
      <c r="G12" s="60">
        <v>84.7</v>
      </c>
      <c r="H12" s="60">
        <v>45.77</v>
      </c>
      <c r="I12" s="60">
        <v>0.98</v>
      </c>
      <c r="J12" s="60">
        <v>0.23</v>
      </c>
      <c r="K12" s="60">
        <v>266.79000000000002</v>
      </c>
      <c r="L12" s="60">
        <v>23.64</v>
      </c>
      <c r="M12" s="60">
        <v>51.67</v>
      </c>
      <c r="N12" s="60">
        <v>6.6</v>
      </c>
      <c r="O12" s="60">
        <v>0</v>
      </c>
      <c r="P12" s="60">
        <v>1.74</v>
      </c>
      <c r="Q12" s="60">
        <v>32.799999999999997</v>
      </c>
      <c r="R12" s="44"/>
      <c r="S12" s="44"/>
      <c r="T12" s="44"/>
      <c r="U12" s="44"/>
    </row>
    <row r="13" spans="1:21" s="12" customFormat="1" x14ac:dyDescent="0.25">
      <c r="A13" s="59" t="s">
        <v>378</v>
      </c>
      <c r="B13" s="60">
        <v>34.520000000000003</v>
      </c>
      <c r="C13" s="60">
        <v>54.64</v>
      </c>
      <c r="D13" s="60">
        <v>58.48</v>
      </c>
      <c r="E13" s="60">
        <v>8.67</v>
      </c>
      <c r="F13" s="60">
        <v>11.65</v>
      </c>
      <c r="G13" s="60">
        <v>97.37</v>
      </c>
      <c r="H13" s="60">
        <v>45.36</v>
      </c>
      <c r="I13" s="60">
        <v>0.88</v>
      </c>
      <c r="J13" s="60">
        <v>0.19</v>
      </c>
      <c r="K13" s="60">
        <v>276.45</v>
      </c>
      <c r="L13" s="60">
        <v>23.51</v>
      </c>
      <c r="M13" s="60">
        <v>45.71</v>
      </c>
      <c r="N13" s="60">
        <v>6.9</v>
      </c>
      <c r="O13" s="60">
        <v>0</v>
      </c>
      <c r="P13" s="60">
        <v>1.3</v>
      </c>
      <c r="Q13" s="60">
        <v>30.69</v>
      </c>
      <c r="R13" s="44"/>
      <c r="S13" s="44"/>
      <c r="T13" s="44"/>
      <c r="U13" s="44"/>
    </row>
    <row r="14" spans="1:21" s="12" customFormat="1" x14ac:dyDescent="0.25">
      <c r="A14" s="59" t="s">
        <v>379</v>
      </c>
      <c r="B14" s="60">
        <v>44.81</v>
      </c>
      <c r="C14" s="60">
        <v>47.47</v>
      </c>
      <c r="D14" s="60">
        <v>61.35</v>
      </c>
      <c r="E14" s="60">
        <v>6.69</v>
      </c>
      <c r="F14" s="60">
        <v>5.63</v>
      </c>
      <c r="G14" s="60">
        <v>97.37</v>
      </c>
      <c r="H14" s="60">
        <v>45.38</v>
      </c>
      <c r="I14" s="60">
        <v>0.86</v>
      </c>
      <c r="J14" s="60">
        <v>0.09</v>
      </c>
      <c r="K14" s="60">
        <v>263.44</v>
      </c>
      <c r="L14" s="60">
        <v>23.02</v>
      </c>
      <c r="M14" s="60">
        <v>48.55</v>
      </c>
      <c r="N14" s="60">
        <v>47.7</v>
      </c>
      <c r="O14" s="60">
        <v>0</v>
      </c>
      <c r="P14" s="60">
        <v>1.44</v>
      </c>
      <c r="Q14" s="60">
        <v>29.95</v>
      </c>
      <c r="R14" s="44"/>
      <c r="S14" s="44"/>
      <c r="T14" s="44"/>
      <c r="U14" s="44"/>
    </row>
    <row r="15" spans="1:21" s="12" customFormat="1" x14ac:dyDescent="0.25">
      <c r="A15" s="59" t="s">
        <v>380</v>
      </c>
      <c r="B15" s="60">
        <v>38.909999999999997</v>
      </c>
      <c r="C15" s="60">
        <v>69.61</v>
      </c>
      <c r="D15" s="60">
        <v>63.65</v>
      </c>
      <c r="E15" s="60">
        <v>16.03</v>
      </c>
      <c r="F15" s="60">
        <v>11.48</v>
      </c>
      <c r="G15" s="60">
        <v>104.95</v>
      </c>
      <c r="H15" s="60">
        <v>53.2</v>
      </c>
      <c r="I15" s="60">
        <v>0.82</v>
      </c>
      <c r="J15" s="60">
        <v>0.05</v>
      </c>
      <c r="K15" s="60">
        <v>332.31</v>
      </c>
      <c r="L15" s="60">
        <v>28.41</v>
      </c>
      <c r="M15" s="60">
        <v>42.08</v>
      </c>
      <c r="N15" s="60">
        <v>208.5</v>
      </c>
      <c r="O15" s="60">
        <v>0</v>
      </c>
      <c r="P15" s="60">
        <v>1.38</v>
      </c>
      <c r="Q15" s="60">
        <v>29.81</v>
      </c>
      <c r="R15" s="44"/>
      <c r="S15" s="44"/>
      <c r="T15" s="44"/>
      <c r="U15" s="44"/>
    </row>
    <row r="16" spans="1:21" s="12" customFormat="1" x14ac:dyDescent="0.25">
      <c r="A16" s="59" t="s">
        <v>381</v>
      </c>
      <c r="B16" s="60">
        <v>35.369999999999997</v>
      </c>
      <c r="C16" s="60">
        <v>71.62</v>
      </c>
      <c r="D16" s="60">
        <v>68.540000000000006</v>
      </c>
      <c r="E16" s="60">
        <v>35.29</v>
      </c>
      <c r="F16" s="60">
        <v>16.52</v>
      </c>
      <c r="G16" s="60">
        <v>152.88</v>
      </c>
      <c r="H16" s="60">
        <v>61.11</v>
      </c>
      <c r="I16" s="60">
        <v>0.72</v>
      </c>
      <c r="J16" s="60">
        <v>0.38</v>
      </c>
      <c r="K16" s="60">
        <v>306.49</v>
      </c>
      <c r="L16" s="60">
        <v>33.130000000000003</v>
      </c>
      <c r="M16" s="60">
        <v>31.01</v>
      </c>
      <c r="N16" s="60">
        <v>399.1</v>
      </c>
      <c r="O16" s="60">
        <v>0</v>
      </c>
      <c r="P16" s="60">
        <v>1.5</v>
      </c>
      <c r="Q16" s="60">
        <v>28.35</v>
      </c>
      <c r="R16" s="44"/>
      <c r="S16" s="44"/>
      <c r="T16" s="44"/>
      <c r="U16" s="44"/>
    </row>
    <row r="17" spans="1:21" s="12" customFormat="1" x14ac:dyDescent="0.25">
      <c r="A17" s="59" t="s">
        <v>382</v>
      </c>
      <c r="B17" s="60">
        <v>29.78</v>
      </c>
      <c r="C17" s="60">
        <v>71.86</v>
      </c>
      <c r="D17" s="60">
        <v>58.65</v>
      </c>
      <c r="E17" s="60">
        <v>23.75</v>
      </c>
      <c r="F17" s="60">
        <v>14</v>
      </c>
      <c r="G17" s="60">
        <v>186.62</v>
      </c>
      <c r="H17" s="60">
        <v>74.67</v>
      </c>
      <c r="I17" s="60">
        <v>0.76</v>
      </c>
      <c r="J17" s="60">
        <v>0.98</v>
      </c>
      <c r="K17" s="60">
        <v>308.55</v>
      </c>
      <c r="L17" s="60">
        <v>34.22</v>
      </c>
      <c r="M17" s="60">
        <v>27.73</v>
      </c>
      <c r="N17" s="60">
        <v>623.29999999999995</v>
      </c>
      <c r="O17" s="60">
        <v>0</v>
      </c>
      <c r="P17" s="60">
        <v>1.55</v>
      </c>
      <c r="Q17" s="60">
        <v>29.13</v>
      </c>
      <c r="R17" s="44"/>
      <c r="S17" s="44"/>
      <c r="T17" s="44"/>
      <c r="U17" s="44"/>
    </row>
    <row r="18" spans="1:21" s="12" customFormat="1" x14ac:dyDescent="0.25">
      <c r="A18" s="59" t="s">
        <v>383</v>
      </c>
      <c r="B18" s="60">
        <v>16.87</v>
      </c>
      <c r="C18" s="60">
        <v>73.14</v>
      </c>
      <c r="D18" s="60">
        <v>51.99</v>
      </c>
      <c r="E18" s="60">
        <v>56.64</v>
      </c>
      <c r="F18" s="60">
        <v>39.74</v>
      </c>
      <c r="G18" s="60">
        <v>186.62</v>
      </c>
      <c r="H18" s="60">
        <v>74.67</v>
      </c>
      <c r="I18" s="60">
        <v>0.75</v>
      </c>
      <c r="J18" s="60">
        <v>0.77</v>
      </c>
      <c r="K18" s="60">
        <v>287.72000000000003</v>
      </c>
      <c r="L18" s="60">
        <v>39.33</v>
      </c>
      <c r="M18" s="60">
        <v>23.59</v>
      </c>
      <c r="N18" s="60">
        <v>713.6</v>
      </c>
      <c r="O18" s="60">
        <v>0</v>
      </c>
      <c r="P18" s="60">
        <v>1.46</v>
      </c>
      <c r="Q18" s="60">
        <v>28.5</v>
      </c>
      <c r="R18" s="44"/>
      <c r="S18" s="44"/>
      <c r="T18" s="44"/>
      <c r="U18" s="44"/>
    </row>
    <row r="19" spans="1:21" s="12" customFormat="1" x14ac:dyDescent="0.25">
      <c r="A19" s="59" t="s">
        <v>384</v>
      </c>
      <c r="B19" s="60">
        <v>7.16</v>
      </c>
      <c r="C19" s="60">
        <v>75.73</v>
      </c>
      <c r="D19" s="60">
        <v>47.87</v>
      </c>
      <c r="E19" s="60">
        <v>61.57</v>
      </c>
      <c r="F19" s="60">
        <v>45.17</v>
      </c>
      <c r="G19" s="60">
        <v>147.80000000000001</v>
      </c>
      <c r="H19" s="60">
        <v>71.709999999999994</v>
      </c>
      <c r="I19" s="60">
        <v>0.77</v>
      </c>
      <c r="J19" s="60">
        <v>0.42</v>
      </c>
      <c r="K19" s="60">
        <v>284.95999999999998</v>
      </c>
      <c r="L19" s="60">
        <v>39.93</v>
      </c>
      <c r="M19" s="60">
        <v>16.329999999999998</v>
      </c>
      <c r="N19" s="60">
        <v>840.9</v>
      </c>
      <c r="O19" s="60">
        <v>0</v>
      </c>
      <c r="P19" s="60">
        <v>1.4</v>
      </c>
      <c r="Q19" s="60">
        <v>26.65</v>
      </c>
      <c r="R19" s="44"/>
      <c r="S19" s="44"/>
      <c r="T19" s="44"/>
      <c r="U19" s="44"/>
    </row>
    <row r="20" spans="1:21" s="12" customFormat="1" x14ac:dyDescent="0.25">
      <c r="A20" s="59" t="s">
        <v>385</v>
      </c>
      <c r="B20" s="60">
        <v>2.8</v>
      </c>
      <c r="C20" s="60">
        <v>55.96</v>
      </c>
      <c r="D20" s="60">
        <v>33.76</v>
      </c>
      <c r="E20" s="60">
        <v>13.62</v>
      </c>
      <c r="F20" s="60">
        <v>38.29</v>
      </c>
      <c r="G20" s="60">
        <v>147.80000000000001</v>
      </c>
      <c r="H20" s="60">
        <v>71.709999999999994</v>
      </c>
      <c r="I20" s="60">
        <v>0.81</v>
      </c>
      <c r="J20" s="60">
        <v>0.39</v>
      </c>
      <c r="K20" s="60">
        <v>287.64</v>
      </c>
      <c r="L20" s="60">
        <v>40.229999999999997</v>
      </c>
      <c r="M20" s="60">
        <v>14.79</v>
      </c>
      <c r="N20" s="60">
        <v>857.3</v>
      </c>
      <c r="O20" s="60">
        <v>0</v>
      </c>
      <c r="P20" s="60">
        <v>1.25</v>
      </c>
      <c r="Q20" s="60">
        <v>24.65</v>
      </c>
      <c r="R20" s="44"/>
      <c r="S20" s="44"/>
      <c r="T20" s="44"/>
      <c r="U20" s="44"/>
    </row>
    <row r="21" spans="1:21" s="12" customFormat="1" x14ac:dyDescent="0.25">
      <c r="A21" s="59" t="s">
        <v>386</v>
      </c>
      <c r="B21" s="60">
        <v>3.16</v>
      </c>
      <c r="C21" s="60">
        <v>48.13</v>
      </c>
      <c r="D21" s="60">
        <v>29.74</v>
      </c>
      <c r="E21" s="60">
        <v>13.23</v>
      </c>
      <c r="F21" s="60">
        <v>53.08</v>
      </c>
      <c r="G21" s="60">
        <v>101</v>
      </c>
      <c r="H21" s="60">
        <v>59.2</v>
      </c>
      <c r="I21" s="60">
        <v>0.78</v>
      </c>
      <c r="J21" s="60">
        <v>0.94</v>
      </c>
      <c r="K21" s="60">
        <v>290.97000000000003</v>
      </c>
      <c r="L21" s="60">
        <v>41.38</v>
      </c>
      <c r="M21" s="60">
        <v>14.16</v>
      </c>
      <c r="N21" s="60">
        <v>852.4</v>
      </c>
      <c r="O21" s="60">
        <v>0</v>
      </c>
      <c r="P21" s="60">
        <v>0.99</v>
      </c>
      <c r="Q21" s="60">
        <v>25.43</v>
      </c>
      <c r="R21" s="44"/>
      <c r="S21" s="44"/>
      <c r="T21" s="44"/>
      <c r="U21" s="44"/>
    </row>
    <row r="22" spans="1:21" s="12" customFormat="1" x14ac:dyDescent="0.25">
      <c r="A22" s="59" t="s">
        <v>387</v>
      </c>
      <c r="B22" s="60">
        <v>2.41</v>
      </c>
      <c r="C22" s="60">
        <v>43.55</v>
      </c>
      <c r="D22" s="60">
        <v>26.43</v>
      </c>
      <c r="E22" s="60">
        <v>8.9499999999999993</v>
      </c>
      <c r="F22" s="60">
        <v>38.24</v>
      </c>
      <c r="G22" s="60">
        <v>68</v>
      </c>
      <c r="H22" s="60">
        <v>47.34</v>
      </c>
      <c r="I22" s="60">
        <v>0.8</v>
      </c>
      <c r="J22" s="60">
        <v>0.55000000000000004</v>
      </c>
      <c r="K22" s="60">
        <v>271.89999999999998</v>
      </c>
      <c r="L22" s="60">
        <v>40.21</v>
      </c>
      <c r="M22" s="60">
        <v>12.64</v>
      </c>
      <c r="N22" s="60">
        <v>790.7</v>
      </c>
      <c r="O22" s="60">
        <v>0</v>
      </c>
      <c r="P22" s="60">
        <v>0.87</v>
      </c>
      <c r="Q22" s="60">
        <v>24.78</v>
      </c>
      <c r="R22" s="44"/>
      <c r="S22" s="44"/>
      <c r="T22" s="44"/>
      <c r="U22" s="44"/>
    </row>
    <row r="23" spans="1:21" s="12" customFormat="1" x14ac:dyDescent="0.25">
      <c r="A23" s="59" t="s">
        <v>388</v>
      </c>
      <c r="B23" s="60">
        <v>1.95</v>
      </c>
      <c r="C23" s="60">
        <v>41.59</v>
      </c>
      <c r="D23" s="60">
        <v>25.16</v>
      </c>
      <c r="E23" s="60">
        <v>7.44</v>
      </c>
      <c r="F23" s="60">
        <v>26.33</v>
      </c>
      <c r="G23" s="60">
        <v>58.35</v>
      </c>
      <c r="H23" s="60">
        <v>33.409999999999997</v>
      </c>
      <c r="I23" s="60">
        <v>0.87</v>
      </c>
      <c r="J23" s="60">
        <v>0.45</v>
      </c>
      <c r="K23" s="60">
        <v>299.25</v>
      </c>
      <c r="L23" s="60">
        <v>39.49</v>
      </c>
      <c r="M23" s="60">
        <v>11.69</v>
      </c>
      <c r="N23" s="60">
        <v>667.6</v>
      </c>
      <c r="O23" s="60">
        <v>0</v>
      </c>
      <c r="P23" s="60">
        <v>0.8</v>
      </c>
      <c r="Q23" s="60">
        <v>22.95</v>
      </c>
      <c r="R23" s="44"/>
      <c r="S23" s="44"/>
      <c r="T23" s="44"/>
      <c r="U23" s="44"/>
    </row>
    <row r="24" spans="1:21" s="12" customFormat="1" x14ac:dyDescent="0.25">
      <c r="A24" s="59" t="s">
        <v>389</v>
      </c>
      <c r="B24" s="60">
        <v>2.75</v>
      </c>
      <c r="C24" s="60">
        <v>41.74</v>
      </c>
      <c r="D24" s="60">
        <v>25.89</v>
      </c>
      <c r="E24" s="60">
        <v>7.12</v>
      </c>
      <c r="F24" s="60">
        <v>58.65</v>
      </c>
      <c r="G24" s="60">
        <v>53.81</v>
      </c>
      <c r="H24" s="60">
        <v>31.24</v>
      </c>
      <c r="I24" s="60">
        <v>0.79</v>
      </c>
      <c r="J24" s="60">
        <v>0.69</v>
      </c>
      <c r="K24" s="60">
        <v>274.74</v>
      </c>
      <c r="L24" s="60">
        <v>38.19</v>
      </c>
      <c r="M24" s="60">
        <v>13.85</v>
      </c>
      <c r="N24" s="60">
        <v>319</v>
      </c>
      <c r="O24" s="60">
        <v>0</v>
      </c>
      <c r="P24" s="60">
        <v>0.72</v>
      </c>
      <c r="Q24" s="60">
        <v>22.9</v>
      </c>
      <c r="R24" s="44"/>
      <c r="S24" s="44"/>
      <c r="T24" s="44"/>
      <c r="U24" s="44"/>
    </row>
    <row r="25" spans="1:21" s="12" customFormat="1" x14ac:dyDescent="0.25">
      <c r="A25" s="59" t="s">
        <v>390</v>
      </c>
      <c r="B25" s="60">
        <v>1.51</v>
      </c>
      <c r="C25" s="60">
        <v>48.17</v>
      </c>
      <c r="D25" s="60">
        <v>28.44</v>
      </c>
      <c r="E25" s="60">
        <v>11.53</v>
      </c>
      <c r="F25" s="60">
        <v>67.12</v>
      </c>
      <c r="G25" s="60">
        <v>45.44</v>
      </c>
      <c r="H25" s="60">
        <v>28.74</v>
      </c>
      <c r="I25" s="60">
        <v>0.7</v>
      </c>
      <c r="J25" s="60">
        <v>0.12</v>
      </c>
      <c r="K25" s="60">
        <v>318.57</v>
      </c>
      <c r="L25" s="60">
        <v>37.340000000000003</v>
      </c>
      <c r="M25" s="60">
        <v>13.37</v>
      </c>
      <c r="N25" s="60">
        <v>113.9</v>
      </c>
      <c r="O25" s="60">
        <v>0</v>
      </c>
      <c r="P25" s="60">
        <v>0.74</v>
      </c>
      <c r="Q25" s="60">
        <v>22.38</v>
      </c>
      <c r="R25" s="44"/>
      <c r="S25" s="44"/>
      <c r="T25" s="44"/>
      <c r="U25" s="44"/>
    </row>
    <row r="26" spans="1:21" s="12" customFormat="1" x14ac:dyDescent="0.25">
      <c r="A26" s="59" t="s">
        <v>391</v>
      </c>
      <c r="B26" s="60">
        <v>6.33</v>
      </c>
      <c r="C26" s="60">
        <v>71.39</v>
      </c>
      <c r="D26" s="60">
        <v>45.12</v>
      </c>
      <c r="E26" s="60">
        <v>12.78</v>
      </c>
      <c r="F26" s="60">
        <v>50.5</v>
      </c>
      <c r="G26" s="60">
        <v>63.23</v>
      </c>
      <c r="H26" s="60">
        <v>28.83</v>
      </c>
      <c r="I26" s="60">
        <v>0.72</v>
      </c>
      <c r="J26" s="60">
        <v>0.12</v>
      </c>
      <c r="K26" s="60">
        <v>256.17</v>
      </c>
      <c r="L26" s="60">
        <v>36.53</v>
      </c>
      <c r="M26" s="60">
        <v>15.67</v>
      </c>
      <c r="N26" s="60">
        <v>70.3</v>
      </c>
      <c r="O26" s="60">
        <v>0</v>
      </c>
      <c r="P26" s="60">
        <v>0.95</v>
      </c>
      <c r="Q26" s="60">
        <v>20.77</v>
      </c>
      <c r="R26" s="44"/>
      <c r="S26" s="44"/>
      <c r="T26" s="44"/>
      <c r="U26" s="44"/>
    </row>
    <row r="27" spans="1:21" s="12" customFormat="1" x14ac:dyDescent="0.25">
      <c r="A27" s="59" t="s">
        <v>392</v>
      </c>
      <c r="B27" s="60">
        <v>3.87</v>
      </c>
      <c r="C27" s="60">
        <v>110.82</v>
      </c>
      <c r="D27" s="60">
        <v>64.900000000000006</v>
      </c>
      <c r="E27" s="60">
        <v>15.72</v>
      </c>
      <c r="F27" s="60">
        <v>44.16</v>
      </c>
      <c r="G27" s="60">
        <v>78.8</v>
      </c>
      <c r="H27" s="60">
        <v>31.15</v>
      </c>
      <c r="I27" s="60">
        <v>0.71</v>
      </c>
      <c r="J27" s="60">
        <v>0.35</v>
      </c>
      <c r="K27" s="60">
        <v>267.64</v>
      </c>
      <c r="L27" s="60">
        <v>34.33</v>
      </c>
      <c r="M27" s="60">
        <v>23.53</v>
      </c>
      <c r="N27" s="60">
        <v>20</v>
      </c>
      <c r="O27" s="60">
        <v>0</v>
      </c>
      <c r="P27" s="60">
        <v>1.08</v>
      </c>
      <c r="Q27" s="60">
        <v>21.33</v>
      </c>
      <c r="R27" s="44"/>
      <c r="S27" s="44"/>
      <c r="T27" s="44"/>
      <c r="U27" s="44"/>
    </row>
    <row r="28" spans="1:21" s="12" customFormat="1" x14ac:dyDescent="0.25">
      <c r="A28" s="59" t="s">
        <v>393</v>
      </c>
      <c r="B28" s="60">
        <v>78.5</v>
      </c>
      <c r="C28" s="60">
        <v>132.03</v>
      </c>
      <c r="D28" s="60">
        <v>136.46</v>
      </c>
      <c r="E28" s="60">
        <v>15.38</v>
      </c>
      <c r="F28" s="60">
        <v>23.23</v>
      </c>
      <c r="G28" s="60">
        <v>106.04</v>
      </c>
      <c r="H28" s="60">
        <v>36.479999999999997</v>
      </c>
      <c r="I28" s="60">
        <v>1.08</v>
      </c>
      <c r="J28" s="60">
        <v>0.18</v>
      </c>
      <c r="K28" s="60">
        <v>280.13</v>
      </c>
      <c r="L28" s="60">
        <v>31.51</v>
      </c>
      <c r="M28" s="60">
        <v>30.48</v>
      </c>
      <c r="N28" s="60">
        <v>6.7</v>
      </c>
      <c r="O28" s="60">
        <v>0</v>
      </c>
      <c r="P28" s="60">
        <v>3.34</v>
      </c>
      <c r="Q28" s="60">
        <v>19.95</v>
      </c>
      <c r="R28" s="44"/>
      <c r="S28" s="44"/>
      <c r="T28" s="44"/>
      <c r="U28" s="44"/>
    </row>
    <row r="29" spans="1:21" s="12" customFormat="1" x14ac:dyDescent="0.25">
      <c r="A29" s="59" t="s">
        <v>394</v>
      </c>
      <c r="B29" s="60">
        <v>88.17</v>
      </c>
      <c r="C29" s="60">
        <v>122.32</v>
      </c>
      <c r="D29" s="60">
        <v>138.86000000000001</v>
      </c>
      <c r="E29" s="60">
        <v>10.41</v>
      </c>
      <c r="F29" s="60">
        <v>5.89</v>
      </c>
      <c r="G29" s="60">
        <v>132.05000000000001</v>
      </c>
      <c r="H29" s="60">
        <v>41.02</v>
      </c>
      <c r="I29" s="60">
        <v>1.1100000000000001</v>
      </c>
      <c r="J29" s="60">
        <v>0.11</v>
      </c>
      <c r="K29" s="60">
        <v>286.64999999999998</v>
      </c>
      <c r="L29" s="60">
        <v>29.69</v>
      </c>
      <c r="M29" s="60">
        <v>38.369999999999997</v>
      </c>
      <c r="N29" s="60">
        <v>6.7</v>
      </c>
      <c r="O29" s="60">
        <v>0</v>
      </c>
      <c r="P29" s="60">
        <v>2.56</v>
      </c>
      <c r="Q29" s="60">
        <v>19.41</v>
      </c>
      <c r="R29" s="44"/>
      <c r="S29" s="44"/>
      <c r="T29" s="44"/>
      <c r="U29" s="44"/>
    </row>
    <row r="30" spans="1:21" s="12" customFormat="1" x14ac:dyDescent="0.25">
      <c r="A30" s="59" t="s">
        <v>395</v>
      </c>
      <c r="B30" s="60">
        <v>133.06</v>
      </c>
      <c r="C30" s="60">
        <v>116.72</v>
      </c>
      <c r="D30" s="60">
        <v>171.76</v>
      </c>
      <c r="E30" s="60">
        <v>10.5</v>
      </c>
      <c r="F30" s="60">
        <v>4.46</v>
      </c>
      <c r="G30" s="60">
        <v>149.16999999999999</v>
      </c>
      <c r="H30" s="60">
        <v>45.5</v>
      </c>
      <c r="I30" s="60">
        <v>1.29</v>
      </c>
      <c r="J30" s="60">
        <v>0.16</v>
      </c>
      <c r="K30" s="60">
        <v>268.60000000000002</v>
      </c>
      <c r="L30" s="60">
        <v>28.23</v>
      </c>
      <c r="M30" s="60">
        <v>41.83</v>
      </c>
      <c r="N30" s="60">
        <v>6.4</v>
      </c>
      <c r="O30" s="60">
        <v>0</v>
      </c>
      <c r="P30" s="60">
        <v>3.12</v>
      </c>
      <c r="Q30" s="60">
        <v>22.67</v>
      </c>
      <c r="R30" s="44"/>
      <c r="S30" s="44"/>
      <c r="T30" s="44"/>
      <c r="U30" s="44"/>
    </row>
    <row r="31" spans="1:21" s="12" customFormat="1" x14ac:dyDescent="0.25">
      <c r="A31" s="59" t="s">
        <v>396</v>
      </c>
      <c r="B31" s="60">
        <v>52.37</v>
      </c>
      <c r="C31" s="60">
        <v>105.38</v>
      </c>
      <c r="D31" s="60">
        <v>100.81</v>
      </c>
      <c r="E31" s="60">
        <v>11.14</v>
      </c>
      <c r="F31" s="60">
        <v>11.77</v>
      </c>
      <c r="G31" s="60">
        <v>149.16999999999999</v>
      </c>
      <c r="H31" s="60">
        <v>50.03</v>
      </c>
      <c r="I31" s="60">
        <v>1.19</v>
      </c>
      <c r="J31" s="60">
        <v>0.21</v>
      </c>
      <c r="K31" s="60">
        <v>267.87</v>
      </c>
      <c r="L31" s="60">
        <v>28.44</v>
      </c>
      <c r="M31" s="60">
        <v>37.479999999999997</v>
      </c>
      <c r="N31" s="60">
        <v>6.2</v>
      </c>
      <c r="O31" s="60">
        <v>0</v>
      </c>
      <c r="P31" s="60">
        <v>1.85</v>
      </c>
      <c r="Q31" s="60">
        <v>30.09</v>
      </c>
      <c r="R31" s="44"/>
      <c r="S31" s="44"/>
      <c r="T31" s="44"/>
      <c r="U31" s="44"/>
    </row>
    <row r="32" spans="1:21" s="12" customFormat="1" x14ac:dyDescent="0.25">
      <c r="A32" s="59" t="s">
        <v>397</v>
      </c>
      <c r="B32" s="60">
        <v>45.66</v>
      </c>
      <c r="C32" s="60">
        <v>78.150000000000006</v>
      </c>
      <c r="D32" s="60">
        <v>77.28</v>
      </c>
      <c r="E32" s="60">
        <v>7.8</v>
      </c>
      <c r="F32" s="60">
        <v>6.65</v>
      </c>
      <c r="G32" s="60">
        <v>148.09</v>
      </c>
      <c r="H32" s="60">
        <v>50.03</v>
      </c>
      <c r="I32" s="60">
        <v>0.88</v>
      </c>
      <c r="J32" s="60">
        <v>0.2</v>
      </c>
      <c r="K32" s="60">
        <v>264.68</v>
      </c>
      <c r="L32" s="60">
        <v>27.76</v>
      </c>
      <c r="M32" s="60">
        <v>38.619999999999997</v>
      </c>
      <c r="N32" s="60">
        <v>6.7</v>
      </c>
      <c r="O32" s="60">
        <v>0</v>
      </c>
      <c r="P32" s="60">
        <v>1.72</v>
      </c>
      <c r="Q32" s="60">
        <v>29.27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1.51</v>
      </c>
      <c r="C34" s="29">
        <f t="shared" si="0"/>
        <v>41.59</v>
      </c>
      <c r="D34" s="29">
        <f t="shared" si="0"/>
        <v>25.16</v>
      </c>
      <c r="E34" s="29">
        <f t="shared" si="0"/>
        <v>6.12</v>
      </c>
      <c r="F34" s="29">
        <f t="shared" si="0"/>
        <v>3.66</v>
      </c>
      <c r="G34" s="29">
        <f t="shared" si="0"/>
        <v>45.44</v>
      </c>
      <c r="H34" s="29">
        <f t="shared" si="0"/>
        <v>28.74</v>
      </c>
      <c r="I34" s="29">
        <f t="shared" si="0"/>
        <v>0.7</v>
      </c>
      <c r="J34" s="29">
        <f t="shared" si="0"/>
        <v>0.05</v>
      </c>
      <c r="K34" s="29">
        <f t="shared" si="0"/>
        <v>256.17</v>
      </c>
      <c r="L34" s="29">
        <f t="shared" si="0"/>
        <v>23.02</v>
      </c>
      <c r="M34" s="29">
        <f t="shared" si="0"/>
        <v>11.69</v>
      </c>
      <c r="N34" s="29">
        <f t="shared" si="0"/>
        <v>6.2</v>
      </c>
      <c r="O34" s="29">
        <f t="shared" si="0"/>
        <v>0</v>
      </c>
      <c r="P34" s="29">
        <f t="shared" si="0"/>
        <v>0.72</v>
      </c>
      <c r="Q34" s="29">
        <f t="shared" si="0"/>
        <v>19.41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133.06</v>
      </c>
      <c r="C35" s="30">
        <f t="shared" si="1"/>
        <v>132.03</v>
      </c>
      <c r="D35" s="30">
        <f t="shared" si="1"/>
        <v>171.76</v>
      </c>
      <c r="E35" s="30">
        <f t="shared" si="1"/>
        <v>61.57</v>
      </c>
      <c r="F35" s="30">
        <f t="shared" si="1"/>
        <v>67.12</v>
      </c>
      <c r="G35" s="30">
        <f t="shared" si="1"/>
        <v>186.62</v>
      </c>
      <c r="H35" s="30">
        <f t="shared" si="1"/>
        <v>74.67</v>
      </c>
      <c r="I35" s="30">
        <f t="shared" si="1"/>
        <v>1.29</v>
      </c>
      <c r="J35" s="30">
        <f t="shared" si="1"/>
        <v>0.98</v>
      </c>
      <c r="K35" s="30">
        <f t="shared" si="1"/>
        <v>332.31</v>
      </c>
      <c r="L35" s="30">
        <f t="shared" si="1"/>
        <v>41.38</v>
      </c>
      <c r="M35" s="30">
        <f t="shared" si="1"/>
        <v>51.67</v>
      </c>
      <c r="N35" s="30">
        <f t="shared" si="1"/>
        <v>857.3</v>
      </c>
      <c r="O35" s="30">
        <f t="shared" si="1"/>
        <v>0</v>
      </c>
      <c r="P35" s="30">
        <f t="shared" si="1"/>
        <v>3.34</v>
      </c>
      <c r="Q35" s="30">
        <f t="shared" si="1"/>
        <v>38.24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36.895416666666669</v>
      </c>
      <c r="C36" s="29">
        <f t="shared" si="2"/>
        <v>72.54291666666667</v>
      </c>
      <c r="D36" s="29">
        <f t="shared" si="2"/>
        <v>69.320833333333326</v>
      </c>
      <c r="E36" s="29">
        <f t="shared" si="2"/>
        <v>15.989166666666668</v>
      </c>
      <c r="F36" s="29">
        <f t="shared" si="2"/>
        <v>25.177083333333332</v>
      </c>
      <c r="G36" s="29">
        <f t="shared" si="2"/>
        <v>114.45416666666669</v>
      </c>
      <c r="H36" s="29">
        <f t="shared" si="2"/>
        <v>49.63750000000001</v>
      </c>
      <c r="I36" s="29">
        <f t="shared" si="2"/>
        <v>0.89541666666666642</v>
      </c>
      <c r="J36" s="29">
        <f t="shared" si="2"/>
        <v>0.33541666666666664</v>
      </c>
      <c r="K36" s="29">
        <f t="shared" si="2"/>
        <v>283.40583333333336</v>
      </c>
      <c r="L36" s="29">
        <f t="shared" si="2"/>
        <v>32.201666666666675</v>
      </c>
      <c r="M36" s="29">
        <f t="shared" si="2"/>
        <v>30.949166666666667</v>
      </c>
      <c r="N36" s="29">
        <f t="shared" si="2"/>
        <v>274.64999999999992</v>
      </c>
      <c r="O36" s="29">
        <f t="shared" si="2"/>
        <v>0</v>
      </c>
      <c r="P36" s="29">
        <f t="shared" si="2"/>
        <v>1.5766666666666664</v>
      </c>
      <c r="Q36" s="29">
        <f t="shared" si="2"/>
        <v>27.132083333333327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35.803381304875643</v>
      </c>
      <c r="C37" s="29">
        <f t="shared" ref="C37:Q37" si="3">STDEV(C9:C32)</f>
        <v>26.828659477954837</v>
      </c>
      <c r="D37" s="29">
        <f t="shared" si="3"/>
        <v>39.586127666433732</v>
      </c>
      <c r="E37" s="29">
        <f t="shared" si="3"/>
        <v>14.743134265515408</v>
      </c>
      <c r="F37" s="29">
        <f t="shared" si="3"/>
        <v>19.906385359469713</v>
      </c>
      <c r="G37" s="29">
        <f t="shared" si="3"/>
        <v>41.679855828494077</v>
      </c>
      <c r="H37" s="29">
        <f t="shared" si="3"/>
        <v>14.332716982029433</v>
      </c>
      <c r="I37" s="29">
        <f t="shared" si="3"/>
        <v>0.17234896769829258</v>
      </c>
      <c r="J37" s="29">
        <f t="shared" si="3"/>
        <v>0.26965322604938485</v>
      </c>
      <c r="K37" s="29">
        <f t="shared" si="3"/>
        <v>18.780335903989219</v>
      </c>
      <c r="L37" s="29">
        <f t="shared" si="3"/>
        <v>6.3838503215172784</v>
      </c>
      <c r="M37" s="29">
        <f t="shared" si="3"/>
        <v>14.523080855528967</v>
      </c>
      <c r="N37" s="29">
        <f t="shared" si="3"/>
        <v>339.59447171205727</v>
      </c>
      <c r="O37" s="29">
        <f t="shared" si="3"/>
        <v>0</v>
      </c>
      <c r="P37" s="29">
        <f t="shared" si="3"/>
        <v>0.70845617008219886</v>
      </c>
      <c r="Q37" s="29">
        <f t="shared" si="3"/>
        <v>5.1643569229417743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15-05-2023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53" t="s">
        <v>57</v>
      </c>
      <c r="R7" s="28"/>
      <c r="S7" s="30"/>
      <c r="T7" s="28"/>
      <c r="U7" s="28"/>
    </row>
    <row r="8" spans="1:21" s="22" customFormat="1" x14ac:dyDescent="0.25">
      <c r="A8" s="26"/>
      <c r="B8" s="54" t="s">
        <v>22</v>
      </c>
      <c r="C8" s="54" t="s">
        <v>22</v>
      </c>
      <c r="D8" s="30" t="s">
        <v>61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6" t="s">
        <v>27</v>
      </c>
      <c r="M8" s="54" t="s">
        <v>26</v>
      </c>
      <c r="N8" s="54" t="s">
        <v>28</v>
      </c>
      <c r="O8" s="26" t="s">
        <v>29</v>
      </c>
      <c r="P8" s="54" t="s">
        <v>22</v>
      </c>
      <c r="Q8" s="54" t="s">
        <v>22</v>
      </c>
      <c r="R8" s="28"/>
      <c r="S8" s="30"/>
      <c r="T8" s="28"/>
      <c r="U8" s="28"/>
    </row>
    <row r="9" spans="1:21" s="12" customFormat="1" x14ac:dyDescent="0.25">
      <c r="A9" s="57" t="s">
        <v>398</v>
      </c>
      <c r="B9" s="12">
        <v>42.77</v>
      </c>
      <c r="C9" s="12">
        <v>68.75</v>
      </c>
      <c r="D9" s="12">
        <v>72.89</v>
      </c>
      <c r="E9" s="12">
        <v>11.41</v>
      </c>
      <c r="F9" s="12">
        <v>24.04</v>
      </c>
      <c r="G9" s="12">
        <v>114.77</v>
      </c>
      <c r="H9" s="12">
        <v>47.72</v>
      </c>
      <c r="I9" s="12">
        <v>0.86</v>
      </c>
      <c r="J9" s="12">
        <v>0.25</v>
      </c>
      <c r="K9" s="12">
        <v>270.41000000000003</v>
      </c>
      <c r="L9" s="12">
        <v>26.52</v>
      </c>
      <c r="M9" s="12">
        <v>41.75</v>
      </c>
      <c r="N9" s="12">
        <v>6.6</v>
      </c>
      <c r="O9" s="12">
        <v>0</v>
      </c>
      <c r="P9" s="12">
        <v>1.71</v>
      </c>
      <c r="Q9" s="12">
        <v>30.76</v>
      </c>
      <c r="R9" s="44"/>
      <c r="S9" s="44"/>
      <c r="T9" s="44"/>
      <c r="U9" s="44"/>
    </row>
    <row r="10" spans="1:21" s="12" customFormat="1" x14ac:dyDescent="0.25">
      <c r="A10" s="57" t="s">
        <v>399</v>
      </c>
      <c r="B10" s="12">
        <v>30.91</v>
      </c>
      <c r="C10" s="12">
        <v>58.21</v>
      </c>
      <c r="D10" s="12">
        <v>56.92</v>
      </c>
      <c r="E10" s="12">
        <v>10.18</v>
      </c>
      <c r="F10" s="12">
        <v>22.72</v>
      </c>
      <c r="G10" s="12">
        <v>111.45</v>
      </c>
      <c r="H10" s="12">
        <v>47.72</v>
      </c>
      <c r="I10" s="12">
        <v>0.74</v>
      </c>
      <c r="J10" s="12">
        <v>0.46</v>
      </c>
      <c r="K10" s="12">
        <v>242.19</v>
      </c>
      <c r="L10" s="12">
        <v>26.68</v>
      </c>
      <c r="M10" s="12">
        <v>37.82</v>
      </c>
      <c r="N10" s="12">
        <v>6.6</v>
      </c>
      <c r="O10" s="12">
        <v>0</v>
      </c>
      <c r="P10" s="12">
        <v>1.34</v>
      </c>
      <c r="Q10" s="12">
        <v>29.39</v>
      </c>
      <c r="R10" s="44"/>
      <c r="S10" s="44"/>
      <c r="T10" s="44"/>
      <c r="U10" s="44"/>
    </row>
    <row r="11" spans="1:21" s="12" customFormat="1" x14ac:dyDescent="0.25">
      <c r="A11" s="57" t="s">
        <v>400</v>
      </c>
      <c r="B11" s="12">
        <v>26.02</v>
      </c>
      <c r="C11" s="12">
        <v>51.28</v>
      </c>
      <c r="D11" s="12">
        <v>49.81</v>
      </c>
      <c r="E11" s="12">
        <v>7.21</v>
      </c>
      <c r="F11" s="12">
        <v>10.23</v>
      </c>
      <c r="G11" s="12">
        <v>80.150000000000006</v>
      </c>
      <c r="H11" s="12">
        <v>43.34</v>
      </c>
      <c r="I11" s="12">
        <v>0.78</v>
      </c>
      <c r="J11" s="12">
        <v>0.19</v>
      </c>
      <c r="K11" s="12">
        <v>275.16000000000003</v>
      </c>
      <c r="L11" s="12">
        <v>25.35</v>
      </c>
      <c r="M11" s="12">
        <v>48.77</v>
      </c>
      <c r="N11" s="12">
        <v>6.7</v>
      </c>
      <c r="O11" s="12">
        <v>0</v>
      </c>
      <c r="P11" s="12">
        <v>1.3</v>
      </c>
      <c r="Q11" s="12">
        <v>28.23</v>
      </c>
      <c r="R11" s="44"/>
      <c r="S11" s="44"/>
      <c r="T11" s="44"/>
      <c r="U11" s="44"/>
    </row>
    <row r="12" spans="1:21" s="12" customFormat="1" x14ac:dyDescent="0.25">
      <c r="A12" s="57" t="s">
        <v>401</v>
      </c>
      <c r="B12" s="12">
        <v>15.72</v>
      </c>
      <c r="C12" s="12">
        <v>40.549999999999997</v>
      </c>
      <c r="D12" s="12">
        <v>34.96</v>
      </c>
      <c r="E12" s="12">
        <v>8.24</v>
      </c>
      <c r="F12" s="12">
        <v>21.28</v>
      </c>
      <c r="G12" s="12">
        <v>68.760000000000005</v>
      </c>
      <c r="H12" s="12">
        <v>39.79</v>
      </c>
      <c r="I12" s="12">
        <v>0.7</v>
      </c>
      <c r="J12" s="12">
        <v>0.17</v>
      </c>
      <c r="K12" s="12">
        <v>268.86</v>
      </c>
      <c r="L12" s="12">
        <v>24.39</v>
      </c>
      <c r="M12" s="12">
        <v>51.74</v>
      </c>
      <c r="N12" s="12">
        <v>6.2</v>
      </c>
      <c r="O12" s="12">
        <v>0</v>
      </c>
      <c r="P12" s="12">
        <v>1.1399999999999999</v>
      </c>
      <c r="Q12" s="12">
        <v>27.42</v>
      </c>
      <c r="R12" s="44"/>
      <c r="S12" s="44"/>
      <c r="T12" s="44"/>
      <c r="U12" s="44"/>
    </row>
    <row r="13" spans="1:21" s="12" customFormat="1" x14ac:dyDescent="0.25">
      <c r="A13" s="57" t="s">
        <v>402</v>
      </c>
      <c r="B13" s="12">
        <v>14.95</v>
      </c>
      <c r="C13" s="12">
        <v>43.67</v>
      </c>
      <c r="D13" s="12">
        <v>36.19</v>
      </c>
      <c r="E13" s="12">
        <v>8.4600000000000009</v>
      </c>
      <c r="F13" s="12">
        <v>15.83</v>
      </c>
      <c r="G13" s="12">
        <v>63.39</v>
      </c>
      <c r="H13" s="12">
        <v>37.75</v>
      </c>
      <c r="I13" s="12">
        <v>0.59</v>
      </c>
      <c r="J13" s="12">
        <v>0.18</v>
      </c>
      <c r="K13" s="12">
        <v>267.41000000000003</v>
      </c>
      <c r="L13" s="12">
        <v>24.56</v>
      </c>
      <c r="M13" s="12">
        <v>52.69</v>
      </c>
      <c r="N13" s="12">
        <v>6.6</v>
      </c>
      <c r="O13" s="12">
        <v>0</v>
      </c>
      <c r="P13" s="12">
        <v>1.08</v>
      </c>
      <c r="Q13" s="12">
        <v>26.91</v>
      </c>
      <c r="R13" s="44"/>
      <c r="S13" s="44"/>
      <c r="T13" s="44"/>
      <c r="U13" s="44"/>
    </row>
    <row r="14" spans="1:21" s="12" customFormat="1" x14ac:dyDescent="0.25">
      <c r="A14" s="57" t="s">
        <v>403</v>
      </c>
      <c r="B14" s="12">
        <v>15.1</v>
      </c>
      <c r="C14" s="12">
        <v>43.62</v>
      </c>
      <c r="D14" s="12">
        <v>35.9</v>
      </c>
      <c r="E14" s="12">
        <v>5.57</v>
      </c>
      <c r="F14" s="12">
        <v>4.75</v>
      </c>
      <c r="G14" s="12">
        <v>62.4</v>
      </c>
      <c r="H14" s="12">
        <v>36.57</v>
      </c>
      <c r="I14" s="12">
        <v>0.76</v>
      </c>
      <c r="J14" s="12">
        <v>0.26</v>
      </c>
      <c r="K14" s="12">
        <v>286.08</v>
      </c>
      <c r="L14" s="12">
        <v>25</v>
      </c>
      <c r="M14" s="12">
        <v>49.32</v>
      </c>
      <c r="N14" s="12">
        <v>39.700000000000003</v>
      </c>
      <c r="O14" s="12">
        <v>0</v>
      </c>
      <c r="P14" s="12">
        <v>1.08</v>
      </c>
      <c r="Q14" s="12">
        <v>27.09</v>
      </c>
      <c r="R14" s="44"/>
      <c r="S14" s="44"/>
      <c r="T14" s="44"/>
      <c r="U14" s="44"/>
    </row>
    <row r="15" spans="1:21" s="12" customFormat="1" x14ac:dyDescent="0.25">
      <c r="A15" s="57" t="s">
        <v>404</v>
      </c>
      <c r="B15" s="12">
        <v>27.7</v>
      </c>
      <c r="C15" s="12">
        <v>58.62</v>
      </c>
      <c r="D15" s="12">
        <v>55.21</v>
      </c>
      <c r="E15" s="12">
        <v>7.85</v>
      </c>
      <c r="F15" s="12">
        <v>17.62</v>
      </c>
      <c r="G15" s="12">
        <v>80.09</v>
      </c>
      <c r="H15" s="12">
        <v>38.26</v>
      </c>
      <c r="I15" s="12">
        <v>0.72</v>
      </c>
      <c r="J15" s="12">
        <v>0.27</v>
      </c>
      <c r="K15" s="12">
        <v>261.3</v>
      </c>
      <c r="L15" s="12">
        <v>27.35</v>
      </c>
      <c r="M15" s="12">
        <v>50.14</v>
      </c>
      <c r="N15" s="12">
        <v>211.1</v>
      </c>
      <c r="O15" s="12">
        <v>0</v>
      </c>
      <c r="P15" s="12">
        <v>1.27</v>
      </c>
      <c r="Q15" s="12">
        <v>26.36</v>
      </c>
      <c r="R15" s="44"/>
      <c r="S15" s="44"/>
      <c r="T15" s="44"/>
      <c r="U15" s="44"/>
    </row>
    <row r="16" spans="1:21" s="12" customFormat="1" x14ac:dyDescent="0.25">
      <c r="A16" s="57" t="s">
        <v>405</v>
      </c>
      <c r="B16" s="12">
        <v>9.41</v>
      </c>
      <c r="C16" s="12">
        <v>43.36</v>
      </c>
      <c r="D16" s="12">
        <v>30.59</v>
      </c>
      <c r="E16" s="12">
        <v>7.45</v>
      </c>
      <c r="F16" s="12">
        <v>17.989999999999998</v>
      </c>
      <c r="G16" s="12">
        <v>80.09</v>
      </c>
      <c r="H16" s="12">
        <v>38.26</v>
      </c>
      <c r="I16" s="12">
        <v>0.71</v>
      </c>
      <c r="J16" s="12">
        <v>0.27</v>
      </c>
      <c r="K16" s="12">
        <v>342.14</v>
      </c>
      <c r="L16" s="12">
        <v>30.26</v>
      </c>
      <c r="M16" s="12">
        <v>41.48</v>
      </c>
      <c r="N16" s="12">
        <v>419.1</v>
      </c>
      <c r="O16" s="12">
        <v>0</v>
      </c>
      <c r="P16" s="12">
        <v>1.03</v>
      </c>
      <c r="Q16" s="12">
        <v>26.34</v>
      </c>
      <c r="R16" s="44"/>
      <c r="S16" s="44"/>
      <c r="T16" s="44"/>
      <c r="U16" s="44"/>
    </row>
    <row r="17" spans="1:21" s="12" customFormat="1" x14ac:dyDescent="0.25">
      <c r="A17" s="57" t="s">
        <v>406</v>
      </c>
      <c r="B17" s="12">
        <v>5.79</v>
      </c>
      <c r="C17" s="12">
        <v>50.08</v>
      </c>
      <c r="D17" s="12">
        <v>31.09</v>
      </c>
      <c r="E17" s="12">
        <v>5.48</v>
      </c>
      <c r="F17" s="12">
        <v>8.36</v>
      </c>
      <c r="G17" s="12">
        <v>86.26</v>
      </c>
      <c r="H17" s="12">
        <v>37.369999999999997</v>
      </c>
      <c r="I17" s="12">
        <v>0.74</v>
      </c>
      <c r="J17" s="12">
        <v>0.79</v>
      </c>
      <c r="K17" s="12">
        <v>278.74</v>
      </c>
      <c r="L17" s="12">
        <v>34.96</v>
      </c>
      <c r="M17" s="12">
        <v>35.08</v>
      </c>
      <c r="N17" s="12">
        <v>607.4</v>
      </c>
      <c r="O17" s="12">
        <v>0</v>
      </c>
      <c r="P17" s="12">
        <v>1.2</v>
      </c>
      <c r="Q17" s="12">
        <v>26.1</v>
      </c>
      <c r="R17" s="44"/>
      <c r="S17" s="44"/>
      <c r="T17" s="44"/>
      <c r="U17" s="44"/>
    </row>
    <row r="18" spans="1:21" s="12" customFormat="1" x14ac:dyDescent="0.25">
      <c r="A18" s="57" t="s">
        <v>407</v>
      </c>
      <c r="B18" s="12">
        <v>4.43</v>
      </c>
      <c r="C18" s="12">
        <v>51.49</v>
      </c>
      <c r="D18" s="12">
        <v>31.2</v>
      </c>
      <c r="E18" s="12">
        <v>5.34</v>
      </c>
      <c r="F18" s="12">
        <v>12.04</v>
      </c>
      <c r="G18" s="12">
        <v>86.26</v>
      </c>
      <c r="H18" s="12">
        <v>37.369999999999997</v>
      </c>
      <c r="I18" s="12">
        <v>0.63</v>
      </c>
      <c r="J18" s="12">
        <v>2.3199999999999998</v>
      </c>
      <c r="K18" s="12">
        <v>278.38</v>
      </c>
      <c r="L18" s="12">
        <v>38.6</v>
      </c>
      <c r="M18" s="12">
        <v>21.38</v>
      </c>
      <c r="N18" s="12">
        <v>760.4</v>
      </c>
      <c r="O18" s="12">
        <v>0</v>
      </c>
      <c r="P18" s="12">
        <v>1.17</v>
      </c>
      <c r="Q18" s="12">
        <v>25.1</v>
      </c>
      <c r="R18" s="44"/>
      <c r="S18" s="44"/>
      <c r="T18" s="44"/>
      <c r="U18" s="44"/>
    </row>
    <row r="19" spans="1:21" s="12" customFormat="1" x14ac:dyDescent="0.25">
      <c r="A19" s="57" t="s">
        <v>408</v>
      </c>
      <c r="B19" s="12">
        <v>3.88</v>
      </c>
      <c r="C19" s="12">
        <v>45.59</v>
      </c>
      <c r="D19" s="12">
        <v>28.92</v>
      </c>
      <c r="E19" s="12">
        <v>4.8600000000000003</v>
      </c>
      <c r="F19" s="12">
        <v>30.7</v>
      </c>
      <c r="G19" s="12">
        <v>75.14</v>
      </c>
      <c r="H19" s="12">
        <v>37.19</v>
      </c>
      <c r="I19" s="12">
        <v>0.59</v>
      </c>
      <c r="J19" s="12">
        <v>2.63</v>
      </c>
      <c r="K19" s="12">
        <v>274.44</v>
      </c>
      <c r="L19" s="12">
        <v>39.119999999999997</v>
      </c>
      <c r="M19" s="12">
        <v>15.87</v>
      </c>
      <c r="N19" s="12">
        <v>856.6</v>
      </c>
      <c r="O19" s="12">
        <v>0</v>
      </c>
      <c r="P19" s="12">
        <v>0.98</v>
      </c>
      <c r="Q19" s="12">
        <v>23.09</v>
      </c>
      <c r="R19" s="44"/>
      <c r="S19" s="44"/>
      <c r="T19" s="44"/>
      <c r="U19" s="44"/>
    </row>
    <row r="20" spans="1:21" s="12" customFormat="1" x14ac:dyDescent="0.25">
      <c r="A20" s="57" t="s">
        <v>409</v>
      </c>
      <c r="B20" s="12">
        <v>3.5</v>
      </c>
      <c r="C20" s="12">
        <v>42.78</v>
      </c>
      <c r="D20" s="12">
        <v>25.83</v>
      </c>
      <c r="E20" s="19" t="s">
        <v>12</v>
      </c>
      <c r="F20" s="12">
        <v>28.97</v>
      </c>
      <c r="G20" s="19" t="s">
        <v>12</v>
      </c>
      <c r="H20" s="19" t="s">
        <v>12</v>
      </c>
      <c r="I20" s="12">
        <v>0.49</v>
      </c>
      <c r="J20" s="12">
        <v>2.78</v>
      </c>
      <c r="K20" s="12">
        <v>282.22000000000003</v>
      </c>
      <c r="L20" s="12">
        <v>40.1</v>
      </c>
      <c r="M20" s="12">
        <v>14.12</v>
      </c>
      <c r="N20" s="12">
        <v>865.8</v>
      </c>
      <c r="O20" s="12">
        <v>0</v>
      </c>
      <c r="P20" s="12">
        <v>0.6</v>
      </c>
      <c r="Q20" s="12">
        <v>20.97</v>
      </c>
      <c r="R20" s="44"/>
      <c r="S20" s="44"/>
      <c r="T20" s="44"/>
      <c r="U20" s="44"/>
    </row>
    <row r="21" spans="1:21" s="12" customFormat="1" x14ac:dyDescent="0.25">
      <c r="A21" s="57" t="s">
        <v>410</v>
      </c>
      <c r="B21" s="12">
        <v>7.95</v>
      </c>
      <c r="C21" s="12">
        <v>48.06</v>
      </c>
      <c r="D21" s="12">
        <v>31.19</v>
      </c>
      <c r="E21" s="12">
        <v>5.99</v>
      </c>
      <c r="F21" s="12">
        <v>38.47</v>
      </c>
      <c r="G21" s="19" t="s">
        <v>12</v>
      </c>
      <c r="H21" s="19" t="s">
        <v>12</v>
      </c>
      <c r="I21" s="12">
        <v>0.5</v>
      </c>
      <c r="J21" s="12">
        <v>1.5</v>
      </c>
      <c r="K21" s="12">
        <v>286.64999999999998</v>
      </c>
      <c r="L21" s="12">
        <v>40.81</v>
      </c>
      <c r="M21" s="12">
        <v>13.81</v>
      </c>
      <c r="N21" s="12">
        <v>845.1</v>
      </c>
      <c r="O21" s="12">
        <v>0</v>
      </c>
      <c r="P21" s="12">
        <v>0.64</v>
      </c>
      <c r="Q21" s="12">
        <v>22.47</v>
      </c>
      <c r="R21" s="44"/>
      <c r="S21" s="44"/>
      <c r="T21" s="44"/>
      <c r="U21" s="44"/>
    </row>
    <row r="22" spans="1:21" s="12" customFormat="1" x14ac:dyDescent="0.25">
      <c r="A22" s="57" t="s">
        <v>411</v>
      </c>
      <c r="B22" s="19" t="s">
        <v>12</v>
      </c>
      <c r="C22" s="19" t="s">
        <v>12</v>
      </c>
      <c r="D22" s="19" t="s">
        <v>12</v>
      </c>
      <c r="E22" s="12">
        <v>6.03</v>
      </c>
      <c r="F22" s="12">
        <v>33.64</v>
      </c>
      <c r="G22" s="12">
        <v>49.72</v>
      </c>
      <c r="H22" s="12">
        <v>25.59</v>
      </c>
      <c r="I22" s="12">
        <v>0.59</v>
      </c>
      <c r="J22" s="12">
        <v>1.41</v>
      </c>
      <c r="K22" s="12">
        <v>279.01</v>
      </c>
      <c r="L22" s="12">
        <v>41.83</v>
      </c>
      <c r="M22" s="12">
        <v>12.78</v>
      </c>
      <c r="N22" s="12">
        <v>805.7</v>
      </c>
      <c r="O22" s="12">
        <v>0</v>
      </c>
      <c r="P22" s="12">
        <v>0.71</v>
      </c>
      <c r="Q22" s="12">
        <v>25.34</v>
      </c>
      <c r="R22" s="44"/>
      <c r="S22" s="44"/>
      <c r="T22" s="44"/>
      <c r="U22" s="44"/>
    </row>
    <row r="23" spans="1:21" s="12" customFormat="1" x14ac:dyDescent="0.25">
      <c r="A23" s="57" t="s">
        <v>412</v>
      </c>
      <c r="B23" s="19" t="s">
        <v>12</v>
      </c>
      <c r="C23" s="19" t="s">
        <v>12</v>
      </c>
      <c r="D23" s="19" t="s">
        <v>12</v>
      </c>
      <c r="E23" s="12">
        <v>3.25</v>
      </c>
      <c r="F23" s="12">
        <v>52.53</v>
      </c>
      <c r="G23" s="12">
        <v>49.72</v>
      </c>
      <c r="H23" s="12">
        <v>25.59</v>
      </c>
      <c r="I23" s="12">
        <v>0.57999999999999996</v>
      </c>
      <c r="J23" s="12">
        <v>0.98</v>
      </c>
      <c r="K23" s="12">
        <v>282.58</v>
      </c>
      <c r="L23" s="12">
        <v>40.68</v>
      </c>
      <c r="M23" s="12">
        <v>12.09</v>
      </c>
      <c r="N23" s="12">
        <v>666.4</v>
      </c>
      <c r="O23" s="12">
        <v>0</v>
      </c>
      <c r="P23" s="12">
        <v>0.74</v>
      </c>
      <c r="Q23" s="12">
        <v>27.7</v>
      </c>
      <c r="R23" s="44"/>
      <c r="S23" s="44"/>
      <c r="T23" s="44"/>
      <c r="U23" s="44"/>
    </row>
    <row r="24" spans="1:21" s="12" customFormat="1" x14ac:dyDescent="0.25">
      <c r="A24" s="57" t="s">
        <v>413</v>
      </c>
      <c r="B24" s="19" t="s">
        <v>12</v>
      </c>
      <c r="C24" s="19" t="s">
        <v>12</v>
      </c>
      <c r="D24" s="19" t="s">
        <v>12</v>
      </c>
      <c r="E24" s="12">
        <v>1.74</v>
      </c>
      <c r="F24" s="12">
        <v>18.64</v>
      </c>
      <c r="G24" s="12">
        <v>47.41</v>
      </c>
      <c r="H24" s="12">
        <v>25.61</v>
      </c>
      <c r="I24" s="12">
        <v>0.5</v>
      </c>
      <c r="J24" s="12">
        <v>0.61</v>
      </c>
      <c r="K24" s="12">
        <v>285.99</v>
      </c>
      <c r="L24" s="12">
        <v>39.01</v>
      </c>
      <c r="M24" s="12">
        <v>15.9</v>
      </c>
      <c r="N24" s="12">
        <v>219.3</v>
      </c>
      <c r="O24" s="12">
        <v>0</v>
      </c>
      <c r="P24" s="19" t="s">
        <v>12</v>
      </c>
      <c r="Q24" s="12">
        <v>28.16</v>
      </c>
      <c r="R24" s="44"/>
      <c r="S24" s="44"/>
      <c r="T24" s="44"/>
      <c r="U24" s="44"/>
    </row>
    <row r="25" spans="1:21" s="12" customFormat="1" x14ac:dyDescent="0.25">
      <c r="A25" s="57" t="s">
        <v>414</v>
      </c>
      <c r="B25" s="19" t="s">
        <v>12</v>
      </c>
      <c r="C25" s="19" t="s">
        <v>12</v>
      </c>
      <c r="D25" s="19" t="s">
        <v>12</v>
      </c>
      <c r="E25" s="12">
        <v>1.99</v>
      </c>
      <c r="F25" s="12">
        <v>15.51</v>
      </c>
      <c r="G25" s="12">
        <v>46.87</v>
      </c>
      <c r="H25" s="12">
        <v>25.61</v>
      </c>
      <c r="I25" s="12">
        <v>0.53</v>
      </c>
      <c r="J25" s="12">
        <v>0.49</v>
      </c>
      <c r="K25" s="12">
        <v>297.85000000000002</v>
      </c>
      <c r="L25" s="12">
        <v>37.89</v>
      </c>
      <c r="M25" s="12">
        <v>15.23</v>
      </c>
      <c r="N25" s="12">
        <v>144.80000000000001</v>
      </c>
      <c r="O25" s="12">
        <v>0</v>
      </c>
      <c r="P25" s="12">
        <v>0.65</v>
      </c>
      <c r="Q25" s="12">
        <v>23.6</v>
      </c>
      <c r="R25" s="44"/>
      <c r="S25" s="44"/>
      <c r="T25" s="44"/>
      <c r="U25" s="44"/>
    </row>
    <row r="26" spans="1:21" s="12" customFormat="1" x14ac:dyDescent="0.25">
      <c r="A26" s="57" t="s">
        <v>415</v>
      </c>
      <c r="B26" s="19" t="s">
        <v>12</v>
      </c>
      <c r="C26" s="19" t="s">
        <v>12</v>
      </c>
      <c r="D26" s="19" t="s">
        <v>12</v>
      </c>
      <c r="E26" s="12">
        <v>2.3199999999999998</v>
      </c>
      <c r="F26" s="12">
        <v>21.71</v>
      </c>
      <c r="G26" s="12">
        <v>46.65</v>
      </c>
      <c r="H26" s="12">
        <v>22.74</v>
      </c>
      <c r="I26" s="12">
        <v>0.53</v>
      </c>
      <c r="J26" s="12">
        <v>0.7</v>
      </c>
      <c r="K26" s="12">
        <v>310.11</v>
      </c>
      <c r="L26" s="12">
        <v>36.840000000000003</v>
      </c>
      <c r="M26" s="12">
        <v>16.440000000000001</v>
      </c>
      <c r="N26" s="12">
        <v>94.7</v>
      </c>
      <c r="O26" s="12">
        <v>0</v>
      </c>
      <c r="P26" s="12">
        <v>0.61</v>
      </c>
      <c r="Q26" s="12">
        <v>21.55</v>
      </c>
      <c r="R26" s="44"/>
      <c r="S26" s="44"/>
      <c r="T26" s="44"/>
      <c r="U26" s="44"/>
    </row>
    <row r="27" spans="1:21" s="12" customFormat="1" x14ac:dyDescent="0.25">
      <c r="A27" s="57" t="s">
        <v>416</v>
      </c>
      <c r="B27" s="12">
        <v>13.14</v>
      </c>
      <c r="C27" s="12">
        <v>63.74</v>
      </c>
      <c r="D27" s="12">
        <v>46.36</v>
      </c>
      <c r="E27" s="12">
        <v>9.7200000000000006</v>
      </c>
      <c r="F27" s="12">
        <v>20.47</v>
      </c>
      <c r="G27" s="12">
        <v>48.13</v>
      </c>
      <c r="H27" s="12">
        <v>22.74</v>
      </c>
      <c r="I27" s="12">
        <v>0.54</v>
      </c>
      <c r="J27" s="12">
        <v>0.2</v>
      </c>
      <c r="K27" s="12">
        <v>323.95</v>
      </c>
      <c r="L27" s="12">
        <v>35.44</v>
      </c>
      <c r="M27" s="12">
        <v>20.47</v>
      </c>
      <c r="N27" s="12">
        <v>18.2</v>
      </c>
      <c r="O27" s="12">
        <v>0</v>
      </c>
      <c r="P27" s="12">
        <v>0.98</v>
      </c>
      <c r="Q27" s="12">
        <v>21.62</v>
      </c>
      <c r="R27" s="44"/>
      <c r="S27" s="44"/>
      <c r="T27" s="44"/>
      <c r="U27" s="44"/>
    </row>
    <row r="28" spans="1:21" s="12" customFormat="1" x14ac:dyDescent="0.25">
      <c r="A28" s="57" t="s">
        <v>417</v>
      </c>
      <c r="B28" s="12">
        <v>25.18</v>
      </c>
      <c r="C28" s="12">
        <v>77.52</v>
      </c>
      <c r="D28" s="12">
        <v>60.82</v>
      </c>
      <c r="E28" s="12">
        <v>12.47</v>
      </c>
      <c r="F28" s="12">
        <v>14.86</v>
      </c>
      <c r="G28" s="12">
        <v>59.9</v>
      </c>
      <c r="H28" s="12">
        <v>25.7</v>
      </c>
      <c r="I28" s="12">
        <v>0.67</v>
      </c>
      <c r="J28" s="12">
        <v>0.1</v>
      </c>
      <c r="K28" s="12">
        <v>276.60000000000002</v>
      </c>
      <c r="L28" s="12">
        <v>33.22</v>
      </c>
      <c r="M28" s="12">
        <v>24.11</v>
      </c>
      <c r="N28" s="12">
        <v>7.1</v>
      </c>
      <c r="O28" s="12">
        <v>0</v>
      </c>
      <c r="P28" s="12">
        <v>1.74</v>
      </c>
      <c r="Q28" s="12">
        <v>19.53</v>
      </c>
      <c r="R28" s="44"/>
      <c r="S28" s="44"/>
      <c r="T28" s="44"/>
      <c r="U28" s="44"/>
    </row>
    <row r="29" spans="1:21" s="12" customFormat="1" x14ac:dyDescent="0.25">
      <c r="A29" s="57" t="s">
        <v>418</v>
      </c>
      <c r="B29" s="12">
        <v>37.64</v>
      </c>
      <c r="C29" s="12">
        <v>78.959999999999994</v>
      </c>
      <c r="D29" s="12">
        <v>74.41</v>
      </c>
      <c r="E29" s="12">
        <v>11.18</v>
      </c>
      <c r="F29" s="12">
        <v>7.79</v>
      </c>
      <c r="G29" s="12">
        <v>74.47</v>
      </c>
      <c r="H29" s="12">
        <v>30.96</v>
      </c>
      <c r="I29" s="12">
        <v>0.8</v>
      </c>
      <c r="J29" s="12">
        <v>0.06</v>
      </c>
      <c r="K29" s="12">
        <v>319.87</v>
      </c>
      <c r="L29" s="12">
        <v>31.81</v>
      </c>
      <c r="M29" s="12">
        <v>26.61</v>
      </c>
      <c r="N29" s="12">
        <v>7.2</v>
      </c>
      <c r="O29" s="12">
        <v>0</v>
      </c>
      <c r="P29" s="12">
        <v>2.2000000000000002</v>
      </c>
      <c r="Q29" s="12">
        <v>21.92</v>
      </c>
      <c r="R29" s="44"/>
      <c r="S29" s="44"/>
      <c r="T29" s="44"/>
      <c r="U29" s="44"/>
    </row>
    <row r="30" spans="1:21" s="12" customFormat="1" x14ac:dyDescent="0.25">
      <c r="A30" s="57" t="s">
        <v>419</v>
      </c>
      <c r="B30" s="12">
        <v>33.36</v>
      </c>
      <c r="C30" s="12">
        <v>82.83</v>
      </c>
      <c r="D30" s="12">
        <v>73.11</v>
      </c>
      <c r="E30" s="12">
        <v>6.9</v>
      </c>
      <c r="F30" s="12">
        <v>15.46</v>
      </c>
      <c r="G30" s="12">
        <v>79.510000000000005</v>
      </c>
      <c r="H30" s="12">
        <v>32.020000000000003</v>
      </c>
      <c r="I30" s="12">
        <v>0.75</v>
      </c>
      <c r="J30" s="12">
        <v>0.09</v>
      </c>
      <c r="K30" s="12">
        <v>314.16000000000003</v>
      </c>
      <c r="L30" s="12">
        <v>31.1</v>
      </c>
      <c r="M30" s="12">
        <v>28.63</v>
      </c>
      <c r="N30" s="12">
        <v>7.2</v>
      </c>
      <c r="O30" s="12">
        <v>0</v>
      </c>
      <c r="P30" s="12">
        <v>1.86</v>
      </c>
      <c r="Q30" s="12">
        <v>23.16</v>
      </c>
      <c r="R30" s="44"/>
      <c r="S30" s="44"/>
      <c r="T30" s="44"/>
      <c r="U30" s="44"/>
    </row>
    <row r="31" spans="1:21" s="12" customFormat="1" x14ac:dyDescent="0.25">
      <c r="A31" s="57" t="s">
        <v>420</v>
      </c>
      <c r="B31" s="12">
        <v>27.62</v>
      </c>
      <c r="C31" s="12">
        <v>56.74</v>
      </c>
      <c r="D31" s="12">
        <v>53.57</v>
      </c>
      <c r="E31" s="12">
        <v>5.45</v>
      </c>
      <c r="F31" s="12">
        <v>14.35</v>
      </c>
      <c r="G31" s="12">
        <v>79.510000000000005</v>
      </c>
      <c r="H31" s="12">
        <v>32.020000000000003</v>
      </c>
      <c r="I31" s="12">
        <v>0.72</v>
      </c>
      <c r="J31" s="12">
        <v>0.17</v>
      </c>
      <c r="K31" s="12">
        <v>286.2</v>
      </c>
      <c r="L31" s="12">
        <v>29.41</v>
      </c>
      <c r="M31" s="12">
        <v>32.5</v>
      </c>
      <c r="N31" s="12">
        <v>6.9</v>
      </c>
      <c r="O31" s="12">
        <v>0</v>
      </c>
      <c r="P31" s="12">
        <v>1.48</v>
      </c>
      <c r="Q31" s="12">
        <v>24.81</v>
      </c>
      <c r="R31" s="44"/>
      <c r="S31" s="44"/>
      <c r="T31" s="44"/>
      <c r="U31" s="44"/>
    </row>
    <row r="32" spans="1:21" s="12" customFormat="1" x14ac:dyDescent="0.25">
      <c r="A32" s="57" t="s">
        <v>421</v>
      </c>
      <c r="B32" s="12">
        <v>16.190000000000001</v>
      </c>
      <c r="C32" s="12">
        <v>59.48</v>
      </c>
      <c r="D32" s="12">
        <v>44.06</v>
      </c>
      <c r="E32" s="12">
        <v>12.02</v>
      </c>
      <c r="F32" s="12">
        <v>14.53</v>
      </c>
      <c r="G32" s="12">
        <v>75.16</v>
      </c>
      <c r="H32" s="12">
        <v>31.81</v>
      </c>
      <c r="I32" s="12">
        <v>0.67</v>
      </c>
      <c r="J32" s="12">
        <v>0.26</v>
      </c>
      <c r="K32" s="12">
        <v>267.63</v>
      </c>
      <c r="L32" s="12">
        <v>29.05</v>
      </c>
      <c r="M32" s="12">
        <v>35.43</v>
      </c>
      <c r="N32" s="12">
        <v>7</v>
      </c>
      <c r="O32" s="12">
        <v>0</v>
      </c>
      <c r="P32" s="12">
        <v>1.34</v>
      </c>
      <c r="Q32" s="12">
        <v>24.92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3.5</v>
      </c>
      <c r="C34" s="29">
        <f t="shared" si="0"/>
        <v>40.549999999999997</v>
      </c>
      <c r="D34" s="29">
        <f t="shared" si="0"/>
        <v>25.83</v>
      </c>
      <c r="E34" s="29">
        <f t="shared" si="0"/>
        <v>1.74</v>
      </c>
      <c r="F34" s="29">
        <f t="shared" si="0"/>
        <v>4.75</v>
      </c>
      <c r="G34" s="29">
        <f t="shared" si="0"/>
        <v>46.65</v>
      </c>
      <c r="H34" s="29">
        <f t="shared" si="0"/>
        <v>22.74</v>
      </c>
      <c r="I34" s="29">
        <f t="shared" si="0"/>
        <v>0.49</v>
      </c>
      <c r="J34" s="29">
        <f t="shared" si="0"/>
        <v>0.06</v>
      </c>
      <c r="K34" s="29">
        <f t="shared" si="0"/>
        <v>242.19</v>
      </c>
      <c r="L34" s="29">
        <f t="shared" si="0"/>
        <v>24.39</v>
      </c>
      <c r="M34" s="29">
        <f t="shared" si="0"/>
        <v>12.09</v>
      </c>
      <c r="N34" s="29">
        <f t="shared" si="0"/>
        <v>6.2</v>
      </c>
      <c r="O34" s="29">
        <f t="shared" si="0"/>
        <v>0</v>
      </c>
      <c r="P34" s="29">
        <f t="shared" si="0"/>
        <v>0.6</v>
      </c>
      <c r="Q34" s="29">
        <f t="shared" si="0"/>
        <v>19.53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42.77</v>
      </c>
      <c r="C35" s="30">
        <f t="shared" si="1"/>
        <v>82.83</v>
      </c>
      <c r="D35" s="30">
        <f t="shared" si="1"/>
        <v>74.41</v>
      </c>
      <c r="E35" s="30">
        <f t="shared" si="1"/>
        <v>12.47</v>
      </c>
      <c r="F35" s="30">
        <f t="shared" si="1"/>
        <v>52.53</v>
      </c>
      <c r="G35" s="30">
        <f t="shared" si="1"/>
        <v>114.77</v>
      </c>
      <c r="H35" s="30">
        <f t="shared" si="1"/>
        <v>47.72</v>
      </c>
      <c r="I35" s="30">
        <f t="shared" si="1"/>
        <v>0.86</v>
      </c>
      <c r="J35" s="30">
        <f t="shared" si="1"/>
        <v>2.78</v>
      </c>
      <c r="K35" s="30">
        <f t="shared" si="1"/>
        <v>342.14</v>
      </c>
      <c r="L35" s="30">
        <f t="shared" si="1"/>
        <v>41.83</v>
      </c>
      <c r="M35" s="30">
        <f t="shared" si="1"/>
        <v>52.69</v>
      </c>
      <c r="N35" s="30">
        <f t="shared" si="1"/>
        <v>865.8</v>
      </c>
      <c r="O35" s="30">
        <f t="shared" si="1"/>
        <v>0</v>
      </c>
      <c r="P35" s="30">
        <f t="shared" si="1"/>
        <v>2.2000000000000002</v>
      </c>
      <c r="Q35" s="30">
        <f t="shared" si="1"/>
        <v>30.76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19.013684210526314</v>
      </c>
      <c r="C36" s="29">
        <f t="shared" si="2"/>
        <v>56.069999999999993</v>
      </c>
      <c r="D36" s="29">
        <f t="shared" si="2"/>
        <v>45.948947368421052</v>
      </c>
      <c r="E36" s="29">
        <f t="shared" si="2"/>
        <v>7.0047826086956517</v>
      </c>
      <c r="F36" s="29">
        <f t="shared" si="2"/>
        <v>20.103749999999994</v>
      </c>
      <c r="G36" s="29">
        <f t="shared" si="2"/>
        <v>71.173181818181831</v>
      </c>
      <c r="H36" s="29">
        <f t="shared" si="2"/>
        <v>33.714999999999996</v>
      </c>
      <c r="I36" s="29">
        <f t="shared" si="2"/>
        <v>0.65374999999999994</v>
      </c>
      <c r="J36" s="29">
        <f t="shared" si="2"/>
        <v>0.71416666666666684</v>
      </c>
      <c r="K36" s="29">
        <f t="shared" si="2"/>
        <v>285.74708333333331</v>
      </c>
      <c r="L36" s="29">
        <f t="shared" si="2"/>
        <v>32.915833333333332</v>
      </c>
      <c r="M36" s="29">
        <f t="shared" si="2"/>
        <v>29.756666666666671</v>
      </c>
      <c r="N36" s="29">
        <f t="shared" si="2"/>
        <v>275.93333333333334</v>
      </c>
      <c r="O36" s="29">
        <f t="shared" si="2"/>
        <v>0</v>
      </c>
      <c r="P36" s="29">
        <f t="shared" si="2"/>
        <v>1.1673913043478259</v>
      </c>
      <c r="Q36" s="29">
        <f t="shared" si="2"/>
        <v>25.105833333333326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12.138813876947834</v>
      </c>
      <c r="C37" s="29">
        <f t="shared" ref="C37:Q37" si="3">STDEV(C9:C32)</f>
        <v>13.090528382511302</v>
      </c>
      <c r="D37" s="29">
        <f t="shared" si="3"/>
        <v>16.126849900687311</v>
      </c>
      <c r="E37" s="29">
        <f t="shared" si="3"/>
        <v>3.1549886465221708</v>
      </c>
      <c r="F37" s="29">
        <f t="shared" si="3"/>
        <v>10.718768104307195</v>
      </c>
      <c r="G37" s="29">
        <f t="shared" si="3"/>
        <v>19.368453336083181</v>
      </c>
      <c r="H37" s="29">
        <f t="shared" si="3"/>
        <v>7.5966350633497299</v>
      </c>
      <c r="I37" s="29">
        <f t="shared" si="3"/>
        <v>0.10749368029957758</v>
      </c>
      <c r="J37" s="29">
        <f t="shared" si="3"/>
        <v>0.81972379582959209</v>
      </c>
      <c r="K37" s="29">
        <f t="shared" si="3"/>
        <v>22.387018652930688</v>
      </c>
      <c r="L37" s="29">
        <f t="shared" si="3"/>
        <v>5.9869095727164705</v>
      </c>
      <c r="M37" s="29">
        <f t="shared" si="3"/>
        <v>14.226507612220905</v>
      </c>
      <c r="N37" s="29">
        <f t="shared" si="3"/>
        <v>343.33519895370438</v>
      </c>
      <c r="O37" s="29">
        <f t="shared" si="3"/>
        <v>0</v>
      </c>
      <c r="P37" s="29">
        <f t="shared" si="3"/>
        <v>0.4280103799856893</v>
      </c>
      <c r="Q37" s="29">
        <f t="shared" si="3"/>
        <v>2.8979376724877168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>COUNT(B9:B32)+5</f>
        <v>24</v>
      </c>
      <c r="C38" s="33">
        <f>COUNT(C9:C32)+5</f>
        <v>24</v>
      </c>
      <c r="D38" s="33">
        <f>COUNT(D9:D32)+5</f>
        <v>24</v>
      </c>
      <c r="E38" s="33">
        <f>COUNT(E9:E32)+1</f>
        <v>24</v>
      </c>
      <c r="F38" s="33">
        <f t="shared" ref="F38:Q38" si="4">COUNT(F9:F32)</f>
        <v>24</v>
      </c>
      <c r="G38" s="33">
        <f>COUNT(G9:G32)+2</f>
        <v>24</v>
      </c>
      <c r="H38" s="33">
        <f>COUNT(H9:H32)+2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>COUNT(P9:P32)+1</f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16-05-2023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53" t="s">
        <v>57</v>
      </c>
      <c r="R7" s="28"/>
      <c r="S7" s="30"/>
      <c r="T7" s="28"/>
      <c r="U7" s="28"/>
    </row>
    <row r="8" spans="1:21" s="22" customFormat="1" x14ac:dyDescent="0.25">
      <c r="A8" s="67"/>
      <c r="B8" s="68" t="s">
        <v>22</v>
      </c>
      <c r="C8" s="68" t="s">
        <v>22</v>
      </c>
      <c r="D8" s="30" t="s">
        <v>61</v>
      </c>
      <c r="E8" s="68" t="s">
        <v>22</v>
      </c>
      <c r="F8" s="68" t="s">
        <v>22</v>
      </c>
      <c r="G8" s="68" t="s">
        <v>23</v>
      </c>
      <c r="H8" s="68" t="s">
        <v>22</v>
      </c>
      <c r="I8" s="68" t="s">
        <v>22</v>
      </c>
      <c r="J8" s="68" t="s">
        <v>24</v>
      </c>
      <c r="K8" s="68" t="s">
        <v>25</v>
      </c>
      <c r="L8" s="67" t="s">
        <v>27</v>
      </c>
      <c r="M8" s="68" t="s">
        <v>26</v>
      </c>
      <c r="N8" s="68" t="s">
        <v>28</v>
      </c>
      <c r="O8" s="67" t="s">
        <v>29</v>
      </c>
      <c r="P8" s="68" t="s">
        <v>22</v>
      </c>
      <c r="Q8" s="68" t="s">
        <v>22</v>
      </c>
      <c r="R8" s="28"/>
      <c r="S8" s="30"/>
      <c r="T8" s="28"/>
      <c r="U8" s="28"/>
    </row>
    <row r="9" spans="1:21" s="12" customFormat="1" x14ac:dyDescent="0.25">
      <c r="A9" s="59" t="s">
        <v>422</v>
      </c>
      <c r="B9" s="60">
        <v>13.51</v>
      </c>
      <c r="C9" s="60">
        <v>55.73</v>
      </c>
      <c r="D9" s="60">
        <v>42.24</v>
      </c>
      <c r="E9" s="60">
        <v>20.7</v>
      </c>
      <c r="F9" s="60">
        <v>11.6</v>
      </c>
      <c r="G9" s="60">
        <v>76.349999999999994</v>
      </c>
      <c r="H9" s="60">
        <v>34.69</v>
      </c>
      <c r="I9" s="60">
        <v>0.67</v>
      </c>
      <c r="J9" s="60">
        <v>0.22</v>
      </c>
      <c r="K9" s="60">
        <v>276.19</v>
      </c>
      <c r="L9" s="60">
        <v>28.71</v>
      </c>
      <c r="M9" s="60">
        <v>37.5</v>
      </c>
      <c r="N9" s="60">
        <v>7.1</v>
      </c>
      <c r="O9" s="60">
        <v>0</v>
      </c>
      <c r="P9" s="60">
        <v>1.24</v>
      </c>
      <c r="Q9" s="60">
        <v>26.04</v>
      </c>
      <c r="R9" s="44"/>
      <c r="S9" s="44"/>
      <c r="T9" s="44"/>
      <c r="U9" s="44"/>
    </row>
    <row r="10" spans="1:21" s="12" customFormat="1" x14ac:dyDescent="0.25">
      <c r="A10" s="59" t="s">
        <v>423</v>
      </c>
      <c r="B10" s="60">
        <v>8.93</v>
      </c>
      <c r="C10" s="60">
        <v>48.28</v>
      </c>
      <c r="D10" s="60">
        <v>34.450000000000003</v>
      </c>
      <c r="E10" s="60">
        <v>12.19</v>
      </c>
      <c r="F10" s="60">
        <v>9.94</v>
      </c>
      <c r="G10" s="60">
        <v>76.349999999999994</v>
      </c>
      <c r="H10" s="60">
        <v>34.81</v>
      </c>
      <c r="I10" s="60">
        <v>0.7</v>
      </c>
      <c r="J10" s="60">
        <v>0.2</v>
      </c>
      <c r="K10" s="60">
        <v>286.85000000000002</v>
      </c>
      <c r="L10" s="60">
        <v>27.85</v>
      </c>
      <c r="M10" s="60">
        <v>43.01</v>
      </c>
      <c r="N10" s="60">
        <v>7.1</v>
      </c>
      <c r="O10" s="60">
        <v>0</v>
      </c>
      <c r="P10" s="60">
        <v>1.22</v>
      </c>
      <c r="Q10" s="60">
        <v>26.2</v>
      </c>
      <c r="R10" s="44"/>
      <c r="S10" s="44"/>
      <c r="T10" s="44"/>
      <c r="U10" s="44"/>
    </row>
    <row r="11" spans="1:21" s="12" customFormat="1" x14ac:dyDescent="0.25">
      <c r="A11" s="59" t="s">
        <v>424</v>
      </c>
      <c r="B11" s="60">
        <v>7.85</v>
      </c>
      <c r="C11" s="60">
        <v>39.119999999999997</v>
      </c>
      <c r="D11" s="60">
        <v>28.51</v>
      </c>
      <c r="E11" s="60">
        <v>7.44</v>
      </c>
      <c r="F11" s="60">
        <v>13.06</v>
      </c>
      <c r="G11" s="60">
        <v>70.66</v>
      </c>
      <c r="H11" s="60">
        <v>35.479999999999997</v>
      </c>
      <c r="I11" s="60">
        <v>0.65</v>
      </c>
      <c r="J11" s="60">
        <v>0.21</v>
      </c>
      <c r="K11" s="60">
        <v>335.03</v>
      </c>
      <c r="L11" s="60">
        <v>26.55</v>
      </c>
      <c r="M11" s="60">
        <v>48.11</v>
      </c>
      <c r="N11" s="60">
        <v>7.1</v>
      </c>
      <c r="O11" s="60">
        <v>0</v>
      </c>
      <c r="P11" s="60">
        <v>1.17</v>
      </c>
      <c r="Q11" s="60">
        <v>26.19</v>
      </c>
      <c r="R11" s="44"/>
      <c r="S11" s="44"/>
      <c r="T11" s="44"/>
      <c r="U11" s="44"/>
    </row>
    <row r="12" spans="1:21" s="12" customFormat="1" x14ac:dyDescent="0.25">
      <c r="A12" s="59" t="s">
        <v>425</v>
      </c>
      <c r="B12" s="60">
        <v>9.6300000000000008</v>
      </c>
      <c r="C12" s="60">
        <v>41.22</v>
      </c>
      <c r="D12" s="60">
        <v>30.01</v>
      </c>
      <c r="E12" s="60">
        <v>10.61</v>
      </c>
      <c r="F12" s="60">
        <v>13.54</v>
      </c>
      <c r="G12" s="60">
        <v>66.900000000000006</v>
      </c>
      <c r="H12" s="60">
        <v>35.479999999999997</v>
      </c>
      <c r="I12" s="60">
        <v>0.6</v>
      </c>
      <c r="J12" s="60">
        <v>0.23</v>
      </c>
      <c r="K12" s="60">
        <v>275.94</v>
      </c>
      <c r="L12" s="60">
        <v>26.13</v>
      </c>
      <c r="M12" s="60">
        <v>49.67</v>
      </c>
      <c r="N12" s="60">
        <v>7.1</v>
      </c>
      <c r="O12" s="60">
        <v>0</v>
      </c>
      <c r="P12" s="60">
        <v>1</v>
      </c>
      <c r="Q12" s="60">
        <v>26.86</v>
      </c>
      <c r="R12" s="44"/>
      <c r="S12" s="44"/>
      <c r="T12" s="44"/>
      <c r="U12" s="44"/>
    </row>
    <row r="13" spans="1:21" s="12" customFormat="1" x14ac:dyDescent="0.25">
      <c r="A13" s="59" t="s">
        <v>426</v>
      </c>
      <c r="B13" s="60">
        <v>11.11</v>
      </c>
      <c r="C13" s="60">
        <v>45.83</v>
      </c>
      <c r="D13" s="60">
        <v>34.4</v>
      </c>
      <c r="E13" s="60">
        <v>11.45</v>
      </c>
      <c r="F13" s="60">
        <v>8.1999999999999993</v>
      </c>
      <c r="G13" s="60">
        <v>74.06</v>
      </c>
      <c r="H13" s="60">
        <v>35.21</v>
      </c>
      <c r="I13" s="60">
        <v>0.65</v>
      </c>
      <c r="J13" s="60">
        <v>0.24</v>
      </c>
      <c r="K13" s="60">
        <v>299.92</v>
      </c>
      <c r="L13" s="60">
        <v>26.56</v>
      </c>
      <c r="M13" s="60">
        <v>42.47</v>
      </c>
      <c r="N13" s="60">
        <v>6.8</v>
      </c>
      <c r="O13" s="60">
        <v>0</v>
      </c>
      <c r="P13" s="60">
        <v>1.04</v>
      </c>
      <c r="Q13" s="60">
        <v>26.59</v>
      </c>
      <c r="R13" s="44"/>
      <c r="S13" s="44"/>
      <c r="T13" s="44"/>
      <c r="U13" s="44"/>
    </row>
    <row r="14" spans="1:21" s="12" customFormat="1" x14ac:dyDescent="0.25">
      <c r="A14" s="59" t="s">
        <v>427</v>
      </c>
      <c r="B14" s="60">
        <v>40.700000000000003</v>
      </c>
      <c r="C14" s="60">
        <v>50.46</v>
      </c>
      <c r="D14" s="60">
        <v>61.13</v>
      </c>
      <c r="E14" s="60">
        <v>8.58</v>
      </c>
      <c r="F14" s="60">
        <v>6.52</v>
      </c>
      <c r="G14" s="60">
        <v>93.89</v>
      </c>
      <c r="H14" s="60">
        <v>37.57</v>
      </c>
      <c r="I14" s="60">
        <v>0.68</v>
      </c>
      <c r="J14" s="60">
        <v>0.32</v>
      </c>
      <c r="K14" s="60">
        <v>287.48</v>
      </c>
      <c r="L14" s="60">
        <v>26.05</v>
      </c>
      <c r="M14" s="60">
        <v>49.28</v>
      </c>
      <c r="N14" s="60">
        <v>44.1</v>
      </c>
      <c r="O14" s="60">
        <v>0</v>
      </c>
      <c r="P14" s="60">
        <v>1.2</v>
      </c>
      <c r="Q14" s="60">
        <v>25.28</v>
      </c>
      <c r="R14" s="44"/>
      <c r="S14" s="44"/>
      <c r="T14" s="44"/>
      <c r="U14" s="44"/>
    </row>
    <row r="15" spans="1:21" s="12" customFormat="1" x14ac:dyDescent="0.25">
      <c r="A15" s="59" t="s">
        <v>428</v>
      </c>
      <c r="B15" s="60">
        <v>17.809999999999999</v>
      </c>
      <c r="C15" s="60">
        <v>40.9</v>
      </c>
      <c r="D15" s="60">
        <v>37.270000000000003</v>
      </c>
      <c r="E15" s="60">
        <v>8.34</v>
      </c>
      <c r="F15" s="60">
        <v>9.42</v>
      </c>
      <c r="G15" s="60">
        <v>93.89</v>
      </c>
      <c r="H15" s="60">
        <v>37.57</v>
      </c>
      <c r="I15" s="60">
        <v>0.66</v>
      </c>
      <c r="J15" s="60">
        <v>0.23</v>
      </c>
      <c r="K15" s="60">
        <v>282.43</v>
      </c>
      <c r="L15" s="60">
        <v>28.46</v>
      </c>
      <c r="M15" s="60">
        <v>47.49</v>
      </c>
      <c r="N15" s="60">
        <v>204</v>
      </c>
      <c r="O15" s="60">
        <v>0</v>
      </c>
      <c r="P15" s="60">
        <v>1.1000000000000001</v>
      </c>
      <c r="Q15" s="60">
        <v>28.05</v>
      </c>
      <c r="R15" s="44"/>
      <c r="S15" s="44"/>
      <c r="T15" s="44"/>
      <c r="U15" s="44"/>
    </row>
    <row r="16" spans="1:21" s="12" customFormat="1" x14ac:dyDescent="0.25">
      <c r="A16" s="59" t="s">
        <v>429</v>
      </c>
      <c r="B16" s="60">
        <v>21.51</v>
      </c>
      <c r="C16" s="60">
        <v>50.46</v>
      </c>
      <c r="D16" s="60">
        <v>44.61</v>
      </c>
      <c r="E16" s="60">
        <v>7.43</v>
      </c>
      <c r="F16" s="60">
        <v>11.85</v>
      </c>
      <c r="G16" s="60">
        <v>81.650000000000006</v>
      </c>
      <c r="H16" s="60">
        <v>38.32</v>
      </c>
      <c r="I16" s="60">
        <v>0.68</v>
      </c>
      <c r="J16" s="60">
        <v>0.51</v>
      </c>
      <c r="K16" s="60">
        <v>312.52999999999997</v>
      </c>
      <c r="L16" s="60">
        <v>31.63</v>
      </c>
      <c r="M16" s="60">
        <v>45.74</v>
      </c>
      <c r="N16" s="60">
        <v>421.8</v>
      </c>
      <c r="O16" s="60">
        <v>0</v>
      </c>
      <c r="P16" s="60">
        <v>1.27</v>
      </c>
      <c r="Q16" s="60">
        <v>27.81</v>
      </c>
      <c r="R16" s="44"/>
      <c r="S16" s="44"/>
      <c r="T16" s="44"/>
      <c r="U16" s="44"/>
    </row>
    <row r="17" spans="1:21" s="12" customFormat="1" x14ac:dyDescent="0.25">
      <c r="A17" s="59" t="s">
        <v>430</v>
      </c>
      <c r="B17" s="60">
        <v>16.420000000000002</v>
      </c>
      <c r="C17" s="60">
        <v>52.13</v>
      </c>
      <c r="D17" s="60">
        <v>39.36</v>
      </c>
      <c r="E17" s="60">
        <v>6</v>
      </c>
      <c r="F17" s="60">
        <v>19.45</v>
      </c>
      <c r="G17" s="60">
        <v>105.89</v>
      </c>
      <c r="H17" s="60">
        <v>39.880000000000003</v>
      </c>
      <c r="I17" s="60">
        <v>0.67</v>
      </c>
      <c r="J17" s="60">
        <v>0.63</v>
      </c>
      <c r="K17" s="60">
        <v>289.56</v>
      </c>
      <c r="L17" s="60">
        <v>37.619999999999997</v>
      </c>
      <c r="M17" s="60">
        <v>28.11</v>
      </c>
      <c r="N17" s="60">
        <v>726.1</v>
      </c>
      <c r="O17" s="60">
        <v>0</v>
      </c>
      <c r="P17" s="60">
        <v>1.18</v>
      </c>
      <c r="Q17" s="60">
        <v>27.35</v>
      </c>
      <c r="R17" s="44"/>
      <c r="S17" s="44"/>
      <c r="T17" s="44"/>
      <c r="U17" s="44"/>
    </row>
    <row r="18" spans="1:21" s="12" customFormat="1" x14ac:dyDescent="0.25">
      <c r="A18" s="59" t="s">
        <v>431</v>
      </c>
      <c r="B18" s="60">
        <v>9.64</v>
      </c>
      <c r="C18" s="60">
        <v>54.46</v>
      </c>
      <c r="D18" s="60">
        <v>38.43</v>
      </c>
      <c r="E18" s="60">
        <v>5.41</v>
      </c>
      <c r="F18" s="60">
        <v>30.73</v>
      </c>
      <c r="G18" s="60">
        <v>105.89</v>
      </c>
      <c r="H18" s="60">
        <v>39.880000000000003</v>
      </c>
      <c r="I18" s="60">
        <v>0.63</v>
      </c>
      <c r="J18" s="60">
        <v>0.55000000000000004</v>
      </c>
      <c r="K18" s="60">
        <v>318.11</v>
      </c>
      <c r="L18" s="60">
        <v>37.39</v>
      </c>
      <c r="M18" s="60">
        <v>24.81</v>
      </c>
      <c r="N18" s="60">
        <v>473.9</v>
      </c>
      <c r="O18" s="60">
        <v>0</v>
      </c>
      <c r="P18" s="60">
        <v>1.1200000000000001</v>
      </c>
      <c r="Q18" s="60">
        <v>27.09</v>
      </c>
      <c r="R18" s="44"/>
      <c r="S18" s="44"/>
      <c r="T18" s="44"/>
      <c r="U18" s="44"/>
    </row>
    <row r="19" spans="1:21" s="12" customFormat="1" x14ac:dyDescent="0.25">
      <c r="A19" s="59" t="s">
        <v>432</v>
      </c>
      <c r="B19" s="60">
        <v>7.17</v>
      </c>
      <c r="C19" s="60">
        <v>72.959999999999994</v>
      </c>
      <c r="D19" s="60">
        <v>46.31</v>
      </c>
      <c r="E19" s="60">
        <v>3.98</v>
      </c>
      <c r="F19" s="60">
        <v>25.15</v>
      </c>
      <c r="G19" s="60">
        <v>71.59</v>
      </c>
      <c r="H19" s="60">
        <v>37.32</v>
      </c>
      <c r="I19" s="60">
        <v>0.7</v>
      </c>
      <c r="J19" s="60">
        <v>0.24</v>
      </c>
      <c r="K19" s="60">
        <v>298.14999999999998</v>
      </c>
      <c r="L19" s="60">
        <v>37.5</v>
      </c>
      <c r="M19" s="60">
        <v>23.97</v>
      </c>
      <c r="N19" s="60">
        <v>825.7</v>
      </c>
      <c r="O19" s="60">
        <v>0</v>
      </c>
      <c r="P19" s="60">
        <v>1.07</v>
      </c>
      <c r="Q19" s="60">
        <v>25.38</v>
      </c>
      <c r="R19" s="44"/>
      <c r="S19" s="44"/>
      <c r="T19" s="44"/>
      <c r="U19" s="44"/>
    </row>
    <row r="20" spans="1:21" s="12" customFormat="1" x14ac:dyDescent="0.25">
      <c r="A20" s="59" t="s">
        <v>433</v>
      </c>
      <c r="B20" s="60">
        <v>2.8</v>
      </c>
      <c r="C20" s="60">
        <v>53.35</v>
      </c>
      <c r="D20" s="60">
        <v>32.33</v>
      </c>
      <c r="E20" s="60">
        <v>2.95</v>
      </c>
      <c r="F20" s="60">
        <v>27.28</v>
      </c>
      <c r="G20" s="60">
        <v>70.27</v>
      </c>
      <c r="H20" s="60">
        <v>36</v>
      </c>
      <c r="I20" s="60">
        <v>0.56999999999999995</v>
      </c>
      <c r="J20" s="60">
        <v>0.39</v>
      </c>
      <c r="K20" s="60">
        <v>276.77999999999997</v>
      </c>
      <c r="L20" s="60">
        <v>39.01</v>
      </c>
      <c r="M20" s="60">
        <v>21.76</v>
      </c>
      <c r="N20" s="60">
        <v>895.6</v>
      </c>
      <c r="O20" s="60">
        <v>0</v>
      </c>
      <c r="P20" s="60">
        <v>0.85</v>
      </c>
      <c r="Q20" s="60">
        <v>26.35</v>
      </c>
      <c r="R20" s="44"/>
      <c r="S20" s="44"/>
      <c r="T20" s="44"/>
      <c r="U20" s="44"/>
    </row>
    <row r="21" spans="1:21" s="12" customFormat="1" x14ac:dyDescent="0.25">
      <c r="A21" s="59" t="s">
        <v>434</v>
      </c>
      <c r="B21" s="60">
        <v>2.93</v>
      </c>
      <c r="C21" s="60">
        <v>43.55</v>
      </c>
      <c r="D21" s="60">
        <v>27.03</v>
      </c>
      <c r="E21" s="60">
        <v>2.4500000000000002</v>
      </c>
      <c r="F21" s="60">
        <v>57.58</v>
      </c>
      <c r="G21" s="60">
        <v>57.13</v>
      </c>
      <c r="H21" s="60">
        <v>31.81</v>
      </c>
      <c r="I21" s="60">
        <v>0.5</v>
      </c>
      <c r="J21" s="60">
        <v>0.54</v>
      </c>
      <c r="K21" s="60">
        <v>287.51</v>
      </c>
      <c r="L21" s="60">
        <v>40.97</v>
      </c>
      <c r="M21" s="60">
        <v>18.87</v>
      </c>
      <c r="N21" s="60">
        <v>882.9</v>
      </c>
      <c r="O21" s="60">
        <v>0</v>
      </c>
      <c r="P21" s="60">
        <v>0.49</v>
      </c>
      <c r="Q21" s="60">
        <v>27.94</v>
      </c>
      <c r="R21" s="44"/>
      <c r="S21" s="44"/>
      <c r="T21" s="44"/>
      <c r="U21" s="44"/>
    </row>
    <row r="22" spans="1:21" s="12" customFormat="1" x14ac:dyDescent="0.25">
      <c r="A22" s="59" t="s">
        <v>435</v>
      </c>
      <c r="B22" s="60">
        <v>2.62</v>
      </c>
      <c r="C22" s="60">
        <v>44.81</v>
      </c>
      <c r="D22" s="60">
        <v>27.48</v>
      </c>
      <c r="E22" s="60">
        <v>2.13</v>
      </c>
      <c r="F22" s="60">
        <v>24.35</v>
      </c>
      <c r="G22" s="60">
        <v>52.97</v>
      </c>
      <c r="H22" s="60">
        <v>28.19</v>
      </c>
      <c r="I22" s="6" t="s">
        <v>14</v>
      </c>
      <c r="J22" s="60">
        <v>0.32</v>
      </c>
      <c r="K22" s="60">
        <v>284.48</v>
      </c>
      <c r="L22" s="60">
        <v>40.08</v>
      </c>
      <c r="M22" s="60">
        <v>17.440000000000001</v>
      </c>
      <c r="N22" s="60">
        <v>836.1</v>
      </c>
      <c r="O22" s="60">
        <v>0</v>
      </c>
      <c r="P22" s="60">
        <v>0.51</v>
      </c>
      <c r="Q22" s="60">
        <v>30.45</v>
      </c>
      <c r="R22" s="44"/>
      <c r="S22" s="44"/>
      <c r="T22" s="44"/>
      <c r="U22" s="44"/>
    </row>
    <row r="23" spans="1:21" s="12" customFormat="1" x14ac:dyDescent="0.25">
      <c r="A23" s="59" t="s">
        <v>436</v>
      </c>
      <c r="B23" s="60">
        <v>1.01</v>
      </c>
      <c r="C23" s="60">
        <v>37.24</v>
      </c>
      <c r="D23" s="60">
        <v>22</v>
      </c>
      <c r="E23" s="60">
        <v>1.26</v>
      </c>
      <c r="F23" s="60">
        <v>18.899999999999999</v>
      </c>
      <c r="G23" s="60">
        <v>43.73</v>
      </c>
      <c r="H23" s="60">
        <v>24.94</v>
      </c>
      <c r="I23" s="60">
        <v>0.54</v>
      </c>
      <c r="J23" s="60">
        <v>0.38</v>
      </c>
      <c r="K23" s="60">
        <v>309.39</v>
      </c>
      <c r="L23" s="60">
        <v>39.549999999999997</v>
      </c>
      <c r="M23" s="60">
        <v>18.57</v>
      </c>
      <c r="N23" s="60">
        <v>671.1</v>
      </c>
      <c r="O23" s="60">
        <v>0</v>
      </c>
      <c r="P23" s="60">
        <v>0.43</v>
      </c>
      <c r="Q23" s="60">
        <v>33</v>
      </c>
      <c r="R23" s="44"/>
      <c r="S23" s="44"/>
      <c r="T23" s="44"/>
      <c r="U23" s="44"/>
    </row>
    <row r="24" spans="1:21" s="12" customFormat="1" x14ac:dyDescent="0.25">
      <c r="A24" s="59" t="s">
        <v>437</v>
      </c>
      <c r="B24" s="60">
        <v>1.02</v>
      </c>
      <c r="C24" s="60">
        <v>43.85</v>
      </c>
      <c r="D24" s="60">
        <v>25.65</v>
      </c>
      <c r="E24" s="60">
        <v>3.42</v>
      </c>
      <c r="F24" s="60">
        <v>44.62</v>
      </c>
      <c r="G24" s="60">
        <v>39.450000000000003</v>
      </c>
      <c r="H24" s="60">
        <v>24.29</v>
      </c>
      <c r="I24" s="60">
        <v>0.53</v>
      </c>
      <c r="J24" s="60">
        <v>0.15</v>
      </c>
      <c r="K24" s="60">
        <v>289.68</v>
      </c>
      <c r="L24" s="60">
        <v>37.89</v>
      </c>
      <c r="M24" s="60">
        <v>18.899999999999999</v>
      </c>
      <c r="N24" s="60">
        <v>382.9</v>
      </c>
      <c r="O24" s="60">
        <v>0</v>
      </c>
      <c r="P24" s="60">
        <v>0.59</v>
      </c>
      <c r="Q24" s="60">
        <v>32.409999999999997</v>
      </c>
      <c r="R24" s="44"/>
      <c r="S24" s="44"/>
      <c r="T24" s="44"/>
      <c r="U24" s="44"/>
    </row>
    <row r="25" spans="1:21" s="12" customFormat="1" x14ac:dyDescent="0.25">
      <c r="A25" s="59" t="s">
        <v>438</v>
      </c>
      <c r="B25" s="60">
        <v>1.57</v>
      </c>
      <c r="C25" s="60">
        <v>42.35</v>
      </c>
      <c r="D25" s="60">
        <v>24.82</v>
      </c>
      <c r="E25" s="60">
        <v>1.65</v>
      </c>
      <c r="F25" s="60">
        <v>10.26</v>
      </c>
      <c r="G25" s="60">
        <v>46.74</v>
      </c>
      <c r="H25" s="60">
        <v>21.65</v>
      </c>
      <c r="I25" s="60">
        <v>0.51</v>
      </c>
      <c r="J25" s="60">
        <v>0.17</v>
      </c>
      <c r="K25" s="60">
        <v>53.57</v>
      </c>
      <c r="L25" s="60">
        <v>37.25</v>
      </c>
      <c r="M25" s="60">
        <v>19.41</v>
      </c>
      <c r="N25" s="60">
        <v>97.6</v>
      </c>
      <c r="O25" s="60">
        <v>0</v>
      </c>
      <c r="P25" s="60">
        <v>0.55000000000000004</v>
      </c>
      <c r="Q25" s="60">
        <v>29.74</v>
      </c>
      <c r="R25" s="44"/>
      <c r="S25" s="44"/>
      <c r="T25" s="44"/>
      <c r="U25" s="44"/>
    </row>
    <row r="26" spans="1:21" s="12" customFormat="1" x14ac:dyDescent="0.25">
      <c r="A26" s="59" t="s">
        <v>439</v>
      </c>
      <c r="B26" s="60">
        <v>7.01</v>
      </c>
      <c r="C26" s="60">
        <v>49.95</v>
      </c>
      <c r="D26" s="60">
        <v>33.83</v>
      </c>
      <c r="E26" s="60">
        <v>3.62</v>
      </c>
      <c r="F26" s="60">
        <v>16.95</v>
      </c>
      <c r="G26" s="60">
        <v>59.93</v>
      </c>
      <c r="H26" s="60">
        <v>21.34</v>
      </c>
      <c r="I26" s="60">
        <v>0.52</v>
      </c>
      <c r="J26" s="60">
        <v>0.19</v>
      </c>
      <c r="K26" s="60">
        <v>47.63</v>
      </c>
      <c r="L26" s="60">
        <v>36.29</v>
      </c>
      <c r="M26" s="60">
        <v>20.8</v>
      </c>
      <c r="N26" s="60">
        <v>60.3</v>
      </c>
      <c r="O26" s="60">
        <v>0</v>
      </c>
      <c r="P26" s="60">
        <v>0.76</v>
      </c>
      <c r="Q26" s="60">
        <v>31.41</v>
      </c>
      <c r="R26" s="44"/>
      <c r="S26" s="44"/>
      <c r="T26" s="44"/>
      <c r="U26" s="44"/>
    </row>
    <row r="27" spans="1:21" s="12" customFormat="1" x14ac:dyDescent="0.25">
      <c r="A27" s="59" t="s">
        <v>440</v>
      </c>
      <c r="B27" s="60">
        <v>67.5</v>
      </c>
      <c r="C27" s="60">
        <v>56.34</v>
      </c>
      <c r="D27" s="60">
        <v>83.94</v>
      </c>
      <c r="E27" s="60">
        <v>4.2</v>
      </c>
      <c r="F27" s="60">
        <v>16.149999999999999</v>
      </c>
      <c r="G27" s="60">
        <v>62.26</v>
      </c>
      <c r="H27" s="60">
        <v>19.77</v>
      </c>
      <c r="I27" s="60">
        <v>0.62</v>
      </c>
      <c r="J27" s="60">
        <v>0.18</v>
      </c>
      <c r="K27" s="60">
        <v>323.27999999999997</v>
      </c>
      <c r="L27" s="60">
        <v>34.869999999999997</v>
      </c>
      <c r="M27" s="60">
        <v>25.75</v>
      </c>
      <c r="N27" s="60">
        <v>17.5</v>
      </c>
      <c r="O27" s="60">
        <v>0</v>
      </c>
      <c r="P27" s="60">
        <v>0.82</v>
      </c>
      <c r="Q27" s="60">
        <v>29.54</v>
      </c>
      <c r="R27" s="44"/>
      <c r="S27" s="44"/>
      <c r="T27" s="44"/>
      <c r="U27" s="44"/>
    </row>
    <row r="28" spans="1:21" s="12" customFormat="1" x14ac:dyDescent="0.25">
      <c r="A28" s="59" t="s">
        <v>441</v>
      </c>
      <c r="B28" s="60">
        <v>16.73</v>
      </c>
      <c r="C28" s="60">
        <v>50.14</v>
      </c>
      <c r="D28" s="60">
        <v>41.39</v>
      </c>
      <c r="E28" s="60">
        <v>3.17</v>
      </c>
      <c r="F28" s="60">
        <v>11.08</v>
      </c>
      <c r="G28" s="60">
        <v>62.26</v>
      </c>
      <c r="H28" s="60">
        <v>20.41</v>
      </c>
      <c r="I28" s="60">
        <v>0.7</v>
      </c>
      <c r="J28" s="60">
        <v>0.56000000000000005</v>
      </c>
      <c r="K28" s="60">
        <v>296.83999999999997</v>
      </c>
      <c r="L28" s="60">
        <v>32.700000000000003</v>
      </c>
      <c r="M28" s="60">
        <v>28.49</v>
      </c>
      <c r="N28" s="60">
        <v>5.2</v>
      </c>
      <c r="O28" s="60">
        <v>0</v>
      </c>
      <c r="P28" s="60">
        <v>0.86</v>
      </c>
      <c r="Q28" s="60">
        <v>26.45</v>
      </c>
      <c r="R28" s="44"/>
      <c r="S28" s="44"/>
      <c r="T28" s="44"/>
      <c r="U28" s="44"/>
    </row>
    <row r="29" spans="1:21" s="12" customFormat="1" x14ac:dyDescent="0.25">
      <c r="A29" s="59" t="s">
        <v>442</v>
      </c>
      <c r="B29" s="60">
        <v>51.96</v>
      </c>
      <c r="C29" s="60">
        <v>87.36</v>
      </c>
      <c r="D29" s="60">
        <v>90.52</v>
      </c>
      <c r="E29" s="60">
        <v>3.4</v>
      </c>
      <c r="F29" s="60">
        <v>14.19</v>
      </c>
      <c r="G29" s="60">
        <v>62.17</v>
      </c>
      <c r="H29" s="60">
        <v>21.43</v>
      </c>
      <c r="I29" s="60">
        <v>0.77</v>
      </c>
      <c r="J29" s="60">
        <v>0.1</v>
      </c>
      <c r="K29" s="60">
        <v>293.14999999999998</v>
      </c>
      <c r="L29" s="60">
        <v>31.52</v>
      </c>
      <c r="M29" s="60">
        <v>26.87</v>
      </c>
      <c r="N29" s="60">
        <v>5.4</v>
      </c>
      <c r="O29" s="60">
        <v>0</v>
      </c>
      <c r="P29" s="60">
        <v>2.19</v>
      </c>
      <c r="Q29" s="60">
        <v>23.52</v>
      </c>
      <c r="R29" s="44"/>
      <c r="S29" s="44"/>
      <c r="T29" s="44"/>
      <c r="U29" s="44"/>
    </row>
    <row r="30" spans="1:21" s="12" customFormat="1" x14ac:dyDescent="0.25">
      <c r="A30" s="59" t="s">
        <v>443</v>
      </c>
      <c r="B30" s="60">
        <v>41.34</v>
      </c>
      <c r="C30" s="60">
        <v>81.44</v>
      </c>
      <c r="D30" s="60">
        <v>78.59</v>
      </c>
      <c r="E30" s="60">
        <v>5.51</v>
      </c>
      <c r="F30" s="60">
        <v>16.23</v>
      </c>
      <c r="G30" s="60">
        <v>65.61</v>
      </c>
      <c r="H30" s="60">
        <v>22.32</v>
      </c>
      <c r="I30" s="60">
        <v>0.89</v>
      </c>
      <c r="J30" s="60">
        <v>0.13</v>
      </c>
      <c r="K30" s="60">
        <v>334.37</v>
      </c>
      <c r="L30" s="60">
        <v>30.67</v>
      </c>
      <c r="M30" s="60">
        <v>29.63</v>
      </c>
      <c r="N30" s="60">
        <v>5.5</v>
      </c>
      <c r="O30" s="60">
        <v>0</v>
      </c>
      <c r="P30" s="60">
        <v>1.69</v>
      </c>
      <c r="Q30" s="60">
        <v>20.37</v>
      </c>
      <c r="R30" s="44"/>
      <c r="S30" s="44"/>
      <c r="T30" s="44"/>
      <c r="U30" s="44"/>
    </row>
    <row r="31" spans="1:21" s="12" customFormat="1" x14ac:dyDescent="0.25">
      <c r="A31" s="59" t="s">
        <v>444</v>
      </c>
      <c r="B31" s="60">
        <v>38.31</v>
      </c>
      <c r="C31" s="60">
        <v>75.430000000000007</v>
      </c>
      <c r="D31" s="60">
        <v>72.72</v>
      </c>
      <c r="E31" s="60">
        <v>14.24</v>
      </c>
      <c r="F31" s="60">
        <v>8.59</v>
      </c>
      <c r="G31" s="60">
        <v>73.67</v>
      </c>
      <c r="H31" s="60">
        <v>23.69</v>
      </c>
      <c r="I31" s="60">
        <v>1.04</v>
      </c>
      <c r="J31" s="60">
        <v>0.24</v>
      </c>
      <c r="K31" s="60">
        <v>264.77999999999997</v>
      </c>
      <c r="L31" s="60">
        <v>29.52</v>
      </c>
      <c r="M31" s="60">
        <v>29.82</v>
      </c>
      <c r="N31" s="60">
        <v>5.2</v>
      </c>
      <c r="O31" s="60">
        <v>0</v>
      </c>
      <c r="P31" s="60">
        <v>1.68</v>
      </c>
      <c r="Q31" s="60">
        <v>20.28</v>
      </c>
      <c r="R31" s="44"/>
      <c r="S31" s="44"/>
      <c r="T31" s="44"/>
      <c r="U31" s="44"/>
    </row>
    <row r="32" spans="1:21" s="12" customFormat="1" x14ac:dyDescent="0.25">
      <c r="A32" s="59" t="s">
        <v>445</v>
      </c>
      <c r="B32" s="60">
        <v>14.41</v>
      </c>
      <c r="C32" s="60">
        <v>52.72</v>
      </c>
      <c r="D32" s="60">
        <v>40.19</v>
      </c>
      <c r="E32" s="60">
        <v>9.24</v>
      </c>
      <c r="F32" s="60">
        <v>15.8</v>
      </c>
      <c r="G32" s="60">
        <v>73.67</v>
      </c>
      <c r="H32" s="60">
        <v>26.77</v>
      </c>
      <c r="I32" s="60">
        <v>0.78</v>
      </c>
      <c r="J32" s="60">
        <v>0.41</v>
      </c>
      <c r="K32" s="60">
        <v>261.39</v>
      </c>
      <c r="L32" s="60">
        <v>28.89</v>
      </c>
      <c r="M32" s="60">
        <v>33.21</v>
      </c>
      <c r="N32" s="60">
        <v>5.5</v>
      </c>
      <c r="O32" s="60">
        <v>0</v>
      </c>
      <c r="P32" s="60">
        <v>1.1499999999999999</v>
      </c>
      <c r="Q32" s="60">
        <v>22.69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1.01</v>
      </c>
      <c r="C34" s="29">
        <f t="shared" si="0"/>
        <v>37.24</v>
      </c>
      <c r="D34" s="29">
        <f t="shared" si="0"/>
        <v>22</v>
      </c>
      <c r="E34" s="29">
        <f t="shared" si="0"/>
        <v>1.26</v>
      </c>
      <c r="F34" s="29">
        <f t="shared" si="0"/>
        <v>6.52</v>
      </c>
      <c r="G34" s="29">
        <f t="shared" si="0"/>
        <v>39.450000000000003</v>
      </c>
      <c r="H34" s="29">
        <f t="shared" si="0"/>
        <v>19.77</v>
      </c>
      <c r="I34" s="29">
        <f t="shared" si="0"/>
        <v>0.5</v>
      </c>
      <c r="J34" s="29">
        <f t="shared" si="0"/>
        <v>0.1</v>
      </c>
      <c r="K34" s="29">
        <f t="shared" si="0"/>
        <v>47.63</v>
      </c>
      <c r="L34" s="29">
        <f t="shared" si="0"/>
        <v>26.05</v>
      </c>
      <c r="M34" s="29">
        <f t="shared" si="0"/>
        <v>17.440000000000001</v>
      </c>
      <c r="N34" s="29">
        <f t="shared" si="0"/>
        <v>5.2</v>
      </c>
      <c r="O34" s="29">
        <f t="shared" si="0"/>
        <v>0</v>
      </c>
      <c r="P34" s="29">
        <f t="shared" si="0"/>
        <v>0.43</v>
      </c>
      <c r="Q34" s="29">
        <f t="shared" si="0"/>
        <v>20.28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67.5</v>
      </c>
      <c r="C35" s="30">
        <f t="shared" si="1"/>
        <v>87.36</v>
      </c>
      <c r="D35" s="30">
        <f t="shared" si="1"/>
        <v>90.52</v>
      </c>
      <c r="E35" s="30">
        <f t="shared" si="1"/>
        <v>20.7</v>
      </c>
      <c r="F35" s="30">
        <f t="shared" si="1"/>
        <v>57.58</v>
      </c>
      <c r="G35" s="30">
        <f t="shared" si="1"/>
        <v>105.89</v>
      </c>
      <c r="H35" s="30">
        <f t="shared" si="1"/>
        <v>39.880000000000003</v>
      </c>
      <c r="I35" s="30">
        <f t="shared" si="1"/>
        <v>1.04</v>
      </c>
      <c r="J35" s="30">
        <f t="shared" si="1"/>
        <v>0.63</v>
      </c>
      <c r="K35" s="30">
        <f t="shared" si="1"/>
        <v>335.03</v>
      </c>
      <c r="L35" s="30">
        <f t="shared" si="1"/>
        <v>40.97</v>
      </c>
      <c r="M35" s="30">
        <f t="shared" si="1"/>
        <v>49.67</v>
      </c>
      <c r="N35" s="30">
        <f t="shared" si="1"/>
        <v>895.6</v>
      </c>
      <c r="O35" s="30">
        <f t="shared" si="1"/>
        <v>0</v>
      </c>
      <c r="P35" s="30">
        <f t="shared" si="1"/>
        <v>2.19</v>
      </c>
      <c r="Q35" s="30">
        <f t="shared" si="1"/>
        <v>33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17.228750000000002</v>
      </c>
      <c r="C36" s="29">
        <f t="shared" si="2"/>
        <v>52.920000000000009</v>
      </c>
      <c r="D36" s="29">
        <f t="shared" si="2"/>
        <v>43.217083333333342</v>
      </c>
      <c r="E36" s="29">
        <f t="shared" si="2"/>
        <v>6.6404166666666677</v>
      </c>
      <c r="F36" s="29">
        <f t="shared" si="2"/>
        <v>18.393333333333331</v>
      </c>
      <c r="G36" s="29">
        <f t="shared" si="2"/>
        <v>70.290833333333339</v>
      </c>
      <c r="H36" s="29">
        <f t="shared" si="2"/>
        <v>30.367499999999996</v>
      </c>
      <c r="I36" s="29">
        <f t="shared" si="2"/>
        <v>0.66347826086956507</v>
      </c>
      <c r="J36" s="29">
        <f t="shared" si="2"/>
        <v>0.30583333333333335</v>
      </c>
      <c r="K36" s="29">
        <f t="shared" si="2"/>
        <v>274.37666666666672</v>
      </c>
      <c r="L36" s="29">
        <f t="shared" si="2"/>
        <v>33.069166666666661</v>
      </c>
      <c r="M36" s="29">
        <f t="shared" si="2"/>
        <v>31.236666666666668</v>
      </c>
      <c r="N36" s="29">
        <f t="shared" si="2"/>
        <v>275.06666666666666</v>
      </c>
      <c r="O36" s="29">
        <f t="shared" si="2"/>
        <v>0</v>
      </c>
      <c r="P36" s="29">
        <f t="shared" si="2"/>
        <v>1.0491666666666666</v>
      </c>
      <c r="Q36" s="29">
        <f t="shared" si="2"/>
        <v>26.957916666666673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17.77113054868094</v>
      </c>
      <c r="C37" s="29">
        <f t="shared" ref="C37:Q37" si="3">STDEV(C9:C32)</f>
        <v>13.345412173738058</v>
      </c>
      <c r="D37" s="29">
        <f t="shared" si="3"/>
        <v>19.555333416646995</v>
      </c>
      <c r="E37" s="29">
        <f t="shared" si="3"/>
        <v>4.678505409029559</v>
      </c>
      <c r="F37" s="29">
        <f t="shared" si="3"/>
        <v>12.026891487021064</v>
      </c>
      <c r="G37" s="29">
        <f t="shared" si="3"/>
        <v>17.332999167626102</v>
      </c>
      <c r="H37" s="29">
        <f t="shared" si="3"/>
        <v>7.1824497758500865</v>
      </c>
      <c r="I37" s="29">
        <f t="shared" si="3"/>
        <v>0.12481290345779765</v>
      </c>
      <c r="J37" s="29">
        <f t="shared" si="3"/>
        <v>0.15424195184885625</v>
      </c>
      <c r="K37" s="29">
        <f t="shared" si="3"/>
        <v>71.600269593047486</v>
      </c>
      <c r="L37" s="29">
        <f t="shared" si="3"/>
        <v>5.0751722323884136</v>
      </c>
      <c r="M37" s="29">
        <f t="shared" si="3"/>
        <v>11.213747256659209</v>
      </c>
      <c r="N37" s="29">
        <f t="shared" si="3"/>
        <v>344.56659439216463</v>
      </c>
      <c r="O37" s="29">
        <f t="shared" si="3"/>
        <v>0</v>
      </c>
      <c r="P37" s="29">
        <f t="shared" si="3"/>
        <v>0.41483277580738243</v>
      </c>
      <c r="Q37" s="29">
        <f t="shared" si="3"/>
        <v>3.2425378938037648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>COUNT(I9:I32)+1</f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71" sqref="G71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17-05-2023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53" t="s">
        <v>57</v>
      </c>
      <c r="R7" s="28"/>
      <c r="S7" s="30"/>
      <c r="T7" s="28"/>
      <c r="U7" s="28"/>
    </row>
    <row r="8" spans="1:21" s="22" customFormat="1" x14ac:dyDescent="0.25">
      <c r="A8" s="67"/>
      <c r="B8" s="68" t="s">
        <v>22</v>
      </c>
      <c r="C8" s="68" t="s">
        <v>22</v>
      </c>
      <c r="D8" s="30" t="s">
        <v>61</v>
      </c>
      <c r="E8" s="68" t="s">
        <v>22</v>
      </c>
      <c r="F8" s="68" t="s">
        <v>22</v>
      </c>
      <c r="G8" s="68" t="s">
        <v>23</v>
      </c>
      <c r="H8" s="68" t="s">
        <v>22</v>
      </c>
      <c r="I8" s="68" t="s">
        <v>22</v>
      </c>
      <c r="J8" s="68" t="s">
        <v>24</v>
      </c>
      <c r="K8" s="68" t="s">
        <v>25</v>
      </c>
      <c r="L8" s="67" t="s">
        <v>27</v>
      </c>
      <c r="M8" s="68" t="s">
        <v>26</v>
      </c>
      <c r="N8" s="68" t="s">
        <v>28</v>
      </c>
      <c r="O8" s="67" t="s">
        <v>29</v>
      </c>
      <c r="P8" s="68" t="s">
        <v>22</v>
      </c>
      <c r="Q8" s="68" t="s">
        <v>22</v>
      </c>
      <c r="R8" s="28"/>
      <c r="S8" s="30"/>
      <c r="T8" s="28"/>
      <c r="U8" s="28"/>
    </row>
    <row r="9" spans="1:21" s="12" customFormat="1" x14ac:dyDescent="0.25">
      <c r="A9" s="59" t="s">
        <v>446</v>
      </c>
      <c r="B9" s="60">
        <v>12.43</v>
      </c>
      <c r="C9" s="60">
        <v>49.75</v>
      </c>
      <c r="D9" s="60">
        <v>35.83</v>
      </c>
      <c r="E9" s="60">
        <v>7.12</v>
      </c>
      <c r="F9" s="60">
        <v>13.56</v>
      </c>
      <c r="G9" s="60">
        <v>44.2</v>
      </c>
      <c r="H9" s="60">
        <v>27.8</v>
      </c>
      <c r="I9" s="60">
        <v>0.69</v>
      </c>
      <c r="J9" s="60">
        <v>0.24</v>
      </c>
      <c r="K9" s="60">
        <v>265.45999999999998</v>
      </c>
      <c r="L9" s="60">
        <v>28.3</v>
      </c>
      <c r="M9" s="60">
        <v>33.78</v>
      </c>
      <c r="N9" s="60">
        <v>5.4</v>
      </c>
      <c r="O9" s="60">
        <v>0</v>
      </c>
      <c r="P9" s="60">
        <v>1.1100000000000001</v>
      </c>
      <c r="Q9" s="60">
        <v>22.06</v>
      </c>
      <c r="R9" s="44"/>
      <c r="S9" s="44"/>
      <c r="T9" s="44"/>
      <c r="U9" s="44"/>
    </row>
    <row r="10" spans="1:21" s="12" customFormat="1" x14ac:dyDescent="0.25">
      <c r="A10" s="59" t="s">
        <v>447</v>
      </c>
      <c r="B10" s="60">
        <v>4.9800000000000004</v>
      </c>
      <c r="C10" s="60">
        <v>42.49</v>
      </c>
      <c r="D10" s="60">
        <v>28.09</v>
      </c>
      <c r="E10" s="60">
        <v>8.5299999999999994</v>
      </c>
      <c r="F10" s="60">
        <v>18.82</v>
      </c>
      <c r="G10" s="60">
        <v>132.21</v>
      </c>
      <c r="H10" s="60">
        <v>27.8</v>
      </c>
      <c r="I10" s="60">
        <v>0.62</v>
      </c>
      <c r="J10" s="60">
        <v>0.18</v>
      </c>
      <c r="K10" s="60">
        <v>273.99</v>
      </c>
      <c r="L10" s="60">
        <v>27.52</v>
      </c>
      <c r="M10" s="60">
        <v>38.58</v>
      </c>
      <c r="N10" s="60">
        <v>5.3</v>
      </c>
      <c r="O10" s="60">
        <v>0</v>
      </c>
      <c r="P10" s="60">
        <v>0.65</v>
      </c>
      <c r="Q10" s="60">
        <v>20.36</v>
      </c>
      <c r="R10" s="44"/>
      <c r="S10" s="44"/>
      <c r="T10" s="44"/>
      <c r="U10" s="44"/>
    </row>
    <row r="11" spans="1:21" s="12" customFormat="1" x14ac:dyDescent="0.25">
      <c r="A11" s="59" t="s">
        <v>448</v>
      </c>
      <c r="B11" s="60">
        <v>2.56</v>
      </c>
      <c r="C11" s="60">
        <v>41.43</v>
      </c>
      <c r="D11" s="60">
        <v>25.23</v>
      </c>
      <c r="E11" s="60">
        <v>6.41</v>
      </c>
      <c r="F11" s="60">
        <v>19.829999999999998</v>
      </c>
      <c r="G11" s="60">
        <v>132.21</v>
      </c>
      <c r="H11" s="60">
        <v>26.64</v>
      </c>
      <c r="I11" s="60">
        <v>0.57999999999999996</v>
      </c>
      <c r="J11" s="60">
        <v>0.23</v>
      </c>
      <c r="K11" s="60">
        <v>260.07</v>
      </c>
      <c r="L11" s="60">
        <v>27.08</v>
      </c>
      <c r="M11" s="60">
        <v>41.17</v>
      </c>
      <c r="N11" s="60">
        <v>5.4</v>
      </c>
      <c r="O11" s="60">
        <v>0</v>
      </c>
      <c r="P11" s="60">
        <v>0.55000000000000004</v>
      </c>
      <c r="Q11" s="60">
        <v>20.28</v>
      </c>
      <c r="R11" s="44"/>
      <c r="S11" s="44"/>
      <c r="T11" s="44"/>
      <c r="U11" s="44"/>
    </row>
    <row r="12" spans="1:21" s="12" customFormat="1" x14ac:dyDescent="0.25">
      <c r="A12" s="59" t="s">
        <v>449</v>
      </c>
      <c r="B12" s="60">
        <v>7.2</v>
      </c>
      <c r="C12" s="60">
        <v>41.41</v>
      </c>
      <c r="D12" s="60">
        <v>29.27</v>
      </c>
      <c r="E12" s="60">
        <v>3.23</v>
      </c>
      <c r="F12" s="60">
        <v>13.61</v>
      </c>
      <c r="G12" s="60">
        <v>114.13</v>
      </c>
      <c r="H12" s="60">
        <v>25.82</v>
      </c>
      <c r="I12" s="60">
        <v>0.6</v>
      </c>
      <c r="J12" s="60">
        <v>0.19</v>
      </c>
      <c r="K12" s="60">
        <v>265.62</v>
      </c>
      <c r="L12" s="60">
        <v>26.21</v>
      </c>
      <c r="M12" s="60">
        <v>45.75</v>
      </c>
      <c r="N12" s="60">
        <v>5.6</v>
      </c>
      <c r="O12" s="60">
        <v>0</v>
      </c>
      <c r="P12" s="60">
        <v>0.7</v>
      </c>
      <c r="Q12" s="60">
        <v>20.260000000000002</v>
      </c>
      <c r="R12" s="44"/>
      <c r="S12" s="44"/>
      <c r="T12" s="44"/>
      <c r="U12" s="44"/>
    </row>
    <row r="13" spans="1:21" s="12" customFormat="1" x14ac:dyDescent="0.25">
      <c r="A13" s="59" t="s">
        <v>450</v>
      </c>
      <c r="B13" s="60">
        <v>34.31</v>
      </c>
      <c r="C13" s="60">
        <v>48.69</v>
      </c>
      <c r="D13" s="60">
        <v>55.03</v>
      </c>
      <c r="E13" s="60">
        <v>5.91</v>
      </c>
      <c r="F13" s="60">
        <v>6.85</v>
      </c>
      <c r="G13" s="60">
        <v>114.13</v>
      </c>
      <c r="H13" s="60">
        <v>28.2</v>
      </c>
      <c r="I13" s="60">
        <v>0.67</v>
      </c>
      <c r="J13" s="60">
        <v>0.15</v>
      </c>
      <c r="K13" s="60">
        <v>288.31</v>
      </c>
      <c r="L13" s="60">
        <v>26.04</v>
      </c>
      <c r="M13" s="60">
        <v>49.99</v>
      </c>
      <c r="N13" s="60">
        <v>5.5</v>
      </c>
      <c r="O13" s="60">
        <v>0</v>
      </c>
      <c r="P13" s="60">
        <v>0.99</v>
      </c>
      <c r="Q13" s="60">
        <v>19.54</v>
      </c>
      <c r="R13" s="44"/>
      <c r="S13" s="44"/>
      <c r="T13" s="44"/>
      <c r="U13" s="44"/>
    </row>
    <row r="14" spans="1:21" s="12" customFormat="1" x14ac:dyDescent="0.25">
      <c r="A14" s="59" t="s">
        <v>451</v>
      </c>
      <c r="B14" s="60">
        <v>33.35</v>
      </c>
      <c r="C14" s="60">
        <v>50.01</v>
      </c>
      <c r="D14" s="60">
        <v>54.99</v>
      </c>
      <c r="E14" s="60">
        <v>6.51</v>
      </c>
      <c r="F14" s="60">
        <v>9.77</v>
      </c>
      <c r="G14" s="60">
        <v>93.85</v>
      </c>
      <c r="H14" s="60">
        <v>32.64</v>
      </c>
      <c r="I14" s="60">
        <v>0.66</v>
      </c>
      <c r="J14" s="60">
        <v>0.48</v>
      </c>
      <c r="K14" s="60">
        <v>246.61</v>
      </c>
      <c r="L14" s="60">
        <v>25.88</v>
      </c>
      <c r="M14" s="60">
        <v>46.11</v>
      </c>
      <c r="N14" s="60">
        <v>41</v>
      </c>
      <c r="O14" s="60">
        <v>0</v>
      </c>
      <c r="P14" s="60">
        <v>1.2</v>
      </c>
      <c r="Q14" s="60">
        <v>21.28</v>
      </c>
      <c r="R14" s="44"/>
      <c r="S14" s="44"/>
      <c r="T14" s="44"/>
      <c r="U14" s="44"/>
    </row>
    <row r="15" spans="1:21" s="12" customFormat="1" x14ac:dyDescent="0.25">
      <c r="A15" s="59" t="s">
        <v>452</v>
      </c>
      <c r="B15" s="60">
        <v>12.22</v>
      </c>
      <c r="C15" s="60">
        <v>37.68</v>
      </c>
      <c r="D15" s="60">
        <v>30.25</v>
      </c>
      <c r="E15" s="60">
        <v>4.76</v>
      </c>
      <c r="F15" s="60">
        <v>10.7</v>
      </c>
      <c r="G15" s="60">
        <v>74.12</v>
      </c>
      <c r="H15" s="60">
        <v>32.64</v>
      </c>
      <c r="I15" s="60">
        <v>0.63</v>
      </c>
      <c r="J15" s="60">
        <v>0.15</v>
      </c>
      <c r="K15" s="60">
        <v>342.29</v>
      </c>
      <c r="L15" s="60">
        <v>28.68</v>
      </c>
      <c r="M15" s="60">
        <v>44.29</v>
      </c>
      <c r="N15" s="60">
        <v>217.2</v>
      </c>
      <c r="O15" s="60">
        <v>0</v>
      </c>
      <c r="P15" s="60">
        <v>0.88</v>
      </c>
      <c r="Q15" s="60">
        <v>21.17</v>
      </c>
      <c r="R15" s="44"/>
      <c r="S15" s="44"/>
      <c r="T15" s="44"/>
      <c r="U15" s="44"/>
    </row>
    <row r="16" spans="1:21" s="12" customFormat="1" x14ac:dyDescent="0.25">
      <c r="A16" s="59" t="s">
        <v>453</v>
      </c>
      <c r="B16" s="60">
        <v>14.48</v>
      </c>
      <c r="C16" s="60">
        <v>35.97</v>
      </c>
      <c r="D16" s="60">
        <v>32.11</v>
      </c>
      <c r="E16" s="60">
        <v>4.9400000000000004</v>
      </c>
      <c r="F16" s="60">
        <v>15.79</v>
      </c>
      <c r="G16" s="60">
        <v>78.11</v>
      </c>
      <c r="H16" s="60">
        <v>30.9</v>
      </c>
      <c r="I16" s="60">
        <v>0.63</v>
      </c>
      <c r="J16" s="60">
        <v>0.14000000000000001</v>
      </c>
      <c r="K16" s="60">
        <v>296.27999999999997</v>
      </c>
      <c r="L16" s="60">
        <v>32.83</v>
      </c>
      <c r="M16" s="60">
        <v>38.74</v>
      </c>
      <c r="N16" s="60">
        <v>431.6</v>
      </c>
      <c r="O16" s="60">
        <v>0</v>
      </c>
      <c r="P16" s="60">
        <v>0.88</v>
      </c>
      <c r="Q16" s="60">
        <v>19.53</v>
      </c>
      <c r="R16" s="44"/>
      <c r="S16" s="44"/>
      <c r="T16" s="44"/>
      <c r="U16" s="44"/>
    </row>
    <row r="17" spans="1:21" s="12" customFormat="1" x14ac:dyDescent="0.25">
      <c r="A17" s="59" t="s">
        <v>454</v>
      </c>
      <c r="B17" s="60">
        <v>7.41</v>
      </c>
      <c r="C17" s="60">
        <v>40.31</v>
      </c>
      <c r="D17" s="60">
        <v>27.87</v>
      </c>
      <c r="E17" s="60">
        <v>4.22</v>
      </c>
      <c r="F17" s="60">
        <v>32.94</v>
      </c>
      <c r="G17" s="60">
        <v>78.11</v>
      </c>
      <c r="H17" s="60">
        <v>30.9</v>
      </c>
      <c r="I17" s="60">
        <v>0.62</v>
      </c>
      <c r="J17" s="60">
        <v>0.2</v>
      </c>
      <c r="K17" s="60">
        <v>270.06</v>
      </c>
      <c r="L17" s="60">
        <v>35.090000000000003</v>
      </c>
      <c r="M17" s="60">
        <v>32.36</v>
      </c>
      <c r="N17" s="60">
        <v>613.79999999999995</v>
      </c>
      <c r="O17" s="60">
        <v>0</v>
      </c>
      <c r="P17" s="60">
        <v>0.95</v>
      </c>
      <c r="Q17" s="60">
        <v>19.73</v>
      </c>
      <c r="R17" s="44"/>
      <c r="S17" s="44"/>
      <c r="T17" s="44"/>
      <c r="U17" s="44"/>
    </row>
    <row r="18" spans="1:21" s="12" customFormat="1" x14ac:dyDescent="0.25">
      <c r="A18" s="59" t="s">
        <v>455</v>
      </c>
      <c r="B18" s="60">
        <v>5.5</v>
      </c>
      <c r="C18" s="60">
        <v>41.61</v>
      </c>
      <c r="D18" s="60">
        <v>27.82</v>
      </c>
      <c r="E18" s="60">
        <v>6.96</v>
      </c>
      <c r="F18" s="60">
        <v>37.130000000000003</v>
      </c>
      <c r="G18" s="60">
        <v>64.63</v>
      </c>
      <c r="H18" s="60">
        <v>34.08</v>
      </c>
      <c r="I18" s="60">
        <v>0.61</v>
      </c>
      <c r="J18" s="60">
        <v>0.4</v>
      </c>
      <c r="K18" s="60">
        <v>276.74</v>
      </c>
      <c r="L18" s="60">
        <v>37.07</v>
      </c>
      <c r="M18" s="60">
        <v>31.7</v>
      </c>
      <c r="N18" s="60">
        <v>766</v>
      </c>
      <c r="O18" s="60">
        <v>0</v>
      </c>
      <c r="P18" s="60">
        <v>1.0900000000000001</v>
      </c>
      <c r="Q18" s="60">
        <v>19.27</v>
      </c>
      <c r="R18" s="44"/>
      <c r="S18" s="44"/>
      <c r="T18" s="44"/>
      <c r="U18" s="44"/>
    </row>
    <row r="19" spans="1:21" s="12" customFormat="1" x14ac:dyDescent="0.25">
      <c r="A19" s="59" t="s">
        <v>456</v>
      </c>
      <c r="B19" s="60">
        <v>8.34</v>
      </c>
      <c r="C19" s="60">
        <v>39.79</v>
      </c>
      <c r="D19" s="60">
        <v>29.3</v>
      </c>
      <c r="E19" s="60">
        <v>6.45</v>
      </c>
      <c r="F19" s="60">
        <v>33.549999999999997</v>
      </c>
      <c r="G19" s="60">
        <v>64.63</v>
      </c>
      <c r="H19" s="60">
        <v>34.08</v>
      </c>
      <c r="I19" s="60">
        <v>0.67</v>
      </c>
      <c r="J19" s="60">
        <v>0.82</v>
      </c>
      <c r="K19" s="60">
        <v>271.72000000000003</v>
      </c>
      <c r="L19" s="60">
        <v>40.630000000000003</v>
      </c>
      <c r="M19" s="60">
        <v>25.47</v>
      </c>
      <c r="N19" s="60">
        <v>870.8</v>
      </c>
      <c r="O19" s="60">
        <v>0</v>
      </c>
      <c r="P19" s="60">
        <v>0.81</v>
      </c>
      <c r="Q19" s="60">
        <v>19.100000000000001</v>
      </c>
      <c r="R19" s="44"/>
      <c r="S19" s="44"/>
      <c r="T19" s="44"/>
      <c r="U19" s="44"/>
    </row>
    <row r="20" spans="1:21" s="12" customFormat="1" x14ac:dyDescent="0.25">
      <c r="A20" s="59" t="s">
        <v>457</v>
      </c>
      <c r="B20" s="60">
        <v>5.29</v>
      </c>
      <c r="C20" s="60">
        <v>35.43</v>
      </c>
      <c r="D20" s="60">
        <v>24.44</v>
      </c>
      <c r="E20" s="60">
        <v>6.12</v>
      </c>
      <c r="F20" s="60">
        <v>38.47</v>
      </c>
      <c r="G20" s="60">
        <v>45.17</v>
      </c>
      <c r="H20" s="60">
        <v>25.76</v>
      </c>
      <c r="I20" s="60">
        <v>0.7</v>
      </c>
      <c r="J20" s="60">
        <v>0.76</v>
      </c>
      <c r="K20" s="60">
        <v>271.66000000000003</v>
      </c>
      <c r="L20" s="60">
        <v>40.46</v>
      </c>
      <c r="M20" s="60">
        <v>23.56</v>
      </c>
      <c r="N20" s="60">
        <v>893.3</v>
      </c>
      <c r="O20" s="60">
        <v>0</v>
      </c>
      <c r="P20" s="60">
        <v>0.73</v>
      </c>
      <c r="Q20" s="60">
        <v>19.68</v>
      </c>
      <c r="R20" s="44"/>
      <c r="S20" s="44"/>
      <c r="T20" s="44"/>
      <c r="U20" s="44"/>
    </row>
    <row r="21" spans="1:21" s="12" customFormat="1" x14ac:dyDescent="0.25">
      <c r="A21" s="59" t="s">
        <v>458</v>
      </c>
      <c r="B21" s="60">
        <v>5.37</v>
      </c>
      <c r="C21" s="60">
        <v>36.57</v>
      </c>
      <c r="D21" s="60">
        <v>23.87</v>
      </c>
      <c r="E21" s="60">
        <v>4.49</v>
      </c>
      <c r="F21" s="60">
        <v>31.94</v>
      </c>
      <c r="G21" s="60">
        <v>37.17</v>
      </c>
      <c r="H21" s="60">
        <v>25.76</v>
      </c>
      <c r="I21" s="60">
        <v>0.78</v>
      </c>
      <c r="J21" s="60">
        <v>0.39</v>
      </c>
      <c r="K21" s="60">
        <v>277.08</v>
      </c>
      <c r="L21" s="60">
        <v>40.76</v>
      </c>
      <c r="M21" s="60">
        <v>20.11</v>
      </c>
      <c r="N21" s="60">
        <v>882.6</v>
      </c>
      <c r="O21" s="60">
        <v>0</v>
      </c>
      <c r="P21" s="60">
        <v>0.64</v>
      </c>
      <c r="Q21" s="60">
        <v>18.649999999999999</v>
      </c>
      <c r="R21" s="44"/>
      <c r="S21" s="44"/>
      <c r="T21" s="44"/>
      <c r="U21" s="44"/>
    </row>
    <row r="22" spans="1:21" s="12" customFormat="1" x14ac:dyDescent="0.25">
      <c r="A22" s="59" t="s">
        <v>459</v>
      </c>
      <c r="B22" s="60">
        <v>3.35</v>
      </c>
      <c r="C22" s="60">
        <v>35.33</v>
      </c>
      <c r="D22" s="60">
        <v>22.83</v>
      </c>
      <c r="E22" s="60">
        <v>3.54</v>
      </c>
      <c r="F22" s="60">
        <v>18.760000000000002</v>
      </c>
      <c r="G22" s="60">
        <v>31.01</v>
      </c>
      <c r="H22" s="60">
        <v>22.46</v>
      </c>
      <c r="I22" s="60">
        <v>0.81</v>
      </c>
      <c r="J22" s="60">
        <v>1</v>
      </c>
      <c r="K22" s="60">
        <v>322.55</v>
      </c>
      <c r="L22" s="60">
        <v>39.47</v>
      </c>
      <c r="M22" s="60">
        <v>19.170000000000002</v>
      </c>
      <c r="N22" s="60">
        <v>745.2</v>
      </c>
      <c r="O22" s="60">
        <v>0</v>
      </c>
      <c r="P22" s="60">
        <v>0.56999999999999995</v>
      </c>
      <c r="Q22" s="60">
        <v>20.079999999999998</v>
      </c>
      <c r="R22" s="44"/>
      <c r="S22" s="44"/>
      <c r="T22" s="44"/>
      <c r="U22" s="44"/>
    </row>
    <row r="23" spans="1:21" s="12" customFormat="1" x14ac:dyDescent="0.25">
      <c r="A23" s="59" t="s">
        <v>460</v>
      </c>
      <c r="B23" s="60">
        <v>5.04</v>
      </c>
      <c r="C23" s="60">
        <v>33.64</v>
      </c>
      <c r="D23" s="60">
        <v>22.76</v>
      </c>
      <c r="E23" s="60">
        <v>2.77</v>
      </c>
      <c r="F23" s="60">
        <v>30.96</v>
      </c>
      <c r="G23" s="60">
        <v>21.5</v>
      </c>
      <c r="H23" s="60">
        <v>19.22</v>
      </c>
      <c r="I23" s="60">
        <v>0.7</v>
      </c>
      <c r="J23" s="60">
        <v>0.52</v>
      </c>
      <c r="K23" s="60">
        <v>283.33999999999997</v>
      </c>
      <c r="L23" s="60">
        <v>38.24</v>
      </c>
      <c r="M23" s="60">
        <v>19.32</v>
      </c>
      <c r="N23" s="60">
        <v>486.3</v>
      </c>
      <c r="O23" s="60">
        <v>0</v>
      </c>
      <c r="P23" s="60">
        <v>0.51</v>
      </c>
      <c r="Q23" s="60">
        <v>22.43</v>
      </c>
      <c r="R23" s="44"/>
      <c r="S23" s="44"/>
      <c r="T23" s="44"/>
      <c r="U23" s="44"/>
    </row>
    <row r="24" spans="1:21" s="12" customFormat="1" x14ac:dyDescent="0.25">
      <c r="A24" s="59" t="s">
        <v>461</v>
      </c>
      <c r="B24" s="60">
        <v>2.36</v>
      </c>
      <c r="C24" s="60">
        <v>30.13</v>
      </c>
      <c r="D24" s="60">
        <v>19.170000000000002</v>
      </c>
      <c r="E24" s="60">
        <v>2.4300000000000002</v>
      </c>
      <c r="F24" s="60">
        <v>13.76</v>
      </c>
      <c r="G24" s="60">
        <v>27.7</v>
      </c>
      <c r="H24" s="60">
        <v>19.22</v>
      </c>
      <c r="I24" s="60">
        <v>0.69</v>
      </c>
      <c r="J24" s="60">
        <v>0.63</v>
      </c>
      <c r="K24" s="60">
        <v>275.57</v>
      </c>
      <c r="L24" s="60">
        <v>38.159999999999997</v>
      </c>
      <c r="M24" s="60">
        <v>16.559999999999999</v>
      </c>
      <c r="N24" s="60">
        <v>298.5</v>
      </c>
      <c r="O24" s="60">
        <v>0</v>
      </c>
      <c r="P24" s="60">
        <v>0.5</v>
      </c>
      <c r="Q24" s="60">
        <v>18.18</v>
      </c>
      <c r="R24" s="44"/>
      <c r="S24" s="44"/>
      <c r="T24" s="44"/>
      <c r="U24" s="44"/>
    </row>
    <row r="25" spans="1:21" s="12" customFormat="1" x14ac:dyDescent="0.25">
      <c r="A25" s="59" t="s">
        <v>462</v>
      </c>
      <c r="B25" s="60">
        <v>3.5</v>
      </c>
      <c r="C25" s="60">
        <v>38.700000000000003</v>
      </c>
      <c r="D25" s="60">
        <v>23.33</v>
      </c>
      <c r="E25" s="60">
        <v>2.95</v>
      </c>
      <c r="F25" s="60">
        <v>11.31</v>
      </c>
      <c r="G25" s="60">
        <v>27.7</v>
      </c>
      <c r="H25" s="60">
        <v>16.36</v>
      </c>
      <c r="I25" s="60">
        <v>0.61</v>
      </c>
      <c r="J25" s="60">
        <v>0.42</v>
      </c>
      <c r="K25" s="60">
        <v>355.1</v>
      </c>
      <c r="L25" s="60">
        <v>37.22</v>
      </c>
      <c r="M25" s="60">
        <v>18.98</v>
      </c>
      <c r="N25" s="60">
        <v>127.4</v>
      </c>
      <c r="O25" s="60">
        <v>0</v>
      </c>
      <c r="P25" s="60">
        <v>0.48</v>
      </c>
      <c r="Q25" s="60">
        <v>19.829999999999998</v>
      </c>
      <c r="R25" s="44"/>
      <c r="S25" s="44"/>
      <c r="T25" s="44"/>
      <c r="U25" s="44"/>
    </row>
    <row r="26" spans="1:21" s="12" customFormat="1" x14ac:dyDescent="0.25">
      <c r="A26" s="59" t="s">
        <v>463</v>
      </c>
      <c r="B26" s="60">
        <v>24</v>
      </c>
      <c r="C26" s="60">
        <v>58.83</v>
      </c>
      <c r="D26" s="60">
        <v>51.63</v>
      </c>
      <c r="E26" s="60">
        <v>2.46</v>
      </c>
      <c r="F26" s="60">
        <v>27.08</v>
      </c>
      <c r="G26" s="60">
        <v>57.87</v>
      </c>
      <c r="H26" s="60">
        <v>17.63</v>
      </c>
      <c r="I26" s="60">
        <v>0.56999999999999995</v>
      </c>
      <c r="J26" s="60">
        <v>0.1</v>
      </c>
      <c r="K26" s="60">
        <v>337.72</v>
      </c>
      <c r="L26" s="60">
        <v>36.58</v>
      </c>
      <c r="M26" s="60">
        <v>21.39</v>
      </c>
      <c r="N26" s="60">
        <v>78.099999999999994</v>
      </c>
      <c r="O26" s="60">
        <v>0</v>
      </c>
      <c r="P26" s="60">
        <v>0.63</v>
      </c>
      <c r="Q26" s="60">
        <v>17.420000000000002</v>
      </c>
      <c r="R26" s="44"/>
      <c r="S26" s="44"/>
      <c r="T26" s="44"/>
      <c r="U26" s="44"/>
    </row>
    <row r="27" spans="1:21" s="12" customFormat="1" x14ac:dyDescent="0.25">
      <c r="A27" s="59" t="s">
        <v>464</v>
      </c>
      <c r="B27" s="60">
        <v>7.89</v>
      </c>
      <c r="C27" s="60">
        <v>59.27</v>
      </c>
      <c r="D27" s="60">
        <v>39.26</v>
      </c>
      <c r="E27" s="60">
        <v>3.57</v>
      </c>
      <c r="F27" s="60">
        <v>19.66</v>
      </c>
      <c r="G27" s="60">
        <v>57.87</v>
      </c>
      <c r="H27" s="60">
        <v>17.63</v>
      </c>
      <c r="I27" s="60">
        <v>0.67</v>
      </c>
      <c r="J27" s="60">
        <v>0.12</v>
      </c>
      <c r="K27" s="60">
        <v>43.97</v>
      </c>
      <c r="L27" s="60">
        <v>34.65</v>
      </c>
      <c r="M27" s="60">
        <v>23.11</v>
      </c>
      <c r="N27" s="60">
        <v>14.9</v>
      </c>
      <c r="O27" s="60">
        <v>0</v>
      </c>
      <c r="P27" s="60">
        <v>0.95</v>
      </c>
      <c r="Q27" s="60">
        <v>15.87</v>
      </c>
      <c r="R27" s="44"/>
      <c r="S27" s="44"/>
      <c r="T27" s="44"/>
      <c r="U27" s="44"/>
    </row>
    <row r="28" spans="1:21" s="12" customFormat="1" x14ac:dyDescent="0.25">
      <c r="A28" s="59" t="s">
        <v>465</v>
      </c>
      <c r="B28" s="60">
        <v>21.25</v>
      </c>
      <c r="C28" s="60">
        <v>78.05</v>
      </c>
      <c r="D28" s="60">
        <v>59.44</v>
      </c>
      <c r="E28" s="60">
        <v>3.78</v>
      </c>
      <c r="F28" s="60">
        <v>17.170000000000002</v>
      </c>
      <c r="G28" s="60">
        <v>39.28</v>
      </c>
      <c r="H28" s="60">
        <v>20.22</v>
      </c>
      <c r="I28" s="60">
        <v>0.72</v>
      </c>
      <c r="J28" s="60">
        <v>0.04</v>
      </c>
      <c r="K28" s="60">
        <v>343.3</v>
      </c>
      <c r="L28" s="60">
        <v>33.380000000000003</v>
      </c>
      <c r="M28" s="60">
        <v>24.76</v>
      </c>
      <c r="N28" s="60">
        <v>5</v>
      </c>
      <c r="O28" s="60">
        <v>0</v>
      </c>
      <c r="P28" s="60">
        <v>1.47</v>
      </c>
      <c r="Q28" s="60">
        <v>16.61</v>
      </c>
      <c r="R28" s="44"/>
      <c r="S28" s="44"/>
      <c r="T28" s="44"/>
      <c r="U28" s="44"/>
    </row>
    <row r="29" spans="1:21" s="12" customFormat="1" x14ac:dyDescent="0.25">
      <c r="A29" s="59" t="s">
        <v>466</v>
      </c>
      <c r="B29" s="60">
        <v>21.15</v>
      </c>
      <c r="C29" s="60">
        <v>72.11</v>
      </c>
      <c r="D29" s="60">
        <v>55.12</v>
      </c>
      <c r="E29" s="60">
        <v>3.1</v>
      </c>
      <c r="F29" s="60">
        <v>18.82</v>
      </c>
      <c r="G29" s="60">
        <v>65.25</v>
      </c>
      <c r="H29" s="60">
        <v>22.96</v>
      </c>
      <c r="I29" s="60">
        <v>0.81</v>
      </c>
      <c r="J29" s="60">
        <v>0.04</v>
      </c>
      <c r="K29" s="60">
        <v>215.82</v>
      </c>
      <c r="L29" s="60">
        <v>32.049999999999997</v>
      </c>
      <c r="M29" s="60">
        <v>28.06</v>
      </c>
      <c r="N29" s="60">
        <v>4.7</v>
      </c>
      <c r="O29" s="60">
        <v>0</v>
      </c>
      <c r="P29" s="60">
        <v>1.45</v>
      </c>
      <c r="Q29" s="60">
        <v>15.48</v>
      </c>
      <c r="R29" s="44"/>
      <c r="S29" s="44"/>
      <c r="T29" s="44"/>
      <c r="U29" s="44"/>
    </row>
    <row r="30" spans="1:21" s="12" customFormat="1" x14ac:dyDescent="0.25">
      <c r="A30" s="59" t="s">
        <v>467</v>
      </c>
      <c r="B30" s="60">
        <v>18.32</v>
      </c>
      <c r="C30" s="60">
        <v>71.7</v>
      </c>
      <c r="D30" s="60">
        <v>54.91</v>
      </c>
      <c r="E30" s="60">
        <v>5.26</v>
      </c>
      <c r="F30" s="60">
        <v>14.83</v>
      </c>
      <c r="G30" s="60">
        <v>65.25</v>
      </c>
      <c r="H30" s="60">
        <v>22.96</v>
      </c>
      <c r="I30" s="60">
        <v>0.77</v>
      </c>
      <c r="J30" s="60">
        <v>0.06</v>
      </c>
      <c r="K30" s="60">
        <v>279.27</v>
      </c>
      <c r="L30" s="60">
        <v>31.07</v>
      </c>
      <c r="M30" s="60">
        <v>30.83</v>
      </c>
      <c r="N30" s="60">
        <v>4.9000000000000004</v>
      </c>
      <c r="O30" s="60">
        <v>0</v>
      </c>
      <c r="P30" s="60">
        <v>1.32</v>
      </c>
      <c r="Q30" s="60">
        <v>15.87</v>
      </c>
      <c r="R30" s="44"/>
      <c r="S30" s="44"/>
      <c r="T30" s="44"/>
      <c r="U30" s="44"/>
    </row>
    <row r="31" spans="1:21" s="12" customFormat="1" x14ac:dyDescent="0.25">
      <c r="A31" s="59" t="s">
        <v>468</v>
      </c>
      <c r="B31" s="60">
        <v>16.82</v>
      </c>
      <c r="C31" s="60">
        <v>66.89</v>
      </c>
      <c r="D31" s="60">
        <v>51.05</v>
      </c>
      <c r="E31" s="60">
        <v>4.91</v>
      </c>
      <c r="F31" s="60">
        <v>24.46</v>
      </c>
      <c r="G31" s="60">
        <v>45.58</v>
      </c>
      <c r="H31" s="60">
        <v>25.57</v>
      </c>
      <c r="I31" s="60">
        <v>0.69</v>
      </c>
      <c r="J31" s="60">
        <v>0.11</v>
      </c>
      <c r="K31" s="60">
        <v>266.43</v>
      </c>
      <c r="L31" s="60">
        <v>29.51</v>
      </c>
      <c r="M31" s="60">
        <v>34.04</v>
      </c>
      <c r="N31" s="60">
        <v>5.2</v>
      </c>
      <c r="O31" s="60">
        <v>0</v>
      </c>
      <c r="P31" s="60">
        <v>1.26</v>
      </c>
      <c r="Q31" s="60">
        <v>16.579999999999998</v>
      </c>
      <c r="R31" s="44"/>
      <c r="S31" s="44"/>
      <c r="T31" s="44"/>
      <c r="U31" s="44"/>
    </row>
    <row r="32" spans="1:21" s="12" customFormat="1" x14ac:dyDescent="0.25">
      <c r="A32" s="59" t="s">
        <v>469</v>
      </c>
      <c r="B32" s="60">
        <v>7.63</v>
      </c>
      <c r="C32" s="60">
        <v>51.86</v>
      </c>
      <c r="D32" s="60">
        <v>35.06</v>
      </c>
      <c r="E32" s="60">
        <v>4.0599999999999996</v>
      </c>
      <c r="F32" s="60">
        <v>23.95</v>
      </c>
      <c r="G32" s="60">
        <v>58.6</v>
      </c>
      <c r="H32" s="60">
        <v>25.57</v>
      </c>
      <c r="I32" s="60">
        <v>0.69</v>
      </c>
      <c r="J32" s="60">
        <v>0.13</v>
      </c>
      <c r="K32" s="60">
        <v>268.52</v>
      </c>
      <c r="L32" s="60">
        <v>29.65</v>
      </c>
      <c r="M32" s="60">
        <v>37.119999999999997</v>
      </c>
      <c r="N32" s="60">
        <v>5.3</v>
      </c>
      <c r="O32" s="60">
        <v>0</v>
      </c>
      <c r="P32" s="60">
        <v>0.79</v>
      </c>
      <c r="Q32" s="60">
        <v>18.46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2.36</v>
      </c>
      <c r="C34" s="29">
        <f t="shared" si="0"/>
        <v>30.13</v>
      </c>
      <c r="D34" s="29">
        <f t="shared" si="0"/>
        <v>19.170000000000002</v>
      </c>
      <c r="E34" s="29">
        <f t="shared" si="0"/>
        <v>2.4300000000000002</v>
      </c>
      <c r="F34" s="29">
        <f t="shared" si="0"/>
        <v>6.85</v>
      </c>
      <c r="G34" s="29">
        <f t="shared" si="0"/>
        <v>21.5</v>
      </c>
      <c r="H34" s="29">
        <f t="shared" si="0"/>
        <v>16.36</v>
      </c>
      <c r="I34" s="29">
        <f t="shared" si="0"/>
        <v>0.56999999999999995</v>
      </c>
      <c r="J34" s="29">
        <f t="shared" si="0"/>
        <v>0.04</v>
      </c>
      <c r="K34" s="29">
        <f t="shared" si="0"/>
        <v>43.97</v>
      </c>
      <c r="L34" s="29">
        <f t="shared" si="0"/>
        <v>25.88</v>
      </c>
      <c r="M34" s="29">
        <f t="shared" si="0"/>
        <v>16.559999999999999</v>
      </c>
      <c r="N34" s="29">
        <f t="shared" si="0"/>
        <v>4.7</v>
      </c>
      <c r="O34" s="29">
        <f t="shared" si="0"/>
        <v>0</v>
      </c>
      <c r="P34" s="29">
        <f t="shared" si="0"/>
        <v>0.48</v>
      </c>
      <c r="Q34" s="29">
        <f t="shared" si="0"/>
        <v>15.48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34.31</v>
      </c>
      <c r="C35" s="30">
        <f t="shared" si="1"/>
        <v>78.05</v>
      </c>
      <c r="D35" s="30">
        <f t="shared" si="1"/>
        <v>59.44</v>
      </c>
      <c r="E35" s="30">
        <f t="shared" si="1"/>
        <v>8.5299999999999994</v>
      </c>
      <c r="F35" s="30">
        <f t="shared" si="1"/>
        <v>38.47</v>
      </c>
      <c r="G35" s="30">
        <f t="shared" si="1"/>
        <v>132.21</v>
      </c>
      <c r="H35" s="30">
        <f t="shared" si="1"/>
        <v>34.08</v>
      </c>
      <c r="I35" s="30">
        <f t="shared" si="1"/>
        <v>0.81</v>
      </c>
      <c r="J35" s="30">
        <f t="shared" si="1"/>
        <v>1</v>
      </c>
      <c r="K35" s="30">
        <f t="shared" si="1"/>
        <v>355.1</v>
      </c>
      <c r="L35" s="30">
        <f t="shared" si="1"/>
        <v>40.76</v>
      </c>
      <c r="M35" s="30">
        <f t="shared" si="1"/>
        <v>49.99</v>
      </c>
      <c r="N35" s="30">
        <f t="shared" si="1"/>
        <v>893.3</v>
      </c>
      <c r="O35" s="30">
        <f t="shared" si="1"/>
        <v>0</v>
      </c>
      <c r="P35" s="30">
        <f t="shared" si="1"/>
        <v>1.47</v>
      </c>
      <c r="Q35" s="30">
        <f t="shared" si="1"/>
        <v>22.43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11.864583333333334</v>
      </c>
      <c r="C36" s="29">
        <f t="shared" si="2"/>
        <v>47.402083333333337</v>
      </c>
      <c r="D36" s="29">
        <f t="shared" si="2"/>
        <v>35.777499999999996</v>
      </c>
      <c r="E36" s="29">
        <f t="shared" si="2"/>
        <v>4.7699999999999996</v>
      </c>
      <c r="F36" s="29">
        <f t="shared" si="2"/>
        <v>20.98833333333333</v>
      </c>
      <c r="G36" s="29">
        <f t="shared" si="2"/>
        <v>65.428333333333327</v>
      </c>
      <c r="H36" s="29">
        <f t="shared" si="2"/>
        <v>25.534166666666675</v>
      </c>
      <c r="I36" s="29">
        <f t="shared" si="2"/>
        <v>0.67458333333333342</v>
      </c>
      <c r="J36" s="29">
        <f t="shared" si="2"/>
        <v>0.31249999999999994</v>
      </c>
      <c r="K36" s="29">
        <f t="shared" si="2"/>
        <v>274.89500000000004</v>
      </c>
      <c r="L36" s="29">
        <f t="shared" si="2"/>
        <v>33.188749999999999</v>
      </c>
      <c r="M36" s="29">
        <f t="shared" si="2"/>
        <v>31.039583333333336</v>
      </c>
      <c r="N36" s="29">
        <f t="shared" si="2"/>
        <v>271.625</v>
      </c>
      <c r="O36" s="29">
        <f t="shared" si="2"/>
        <v>0</v>
      </c>
      <c r="P36" s="29">
        <f t="shared" si="2"/>
        <v>0.87958333333333349</v>
      </c>
      <c r="Q36" s="29">
        <f t="shared" si="2"/>
        <v>19.071666666666665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9.2959163447400837</v>
      </c>
      <c r="C37" s="29">
        <f t="shared" ref="C37:Q37" si="3">STDEV(C9:C32)</f>
        <v>13.605913988814356</v>
      </c>
      <c r="D37" s="29">
        <f t="shared" si="3"/>
        <v>13.187199079608147</v>
      </c>
      <c r="E37" s="29">
        <f t="shared" si="3"/>
        <v>1.6747381365714955</v>
      </c>
      <c r="F37" s="29">
        <f t="shared" si="3"/>
        <v>9.1562284178901958</v>
      </c>
      <c r="G37" s="29">
        <f t="shared" si="3"/>
        <v>32.119975589717662</v>
      </c>
      <c r="H37" s="29">
        <f t="shared" si="3"/>
        <v>5.369861075578596</v>
      </c>
      <c r="I37" s="29">
        <f t="shared" si="3"/>
        <v>6.7629371459876603E-2</v>
      </c>
      <c r="J37" s="29">
        <f t="shared" si="3"/>
        <v>0.26672327297749271</v>
      </c>
      <c r="K37" s="29">
        <f t="shared" si="3"/>
        <v>59.262364917814004</v>
      </c>
      <c r="L37" s="29">
        <f t="shared" si="3"/>
        <v>5.1191374209707146</v>
      </c>
      <c r="M37" s="29">
        <f t="shared" si="3"/>
        <v>9.9929198758384707</v>
      </c>
      <c r="N37" s="29">
        <f t="shared" si="3"/>
        <v>340.51868141308239</v>
      </c>
      <c r="O37" s="29">
        <f t="shared" si="3"/>
        <v>0</v>
      </c>
      <c r="P37" s="29">
        <f t="shared" si="3"/>
        <v>0.30356546699785036</v>
      </c>
      <c r="Q37" s="29">
        <f t="shared" si="3"/>
        <v>1.9407498924198185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7" sqref="G17:H17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18-05-2023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1" t="s">
        <v>470</v>
      </c>
      <c r="B9" s="52">
        <v>4.4000000000000004</v>
      </c>
      <c r="C9" s="52">
        <v>45.14</v>
      </c>
      <c r="D9" s="52">
        <v>29.09</v>
      </c>
      <c r="E9" s="52">
        <v>4.47</v>
      </c>
      <c r="F9" s="52">
        <v>29.95</v>
      </c>
      <c r="G9" s="52">
        <v>79.48</v>
      </c>
      <c r="H9" s="52">
        <v>24.6</v>
      </c>
      <c r="I9" s="52">
        <v>0.59</v>
      </c>
      <c r="J9" s="52">
        <v>0.11</v>
      </c>
      <c r="K9" s="52">
        <v>268.52</v>
      </c>
      <c r="L9" s="52">
        <v>28.73</v>
      </c>
      <c r="M9" s="52">
        <v>35.75</v>
      </c>
      <c r="N9" s="52">
        <v>5</v>
      </c>
      <c r="O9" s="52">
        <v>0</v>
      </c>
      <c r="P9" s="52">
        <v>0.65</v>
      </c>
      <c r="Q9" s="52">
        <v>18.88</v>
      </c>
      <c r="R9" s="44"/>
      <c r="S9" s="44"/>
      <c r="T9" s="44"/>
      <c r="U9" s="44"/>
    </row>
    <row r="10" spans="1:21" s="12" customFormat="1" x14ac:dyDescent="0.25">
      <c r="A10" s="51" t="s">
        <v>471</v>
      </c>
      <c r="B10" s="52">
        <v>3.32</v>
      </c>
      <c r="C10" s="52">
        <v>37.950000000000003</v>
      </c>
      <c r="D10" s="52">
        <v>24.25</v>
      </c>
      <c r="E10" s="52">
        <v>4.46</v>
      </c>
      <c r="F10" s="52">
        <v>30.17</v>
      </c>
      <c r="G10" s="52">
        <v>79.48</v>
      </c>
      <c r="H10" s="52">
        <v>24.28</v>
      </c>
      <c r="I10" s="52">
        <v>0.64</v>
      </c>
      <c r="J10" s="52">
        <v>0.13</v>
      </c>
      <c r="K10" s="52">
        <v>259.86</v>
      </c>
      <c r="L10" s="52">
        <v>27.35</v>
      </c>
      <c r="M10" s="52">
        <v>41.53</v>
      </c>
      <c r="N10" s="52">
        <v>5.3</v>
      </c>
      <c r="O10" s="52">
        <v>0</v>
      </c>
      <c r="P10" s="52">
        <v>0.6</v>
      </c>
      <c r="Q10" s="52">
        <v>18.29</v>
      </c>
      <c r="R10" s="44"/>
      <c r="S10" s="44"/>
      <c r="T10" s="44"/>
      <c r="U10" s="44"/>
    </row>
    <row r="11" spans="1:21" s="12" customFormat="1" x14ac:dyDescent="0.25">
      <c r="A11" s="51" t="s">
        <v>472</v>
      </c>
      <c r="B11" s="52">
        <v>1.01</v>
      </c>
      <c r="C11" s="52">
        <v>27.91</v>
      </c>
      <c r="D11" s="52">
        <v>16.86</v>
      </c>
      <c r="E11" s="52">
        <v>2.95</v>
      </c>
      <c r="F11" s="52">
        <v>30.8</v>
      </c>
      <c r="G11" s="52">
        <v>67.38</v>
      </c>
      <c r="H11" s="52">
        <v>24.28</v>
      </c>
      <c r="I11" s="52">
        <v>0.54</v>
      </c>
      <c r="J11" s="52">
        <v>0.22</v>
      </c>
      <c r="K11" s="52">
        <v>259.13</v>
      </c>
      <c r="L11" s="52">
        <v>26.89</v>
      </c>
      <c r="M11" s="52">
        <v>43.4</v>
      </c>
      <c r="N11" s="52">
        <v>5.0999999999999996</v>
      </c>
      <c r="O11" s="52">
        <v>0</v>
      </c>
      <c r="P11" s="52">
        <v>0.51</v>
      </c>
      <c r="Q11" s="52">
        <v>18.899999999999999</v>
      </c>
      <c r="R11" s="44"/>
      <c r="S11" s="44"/>
      <c r="T11" s="44"/>
      <c r="U11" s="44"/>
    </row>
    <row r="12" spans="1:21" s="12" customFormat="1" x14ac:dyDescent="0.25">
      <c r="A12" s="51" t="s">
        <v>473</v>
      </c>
      <c r="B12" s="52">
        <v>1</v>
      </c>
      <c r="C12" s="52">
        <v>27.93</v>
      </c>
      <c r="D12" s="52">
        <v>16.86</v>
      </c>
      <c r="E12" s="52">
        <v>4.1500000000000004</v>
      </c>
      <c r="F12" s="52">
        <v>24.31</v>
      </c>
      <c r="G12" s="52">
        <v>67.38</v>
      </c>
      <c r="H12" s="52">
        <v>22.5</v>
      </c>
      <c r="I12" s="52">
        <v>0.54</v>
      </c>
      <c r="J12" s="52">
        <v>0.28999999999999998</v>
      </c>
      <c r="K12" s="52">
        <v>249.16</v>
      </c>
      <c r="L12" s="52">
        <v>26.34</v>
      </c>
      <c r="M12" s="52">
        <v>46.62</v>
      </c>
      <c r="N12" s="52">
        <v>5.0999999999999996</v>
      </c>
      <c r="O12" s="52">
        <v>0</v>
      </c>
      <c r="P12" s="52">
        <v>0.6</v>
      </c>
      <c r="Q12" s="52">
        <v>18.73</v>
      </c>
      <c r="R12" s="44"/>
      <c r="S12" s="44"/>
      <c r="T12" s="44"/>
      <c r="U12" s="44"/>
    </row>
    <row r="13" spans="1:21" s="12" customFormat="1" x14ac:dyDescent="0.25">
      <c r="A13" s="51" t="s">
        <v>474</v>
      </c>
      <c r="B13" s="52">
        <v>9.52</v>
      </c>
      <c r="C13" s="52">
        <v>48.03</v>
      </c>
      <c r="D13" s="52">
        <v>31.46</v>
      </c>
      <c r="E13" s="52">
        <v>2.77</v>
      </c>
      <c r="F13" s="52">
        <v>25.84</v>
      </c>
      <c r="G13" s="52">
        <v>53.86</v>
      </c>
      <c r="H13" s="52">
        <v>21.86</v>
      </c>
      <c r="I13" s="52">
        <v>0.53</v>
      </c>
      <c r="J13" s="52">
        <v>0.21</v>
      </c>
      <c r="K13" s="52">
        <v>260.66000000000003</v>
      </c>
      <c r="L13" s="52">
        <v>25.13</v>
      </c>
      <c r="M13" s="52">
        <v>52.6</v>
      </c>
      <c r="N13" s="52">
        <v>5.2</v>
      </c>
      <c r="O13" s="52">
        <v>0</v>
      </c>
      <c r="P13" s="52">
        <v>0.6</v>
      </c>
      <c r="Q13" s="52">
        <v>16.97</v>
      </c>
      <c r="R13" s="44"/>
      <c r="S13" s="44"/>
      <c r="T13" s="44"/>
      <c r="U13" s="44"/>
    </row>
    <row r="14" spans="1:21" s="12" customFormat="1" x14ac:dyDescent="0.25">
      <c r="A14" s="51" t="s">
        <v>475</v>
      </c>
      <c r="B14" s="52">
        <v>23.69</v>
      </c>
      <c r="C14" s="52">
        <v>52.26</v>
      </c>
      <c r="D14" s="52">
        <v>45.85</v>
      </c>
      <c r="E14" s="52">
        <v>1.42</v>
      </c>
      <c r="F14" s="52">
        <v>18.989999999999998</v>
      </c>
      <c r="G14" s="52">
        <v>35.85</v>
      </c>
      <c r="H14" s="52">
        <v>22.15</v>
      </c>
      <c r="I14" s="52">
        <v>0.56000000000000005</v>
      </c>
      <c r="J14" s="52">
        <v>0.54</v>
      </c>
      <c r="K14" s="52">
        <v>260.26</v>
      </c>
      <c r="L14" s="52">
        <v>25.58</v>
      </c>
      <c r="M14" s="52">
        <v>51.82</v>
      </c>
      <c r="N14" s="52">
        <v>45.5</v>
      </c>
      <c r="O14" s="52">
        <v>0</v>
      </c>
      <c r="P14" s="52">
        <v>0.86</v>
      </c>
      <c r="Q14" s="52">
        <v>17.850000000000001</v>
      </c>
      <c r="R14" s="44"/>
      <c r="S14" s="44"/>
      <c r="T14" s="44"/>
      <c r="U14" s="44"/>
    </row>
    <row r="15" spans="1:21" s="12" customFormat="1" x14ac:dyDescent="0.25">
      <c r="A15" s="51" t="s">
        <v>476</v>
      </c>
      <c r="B15" s="52">
        <v>14.04</v>
      </c>
      <c r="C15" s="52">
        <v>53.23</v>
      </c>
      <c r="D15" s="52">
        <v>41.29</v>
      </c>
      <c r="E15" s="52">
        <v>6.28</v>
      </c>
      <c r="F15" s="52">
        <v>13.05</v>
      </c>
      <c r="G15" s="52">
        <v>45.84</v>
      </c>
      <c r="H15" s="52">
        <v>29.03</v>
      </c>
      <c r="I15" s="52">
        <v>0.59</v>
      </c>
      <c r="J15" s="52">
        <v>0.12</v>
      </c>
      <c r="K15" s="52">
        <v>350.93</v>
      </c>
      <c r="L15" s="52">
        <v>30.4</v>
      </c>
      <c r="M15" s="52">
        <v>46.77</v>
      </c>
      <c r="N15" s="52">
        <v>213.4</v>
      </c>
      <c r="O15" s="52">
        <v>0</v>
      </c>
      <c r="P15" s="52">
        <v>1.61</v>
      </c>
      <c r="Q15" s="52">
        <v>18.02</v>
      </c>
      <c r="R15" s="44"/>
      <c r="S15" s="44"/>
      <c r="T15" s="44"/>
      <c r="U15" s="44"/>
    </row>
    <row r="16" spans="1:21" s="12" customFormat="1" x14ac:dyDescent="0.25">
      <c r="A16" s="51" t="s">
        <v>477</v>
      </c>
      <c r="B16" s="52">
        <v>13.23</v>
      </c>
      <c r="C16" s="52">
        <v>46.88</v>
      </c>
      <c r="D16" s="52">
        <v>37.119999999999997</v>
      </c>
      <c r="E16" s="52">
        <v>7.41</v>
      </c>
      <c r="F16" s="52">
        <v>31.75</v>
      </c>
      <c r="G16" s="52">
        <v>45.84</v>
      </c>
      <c r="H16" s="52">
        <v>30.07</v>
      </c>
      <c r="I16" s="52">
        <v>0.68</v>
      </c>
      <c r="J16" s="52">
        <v>0.1</v>
      </c>
      <c r="K16" s="52">
        <v>287.43</v>
      </c>
      <c r="L16" s="52">
        <v>34.31</v>
      </c>
      <c r="M16" s="52">
        <v>37.54</v>
      </c>
      <c r="N16" s="52">
        <v>411.9</v>
      </c>
      <c r="O16" s="52">
        <v>0</v>
      </c>
      <c r="P16" s="52">
        <v>1.61</v>
      </c>
      <c r="Q16" s="52">
        <v>18.7</v>
      </c>
      <c r="R16" s="44"/>
      <c r="S16" s="44"/>
      <c r="T16" s="44"/>
      <c r="U16" s="44"/>
    </row>
    <row r="17" spans="1:21" s="12" customFormat="1" x14ac:dyDescent="0.25">
      <c r="A17" s="51" t="s">
        <v>478</v>
      </c>
      <c r="B17" s="52">
        <v>8.56</v>
      </c>
      <c r="C17" s="52">
        <v>46.66</v>
      </c>
      <c r="D17" s="52">
        <v>33.26</v>
      </c>
      <c r="E17" s="52">
        <v>3.78</v>
      </c>
      <c r="F17" s="52">
        <v>34.04</v>
      </c>
      <c r="G17" s="69" t="s">
        <v>15</v>
      </c>
      <c r="H17" s="69" t="s">
        <v>15</v>
      </c>
      <c r="I17" s="52">
        <v>0.59</v>
      </c>
      <c r="J17" s="52">
        <v>0.2</v>
      </c>
      <c r="K17" s="52">
        <v>287.2</v>
      </c>
      <c r="L17" s="52">
        <v>35.64</v>
      </c>
      <c r="M17" s="52">
        <v>32.58</v>
      </c>
      <c r="N17" s="52">
        <v>601.79999999999995</v>
      </c>
      <c r="O17" s="52">
        <v>0</v>
      </c>
      <c r="P17" s="52">
        <v>1.49</v>
      </c>
      <c r="Q17" s="52">
        <v>18.89</v>
      </c>
      <c r="R17" s="44"/>
      <c r="S17" s="44"/>
      <c r="T17" s="44"/>
      <c r="U17" s="44"/>
    </row>
    <row r="18" spans="1:21" s="12" customFormat="1" x14ac:dyDescent="0.25">
      <c r="A18" s="51" t="s">
        <v>479</v>
      </c>
      <c r="B18" s="52">
        <v>2.1800000000000002</v>
      </c>
      <c r="C18" s="52">
        <v>33.89</v>
      </c>
      <c r="D18" s="52">
        <v>21.04</v>
      </c>
      <c r="E18" s="52">
        <v>7.15</v>
      </c>
      <c r="F18" s="52">
        <v>31.09</v>
      </c>
      <c r="G18" s="52">
        <v>58.34</v>
      </c>
      <c r="H18" s="52">
        <v>35.54</v>
      </c>
      <c r="I18" s="52">
        <v>0.68</v>
      </c>
      <c r="J18" s="52">
        <v>0.67</v>
      </c>
      <c r="K18" s="52">
        <v>206.39</v>
      </c>
      <c r="L18" s="52">
        <v>36.36</v>
      </c>
      <c r="M18" s="52">
        <v>30.4</v>
      </c>
      <c r="N18" s="52">
        <v>736.6</v>
      </c>
      <c r="O18" s="52">
        <v>0</v>
      </c>
      <c r="P18" s="52">
        <v>1.1200000000000001</v>
      </c>
      <c r="Q18" s="52">
        <v>18.440000000000001</v>
      </c>
      <c r="R18" s="44"/>
      <c r="S18" s="44"/>
      <c r="T18" s="44"/>
      <c r="U18" s="44"/>
    </row>
    <row r="19" spans="1:21" s="12" customFormat="1" x14ac:dyDescent="0.25">
      <c r="A19" s="51" t="s">
        <v>480</v>
      </c>
      <c r="B19" s="52">
        <v>4.7</v>
      </c>
      <c r="C19" s="52">
        <v>33.89</v>
      </c>
      <c r="D19" s="52">
        <v>21.55</v>
      </c>
      <c r="E19" s="52">
        <v>7.08</v>
      </c>
      <c r="F19" s="52">
        <v>28.39</v>
      </c>
      <c r="G19" s="52">
        <v>58.66</v>
      </c>
      <c r="H19" s="52">
        <v>35.54</v>
      </c>
      <c r="I19" s="52">
        <v>0.69</v>
      </c>
      <c r="J19" s="52">
        <v>0.65</v>
      </c>
      <c r="K19" s="52">
        <v>268.26</v>
      </c>
      <c r="L19" s="52">
        <v>40.729999999999997</v>
      </c>
      <c r="M19" s="52">
        <v>24.88</v>
      </c>
      <c r="N19" s="52">
        <v>812.7</v>
      </c>
      <c r="O19" s="52">
        <v>0</v>
      </c>
      <c r="P19" s="52">
        <v>1.05</v>
      </c>
      <c r="Q19" s="52">
        <v>19.329999999999998</v>
      </c>
      <c r="R19" s="44"/>
      <c r="S19" s="44"/>
      <c r="T19" s="44"/>
      <c r="U19" s="44"/>
    </row>
    <row r="20" spans="1:21" s="12" customFormat="1" x14ac:dyDescent="0.25">
      <c r="A20" s="51" t="s">
        <v>481</v>
      </c>
      <c r="B20" s="52">
        <v>2.93</v>
      </c>
      <c r="C20" s="52">
        <v>31.73</v>
      </c>
      <c r="D20" s="52">
        <v>20.3</v>
      </c>
      <c r="E20" s="52">
        <v>5.39</v>
      </c>
      <c r="F20" s="52">
        <v>29.56</v>
      </c>
      <c r="G20" s="52">
        <v>58.66</v>
      </c>
      <c r="H20" s="52">
        <v>29.16</v>
      </c>
      <c r="I20" s="52">
        <v>0.73</v>
      </c>
      <c r="J20" s="52">
        <v>0.42</v>
      </c>
      <c r="K20" s="52">
        <v>287.45999999999998</v>
      </c>
      <c r="L20" s="52">
        <v>40.18</v>
      </c>
      <c r="M20" s="52">
        <v>22.7</v>
      </c>
      <c r="N20" s="52">
        <v>858.5</v>
      </c>
      <c r="O20" s="52">
        <v>0</v>
      </c>
      <c r="P20" s="52">
        <v>0.83</v>
      </c>
      <c r="Q20" s="52">
        <v>17.079999999999998</v>
      </c>
      <c r="R20" s="44"/>
      <c r="S20" s="44"/>
      <c r="T20" s="44"/>
      <c r="U20" s="44"/>
    </row>
    <row r="21" spans="1:21" s="12" customFormat="1" x14ac:dyDescent="0.25">
      <c r="A21" s="51" t="s">
        <v>482</v>
      </c>
      <c r="B21" s="52">
        <v>1.25</v>
      </c>
      <c r="C21" s="52">
        <v>35.44</v>
      </c>
      <c r="D21" s="52">
        <v>21.01</v>
      </c>
      <c r="E21" s="52">
        <v>7.55</v>
      </c>
      <c r="F21" s="52">
        <v>13.17</v>
      </c>
      <c r="G21" s="52">
        <v>44.72</v>
      </c>
      <c r="H21" s="52">
        <v>29.16</v>
      </c>
      <c r="I21" s="52">
        <v>0.77</v>
      </c>
      <c r="J21" s="52">
        <v>0.54</v>
      </c>
      <c r="K21" s="52">
        <v>291.5</v>
      </c>
      <c r="L21" s="52">
        <v>40.67</v>
      </c>
      <c r="M21" s="52">
        <v>22.6</v>
      </c>
      <c r="N21" s="52">
        <v>844.2</v>
      </c>
      <c r="O21" s="52">
        <v>0</v>
      </c>
      <c r="P21" s="52">
        <v>0.67</v>
      </c>
      <c r="Q21" s="52">
        <v>22.65</v>
      </c>
      <c r="R21" s="44"/>
      <c r="S21" s="44"/>
      <c r="T21" s="44"/>
      <c r="U21" s="44"/>
    </row>
    <row r="22" spans="1:21" s="12" customFormat="1" x14ac:dyDescent="0.25">
      <c r="A22" s="51" t="s">
        <v>483</v>
      </c>
      <c r="B22" s="52">
        <v>1.08</v>
      </c>
      <c r="C22" s="52">
        <v>36.26</v>
      </c>
      <c r="D22" s="52">
        <v>21.46</v>
      </c>
      <c r="E22" s="52">
        <v>4.75</v>
      </c>
      <c r="F22" s="52">
        <v>11.12</v>
      </c>
      <c r="G22" s="52">
        <v>55.53</v>
      </c>
      <c r="H22" s="52">
        <v>27.45</v>
      </c>
      <c r="I22" s="52">
        <v>0.57999999999999996</v>
      </c>
      <c r="J22" s="52">
        <v>1.39</v>
      </c>
      <c r="K22" s="52">
        <v>264.04000000000002</v>
      </c>
      <c r="L22" s="52">
        <v>38.840000000000003</v>
      </c>
      <c r="M22" s="52">
        <v>25.74</v>
      </c>
      <c r="N22" s="52">
        <v>682.9</v>
      </c>
      <c r="O22" s="52">
        <v>0</v>
      </c>
      <c r="P22" s="52">
        <v>0.56999999999999995</v>
      </c>
      <c r="Q22" s="52">
        <v>25.05</v>
      </c>
      <c r="R22" s="44"/>
      <c r="S22" s="44"/>
      <c r="T22" s="44"/>
      <c r="U22" s="44"/>
    </row>
    <row r="23" spans="1:21" s="12" customFormat="1" x14ac:dyDescent="0.25">
      <c r="A23" s="51" t="s">
        <v>484</v>
      </c>
      <c r="B23" s="52">
        <v>4.18</v>
      </c>
      <c r="C23" s="52">
        <v>36.03</v>
      </c>
      <c r="D23" s="52">
        <v>23.88</v>
      </c>
      <c r="E23" s="52">
        <v>3.55</v>
      </c>
      <c r="F23" s="52">
        <v>12.99</v>
      </c>
      <c r="G23" s="52">
        <v>55.53</v>
      </c>
      <c r="H23" s="52">
        <v>27.45</v>
      </c>
      <c r="I23" s="52">
        <v>0.57999999999999996</v>
      </c>
      <c r="J23" s="52">
        <v>2</v>
      </c>
      <c r="K23" s="52">
        <v>266.17</v>
      </c>
      <c r="L23" s="52">
        <v>38.5</v>
      </c>
      <c r="M23" s="52">
        <v>28.7</v>
      </c>
      <c r="N23" s="52">
        <v>302</v>
      </c>
      <c r="O23" s="52">
        <v>0</v>
      </c>
      <c r="P23" s="52">
        <v>0.49</v>
      </c>
      <c r="Q23" s="52">
        <v>24.77</v>
      </c>
      <c r="R23" s="44"/>
      <c r="S23" s="44"/>
      <c r="T23" s="44"/>
      <c r="U23" s="44"/>
    </row>
    <row r="24" spans="1:21" s="12" customFormat="1" x14ac:dyDescent="0.25">
      <c r="A24" s="51" t="s">
        <v>485</v>
      </c>
      <c r="B24" s="52">
        <v>3.09</v>
      </c>
      <c r="C24" s="52">
        <v>36.47</v>
      </c>
      <c r="D24" s="52">
        <v>23.21</v>
      </c>
      <c r="E24" s="52">
        <v>3.21</v>
      </c>
      <c r="F24" s="52">
        <v>7.68</v>
      </c>
      <c r="G24" s="52">
        <v>88.08</v>
      </c>
      <c r="H24" s="52">
        <v>25.82</v>
      </c>
      <c r="I24" s="52">
        <v>0.69</v>
      </c>
      <c r="J24" s="52">
        <v>0.1</v>
      </c>
      <c r="K24" s="52">
        <v>266.81</v>
      </c>
      <c r="L24" s="52">
        <v>34.51</v>
      </c>
      <c r="M24" s="52">
        <v>29.53</v>
      </c>
      <c r="N24" s="52">
        <v>173.8</v>
      </c>
      <c r="O24" s="52">
        <v>0</v>
      </c>
      <c r="P24" s="52">
        <v>0.54</v>
      </c>
      <c r="Q24" s="52">
        <v>25.76</v>
      </c>
      <c r="R24" s="44"/>
      <c r="S24" s="44"/>
      <c r="T24" s="44"/>
      <c r="U24" s="44"/>
    </row>
    <row r="25" spans="1:21" s="12" customFormat="1" x14ac:dyDescent="0.25">
      <c r="A25" s="51" t="s">
        <v>486</v>
      </c>
      <c r="B25" s="52">
        <v>5.58</v>
      </c>
      <c r="C25" s="52">
        <v>52.05</v>
      </c>
      <c r="D25" s="52">
        <v>33.85</v>
      </c>
      <c r="E25" s="52">
        <v>25.87</v>
      </c>
      <c r="F25" s="52">
        <v>32.770000000000003</v>
      </c>
      <c r="G25" s="52">
        <v>88.08</v>
      </c>
      <c r="H25" s="52">
        <v>25.82</v>
      </c>
      <c r="I25" s="52">
        <v>0.74</v>
      </c>
      <c r="J25" s="52">
        <v>0.93</v>
      </c>
      <c r="K25" s="52">
        <v>217.59</v>
      </c>
      <c r="L25" s="52">
        <v>34.5</v>
      </c>
      <c r="M25" s="52">
        <v>26.02</v>
      </c>
      <c r="N25" s="52">
        <v>137.80000000000001</v>
      </c>
      <c r="O25" s="52">
        <v>0</v>
      </c>
      <c r="P25" s="52">
        <v>1.08</v>
      </c>
      <c r="Q25" s="52">
        <v>28.21</v>
      </c>
      <c r="R25" s="44"/>
      <c r="S25" s="44"/>
      <c r="T25" s="44"/>
      <c r="U25" s="44"/>
    </row>
    <row r="26" spans="1:21" s="12" customFormat="1" x14ac:dyDescent="0.25">
      <c r="A26" s="51" t="s">
        <v>487</v>
      </c>
      <c r="B26" s="52">
        <v>6.92</v>
      </c>
      <c r="C26" s="52">
        <v>45.57</v>
      </c>
      <c r="D26" s="52">
        <v>30.62</v>
      </c>
      <c r="E26" s="52">
        <v>26.05</v>
      </c>
      <c r="F26" s="52">
        <v>36.700000000000003</v>
      </c>
      <c r="G26" s="52">
        <v>48.73</v>
      </c>
      <c r="H26" s="52">
        <v>23.94</v>
      </c>
      <c r="I26" s="52">
        <v>0.66</v>
      </c>
      <c r="J26" s="52">
        <v>0.28999999999999998</v>
      </c>
      <c r="K26" s="52">
        <v>259.38</v>
      </c>
      <c r="L26" s="52">
        <v>35.17</v>
      </c>
      <c r="M26" s="52">
        <v>24.57</v>
      </c>
      <c r="N26" s="52">
        <v>68.599999999999994</v>
      </c>
      <c r="O26" s="52">
        <v>0</v>
      </c>
      <c r="P26" s="52">
        <v>0.98</v>
      </c>
      <c r="Q26" s="52">
        <v>28.63</v>
      </c>
      <c r="R26" s="44"/>
      <c r="S26" s="44"/>
      <c r="T26" s="44"/>
      <c r="U26" s="44"/>
    </row>
    <row r="27" spans="1:21" s="12" customFormat="1" x14ac:dyDescent="0.25">
      <c r="A27" s="51" t="s">
        <v>488</v>
      </c>
      <c r="B27" s="52">
        <v>7.5</v>
      </c>
      <c r="C27" s="52">
        <v>65.02</v>
      </c>
      <c r="D27" s="52">
        <v>42.44</v>
      </c>
      <c r="E27" s="52">
        <v>18.21</v>
      </c>
      <c r="F27" s="52">
        <v>14.13</v>
      </c>
      <c r="G27" s="52">
        <v>64.73</v>
      </c>
      <c r="H27" s="52">
        <v>26.53</v>
      </c>
      <c r="I27" s="52">
        <v>0.63</v>
      </c>
      <c r="J27" s="52">
        <v>0.75</v>
      </c>
      <c r="K27" s="52">
        <v>223.57</v>
      </c>
      <c r="L27" s="52">
        <v>34.130000000000003</v>
      </c>
      <c r="M27" s="52">
        <v>31.3</v>
      </c>
      <c r="N27" s="52">
        <v>18.899999999999999</v>
      </c>
      <c r="O27" s="52">
        <v>0</v>
      </c>
      <c r="P27" s="52">
        <v>1</v>
      </c>
      <c r="Q27" s="52">
        <v>29.52</v>
      </c>
      <c r="R27" s="44"/>
      <c r="S27" s="44"/>
      <c r="T27" s="44"/>
      <c r="U27" s="44"/>
    </row>
    <row r="28" spans="1:21" s="12" customFormat="1" x14ac:dyDescent="0.25">
      <c r="A28" s="51" t="s">
        <v>489</v>
      </c>
      <c r="B28" s="52">
        <v>12.58</v>
      </c>
      <c r="C28" s="52">
        <v>66.92</v>
      </c>
      <c r="D28" s="52">
        <v>47.67</v>
      </c>
      <c r="E28" s="52">
        <v>5.49</v>
      </c>
      <c r="F28" s="52">
        <v>19.62</v>
      </c>
      <c r="G28" s="52">
        <v>77.92</v>
      </c>
      <c r="H28" s="52">
        <v>26.76</v>
      </c>
      <c r="I28" s="52">
        <v>0.73</v>
      </c>
      <c r="J28" s="52">
        <v>0.91</v>
      </c>
      <c r="K28" s="52">
        <v>189.26</v>
      </c>
      <c r="L28" s="52">
        <v>32.04</v>
      </c>
      <c r="M28" s="52">
        <v>35.93</v>
      </c>
      <c r="N28" s="52">
        <v>5.2</v>
      </c>
      <c r="O28" s="52">
        <v>0</v>
      </c>
      <c r="P28" s="52">
        <v>0.87</v>
      </c>
      <c r="Q28" s="52">
        <v>30.83</v>
      </c>
      <c r="R28" s="44"/>
      <c r="S28" s="44"/>
      <c r="T28" s="44"/>
      <c r="U28" s="44"/>
    </row>
    <row r="29" spans="1:21" s="12" customFormat="1" x14ac:dyDescent="0.25">
      <c r="A29" s="51" t="s">
        <v>490</v>
      </c>
      <c r="B29" s="52">
        <v>26.24</v>
      </c>
      <c r="C29" s="52">
        <v>81.52</v>
      </c>
      <c r="D29" s="52">
        <v>66.680000000000007</v>
      </c>
      <c r="E29" s="52">
        <v>5.2</v>
      </c>
      <c r="F29" s="52">
        <v>8.0299999999999994</v>
      </c>
      <c r="G29" s="52">
        <v>77.92</v>
      </c>
      <c r="H29" s="52">
        <v>26.76</v>
      </c>
      <c r="I29" s="52">
        <v>0.69</v>
      </c>
      <c r="J29" s="52">
        <v>0.76</v>
      </c>
      <c r="K29" s="52">
        <v>184.69</v>
      </c>
      <c r="L29" s="52">
        <v>30.99</v>
      </c>
      <c r="M29" s="52">
        <v>37.06</v>
      </c>
      <c r="N29" s="52">
        <v>5</v>
      </c>
      <c r="O29" s="52">
        <v>0</v>
      </c>
      <c r="P29" s="52">
        <v>0.98</v>
      </c>
      <c r="Q29" s="52">
        <v>31.77</v>
      </c>
      <c r="R29" s="44"/>
      <c r="S29" s="44"/>
      <c r="T29" s="44"/>
      <c r="U29" s="44"/>
    </row>
    <row r="30" spans="1:21" s="12" customFormat="1" x14ac:dyDescent="0.25">
      <c r="A30" s="51" t="s">
        <v>491</v>
      </c>
      <c r="B30" s="52">
        <v>27.88</v>
      </c>
      <c r="C30" s="52">
        <v>57.19</v>
      </c>
      <c r="D30" s="52">
        <v>54.56</v>
      </c>
      <c r="E30" s="52">
        <v>3.28</v>
      </c>
      <c r="F30" s="52">
        <v>8.34</v>
      </c>
      <c r="G30" s="52">
        <v>70.459999999999994</v>
      </c>
      <c r="H30" s="52">
        <v>26.52</v>
      </c>
      <c r="I30" s="52">
        <v>0.74</v>
      </c>
      <c r="J30" s="52">
        <v>0.42</v>
      </c>
      <c r="K30" s="52">
        <v>247.25</v>
      </c>
      <c r="L30" s="52">
        <v>30.28</v>
      </c>
      <c r="M30" s="52">
        <v>40.08</v>
      </c>
      <c r="N30" s="52">
        <v>5.5</v>
      </c>
      <c r="O30" s="52">
        <v>0</v>
      </c>
      <c r="P30" s="52">
        <v>1.24</v>
      </c>
      <c r="Q30" s="52">
        <v>31.41</v>
      </c>
      <c r="R30" s="44"/>
      <c r="S30" s="44"/>
      <c r="T30" s="44"/>
      <c r="U30" s="44"/>
    </row>
    <row r="31" spans="1:21" s="12" customFormat="1" x14ac:dyDescent="0.25">
      <c r="A31" s="51" t="s">
        <v>492</v>
      </c>
      <c r="B31" s="52">
        <v>11.19</v>
      </c>
      <c r="C31" s="52">
        <v>58.71</v>
      </c>
      <c r="D31" s="52">
        <v>40.299999999999997</v>
      </c>
      <c r="E31" s="52">
        <v>4.95</v>
      </c>
      <c r="F31" s="52">
        <v>22.25</v>
      </c>
      <c r="G31" s="52">
        <v>67.83</v>
      </c>
      <c r="H31" s="52">
        <v>30.32</v>
      </c>
      <c r="I31" s="52">
        <v>0.8</v>
      </c>
      <c r="J31" s="52">
        <v>0.2</v>
      </c>
      <c r="K31" s="52">
        <v>246.3</v>
      </c>
      <c r="L31" s="52">
        <v>29.48</v>
      </c>
      <c r="M31" s="52">
        <v>40.71</v>
      </c>
      <c r="N31" s="52">
        <v>5.2</v>
      </c>
      <c r="O31" s="52">
        <v>0</v>
      </c>
      <c r="P31" s="52">
        <v>0.94</v>
      </c>
      <c r="Q31" s="52">
        <v>34.229999999999997</v>
      </c>
      <c r="R31" s="44"/>
      <c r="S31" s="44"/>
      <c r="T31" s="44"/>
      <c r="U31" s="44"/>
    </row>
    <row r="32" spans="1:21" s="12" customFormat="1" x14ac:dyDescent="0.25">
      <c r="A32" s="51" t="s">
        <v>493</v>
      </c>
      <c r="B32" s="52">
        <v>8.48</v>
      </c>
      <c r="C32" s="52">
        <v>43.26</v>
      </c>
      <c r="D32" s="52">
        <v>30.23</v>
      </c>
      <c r="E32" s="52">
        <v>5.33</v>
      </c>
      <c r="F32" s="52">
        <v>19.66</v>
      </c>
      <c r="G32" s="52">
        <v>65.42</v>
      </c>
      <c r="H32" s="52">
        <v>30.32</v>
      </c>
      <c r="I32" s="52">
        <v>0.65</v>
      </c>
      <c r="J32" s="52">
        <v>0.19</v>
      </c>
      <c r="K32" s="52">
        <v>265.48</v>
      </c>
      <c r="L32" s="52">
        <v>28.83</v>
      </c>
      <c r="M32" s="52">
        <v>41.61</v>
      </c>
      <c r="N32" s="52">
        <v>5.0999999999999996</v>
      </c>
      <c r="O32" s="52">
        <v>0</v>
      </c>
      <c r="P32" s="52">
        <v>0.92</v>
      </c>
      <c r="Q32" s="52">
        <v>34.340000000000003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</v>
      </c>
      <c r="C34" s="29">
        <f t="shared" si="0"/>
        <v>27.91</v>
      </c>
      <c r="D34" s="29">
        <f t="shared" si="0"/>
        <v>16.86</v>
      </c>
      <c r="E34" s="29">
        <f t="shared" si="0"/>
        <v>1.42</v>
      </c>
      <c r="F34" s="29">
        <f t="shared" si="0"/>
        <v>7.68</v>
      </c>
      <c r="G34" s="29">
        <f t="shared" si="0"/>
        <v>35.85</v>
      </c>
      <c r="H34" s="29">
        <f t="shared" si="0"/>
        <v>21.86</v>
      </c>
      <c r="I34" s="29">
        <f t="shared" si="0"/>
        <v>0.53</v>
      </c>
      <c r="J34" s="29">
        <f t="shared" si="0"/>
        <v>0.1</v>
      </c>
      <c r="K34" s="29">
        <f t="shared" si="0"/>
        <v>184.69</v>
      </c>
      <c r="L34" s="29">
        <f t="shared" si="0"/>
        <v>25.13</v>
      </c>
      <c r="M34" s="29">
        <f t="shared" si="0"/>
        <v>22.6</v>
      </c>
      <c r="N34" s="29">
        <f t="shared" si="0"/>
        <v>5</v>
      </c>
      <c r="O34" s="29">
        <f t="shared" si="0"/>
        <v>0</v>
      </c>
      <c r="P34" s="29">
        <f t="shared" si="0"/>
        <v>0.49</v>
      </c>
      <c r="Q34" s="29">
        <f t="shared" si="0"/>
        <v>16.97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27.88</v>
      </c>
      <c r="C35" s="30">
        <f t="shared" si="1"/>
        <v>81.52</v>
      </c>
      <c r="D35" s="30">
        <f t="shared" si="1"/>
        <v>66.680000000000007</v>
      </c>
      <c r="E35" s="30">
        <f t="shared" si="1"/>
        <v>26.05</v>
      </c>
      <c r="F35" s="30">
        <f t="shared" si="1"/>
        <v>36.700000000000003</v>
      </c>
      <c r="G35" s="30">
        <f t="shared" si="1"/>
        <v>88.08</v>
      </c>
      <c r="H35" s="30">
        <f t="shared" si="1"/>
        <v>35.54</v>
      </c>
      <c r="I35" s="30">
        <f t="shared" si="1"/>
        <v>0.8</v>
      </c>
      <c r="J35" s="30">
        <f t="shared" si="1"/>
        <v>2</v>
      </c>
      <c r="K35" s="30">
        <f t="shared" si="1"/>
        <v>350.93</v>
      </c>
      <c r="L35" s="30">
        <f t="shared" si="1"/>
        <v>40.729999999999997</v>
      </c>
      <c r="M35" s="30">
        <f t="shared" si="1"/>
        <v>52.6</v>
      </c>
      <c r="N35" s="30">
        <f t="shared" si="1"/>
        <v>858.5</v>
      </c>
      <c r="O35" s="30">
        <f t="shared" si="1"/>
        <v>0</v>
      </c>
      <c r="P35" s="30">
        <f t="shared" si="1"/>
        <v>1.61</v>
      </c>
      <c r="Q35" s="30">
        <f t="shared" si="1"/>
        <v>34.340000000000003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8.5229166666666671</v>
      </c>
      <c r="C36" s="29">
        <f t="shared" si="2"/>
        <v>45.830833333333338</v>
      </c>
      <c r="D36" s="29">
        <f t="shared" si="2"/>
        <v>32.284999999999997</v>
      </c>
      <c r="E36" s="29">
        <f t="shared" si="2"/>
        <v>7.114583333333333</v>
      </c>
      <c r="F36" s="29">
        <f t="shared" si="2"/>
        <v>22.266666666666666</v>
      </c>
      <c r="G36" s="29">
        <f t="shared" si="2"/>
        <v>63.292173913043491</v>
      </c>
      <c r="H36" s="29">
        <f t="shared" si="2"/>
        <v>27.211304347826086</v>
      </c>
      <c r="I36" s="29">
        <f t="shared" si="2"/>
        <v>0.65083333333333337</v>
      </c>
      <c r="J36" s="29">
        <f t="shared" si="2"/>
        <v>0.50583333333333325</v>
      </c>
      <c r="K36" s="29">
        <f t="shared" si="2"/>
        <v>256.97083333333336</v>
      </c>
      <c r="L36" s="29">
        <f t="shared" si="2"/>
        <v>32.732500000000002</v>
      </c>
      <c r="M36" s="29">
        <f t="shared" si="2"/>
        <v>35.435000000000002</v>
      </c>
      <c r="N36" s="29">
        <f t="shared" si="2"/>
        <v>248.34583333333333</v>
      </c>
      <c r="O36" s="29">
        <f t="shared" si="2"/>
        <v>0</v>
      </c>
      <c r="P36" s="29">
        <f t="shared" si="2"/>
        <v>0.90875000000000006</v>
      </c>
      <c r="Q36" s="29">
        <f t="shared" si="2"/>
        <v>23.635416666666661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7.8240957133642013</v>
      </c>
      <c r="C37" s="29">
        <f t="shared" ref="C37:Q37" si="3">STDEV(C9:C32)</f>
        <v>13.353215185755857</v>
      </c>
      <c r="D37" s="29">
        <f t="shared" si="3"/>
        <v>12.710955904258359</v>
      </c>
      <c r="E37" s="29">
        <f t="shared" si="3"/>
        <v>6.6016881761684516</v>
      </c>
      <c r="F37" s="29">
        <f t="shared" si="3"/>
        <v>9.3370033674652877</v>
      </c>
      <c r="G37" s="29">
        <f t="shared" si="3"/>
        <v>14.284471529513054</v>
      </c>
      <c r="H37" s="29">
        <f t="shared" si="3"/>
        <v>3.6533102104900634</v>
      </c>
      <c r="I37" s="29">
        <f t="shared" si="3"/>
        <v>7.812568840276389E-2</v>
      </c>
      <c r="J37" s="29">
        <f t="shared" si="3"/>
        <v>0.46024489385417483</v>
      </c>
      <c r="K37" s="29">
        <f t="shared" si="3"/>
        <v>35.326524696061206</v>
      </c>
      <c r="L37" s="29">
        <f t="shared" si="3"/>
        <v>4.9387529230345617</v>
      </c>
      <c r="M37" s="29">
        <f t="shared" si="3"/>
        <v>9.0459431214507102</v>
      </c>
      <c r="N37" s="29">
        <f t="shared" si="3"/>
        <v>320.60120694552529</v>
      </c>
      <c r="O37" s="29">
        <f t="shared" si="3"/>
        <v>0</v>
      </c>
      <c r="P37" s="29">
        <f t="shared" si="3"/>
        <v>0.33294878180336962</v>
      </c>
      <c r="Q37" s="29">
        <f t="shared" si="3"/>
        <v>6.0324174829338455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23</v>
      </c>
      <c r="H38" s="33">
        <f t="shared" si="4"/>
        <v>23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19-05-2023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53" t="s">
        <v>57</v>
      </c>
      <c r="R7" s="28"/>
      <c r="S7" s="30"/>
      <c r="T7" s="28"/>
      <c r="U7" s="28"/>
    </row>
    <row r="8" spans="1:21" s="22" customFormat="1" x14ac:dyDescent="0.25">
      <c r="A8" s="67"/>
      <c r="B8" s="68" t="s">
        <v>22</v>
      </c>
      <c r="C8" s="68" t="s">
        <v>22</v>
      </c>
      <c r="D8" s="30" t="s">
        <v>61</v>
      </c>
      <c r="E8" s="68" t="s">
        <v>22</v>
      </c>
      <c r="F8" s="68" t="s">
        <v>22</v>
      </c>
      <c r="G8" s="68" t="s">
        <v>23</v>
      </c>
      <c r="H8" s="68" t="s">
        <v>22</v>
      </c>
      <c r="I8" s="68" t="s">
        <v>22</v>
      </c>
      <c r="J8" s="68" t="s">
        <v>24</v>
      </c>
      <c r="K8" s="68" t="s">
        <v>25</v>
      </c>
      <c r="L8" s="67" t="s">
        <v>27</v>
      </c>
      <c r="M8" s="68" t="s">
        <v>26</v>
      </c>
      <c r="N8" s="68" t="s">
        <v>28</v>
      </c>
      <c r="O8" s="67" t="s">
        <v>29</v>
      </c>
      <c r="P8" s="68" t="s">
        <v>22</v>
      </c>
      <c r="Q8" s="68" t="s">
        <v>22</v>
      </c>
      <c r="R8" s="28"/>
      <c r="S8" s="30"/>
      <c r="T8" s="28"/>
      <c r="U8" s="28"/>
    </row>
    <row r="9" spans="1:21" s="12" customFormat="1" x14ac:dyDescent="0.25">
      <c r="A9" s="59" t="s">
        <v>494</v>
      </c>
      <c r="B9" s="60">
        <v>6.53</v>
      </c>
      <c r="C9" s="60">
        <v>41.53</v>
      </c>
      <c r="D9" s="60">
        <v>28.8</v>
      </c>
      <c r="E9" s="60">
        <v>2.79</v>
      </c>
      <c r="F9" s="60">
        <v>7.22</v>
      </c>
      <c r="G9" s="60">
        <v>62.13</v>
      </c>
      <c r="H9" s="60">
        <v>30.4</v>
      </c>
      <c r="I9" s="60">
        <v>0.88</v>
      </c>
      <c r="J9" s="60">
        <v>0.18</v>
      </c>
      <c r="K9" s="60">
        <v>255.38</v>
      </c>
      <c r="L9" s="60">
        <v>28.56</v>
      </c>
      <c r="M9" s="60">
        <v>44.97</v>
      </c>
      <c r="N9" s="60">
        <v>5.0999999999999996</v>
      </c>
      <c r="O9" s="60">
        <v>0</v>
      </c>
      <c r="P9" s="60">
        <v>0.9</v>
      </c>
      <c r="Q9" s="60">
        <v>32.18</v>
      </c>
      <c r="R9" s="44"/>
      <c r="S9" s="44"/>
      <c r="T9" s="44"/>
      <c r="U9" s="44"/>
    </row>
    <row r="10" spans="1:21" s="12" customFormat="1" x14ac:dyDescent="0.25">
      <c r="A10" s="59" t="s">
        <v>495</v>
      </c>
      <c r="B10" s="60">
        <v>2.91</v>
      </c>
      <c r="C10" s="60">
        <v>36.31</v>
      </c>
      <c r="D10" s="60">
        <v>23.02</v>
      </c>
      <c r="E10" s="60">
        <v>4.0599999999999996</v>
      </c>
      <c r="F10" s="60">
        <v>18.43</v>
      </c>
      <c r="G10" s="60">
        <v>62.13</v>
      </c>
      <c r="H10" s="60">
        <v>30.4</v>
      </c>
      <c r="I10" s="60">
        <v>0.79</v>
      </c>
      <c r="J10" s="60">
        <v>7.0000000000000007E-2</v>
      </c>
      <c r="K10" s="60">
        <v>347.9</v>
      </c>
      <c r="L10" s="60">
        <v>27.81</v>
      </c>
      <c r="M10" s="60">
        <v>45.85</v>
      </c>
      <c r="N10" s="60">
        <v>5</v>
      </c>
      <c r="O10" s="60">
        <v>0</v>
      </c>
      <c r="P10" s="60">
        <v>0.74</v>
      </c>
      <c r="Q10" s="60">
        <v>32.97</v>
      </c>
      <c r="R10" s="44"/>
      <c r="S10" s="44"/>
      <c r="T10" s="44"/>
      <c r="U10" s="44"/>
    </row>
    <row r="11" spans="1:21" s="12" customFormat="1" x14ac:dyDescent="0.25">
      <c r="A11" s="59" t="s">
        <v>496</v>
      </c>
      <c r="B11" s="60">
        <v>3.5</v>
      </c>
      <c r="C11" s="60">
        <v>34.840000000000003</v>
      </c>
      <c r="D11" s="60">
        <v>22.46</v>
      </c>
      <c r="E11" s="60">
        <v>4.16</v>
      </c>
      <c r="F11" s="60">
        <v>14.48</v>
      </c>
      <c r="G11" s="60">
        <v>67.819999999999993</v>
      </c>
      <c r="H11" s="60">
        <v>28.27</v>
      </c>
      <c r="I11" s="60">
        <v>0.72</v>
      </c>
      <c r="J11" s="60">
        <v>0.08</v>
      </c>
      <c r="K11" s="60">
        <v>312.39999999999998</v>
      </c>
      <c r="L11" s="60">
        <v>27.21</v>
      </c>
      <c r="M11" s="60">
        <v>49.61</v>
      </c>
      <c r="N11" s="60">
        <v>5.2</v>
      </c>
      <c r="O11" s="60">
        <v>0</v>
      </c>
      <c r="P11" s="60">
        <v>1.1299999999999999</v>
      </c>
      <c r="Q11" s="60">
        <v>33.130000000000003</v>
      </c>
      <c r="R11" s="44"/>
      <c r="S11" s="44"/>
      <c r="T11" s="44"/>
      <c r="U11" s="44"/>
    </row>
    <row r="12" spans="1:21" s="12" customFormat="1" x14ac:dyDescent="0.25">
      <c r="A12" s="59" t="s">
        <v>497</v>
      </c>
      <c r="B12" s="60">
        <v>2.97</v>
      </c>
      <c r="C12" s="60">
        <v>35.869999999999997</v>
      </c>
      <c r="D12" s="60">
        <v>22.69</v>
      </c>
      <c r="E12" s="60">
        <v>3.02</v>
      </c>
      <c r="F12" s="60">
        <v>4.95</v>
      </c>
      <c r="G12" s="60">
        <v>89.13</v>
      </c>
      <c r="H12" s="60">
        <v>34.61</v>
      </c>
      <c r="I12" s="60">
        <v>0.9</v>
      </c>
      <c r="J12" s="60">
        <v>0.26</v>
      </c>
      <c r="K12" s="60">
        <v>251.27</v>
      </c>
      <c r="L12" s="60">
        <v>27.12</v>
      </c>
      <c r="M12" s="60">
        <v>48.93</v>
      </c>
      <c r="N12" s="60">
        <v>4.7</v>
      </c>
      <c r="O12" s="60">
        <v>0</v>
      </c>
      <c r="P12" s="60">
        <v>1.87</v>
      </c>
      <c r="Q12" s="60">
        <v>31.58</v>
      </c>
      <c r="R12" s="44"/>
      <c r="S12" s="44"/>
      <c r="T12" s="44"/>
      <c r="U12" s="44"/>
    </row>
    <row r="13" spans="1:21" s="12" customFormat="1" x14ac:dyDescent="0.25">
      <c r="A13" s="59" t="s">
        <v>498</v>
      </c>
      <c r="B13" s="60">
        <v>10.19</v>
      </c>
      <c r="C13" s="60">
        <v>40.049999999999997</v>
      </c>
      <c r="D13" s="60">
        <v>30.39</v>
      </c>
      <c r="E13" s="60">
        <v>8.98</v>
      </c>
      <c r="F13" s="60">
        <v>14.3</v>
      </c>
      <c r="G13" s="60">
        <v>89.13</v>
      </c>
      <c r="H13" s="60">
        <v>36.6</v>
      </c>
      <c r="I13" s="60">
        <v>0.57999999999999996</v>
      </c>
      <c r="J13" s="60">
        <v>0.13</v>
      </c>
      <c r="K13" s="60">
        <v>264.27</v>
      </c>
      <c r="L13" s="60">
        <v>26.2</v>
      </c>
      <c r="M13" s="60">
        <v>51.97</v>
      </c>
      <c r="N13" s="60">
        <v>5.4</v>
      </c>
      <c r="O13" s="60">
        <v>0</v>
      </c>
      <c r="P13" s="60">
        <v>2.16</v>
      </c>
      <c r="Q13" s="60">
        <v>32.909999999999997</v>
      </c>
      <c r="R13" s="44"/>
      <c r="S13" s="44"/>
      <c r="T13" s="44"/>
      <c r="U13" s="44"/>
    </row>
    <row r="14" spans="1:21" s="12" customFormat="1" x14ac:dyDescent="0.25">
      <c r="A14" s="59" t="s">
        <v>499</v>
      </c>
      <c r="B14" s="60">
        <v>6.75</v>
      </c>
      <c r="C14" s="60">
        <v>38.29</v>
      </c>
      <c r="D14" s="60">
        <v>26.3</v>
      </c>
      <c r="E14" s="60">
        <v>9.4700000000000006</v>
      </c>
      <c r="F14" s="60">
        <v>8.61</v>
      </c>
      <c r="G14" s="60">
        <v>80.92</v>
      </c>
      <c r="H14" s="60">
        <v>36.6</v>
      </c>
      <c r="I14" s="60">
        <v>0.73</v>
      </c>
      <c r="J14" s="60">
        <v>0.16</v>
      </c>
      <c r="K14" s="60">
        <v>311.42</v>
      </c>
      <c r="L14" s="60">
        <v>26.26</v>
      </c>
      <c r="M14" s="60">
        <v>52.03</v>
      </c>
      <c r="N14" s="60">
        <v>51.7</v>
      </c>
      <c r="O14" s="60">
        <v>0</v>
      </c>
      <c r="P14" s="60">
        <v>1.68</v>
      </c>
      <c r="Q14" s="60">
        <v>33.42</v>
      </c>
      <c r="R14" s="44"/>
      <c r="S14" s="44"/>
      <c r="T14" s="44"/>
      <c r="U14" s="44"/>
    </row>
    <row r="15" spans="1:21" s="12" customFormat="1" x14ac:dyDescent="0.25">
      <c r="A15" s="59" t="s">
        <v>500</v>
      </c>
      <c r="B15" s="60">
        <v>14.86</v>
      </c>
      <c r="C15" s="60">
        <v>46.75</v>
      </c>
      <c r="D15" s="60">
        <v>38.369999999999997</v>
      </c>
      <c r="E15" s="60">
        <v>3.55</v>
      </c>
      <c r="F15" s="60">
        <v>4.17</v>
      </c>
      <c r="G15" s="60">
        <v>68.08</v>
      </c>
      <c r="H15" s="60">
        <v>32.979999999999997</v>
      </c>
      <c r="I15" s="60">
        <v>0.86</v>
      </c>
      <c r="J15" s="60">
        <v>0.06</v>
      </c>
      <c r="K15" s="60">
        <v>263.11</v>
      </c>
      <c r="L15" s="60">
        <v>29.85</v>
      </c>
      <c r="M15" s="60">
        <v>48.98</v>
      </c>
      <c r="N15" s="60">
        <v>207</v>
      </c>
      <c r="O15" s="60">
        <v>0</v>
      </c>
      <c r="P15" s="60">
        <v>1.38</v>
      </c>
      <c r="Q15" s="60">
        <v>32.07</v>
      </c>
      <c r="R15" s="44"/>
      <c r="S15" s="44"/>
      <c r="T15" s="44"/>
      <c r="U15" s="44"/>
    </row>
    <row r="16" spans="1:21" s="12" customFormat="1" x14ac:dyDescent="0.25">
      <c r="A16" s="59" t="s">
        <v>501</v>
      </c>
      <c r="B16" s="60">
        <v>12.8</v>
      </c>
      <c r="C16" s="60">
        <v>45.42</v>
      </c>
      <c r="D16" s="60">
        <v>33.200000000000003</v>
      </c>
      <c r="E16" s="60">
        <v>3.94</v>
      </c>
      <c r="F16" s="60">
        <v>15.37</v>
      </c>
      <c r="G16" s="60">
        <v>68.08</v>
      </c>
      <c r="H16" s="60">
        <v>31.92</v>
      </c>
      <c r="I16" s="60">
        <v>0.67</v>
      </c>
      <c r="J16" s="60">
        <v>0.14000000000000001</v>
      </c>
      <c r="K16" s="60">
        <v>342.85</v>
      </c>
      <c r="L16" s="60">
        <v>31.68</v>
      </c>
      <c r="M16" s="60">
        <v>43.98</v>
      </c>
      <c r="N16" s="60">
        <v>459.2</v>
      </c>
      <c r="O16" s="60">
        <v>0</v>
      </c>
      <c r="P16" s="60">
        <v>1.07</v>
      </c>
      <c r="Q16" s="60">
        <v>32.229999999999997</v>
      </c>
      <c r="R16" s="44"/>
      <c r="S16" s="44"/>
      <c r="T16" s="44"/>
      <c r="U16" s="44"/>
    </row>
    <row r="17" spans="1:21" s="12" customFormat="1" x14ac:dyDescent="0.25">
      <c r="A17" s="59" t="s">
        <v>502</v>
      </c>
      <c r="B17" s="60">
        <v>6.08</v>
      </c>
      <c r="C17" s="60">
        <v>43.09</v>
      </c>
      <c r="D17" s="60">
        <v>26.86</v>
      </c>
      <c r="E17" s="60">
        <v>2.76</v>
      </c>
      <c r="F17" s="60">
        <v>7.06</v>
      </c>
      <c r="G17" s="60">
        <v>66.260000000000005</v>
      </c>
      <c r="H17" s="60">
        <v>31.74</v>
      </c>
      <c r="I17" s="60">
        <v>0.69</v>
      </c>
      <c r="J17" s="60">
        <v>0.15</v>
      </c>
      <c r="K17" s="60">
        <v>39.29</v>
      </c>
      <c r="L17" s="60">
        <v>34.200000000000003</v>
      </c>
      <c r="M17" s="60">
        <v>35.659999999999997</v>
      </c>
      <c r="N17" s="60">
        <v>582.4</v>
      </c>
      <c r="O17" s="60">
        <v>0</v>
      </c>
      <c r="P17" s="60">
        <v>1.17</v>
      </c>
      <c r="Q17" s="60">
        <v>32.18</v>
      </c>
      <c r="R17" s="44"/>
      <c r="S17" s="44"/>
      <c r="T17" s="44"/>
      <c r="U17" s="44"/>
    </row>
    <row r="18" spans="1:21" s="12" customFormat="1" x14ac:dyDescent="0.25">
      <c r="A18" s="59" t="s">
        <v>503</v>
      </c>
      <c r="B18" s="60">
        <v>1.64</v>
      </c>
      <c r="C18" s="60">
        <v>51.92</v>
      </c>
      <c r="D18" s="60">
        <v>30.61</v>
      </c>
      <c r="E18" s="60">
        <v>3.43</v>
      </c>
      <c r="F18" s="60">
        <v>34.74</v>
      </c>
      <c r="G18" s="60">
        <v>78.36</v>
      </c>
      <c r="H18" s="60">
        <v>38.19</v>
      </c>
      <c r="I18" s="60">
        <v>0.85</v>
      </c>
      <c r="J18" s="60">
        <v>0.52</v>
      </c>
      <c r="K18" s="60">
        <v>323.12</v>
      </c>
      <c r="L18" s="60">
        <v>37.36</v>
      </c>
      <c r="M18" s="60">
        <v>35.380000000000003</v>
      </c>
      <c r="N18" s="60">
        <v>739.3</v>
      </c>
      <c r="O18" s="60">
        <v>0</v>
      </c>
      <c r="P18" s="60">
        <v>1.41</v>
      </c>
      <c r="Q18" s="60">
        <v>29.84</v>
      </c>
      <c r="R18" s="44"/>
      <c r="S18" s="44"/>
      <c r="T18" s="44"/>
      <c r="U18" s="44"/>
    </row>
    <row r="19" spans="1:21" s="12" customFormat="1" x14ac:dyDescent="0.25">
      <c r="A19" s="59" t="s">
        <v>504</v>
      </c>
      <c r="B19" s="60">
        <v>2.6</v>
      </c>
      <c r="C19" s="60">
        <v>46.24</v>
      </c>
      <c r="D19" s="60">
        <v>27.15</v>
      </c>
      <c r="E19" s="60">
        <v>3.44</v>
      </c>
      <c r="F19" s="60">
        <v>18.73</v>
      </c>
      <c r="G19" s="65" t="s">
        <v>12</v>
      </c>
      <c r="H19" s="65" t="s">
        <v>12</v>
      </c>
      <c r="I19" s="60">
        <v>0.68</v>
      </c>
      <c r="J19" s="60">
        <v>0.45</v>
      </c>
      <c r="K19" s="60">
        <v>272.99</v>
      </c>
      <c r="L19" s="60">
        <v>38.89</v>
      </c>
      <c r="M19" s="60">
        <v>28.87</v>
      </c>
      <c r="N19" s="60">
        <v>836</v>
      </c>
      <c r="O19" s="60">
        <v>0</v>
      </c>
      <c r="P19" s="60">
        <v>1</v>
      </c>
      <c r="Q19" s="60">
        <v>31.01</v>
      </c>
      <c r="R19" s="44"/>
      <c r="S19" s="44"/>
      <c r="T19" s="44"/>
      <c r="U19" s="44"/>
    </row>
    <row r="20" spans="1:21" s="12" customFormat="1" x14ac:dyDescent="0.25">
      <c r="A20" s="59" t="s">
        <v>505</v>
      </c>
      <c r="B20" s="60">
        <v>1.76</v>
      </c>
      <c r="C20" s="60">
        <v>40.36</v>
      </c>
      <c r="D20" s="60">
        <v>24.33</v>
      </c>
      <c r="E20" s="60">
        <v>2.94</v>
      </c>
      <c r="F20" s="60">
        <v>16.559999999999999</v>
      </c>
      <c r="G20" s="65" t="s">
        <v>12</v>
      </c>
      <c r="H20" s="65" t="s">
        <v>12</v>
      </c>
      <c r="I20" s="60">
        <v>0.65</v>
      </c>
      <c r="J20" s="60">
        <v>0.95</v>
      </c>
      <c r="K20" s="60">
        <v>271.10000000000002</v>
      </c>
      <c r="L20" s="60">
        <v>40.1</v>
      </c>
      <c r="M20" s="60">
        <v>26.15</v>
      </c>
      <c r="N20" s="60">
        <v>866.2</v>
      </c>
      <c r="O20" s="60">
        <v>0</v>
      </c>
      <c r="P20" s="60">
        <v>0.87</v>
      </c>
      <c r="Q20" s="60">
        <v>29.64</v>
      </c>
      <c r="R20" s="44"/>
      <c r="S20" s="44"/>
      <c r="T20" s="44"/>
      <c r="U20" s="44"/>
    </row>
    <row r="21" spans="1:21" s="12" customFormat="1" x14ac:dyDescent="0.25">
      <c r="A21" s="59" t="s">
        <v>506</v>
      </c>
      <c r="B21" s="60">
        <v>1.57</v>
      </c>
      <c r="C21" s="60">
        <v>39.99</v>
      </c>
      <c r="D21" s="60">
        <v>23.6</v>
      </c>
      <c r="E21" s="60">
        <v>3.2</v>
      </c>
      <c r="F21" s="60">
        <v>33.409999999999997</v>
      </c>
      <c r="G21" s="60">
        <v>33.01</v>
      </c>
      <c r="H21" s="60">
        <v>15.68</v>
      </c>
      <c r="I21" s="60">
        <v>0.56999999999999995</v>
      </c>
      <c r="J21" s="60">
        <v>0.71</v>
      </c>
      <c r="K21" s="60">
        <v>266.68</v>
      </c>
      <c r="L21" s="60">
        <v>40.42</v>
      </c>
      <c r="M21" s="60">
        <v>22.92</v>
      </c>
      <c r="N21" s="60">
        <v>838.6</v>
      </c>
      <c r="O21" s="60">
        <v>0</v>
      </c>
      <c r="P21" s="60">
        <v>0.65</v>
      </c>
      <c r="Q21" s="60">
        <v>31.89</v>
      </c>
      <c r="R21" s="44"/>
      <c r="S21" s="44"/>
      <c r="T21" s="44"/>
      <c r="U21" s="44"/>
    </row>
    <row r="22" spans="1:21" s="12" customFormat="1" x14ac:dyDescent="0.25">
      <c r="A22" s="59" t="s">
        <v>507</v>
      </c>
      <c r="B22" s="60">
        <v>4.8899999999999997</v>
      </c>
      <c r="C22" s="60">
        <v>32.520000000000003</v>
      </c>
      <c r="D22" s="60">
        <v>22.14</v>
      </c>
      <c r="E22" s="60">
        <v>5.16</v>
      </c>
      <c r="F22" s="60">
        <v>49.61</v>
      </c>
      <c r="G22" s="60">
        <v>33.43</v>
      </c>
      <c r="H22" s="60">
        <v>18.46</v>
      </c>
      <c r="I22" s="60">
        <v>0.63</v>
      </c>
      <c r="J22" s="60">
        <v>0.6</v>
      </c>
      <c r="K22" s="60">
        <v>271.82</v>
      </c>
      <c r="L22" s="60">
        <v>40.85</v>
      </c>
      <c r="M22" s="60">
        <v>22.75</v>
      </c>
      <c r="N22" s="60">
        <v>776.4</v>
      </c>
      <c r="O22" s="60">
        <v>0</v>
      </c>
      <c r="P22" s="60">
        <v>0.49</v>
      </c>
      <c r="Q22" s="60">
        <v>32.32</v>
      </c>
      <c r="R22" s="44"/>
      <c r="S22" s="44"/>
      <c r="T22" s="44"/>
      <c r="U22" s="44"/>
    </row>
    <row r="23" spans="1:21" s="12" customFormat="1" x14ac:dyDescent="0.25">
      <c r="A23" s="59" t="s">
        <v>508</v>
      </c>
      <c r="B23" s="60">
        <v>3.27</v>
      </c>
      <c r="C23" s="60">
        <v>44.22</v>
      </c>
      <c r="D23" s="60">
        <v>27.67</v>
      </c>
      <c r="E23" s="60">
        <v>2.68</v>
      </c>
      <c r="F23" s="60">
        <v>15.62</v>
      </c>
      <c r="G23" s="60">
        <v>33.43</v>
      </c>
      <c r="H23" s="60">
        <v>18.46</v>
      </c>
      <c r="I23" s="60">
        <v>0.78</v>
      </c>
      <c r="J23" s="60">
        <v>0.77</v>
      </c>
      <c r="K23" s="60">
        <v>261.08999999999997</v>
      </c>
      <c r="L23" s="60">
        <v>38.22</v>
      </c>
      <c r="M23" s="60">
        <v>27.04</v>
      </c>
      <c r="N23" s="60">
        <v>487.5</v>
      </c>
      <c r="O23" s="60">
        <v>0</v>
      </c>
      <c r="P23" s="60">
        <v>0.48</v>
      </c>
      <c r="Q23" s="60">
        <v>31.07</v>
      </c>
      <c r="R23" s="44"/>
      <c r="S23" s="44"/>
      <c r="T23" s="44"/>
      <c r="U23" s="44"/>
    </row>
    <row r="24" spans="1:21" s="12" customFormat="1" x14ac:dyDescent="0.25">
      <c r="A24" s="59" t="s">
        <v>509</v>
      </c>
      <c r="B24" s="60">
        <v>9.0500000000000007</v>
      </c>
      <c r="C24" s="60">
        <v>44.2</v>
      </c>
      <c r="D24" s="60">
        <v>29.06</v>
      </c>
      <c r="E24" s="60">
        <v>3</v>
      </c>
      <c r="F24" s="60">
        <v>44.49</v>
      </c>
      <c r="G24" s="60">
        <v>33.299999999999997</v>
      </c>
      <c r="H24" s="60">
        <v>16.989999999999998</v>
      </c>
      <c r="I24" s="60">
        <v>0.69</v>
      </c>
      <c r="J24" s="60">
        <v>1.26</v>
      </c>
      <c r="K24" s="60">
        <v>267.33</v>
      </c>
      <c r="L24" s="60">
        <v>36.770000000000003</v>
      </c>
      <c r="M24" s="60">
        <v>24.96</v>
      </c>
      <c r="N24" s="60">
        <v>226</v>
      </c>
      <c r="O24" s="60">
        <v>0</v>
      </c>
      <c r="P24" s="60">
        <v>0.57999999999999996</v>
      </c>
      <c r="Q24" s="60">
        <v>34.1</v>
      </c>
      <c r="R24" s="44"/>
      <c r="S24" s="44"/>
      <c r="T24" s="44"/>
      <c r="U24" s="44"/>
    </row>
    <row r="25" spans="1:21" s="12" customFormat="1" x14ac:dyDescent="0.25">
      <c r="A25" s="59" t="s">
        <v>510</v>
      </c>
      <c r="B25" s="60">
        <v>3.46</v>
      </c>
      <c r="C25" s="60">
        <v>39.89</v>
      </c>
      <c r="D25" s="60">
        <v>25.44</v>
      </c>
      <c r="E25" s="60">
        <v>5.0599999999999996</v>
      </c>
      <c r="F25" s="60">
        <v>45.65</v>
      </c>
      <c r="G25" s="60">
        <v>36.07</v>
      </c>
      <c r="H25" s="60">
        <v>22.2</v>
      </c>
      <c r="I25" s="60">
        <v>0.62</v>
      </c>
      <c r="J25" s="60">
        <v>1.79</v>
      </c>
      <c r="K25" s="60">
        <v>219.21</v>
      </c>
      <c r="L25" s="60">
        <v>36.700000000000003</v>
      </c>
      <c r="M25" s="60">
        <v>28.92</v>
      </c>
      <c r="N25" s="60">
        <v>171.8</v>
      </c>
      <c r="O25" s="60">
        <v>0</v>
      </c>
      <c r="P25" s="60">
        <v>0.54</v>
      </c>
      <c r="Q25" s="60">
        <v>33.119999999999997</v>
      </c>
      <c r="R25" s="44"/>
      <c r="S25" s="44"/>
      <c r="T25" s="44"/>
      <c r="U25" s="44"/>
    </row>
    <row r="26" spans="1:21" s="12" customFormat="1" x14ac:dyDescent="0.25">
      <c r="A26" s="59" t="s">
        <v>511</v>
      </c>
      <c r="B26" s="60">
        <v>3.58</v>
      </c>
      <c r="C26" s="60">
        <v>46.66</v>
      </c>
      <c r="D26" s="60">
        <v>27.87</v>
      </c>
      <c r="E26" s="60">
        <v>3.02</v>
      </c>
      <c r="F26" s="60">
        <v>15.77</v>
      </c>
      <c r="G26" s="60">
        <v>36.07</v>
      </c>
      <c r="H26" s="60">
        <v>22.2</v>
      </c>
      <c r="I26" s="60">
        <v>0.73</v>
      </c>
      <c r="J26" s="60">
        <v>1.4</v>
      </c>
      <c r="K26" s="60">
        <v>194.08</v>
      </c>
      <c r="L26" s="60">
        <v>33.619999999999997</v>
      </c>
      <c r="M26" s="60">
        <v>30.93</v>
      </c>
      <c r="N26" s="60">
        <v>67</v>
      </c>
      <c r="O26" s="60">
        <v>0</v>
      </c>
      <c r="P26" s="60">
        <v>0.52</v>
      </c>
      <c r="Q26" s="60">
        <v>33.04</v>
      </c>
      <c r="R26" s="44"/>
      <c r="S26" s="44"/>
      <c r="T26" s="44"/>
      <c r="U26" s="44"/>
    </row>
    <row r="27" spans="1:21" s="12" customFormat="1" x14ac:dyDescent="0.25">
      <c r="A27" s="59" t="s">
        <v>512</v>
      </c>
      <c r="B27" s="60">
        <v>4.3899999999999997</v>
      </c>
      <c r="C27" s="60">
        <v>55.61</v>
      </c>
      <c r="D27" s="60">
        <v>34.85</v>
      </c>
      <c r="E27" s="60">
        <v>4.6399999999999997</v>
      </c>
      <c r="F27" s="60">
        <v>31.6</v>
      </c>
      <c r="G27" s="60">
        <v>41.93</v>
      </c>
      <c r="H27" s="60">
        <v>22.02</v>
      </c>
      <c r="I27" s="60">
        <v>0.65</v>
      </c>
      <c r="J27" s="60">
        <v>0.39</v>
      </c>
      <c r="K27" s="60">
        <v>193.18</v>
      </c>
      <c r="L27" s="60">
        <v>32.72</v>
      </c>
      <c r="M27" s="60">
        <v>33.200000000000003</v>
      </c>
      <c r="N27" s="60">
        <v>18.7</v>
      </c>
      <c r="O27" s="60">
        <v>0</v>
      </c>
      <c r="P27" s="60">
        <v>0.73</v>
      </c>
      <c r="Q27" s="60">
        <v>32.369999999999997</v>
      </c>
      <c r="R27" s="44"/>
      <c r="S27" s="44"/>
      <c r="T27" s="44"/>
      <c r="U27" s="44"/>
    </row>
    <row r="28" spans="1:21" s="12" customFormat="1" x14ac:dyDescent="0.25">
      <c r="A28" s="59" t="s">
        <v>513</v>
      </c>
      <c r="B28" s="60">
        <v>12.39</v>
      </c>
      <c r="C28" s="60">
        <v>59.11</v>
      </c>
      <c r="D28" s="60">
        <v>43.2</v>
      </c>
      <c r="E28" s="60">
        <v>8.74</v>
      </c>
      <c r="F28" s="60">
        <v>21.68</v>
      </c>
      <c r="G28" s="60">
        <v>47.94</v>
      </c>
      <c r="H28" s="60">
        <v>25.72</v>
      </c>
      <c r="I28" s="60">
        <v>0.79</v>
      </c>
      <c r="J28" s="60">
        <v>2.19</v>
      </c>
      <c r="K28" s="60">
        <v>256.49</v>
      </c>
      <c r="L28" s="60">
        <v>31.6</v>
      </c>
      <c r="M28" s="60">
        <v>34.840000000000003</v>
      </c>
      <c r="N28" s="60">
        <v>5.4</v>
      </c>
      <c r="O28" s="60">
        <v>0</v>
      </c>
      <c r="P28" s="60">
        <v>1.08</v>
      </c>
      <c r="Q28" s="60">
        <v>33.700000000000003</v>
      </c>
      <c r="R28" s="44"/>
      <c r="S28" s="44"/>
      <c r="T28" s="44"/>
      <c r="U28" s="44"/>
    </row>
    <row r="29" spans="1:21" s="12" customFormat="1" x14ac:dyDescent="0.25">
      <c r="A29" s="59" t="s">
        <v>514</v>
      </c>
      <c r="B29" s="60">
        <v>3.5</v>
      </c>
      <c r="C29" s="60">
        <v>40.61</v>
      </c>
      <c r="D29" s="60">
        <v>25.68</v>
      </c>
      <c r="E29" s="60">
        <v>3.5</v>
      </c>
      <c r="F29" s="60">
        <v>9.2200000000000006</v>
      </c>
      <c r="G29" s="60">
        <v>47.94</v>
      </c>
      <c r="H29" s="60">
        <v>25.72</v>
      </c>
      <c r="I29" s="60">
        <v>0.7</v>
      </c>
      <c r="J29" s="60">
        <v>1.5</v>
      </c>
      <c r="K29" s="60">
        <v>125.86</v>
      </c>
      <c r="L29" s="60">
        <v>30.18</v>
      </c>
      <c r="M29" s="60">
        <v>36.549999999999997</v>
      </c>
      <c r="N29" s="60">
        <v>5</v>
      </c>
      <c r="O29" s="60">
        <v>0</v>
      </c>
      <c r="P29" s="60">
        <v>0.65</v>
      </c>
      <c r="Q29" s="60">
        <v>33.42</v>
      </c>
      <c r="R29" s="44"/>
      <c r="S29" s="44"/>
      <c r="T29" s="44"/>
      <c r="U29" s="44"/>
    </row>
    <row r="30" spans="1:21" s="12" customFormat="1" x14ac:dyDescent="0.25">
      <c r="A30" s="59" t="s">
        <v>515</v>
      </c>
      <c r="B30" s="60">
        <v>1.03</v>
      </c>
      <c r="C30" s="60">
        <v>37.68</v>
      </c>
      <c r="D30" s="60">
        <v>22.26</v>
      </c>
      <c r="E30" s="60">
        <v>2.92</v>
      </c>
      <c r="F30" s="60">
        <v>17.39</v>
      </c>
      <c r="G30" s="60">
        <v>43.77</v>
      </c>
      <c r="H30" s="60">
        <v>21.42</v>
      </c>
      <c r="I30" s="60">
        <v>0.71</v>
      </c>
      <c r="J30" s="60">
        <v>1</v>
      </c>
      <c r="K30" s="60">
        <v>186.71</v>
      </c>
      <c r="L30" s="60">
        <v>29.52</v>
      </c>
      <c r="M30" s="60">
        <v>36.36</v>
      </c>
      <c r="N30" s="60">
        <v>5.0999999999999996</v>
      </c>
      <c r="O30" s="60">
        <v>0</v>
      </c>
      <c r="P30" s="60">
        <v>0.5</v>
      </c>
      <c r="Q30" s="60">
        <v>31.74</v>
      </c>
      <c r="R30" s="44"/>
      <c r="S30" s="44"/>
      <c r="T30" s="44"/>
      <c r="U30" s="44"/>
    </row>
    <row r="31" spans="1:21" s="12" customFormat="1" x14ac:dyDescent="0.25">
      <c r="A31" s="59" t="s">
        <v>516</v>
      </c>
      <c r="B31" s="60">
        <v>1.56</v>
      </c>
      <c r="C31" s="60">
        <v>31.1</v>
      </c>
      <c r="D31" s="60">
        <v>18.670000000000002</v>
      </c>
      <c r="E31" s="60">
        <v>3.59</v>
      </c>
      <c r="F31" s="60">
        <v>20.54</v>
      </c>
      <c r="G31" s="60">
        <v>40.869999999999997</v>
      </c>
      <c r="H31" s="60">
        <v>20</v>
      </c>
      <c r="I31" s="60">
        <v>0.67</v>
      </c>
      <c r="J31" s="60">
        <v>1.37</v>
      </c>
      <c r="K31" s="60">
        <v>177.28</v>
      </c>
      <c r="L31" s="60">
        <v>28.76</v>
      </c>
      <c r="M31" s="60">
        <v>41.76</v>
      </c>
      <c r="N31" s="60">
        <v>5.0999999999999996</v>
      </c>
      <c r="O31" s="60">
        <v>0</v>
      </c>
      <c r="P31" s="60">
        <v>0.41</v>
      </c>
      <c r="Q31" s="60">
        <v>31.67</v>
      </c>
      <c r="R31" s="44"/>
      <c r="S31" s="44"/>
      <c r="T31" s="44"/>
      <c r="U31" s="44"/>
    </row>
    <row r="32" spans="1:21" s="12" customFormat="1" x14ac:dyDescent="0.25">
      <c r="A32" s="59" t="s">
        <v>517</v>
      </c>
      <c r="B32" s="60">
        <v>1.33</v>
      </c>
      <c r="C32" s="60">
        <v>30.04</v>
      </c>
      <c r="D32" s="60">
        <v>18.29</v>
      </c>
      <c r="E32" s="60">
        <v>2.19</v>
      </c>
      <c r="F32" s="60">
        <v>6.18</v>
      </c>
      <c r="G32" s="60">
        <v>36.4</v>
      </c>
      <c r="H32" s="60">
        <v>19.5</v>
      </c>
      <c r="I32" s="60">
        <v>0.85</v>
      </c>
      <c r="J32" s="60">
        <v>1.68</v>
      </c>
      <c r="K32" s="60">
        <v>176.35</v>
      </c>
      <c r="L32" s="60">
        <v>27.83</v>
      </c>
      <c r="M32" s="60">
        <v>46.77</v>
      </c>
      <c r="N32" s="60">
        <v>5.4</v>
      </c>
      <c r="O32" s="60">
        <v>0</v>
      </c>
      <c r="P32" s="60">
        <v>0.38</v>
      </c>
      <c r="Q32" s="60">
        <v>30.99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1.03</v>
      </c>
      <c r="C34" s="29">
        <f t="shared" si="0"/>
        <v>30.04</v>
      </c>
      <c r="D34" s="29">
        <f t="shared" si="0"/>
        <v>18.29</v>
      </c>
      <c r="E34" s="29">
        <f t="shared" si="0"/>
        <v>2.19</v>
      </c>
      <c r="F34" s="29">
        <f t="shared" si="0"/>
        <v>4.17</v>
      </c>
      <c r="G34" s="29">
        <f t="shared" si="0"/>
        <v>33.01</v>
      </c>
      <c r="H34" s="29">
        <f t="shared" si="0"/>
        <v>15.68</v>
      </c>
      <c r="I34" s="29">
        <f t="shared" si="0"/>
        <v>0.56999999999999995</v>
      </c>
      <c r="J34" s="29">
        <f t="shared" si="0"/>
        <v>0.06</v>
      </c>
      <c r="K34" s="29">
        <f t="shared" si="0"/>
        <v>39.29</v>
      </c>
      <c r="L34" s="29">
        <f t="shared" si="0"/>
        <v>26.2</v>
      </c>
      <c r="M34" s="29">
        <f t="shared" si="0"/>
        <v>22.75</v>
      </c>
      <c r="N34" s="29">
        <f t="shared" si="0"/>
        <v>4.7</v>
      </c>
      <c r="O34" s="29">
        <f t="shared" si="0"/>
        <v>0</v>
      </c>
      <c r="P34" s="29">
        <f t="shared" si="0"/>
        <v>0.38</v>
      </c>
      <c r="Q34" s="29">
        <f t="shared" si="0"/>
        <v>29.64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14.86</v>
      </c>
      <c r="C35" s="30">
        <f t="shared" si="1"/>
        <v>59.11</v>
      </c>
      <c r="D35" s="30">
        <f t="shared" si="1"/>
        <v>43.2</v>
      </c>
      <c r="E35" s="30">
        <f t="shared" si="1"/>
        <v>9.4700000000000006</v>
      </c>
      <c r="F35" s="30">
        <f t="shared" si="1"/>
        <v>49.61</v>
      </c>
      <c r="G35" s="30">
        <f t="shared" si="1"/>
        <v>89.13</v>
      </c>
      <c r="H35" s="30">
        <f t="shared" si="1"/>
        <v>38.19</v>
      </c>
      <c r="I35" s="30">
        <f t="shared" si="1"/>
        <v>0.9</v>
      </c>
      <c r="J35" s="30">
        <f t="shared" si="1"/>
        <v>2.19</v>
      </c>
      <c r="K35" s="30">
        <f t="shared" si="1"/>
        <v>347.9</v>
      </c>
      <c r="L35" s="30">
        <f t="shared" si="1"/>
        <v>40.85</v>
      </c>
      <c r="M35" s="30">
        <f t="shared" si="1"/>
        <v>52.03</v>
      </c>
      <c r="N35" s="30">
        <f t="shared" si="1"/>
        <v>866.2</v>
      </c>
      <c r="O35" s="30">
        <f t="shared" si="1"/>
        <v>0</v>
      </c>
      <c r="P35" s="30">
        <f t="shared" si="1"/>
        <v>2.16</v>
      </c>
      <c r="Q35" s="30">
        <f t="shared" si="1"/>
        <v>34.1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5.1087499999999997</v>
      </c>
      <c r="C36" s="29">
        <f t="shared" si="2"/>
        <v>41.762499999999996</v>
      </c>
      <c r="D36" s="29">
        <f t="shared" si="2"/>
        <v>27.204583333333332</v>
      </c>
      <c r="E36" s="29">
        <f t="shared" si="2"/>
        <v>4.1766666666666659</v>
      </c>
      <c r="F36" s="29">
        <f t="shared" si="2"/>
        <v>19.824166666666667</v>
      </c>
      <c r="G36" s="29">
        <f t="shared" si="2"/>
        <v>54.372727272727275</v>
      </c>
      <c r="H36" s="29">
        <f t="shared" si="2"/>
        <v>26.367272727272724</v>
      </c>
      <c r="I36" s="29">
        <f t="shared" si="2"/>
        <v>0.72458333333333347</v>
      </c>
      <c r="J36" s="29">
        <f t="shared" si="2"/>
        <v>0.74208333333333343</v>
      </c>
      <c r="K36" s="29">
        <f t="shared" si="2"/>
        <v>243.79916666666668</v>
      </c>
      <c r="L36" s="29">
        <f t="shared" si="2"/>
        <v>32.60125</v>
      </c>
      <c r="M36" s="29">
        <f t="shared" si="2"/>
        <v>37.474166666666662</v>
      </c>
      <c r="N36" s="29">
        <f t="shared" si="2"/>
        <v>265.8</v>
      </c>
      <c r="O36" s="29">
        <f t="shared" si="2"/>
        <v>0</v>
      </c>
      <c r="P36" s="29">
        <f t="shared" si="2"/>
        <v>0.93291666666666639</v>
      </c>
      <c r="Q36" s="29">
        <f t="shared" si="2"/>
        <v>32.191249999999997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3.9750628242232531</v>
      </c>
      <c r="C37" s="29">
        <f t="shared" ref="C37:Q37" si="3">STDEV(C9:C32)</f>
        <v>7.1701368915438746</v>
      </c>
      <c r="D37" s="29">
        <f t="shared" si="3"/>
        <v>5.8746093147927265</v>
      </c>
      <c r="E37" s="29">
        <f t="shared" si="3"/>
        <v>2.0267937126464539</v>
      </c>
      <c r="F37" s="29">
        <f t="shared" si="3"/>
        <v>13.281986466366902</v>
      </c>
      <c r="G37" s="29">
        <f t="shared" si="3"/>
        <v>19.294079571036988</v>
      </c>
      <c r="H37" s="29">
        <f t="shared" si="3"/>
        <v>7.0729438754266356</v>
      </c>
      <c r="I37" s="29">
        <f t="shared" si="3"/>
        <v>9.4038806359124802E-2</v>
      </c>
      <c r="J37" s="29">
        <f t="shared" si="3"/>
        <v>0.64148590527514049</v>
      </c>
      <c r="K37" s="29">
        <f t="shared" si="3"/>
        <v>70.62644879109078</v>
      </c>
      <c r="L37" s="29">
        <f t="shared" si="3"/>
        <v>4.9292325114741748</v>
      </c>
      <c r="M37" s="29">
        <f t="shared" si="3"/>
        <v>9.6767268615799917</v>
      </c>
      <c r="N37" s="29">
        <f t="shared" si="3"/>
        <v>331.34414002730568</v>
      </c>
      <c r="O37" s="29">
        <f t="shared" si="3"/>
        <v>0</v>
      </c>
      <c r="P37" s="29">
        <f t="shared" si="3"/>
        <v>0.48320919195355366</v>
      </c>
      <c r="Q37" s="29">
        <f t="shared" si="3"/>
        <v>1.1356680183161307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COUNT(G9:G32)+2</f>
        <v>24</v>
      </c>
      <c r="H38" s="33">
        <f>COUNT(H9:H32)+2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49" sqref="I4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20-05-2023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518</v>
      </c>
      <c r="B9" s="60">
        <v>1</v>
      </c>
      <c r="C9" s="60">
        <v>28.11</v>
      </c>
      <c r="D9" s="60">
        <v>16.96</v>
      </c>
      <c r="E9" s="60">
        <v>1.4</v>
      </c>
      <c r="F9" s="60">
        <v>10.81</v>
      </c>
      <c r="G9" s="60">
        <v>27.72</v>
      </c>
      <c r="H9" s="60">
        <v>16.97</v>
      </c>
      <c r="I9" s="60">
        <v>0.72</v>
      </c>
      <c r="J9" s="60">
        <v>1.75</v>
      </c>
      <c r="K9" s="60">
        <v>179.2</v>
      </c>
      <c r="L9" s="60">
        <v>26.79</v>
      </c>
      <c r="M9" s="60">
        <v>50.17</v>
      </c>
      <c r="N9" s="60">
        <v>5.6</v>
      </c>
      <c r="O9" s="60">
        <v>0</v>
      </c>
      <c r="P9" s="60">
        <v>0.31</v>
      </c>
      <c r="Q9" s="60">
        <v>30.05</v>
      </c>
      <c r="R9" s="44"/>
      <c r="S9" s="44"/>
      <c r="T9" s="44"/>
      <c r="U9" s="44"/>
    </row>
    <row r="10" spans="1:21" s="12" customFormat="1" x14ac:dyDescent="0.25">
      <c r="A10" s="59" t="s">
        <v>519</v>
      </c>
      <c r="B10" s="60">
        <v>1.32</v>
      </c>
      <c r="C10" s="60">
        <v>25.18</v>
      </c>
      <c r="D10" s="60">
        <v>15.57</v>
      </c>
      <c r="E10" s="60">
        <v>1.1599999999999999</v>
      </c>
      <c r="F10" s="60">
        <v>13.25</v>
      </c>
      <c r="G10" s="60">
        <v>27.09</v>
      </c>
      <c r="H10" s="60">
        <v>16.670000000000002</v>
      </c>
      <c r="I10" s="60">
        <v>0.65</v>
      </c>
      <c r="J10" s="60">
        <v>1.1299999999999999</v>
      </c>
      <c r="K10" s="60">
        <v>253.84</v>
      </c>
      <c r="L10" s="60">
        <v>25.98</v>
      </c>
      <c r="M10" s="60">
        <v>66.319999999999993</v>
      </c>
      <c r="N10" s="60">
        <v>12.7</v>
      </c>
      <c r="O10" s="60">
        <v>2.2000000000000002</v>
      </c>
      <c r="P10" s="60">
        <v>0.35</v>
      </c>
      <c r="Q10" s="60">
        <v>29.97</v>
      </c>
      <c r="R10" s="44"/>
      <c r="S10" s="44"/>
      <c r="T10" s="44"/>
      <c r="U10" s="44"/>
    </row>
    <row r="11" spans="1:21" s="12" customFormat="1" x14ac:dyDescent="0.25">
      <c r="A11" s="59" t="s">
        <v>520</v>
      </c>
      <c r="B11" s="60">
        <v>1.1200000000000001</v>
      </c>
      <c r="C11" s="60">
        <v>27.24</v>
      </c>
      <c r="D11" s="60">
        <v>16.57</v>
      </c>
      <c r="E11" s="60">
        <v>1.36</v>
      </c>
      <c r="F11" s="60">
        <v>5.91</v>
      </c>
      <c r="G11" s="60">
        <v>25.07</v>
      </c>
      <c r="H11" s="60">
        <v>16.670000000000002</v>
      </c>
      <c r="I11" s="60">
        <v>0.55000000000000004</v>
      </c>
      <c r="J11" s="60">
        <v>0.48</v>
      </c>
      <c r="K11" s="60">
        <v>257.31</v>
      </c>
      <c r="L11" s="60">
        <v>23.92</v>
      </c>
      <c r="M11" s="60">
        <v>66.849999999999994</v>
      </c>
      <c r="N11" s="60">
        <v>7.6</v>
      </c>
      <c r="O11" s="60">
        <v>0</v>
      </c>
      <c r="P11" s="60">
        <v>0.35</v>
      </c>
      <c r="Q11" s="60">
        <v>29.85</v>
      </c>
      <c r="R11" s="44"/>
      <c r="S11" s="44"/>
      <c r="T11" s="44"/>
      <c r="U11" s="44"/>
    </row>
    <row r="12" spans="1:21" s="12" customFormat="1" x14ac:dyDescent="0.25">
      <c r="A12" s="59" t="s">
        <v>521</v>
      </c>
      <c r="B12" s="60">
        <v>1.46</v>
      </c>
      <c r="C12" s="60">
        <v>26.41</v>
      </c>
      <c r="D12" s="60">
        <v>16.12</v>
      </c>
      <c r="E12" s="60">
        <v>1.08</v>
      </c>
      <c r="F12" s="60">
        <v>9.35</v>
      </c>
      <c r="G12" s="60">
        <v>22.56</v>
      </c>
      <c r="H12" s="60">
        <v>15.4</v>
      </c>
      <c r="I12" s="60">
        <v>0.61</v>
      </c>
      <c r="J12" s="60">
        <v>0.59</v>
      </c>
      <c r="K12" s="60">
        <v>220.9</v>
      </c>
      <c r="L12" s="60">
        <v>23.49</v>
      </c>
      <c r="M12" s="60">
        <v>66.13</v>
      </c>
      <c r="N12" s="60">
        <v>5.9</v>
      </c>
      <c r="O12" s="60">
        <v>0</v>
      </c>
      <c r="P12" s="60">
        <v>0.34</v>
      </c>
      <c r="Q12" s="60">
        <v>30.06</v>
      </c>
      <c r="R12" s="44"/>
      <c r="S12" s="44"/>
      <c r="T12" s="44"/>
      <c r="U12" s="44"/>
    </row>
    <row r="13" spans="1:21" s="12" customFormat="1" x14ac:dyDescent="0.25">
      <c r="A13" s="59" t="s">
        <v>522</v>
      </c>
      <c r="B13" s="60">
        <v>2.5</v>
      </c>
      <c r="C13" s="60">
        <v>25.46</v>
      </c>
      <c r="D13" s="60">
        <v>16.43</v>
      </c>
      <c r="E13" s="60">
        <v>0.47</v>
      </c>
      <c r="F13" s="60">
        <v>10.67</v>
      </c>
      <c r="G13" s="60">
        <v>22.11</v>
      </c>
      <c r="H13" s="60">
        <v>14.15</v>
      </c>
      <c r="I13" s="60">
        <v>0.61</v>
      </c>
      <c r="J13" s="60">
        <v>0.44</v>
      </c>
      <c r="K13" s="60">
        <v>223.11</v>
      </c>
      <c r="L13" s="60">
        <v>23.22</v>
      </c>
      <c r="M13" s="60">
        <v>64.33</v>
      </c>
      <c r="N13" s="60">
        <v>5</v>
      </c>
      <c r="O13" s="60">
        <v>0</v>
      </c>
      <c r="P13" s="60">
        <v>0.33</v>
      </c>
      <c r="Q13" s="60">
        <v>30.29</v>
      </c>
      <c r="R13" s="44"/>
      <c r="S13" s="44"/>
      <c r="T13" s="44"/>
      <c r="U13" s="44"/>
    </row>
    <row r="14" spans="1:21" s="12" customFormat="1" x14ac:dyDescent="0.25">
      <c r="A14" s="59" t="s">
        <v>523</v>
      </c>
      <c r="B14" s="60">
        <v>2.84</v>
      </c>
      <c r="C14" s="60">
        <v>29.94</v>
      </c>
      <c r="D14" s="60">
        <v>19.45</v>
      </c>
      <c r="E14" s="60">
        <v>0.35</v>
      </c>
      <c r="F14" s="60">
        <v>4.66</v>
      </c>
      <c r="G14" s="60">
        <v>21.73</v>
      </c>
      <c r="H14" s="60">
        <v>12.2</v>
      </c>
      <c r="I14" s="60">
        <v>0.64</v>
      </c>
      <c r="J14" s="60">
        <v>0.32</v>
      </c>
      <c r="K14" s="60">
        <v>344.59</v>
      </c>
      <c r="L14" s="60">
        <v>22.97</v>
      </c>
      <c r="M14" s="60">
        <v>65.88</v>
      </c>
      <c r="N14" s="60">
        <v>49</v>
      </c>
      <c r="O14" s="60">
        <v>0</v>
      </c>
      <c r="P14" s="60">
        <v>0.36</v>
      </c>
      <c r="Q14" s="60">
        <v>29.91</v>
      </c>
      <c r="R14" s="44"/>
      <c r="S14" s="44"/>
      <c r="T14" s="44"/>
      <c r="U14" s="44"/>
    </row>
    <row r="15" spans="1:21" s="12" customFormat="1" x14ac:dyDescent="0.25">
      <c r="A15" s="59" t="s">
        <v>524</v>
      </c>
      <c r="B15" s="60">
        <v>11.59</v>
      </c>
      <c r="C15" s="60">
        <v>35.28</v>
      </c>
      <c r="D15" s="60">
        <v>28.57</v>
      </c>
      <c r="E15" s="60">
        <v>0.34</v>
      </c>
      <c r="F15" s="60">
        <v>18.12</v>
      </c>
      <c r="G15" s="60">
        <v>23.96</v>
      </c>
      <c r="H15" s="60">
        <v>15.38</v>
      </c>
      <c r="I15" s="60">
        <v>0.89</v>
      </c>
      <c r="J15" s="60">
        <v>0.15</v>
      </c>
      <c r="K15" s="60">
        <v>297.67</v>
      </c>
      <c r="L15" s="60">
        <v>28.2</v>
      </c>
      <c r="M15" s="60">
        <v>64.8</v>
      </c>
      <c r="N15" s="60">
        <v>229.1</v>
      </c>
      <c r="O15" s="60">
        <v>0</v>
      </c>
      <c r="P15" s="60">
        <v>0.51</v>
      </c>
      <c r="Q15" s="60">
        <v>30.37</v>
      </c>
      <c r="R15" s="44"/>
      <c r="S15" s="44"/>
      <c r="T15" s="44"/>
      <c r="U15" s="44"/>
    </row>
    <row r="16" spans="1:21" s="12" customFormat="1" x14ac:dyDescent="0.25">
      <c r="A16" s="59" t="s">
        <v>525</v>
      </c>
      <c r="B16" s="60">
        <v>6.89</v>
      </c>
      <c r="C16" s="60">
        <v>30.03</v>
      </c>
      <c r="D16" s="60">
        <v>21.88</v>
      </c>
      <c r="E16" s="60">
        <v>1.72</v>
      </c>
      <c r="F16" s="60">
        <v>15.58</v>
      </c>
      <c r="G16" s="60">
        <v>23.96</v>
      </c>
      <c r="H16" s="60">
        <v>15.38</v>
      </c>
      <c r="I16" s="60">
        <v>0.72</v>
      </c>
      <c r="J16" s="60">
        <v>1.24</v>
      </c>
      <c r="K16" s="60">
        <v>178.28</v>
      </c>
      <c r="L16" s="60">
        <v>27.44</v>
      </c>
      <c r="M16" s="60">
        <v>52.23</v>
      </c>
      <c r="N16" s="60">
        <v>462.3</v>
      </c>
      <c r="O16" s="60">
        <v>0</v>
      </c>
      <c r="P16" s="60">
        <v>0.43</v>
      </c>
      <c r="Q16" s="60">
        <v>31.83</v>
      </c>
      <c r="R16" s="44"/>
      <c r="S16" s="44"/>
      <c r="T16" s="44"/>
      <c r="U16" s="44"/>
    </row>
    <row r="17" spans="1:21" s="12" customFormat="1" x14ac:dyDescent="0.25">
      <c r="A17" s="59" t="s">
        <v>526</v>
      </c>
      <c r="B17" s="60">
        <v>4.2699999999999996</v>
      </c>
      <c r="C17" s="60">
        <v>33.53</v>
      </c>
      <c r="D17" s="60">
        <v>21.05</v>
      </c>
      <c r="E17" s="60">
        <v>2.19</v>
      </c>
      <c r="F17" s="60">
        <v>5.3</v>
      </c>
      <c r="G17" s="60">
        <v>26.83</v>
      </c>
      <c r="H17" s="60">
        <v>17.440000000000001</v>
      </c>
      <c r="I17" s="60">
        <v>0.68</v>
      </c>
      <c r="J17" s="60">
        <v>0.4</v>
      </c>
      <c r="K17" s="60">
        <v>334.57</v>
      </c>
      <c r="L17" s="60">
        <v>31.22</v>
      </c>
      <c r="M17" s="60">
        <v>51.4</v>
      </c>
      <c r="N17" s="60">
        <v>650.9</v>
      </c>
      <c r="O17" s="60">
        <v>0</v>
      </c>
      <c r="P17" s="60">
        <v>0.47</v>
      </c>
      <c r="Q17" s="60">
        <v>30.86</v>
      </c>
      <c r="R17" s="44"/>
      <c r="S17" s="44"/>
      <c r="T17" s="44"/>
      <c r="U17" s="44"/>
    </row>
    <row r="18" spans="1:21" s="12" customFormat="1" x14ac:dyDescent="0.25">
      <c r="A18" s="59" t="s">
        <v>527</v>
      </c>
      <c r="B18" s="60">
        <v>2.16</v>
      </c>
      <c r="C18" s="60">
        <v>35.18</v>
      </c>
      <c r="D18" s="60">
        <v>21.4</v>
      </c>
      <c r="E18" s="60">
        <v>2.37</v>
      </c>
      <c r="F18" s="60">
        <v>10.25</v>
      </c>
      <c r="G18" s="60">
        <v>30.17</v>
      </c>
      <c r="H18" s="60">
        <v>17.440000000000001</v>
      </c>
      <c r="I18" s="60">
        <v>0.67</v>
      </c>
      <c r="J18" s="60">
        <v>0.17</v>
      </c>
      <c r="K18" s="60">
        <v>336.14</v>
      </c>
      <c r="L18" s="60">
        <v>32.56</v>
      </c>
      <c r="M18" s="60">
        <v>45.04</v>
      </c>
      <c r="N18" s="60">
        <v>807.2</v>
      </c>
      <c r="O18" s="60">
        <v>0</v>
      </c>
      <c r="P18" s="60">
        <v>0.53</v>
      </c>
      <c r="Q18" s="60">
        <v>29.84</v>
      </c>
      <c r="R18" s="44"/>
      <c r="S18" s="44"/>
      <c r="T18" s="44"/>
      <c r="U18" s="44"/>
    </row>
    <row r="19" spans="1:21" s="12" customFormat="1" x14ac:dyDescent="0.25">
      <c r="A19" s="59" t="s">
        <v>528</v>
      </c>
      <c r="B19" s="60">
        <v>1.56</v>
      </c>
      <c r="C19" s="60">
        <v>32.15</v>
      </c>
      <c r="D19" s="60">
        <v>19.64</v>
      </c>
      <c r="E19" s="60">
        <v>2.64</v>
      </c>
      <c r="F19" s="60">
        <v>40.020000000000003</v>
      </c>
      <c r="G19" s="60">
        <v>30.33</v>
      </c>
      <c r="H19" s="60">
        <v>18.27</v>
      </c>
      <c r="I19" s="60">
        <v>0.74</v>
      </c>
      <c r="J19" s="60">
        <v>0.2</v>
      </c>
      <c r="K19" s="60">
        <v>283.99</v>
      </c>
      <c r="L19" s="60">
        <v>35.549999999999997</v>
      </c>
      <c r="M19" s="60">
        <v>42.12</v>
      </c>
      <c r="N19" s="60">
        <v>906.7</v>
      </c>
      <c r="O19" s="60">
        <v>0</v>
      </c>
      <c r="P19" s="60">
        <v>0.62</v>
      </c>
      <c r="Q19" s="60">
        <v>29.62</v>
      </c>
      <c r="R19" s="44"/>
      <c r="S19" s="44"/>
      <c r="T19" s="44"/>
      <c r="U19" s="44"/>
    </row>
    <row r="20" spans="1:21" s="12" customFormat="1" x14ac:dyDescent="0.25">
      <c r="A20" s="59" t="s">
        <v>529</v>
      </c>
      <c r="B20" s="60">
        <v>1.04</v>
      </c>
      <c r="C20" s="60">
        <v>31.25</v>
      </c>
      <c r="D20" s="60">
        <v>18.72</v>
      </c>
      <c r="E20" s="60">
        <v>2.29</v>
      </c>
      <c r="F20" s="60">
        <v>12.28</v>
      </c>
      <c r="G20" s="60">
        <v>36.25</v>
      </c>
      <c r="H20" s="60">
        <v>20.66</v>
      </c>
      <c r="I20" s="60">
        <v>0.63</v>
      </c>
      <c r="J20" s="60">
        <v>0.35</v>
      </c>
      <c r="K20" s="60">
        <v>296.04000000000002</v>
      </c>
      <c r="L20" s="60">
        <v>36.590000000000003</v>
      </c>
      <c r="M20" s="60">
        <v>36.520000000000003</v>
      </c>
      <c r="N20" s="60">
        <v>915.1</v>
      </c>
      <c r="O20" s="60">
        <v>0</v>
      </c>
      <c r="P20" s="60">
        <v>0.87</v>
      </c>
      <c r="Q20" s="60">
        <v>28.61</v>
      </c>
      <c r="R20" s="44"/>
      <c r="S20" s="44"/>
      <c r="T20" s="44"/>
      <c r="U20" s="44"/>
    </row>
    <row r="21" spans="1:21" s="12" customFormat="1" x14ac:dyDescent="0.25">
      <c r="A21" s="59" t="s">
        <v>530</v>
      </c>
      <c r="B21" s="60">
        <v>2.13</v>
      </c>
      <c r="C21" s="60">
        <v>36.909999999999997</v>
      </c>
      <c r="D21" s="60">
        <v>21.84</v>
      </c>
      <c r="E21" s="60">
        <v>26.86</v>
      </c>
      <c r="F21" s="60">
        <v>70.28</v>
      </c>
      <c r="G21" s="60">
        <v>39.72</v>
      </c>
      <c r="H21" s="60">
        <v>23.93</v>
      </c>
      <c r="I21" s="60">
        <v>0.57999999999999996</v>
      </c>
      <c r="J21" s="60">
        <v>0.39</v>
      </c>
      <c r="K21" s="60">
        <v>247.42</v>
      </c>
      <c r="L21" s="60">
        <v>37.479999999999997</v>
      </c>
      <c r="M21" s="60">
        <v>31.4</v>
      </c>
      <c r="N21" s="60">
        <v>906.7</v>
      </c>
      <c r="O21" s="60">
        <v>0</v>
      </c>
      <c r="P21" s="60">
        <v>1.19</v>
      </c>
      <c r="Q21" s="60">
        <v>30.57</v>
      </c>
      <c r="R21" s="44"/>
      <c r="S21" s="44"/>
      <c r="T21" s="44"/>
      <c r="U21" s="44"/>
    </row>
    <row r="22" spans="1:21" s="12" customFormat="1" x14ac:dyDescent="0.25">
      <c r="A22" s="59" t="s">
        <v>531</v>
      </c>
      <c r="B22" s="60">
        <v>3.34</v>
      </c>
      <c r="C22" s="60">
        <v>36.340000000000003</v>
      </c>
      <c r="D22" s="60">
        <v>23.38</v>
      </c>
      <c r="E22" s="60">
        <v>23.76</v>
      </c>
      <c r="F22" s="60">
        <v>65.489999999999995</v>
      </c>
      <c r="G22" s="60">
        <v>50.69</v>
      </c>
      <c r="H22" s="60">
        <v>29.11</v>
      </c>
      <c r="I22" s="60">
        <v>0.78</v>
      </c>
      <c r="J22" s="60">
        <v>0.59</v>
      </c>
      <c r="K22" s="60">
        <v>269.19</v>
      </c>
      <c r="L22" s="60">
        <v>37.770000000000003</v>
      </c>
      <c r="M22" s="60">
        <v>25.52</v>
      </c>
      <c r="N22" s="60">
        <v>809.6</v>
      </c>
      <c r="O22" s="60">
        <v>0</v>
      </c>
      <c r="P22" s="60">
        <v>0.93</v>
      </c>
      <c r="Q22" s="60">
        <v>29.58</v>
      </c>
      <c r="R22" s="44"/>
      <c r="S22" s="44"/>
      <c r="T22" s="44"/>
      <c r="U22" s="44"/>
    </row>
    <row r="23" spans="1:21" s="12" customFormat="1" x14ac:dyDescent="0.25">
      <c r="A23" s="59" t="s">
        <v>532</v>
      </c>
      <c r="B23" s="60">
        <v>2.75</v>
      </c>
      <c r="C23" s="60">
        <v>38.729999999999997</v>
      </c>
      <c r="D23" s="60">
        <v>24.23</v>
      </c>
      <c r="E23" s="60">
        <v>10.75</v>
      </c>
      <c r="F23" s="60">
        <v>29.73</v>
      </c>
      <c r="G23" s="60">
        <v>50.69</v>
      </c>
      <c r="H23" s="60">
        <v>29.11</v>
      </c>
      <c r="I23" s="60">
        <v>0.63</v>
      </c>
      <c r="J23" s="60">
        <v>1.65</v>
      </c>
      <c r="K23" s="60">
        <v>255.88</v>
      </c>
      <c r="L23" s="60">
        <v>37.979999999999997</v>
      </c>
      <c r="M23" s="60">
        <v>28.57</v>
      </c>
      <c r="N23" s="60">
        <v>713.3</v>
      </c>
      <c r="O23" s="60">
        <v>0</v>
      </c>
      <c r="P23" s="60">
        <v>0.85</v>
      </c>
      <c r="Q23" s="60">
        <v>30.52</v>
      </c>
      <c r="R23" s="44"/>
      <c r="S23" s="44"/>
      <c r="T23" s="44"/>
      <c r="U23" s="44"/>
    </row>
    <row r="24" spans="1:21" s="12" customFormat="1" x14ac:dyDescent="0.25">
      <c r="A24" s="59" t="s">
        <v>533</v>
      </c>
      <c r="B24" s="60">
        <v>10.39</v>
      </c>
      <c r="C24" s="60">
        <v>43.93</v>
      </c>
      <c r="D24" s="60">
        <v>33.22</v>
      </c>
      <c r="E24" s="60">
        <v>6.14</v>
      </c>
      <c r="F24" s="60">
        <v>61.61</v>
      </c>
      <c r="G24" s="60">
        <v>41.93</v>
      </c>
      <c r="H24" s="60">
        <v>26.96</v>
      </c>
      <c r="I24" s="60">
        <v>0.59</v>
      </c>
      <c r="J24" s="60">
        <v>2.36</v>
      </c>
      <c r="K24" s="60">
        <v>265.29000000000002</v>
      </c>
      <c r="L24" s="60">
        <v>34.54</v>
      </c>
      <c r="M24" s="60">
        <v>33.79</v>
      </c>
      <c r="N24" s="60">
        <v>304.2</v>
      </c>
      <c r="O24" s="60">
        <v>0</v>
      </c>
      <c r="P24" s="60">
        <v>0.77</v>
      </c>
      <c r="Q24" s="60">
        <v>29.94</v>
      </c>
      <c r="R24" s="44"/>
      <c r="S24" s="44"/>
      <c r="T24" s="44"/>
      <c r="U24" s="44"/>
    </row>
    <row r="25" spans="1:21" s="12" customFormat="1" x14ac:dyDescent="0.25">
      <c r="A25" s="59" t="s">
        <v>534</v>
      </c>
      <c r="B25" s="60">
        <v>1.81</v>
      </c>
      <c r="C25" s="60">
        <v>35.57</v>
      </c>
      <c r="D25" s="60">
        <v>21.73</v>
      </c>
      <c r="E25" s="60">
        <v>5.83</v>
      </c>
      <c r="F25" s="60">
        <v>41.14</v>
      </c>
      <c r="G25" s="60">
        <v>40.57</v>
      </c>
      <c r="H25" s="60">
        <v>26.96</v>
      </c>
      <c r="I25" s="60">
        <v>0.66</v>
      </c>
      <c r="J25" s="60">
        <v>0.28999999999999998</v>
      </c>
      <c r="K25" s="60">
        <v>237.23</v>
      </c>
      <c r="L25" s="60">
        <v>35.409999999999997</v>
      </c>
      <c r="M25" s="60">
        <v>26.36</v>
      </c>
      <c r="N25" s="60">
        <v>135.19999999999999</v>
      </c>
      <c r="O25" s="60">
        <v>0</v>
      </c>
      <c r="P25" s="60">
        <v>0.63</v>
      </c>
      <c r="Q25" s="60">
        <v>29.66</v>
      </c>
      <c r="R25" s="44"/>
      <c r="S25" s="44"/>
      <c r="T25" s="44"/>
      <c r="U25" s="44"/>
    </row>
    <row r="26" spans="1:21" s="12" customFormat="1" x14ac:dyDescent="0.25">
      <c r="A26" s="59" t="s">
        <v>535</v>
      </c>
      <c r="B26" s="60">
        <v>2.2999999999999998</v>
      </c>
      <c r="C26" s="60">
        <v>48.93</v>
      </c>
      <c r="D26" s="60">
        <v>29.19</v>
      </c>
      <c r="E26" s="60">
        <v>4.7699999999999996</v>
      </c>
      <c r="F26" s="60">
        <v>33.979999999999997</v>
      </c>
      <c r="G26" s="60">
        <v>40.700000000000003</v>
      </c>
      <c r="H26" s="60">
        <v>23.92</v>
      </c>
      <c r="I26" s="60">
        <v>0.65</v>
      </c>
      <c r="J26" s="60">
        <v>0.76</v>
      </c>
      <c r="K26" s="60">
        <v>154.46</v>
      </c>
      <c r="L26" s="60">
        <v>34.56</v>
      </c>
      <c r="M26" s="60">
        <v>28.12</v>
      </c>
      <c r="N26" s="60">
        <v>83.3</v>
      </c>
      <c r="O26" s="60">
        <v>0</v>
      </c>
      <c r="P26" s="60">
        <v>0.5</v>
      </c>
      <c r="Q26" s="60">
        <v>29.83</v>
      </c>
      <c r="R26" s="44"/>
      <c r="S26" s="44"/>
      <c r="T26" s="44"/>
      <c r="U26" s="44"/>
    </row>
    <row r="27" spans="1:21" s="12" customFormat="1" x14ac:dyDescent="0.25">
      <c r="A27" s="59" t="s">
        <v>536</v>
      </c>
      <c r="B27" s="60">
        <v>1.57</v>
      </c>
      <c r="C27" s="60">
        <v>62.16</v>
      </c>
      <c r="D27" s="60">
        <v>36.1</v>
      </c>
      <c r="E27" s="60">
        <v>9.51</v>
      </c>
      <c r="F27" s="60">
        <v>56.06</v>
      </c>
      <c r="G27" s="60">
        <v>42.3</v>
      </c>
      <c r="H27" s="60">
        <v>24.4</v>
      </c>
      <c r="I27" s="60">
        <v>0.68</v>
      </c>
      <c r="J27" s="60">
        <v>1.26</v>
      </c>
      <c r="K27" s="60">
        <v>125.81</v>
      </c>
      <c r="L27" s="60">
        <v>33.229999999999997</v>
      </c>
      <c r="M27" s="60">
        <v>32.54</v>
      </c>
      <c r="N27" s="60">
        <v>20.8</v>
      </c>
      <c r="O27" s="60">
        <v>0</v>
      </c>
      <c r="P27" s="60">
        <v>0.77</v>
      </c>
      <c r="Q27" s="60">
        <v>32.770000000000003</v>
      </c>
      <c r="R27" s="44"/>
      <c r="S27" s="44"/>
      <c r="T27" s="44"/>
      <c r="U27" s="44"/>
    </row>
    <row r="28" spans="1:21" s="12" customFormat="1" x14ac:dyDescent="0.25">
      <c r="A28" s="59" t="s">
        <v>537</v>
      </c>
      <c r="B28" s="60">
        <v>11.29</v>
      </c>
      <c r="C28" s="60">
        <v>90.45</v>
      </c>
      <c r="D28" s="60">
        <v>57.27</v>
      </c>
      <c r="E28" s="60">
        <v>7.89</v>
      </c>
      <c r="F28" s="60">
        <v>24.28</v>
      </c>
      <c r="G28" s="60">
        <v>52.61</v>
      </c>
      <c r="H28" s="60">
        <v>24.91</v>
      </c>
      <c r="I28" s="60">
        <v>0.8</v>
      </c>
      <c r="J28" s="60">
        <v>0.37</v>
      </c>
      <c r="K28" s="60">
        <v>244.02</v>
      </c>
      <c r="L28" s="60">
        <v>31.42</v>
      </c>
      <c r="M28" s="60">
        <v>38.08</v>
      </c>
      <c r="N28" s="60">
        <v>5.0999999999999996</v>
      </c>
      <c r="O28" s="60">
        <v>0</v>
      </c>
      <c r="P28" s="60">
        <v>1.1599999999999999</v>
      </c>
      <c r="Q28" s="60">
        <v>31.41</v>
      </c>
      <c r="R28" s="44"/>
      <c r="S28" s="44"/>
      <c r="T28" s="44"/>
      <c r="U28" s="44"/>
    </row>
    <row r="29" spans="1:21" s="12" customFormat="1" x14ac:dyDescent="0.25">
      <c r="A29" s="59" t="s">
        <v>538</v>
      </c>
      <c r="B29" s="60">
        <v>5.77</v>
      </c>
      <c r="C29" s="60">
        <v>60.54</v>
      </c>
      <c r="D29" s="60">
        <v>38.68</v>
      </c>
      <c r="E29" s="60">
        <v>3.64</v>
      </c>
      <c r="F29" s="60">
        <v>6.76</v>
      </c>
      <c r="G29" s="60">
        <v>63.52</v>
      </c>
      <c r="H29" s="60">
        <v>31.84</v>
      </c>
      <c r="I29" s="60">
        <v>0.88</v>
      </c>
      <c r="J29" s="60">
        <v>1.1299999999999999</v>
      </c>
      <c r="K29" s="60">
        <v>183.45</v>
      </c>
      <c r="L29" s="60">
        <v>30.28</v>
      </c>
      <c r="M29" s="60">
        <v>38.51</v>
      </c>
      <c r="N29" s="60">
        <v>4.9000000000000004</v>
      </c>
      <c r="O29" s="60">
        <v>0</v>
      </c>
      <c r="P29" s="60">
        <v>0.96</v>
      </c>
      <c r="Q29" s="60">
        <v>31.77</v>
      </c>
      <c r="R29" s="44"/>
      <c r="S29" s="44"/>
      <c r="T29" s="44"/>
      <c r="U29" s="44"/>
    </row>
    <row r="30" spans="1:21" s="12" customFormat="1" x14ac:dyDescent="0.25">
      <c r="A30" s="59" t="s">
        <v>539</v>
      </c>
      <c r="B30" s="60">
        <v>7.14</v>
      </c>
      <c r="C30" s="60">
        <v>49.58</v>
      </c>
      <c r="D30" s="60">
        <v>33.630000000000003</v>
      </c>
      <c r="E30" s="60">
        <v>2.67</v>
      </c>
      <c r="F30" s="60">
        <v>16.04</v>
      </c>
      <c r="G30" s="60">
        <v>63.52</v>
      </c>
      <c r="H30" s="60">
        <v>31.84</v>
      </c>
      <c r="I30" s="60">
        <v>0.82</v>
      </c>
      <c r="J30" s="60">
        <v>1.23</v>
      </c>
      <c r="K30" s="60">
        <v>187.78</v>
      </c>
      <c r="L30" s="60">
        <v>29.47</v>
      </c>
      <c r="M30" s="60">
        <v>41.22</v>
      </c>
      <c r="N30" s="60">
        <v>5.3</v>
      </c>
      <c r="O30" s="60">
        <v>0</v>
      </c>
      <c r="P30" s="60">
        <v>0.74</v>
      </c>
      <c r="Q30" s="60">
        <v>32.24</v>
      </c>
      <c r="R30" s="44"/>
      <c r="S30" s="44"/>
      <c r="T30" s="44"/>
      <c r="U30" s="44"/>
    </row>
    <row r="31" spans="1:21" s="12" customFormat="1" x14ac:dyDescent="0.25">
      <c r="A31" s="59" t="s">
        <v>540</v>
      </c>
      <c r="B31" s="60">
        <v>4.7300000000000004</v>
      </c>
      <c r="C31" s="60">
        <v>36.6</v>
      </c>
      <c r="D31" s="60">
        <v>24.3</v>
      </c>
      <c r="E31" s="60">
        <v>2.35</v>
      </c>
      <c r="F31" s="60">
        <v>12.69</v>
      </c>
      <c r="G31" s="60">
        <v>55.99</v>
      </c>
      <c r="H31" s="60">
        <v>24.17</v>
      </c>
      <c r="I31" s="60">
        <v>0.78</v>
      </c>
      <c r="J31" s="60">
        <v>1.37</v>
      </c>
      <c r="K31" s="60">
        <v>171.38</v>
      </c>
      <c r="L31" s="60">
        <v>28.18</v>
      </c>
      <c r="M31" s="60">
        <v>43.43</v>
      </c>
      <c r="N31" s="60">
        <v>4.9000000000000004</v>
      </c>
      <c r="O31" s="60">
        <v>0</v>
      </c>
      <c r="P31" s="60">
        <v>0.69</v>
      </c>
      <c r="Q31" s="60">
        <v>32.700000000000003</v>
      </c>
      <c r="R31" s="44"/>
      <c r="S31" s="44"/>
      <c r="T31" s="44"/>
      <c r="U31" s="44"/>
    </row>
    <row r="32" spans="1:21" s="12" customFormat="1" x14ac:dyDescent="0.25">
      <c r="A32" s="59" t="s">
        <v>541</v>
      </c>
      <c r="B32" s="60">
        <v>2.2799999999999998</v>
      </c>
      <c r="C32" s="60">
        <v>35.9</v>
      </c>
      <c r="D32" s="60">
        <v>22.29</v>
      </c>
      <c r="E32" s="60">
        <v>1.63</v>
      </c>
      <c r="F32" s="60">
        <v>6.41</v>
      </c>
      <c r="G32" s="60">
        <v>48.86</v>
      </c>
      <c r="H32" s="60">
        <v>22.95</v>
      </c>
      <c r="I32" s="60">
        <v>0.85</v>
      </c>
      <c r="J32" s="60">
        <v>1.18</v>
      </c>
      <c r="K32" s="60">
        <v>173.51</v>
      </c>
      <c r="L32" s="60">
        <v>27.46</v>
      </c>
      <c r="M32" s="60">
        <v>44.94</v>
      </c>
      <c r="N32" s="60">
        <v>4.7</v>
      </c>
      <c r="O32" s="60">
        <v>0</v>
      </c>
      <c r="P32" s="60">
        <v>0.57999999999999996</v>
      </c>
      <c r="Q32" s="60">
        <v>30.6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</v>
      </c>
      <c r="C34" s="29">
        <f t="shared" si="0"/>
        <v>25.18</v>
      </c>
      <c r="D34" s="29">
        <f t="shared" si="0"/>
        <v>15.57</v>
      </c>
      <c r="E34" s="29">
        <f t="shared" si="0"/>
        <v>0.34</v>
      </c>
      <c r="F34" s="29">
        <f t="shared" si="0"/>
        <v>4.66</v>
      </c>
      <c r="G34" s="29">
        <f t="shared" si="0"/>
        <v>21.73</v>
      </c>
      <c r="H34" s="29">
        <f t="shared" si="0"/>
        <v>12.2</v>
      </c>
      <c r="I34" s="29">
        <f t="shared" si="0"/>
        <v>0.55000000000000004</v>
      </c>
      <c r="J34" s="29">
        <f t="shared" si="0"/>
        <v>0.15</v>
      </c>
      <c r="K34" s="29">
        <f t="shared" si="0"/>
        <v>125.81</v>
      </c>
      <c r="L34" s="29">
        <f t="shared" si="0"/>
        <v>22.97</v>
      </c>
      <c r="M34" s="29">
        <f t="shared" si="0"/>
        <v>25.52</v>
      </c>
      <c r="N34" s="29">
        <f t="shared" si="0"/>
        <v>4.7</v>
      </c>
      <c r="O34" s="29">
        <f t="shared" si="0"/>
        <v>0</v>
      </c>
      <c r="P34" s="29">
        <f t="shared" si="0"/>
        <v>0.31</v>
      </c>
      <c r="Q34" s="29">
        <f t="shared" si="0"/>
        <v>28.61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11.59</v>
      </c>
      <c r="C35" s="30">
        <f t="shared" si="1"/>
        <v>90.45</v>
      </c>
      <c r="D35" s="30">
        <f t="shared" si="1"/>
        <v>57.27</v>
      </c>
      <c r="E35" s="30">
        <f t="shared" si="1"/>
        <v>26.86</v>
      </c>
      <c r="F35" s="30">
        <f t="shared" si="1"/>
        <v>70.28</v>
      </c>
      <c r="G35" s="30">
        <f t="shared" si="1"/>
        <v>63.52</v>
      </c>
      <c r="H35" s="30">
        <f t="shared" si="1"/>
        <v>31.84</v>
      </c>
      <c r="I35" s="30">
        <f t="shared" si="1"/>
        <v>0.89</v>
      </c>
      <c r="J35" s="30">
        <f t="shared" si="1"/>
        <v>2.36</v>
      </c>
      <c r="K35" s="30">
        <f t="shared" si="1"/>
        <v>344.59</v>
      </c>
      <c r="L35" s="30">
        <f t="shared" si="1"/>
        <v>37.979999999999997</v>
      </c>
      <c r="M35" s="30">
        <f t="shared" si="1"/>
        <v>66.849999999999994</v>
      </c>
      <c r="N35" s="30">
        <f t="shared" si="1"/>
        <v>915.1</v>
      </c>
      <c r="O35" s="30">
        <f t="shared" si="1"/>
        <v>2.2000000000000002</v>
      </c>
      <c r="P35" s="30">
        <f t="shared" si="1"/>
        <v>1.19</v>
      </c>
      <c r="Q35" s="30">
        <f t="shared" si="1"/>
        <v>32.770000000000003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3.8854166666666665</v>
      </c>
      <c r="C36" s="29">
        <f t="shared" si="2"/>
        <v>38.975000000000001</v>
      </c>
      <c r="D36" s="29">
        <f t="shared" si="2"/>
        <v>24.925833333333333</v>
      </c>
      <c r="E36" s="29">
        <f t="shared" si="2"/>
        <v>5.1320833333333331</v>
      </c>
      <c r="F36" s="29">
        <f t="shared" si="2"/>
        <v>24.19458333333333</v>
      </c>
      <c r="G36" s="29">
        <f t="shared" si="2"/>
        <v>37.869999999999997</v>
      </c>
      <c r="H36" s="29">
        <f t="shared" si="2"/>
        <v>21.530416666666667</v>
      </c>
      <c r="I36" s="29">
        <f t="shared" si="2"/>
        <v>0.7004166666666668</v>
      </c>
      <c r="J36" s="29">
        <f t="shared" si="2"/>
        <v>0.82500000000000007</v>
      </c>
      <c r="K36" s="29">
        <f t="shared" si="2"/>
        <v>238.37750000000003</v>
      </c>
      <c r="L36" s="29">
        <f t="shared" si="2"/>
        <v>30.654583333333335</v>
      </c>
      <c r="M36" s="29">
        <f t="shared" si="2"/>
        <v>45.177916666666668</v>
      </c>
      <c r="N36" s="29">
        <f t="shared" si="2"/>
        <v>293.96250000000003</v>
      </c>
      <c r="O36" s="29">
        <f t="shared" si="2"/>
        <v>9.1666666666666674E-2</v>
      </c>
      <c r="P36" s="29">
        <f t="shared" si="2"/>
        <v>0.63500000000000001</v>
      </c>
      <c r="Q36" s="29">
        <f t="shared" si="2"/>
        <v>30.535416666666666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3.2829519844012425</v>
      </c>
      <c r="C37" s="29">
        <f t="shared" ref="C37:Q37" si="3">STDEV(C9:C32)</f>
        <v>14.800918596639454</v>
      </c>
      <c r="D37" s="29">
        <f t="shared" si="3"/>
        <v>9.4864837104380069</v>
      </c>
      <c r="E37" s="29">
        <f t="shared" si="3"/>
        <v>6.8445414488428327</v>
      </c>
      <c r="F37" s="29">
        <f t="shared" si="3"/>
        <v>20.799515040158923</v>
      </c>
      <c r="G37" s="29">
        <f t="shared" si="3"/>
        <v>13.38352296506873</v>
      </c>
      <c r="H37" s="29">
        <f t="shared" si="3"/>
        <v>5.8762709849364221</v>
      </c>
      <c r="I37" s="29">
        <f t="shared" si="3"/>
        <v>9.724371743053653E-2</v>
      </c>
      <c r="J37" s="29">
        <f t="shared" si="3"/>
        <v>0.59079901680763613</v>
      </c>
      <c r="K37" s="29">
        <f t="shared" si="3"/>
        <v>60.196985570202187</v>
      </c>
      <c r="L37" s="29">
        <f t="shared" si="3"/>
        <v>4.917725684276915</v>
      </c>
      <c r="M37" s="29">
        <f t="shared" si="3"/>
        <v>14.194230297268147</v>
      </c>
      <c r="N37" s="29">
        <f t="shared" si="3"/>
        <v>363.22267671558541</v>
      </c>
      <c r="O37" s="29">
        <f t="shared" si="3"/>
        <v>0.44907311951024936</v>
      </c>
      <c r="P37" s="29">
        <f t="shared" si="3"/>
        <v>0.26121788340137736</v>
      </c>
      <c r="Q37" s="29">
        <f t="shared" si="3"/>
        <v>1.0622043493180333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21-05-2023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53" t="s">
        <v>57</v>
      </c>
      <c r="R7" s="28"/>
      <c r="S7" s="30"/>
      <c r="T7" s="28"/>
      <c r="U7" s="28"/>
    </row>
    <row r="8" spans="1:21" s="22" customFormat="1" x14ac:dyDescent="0.25">
      <c r="A8" s="67"/>
      <c r="B8" s="68" t="s">
        <v>22</v>
      </c>
      <c r="C8" s="68" t="s">
        <v>22</v>
      </c>
      <c r="D8" s="30" t="s">
        <v>61</v>
      </c>
      <c r="E8" s="68" t="s">
        <v>22</v>
      </c>
      <c r="F8" s="68" t="s">
        <v>22</v>
      </c>
      <c r="G8" s="68" t="s">
        <v>23</v>
      </c>
      <c r="H8" s="68" t="s">
        <v>22</v>
      </c>
      <c r="I8" s="68" t="s">
        <v>22</v>
      </c>
      <c r="J8" s="68" t="s">
        <v>24</v>
      </c>
      <c r="K8" s="68" t="s">
        <v>25</v>
      </c>
      <c r="L8" s="67" t="s">
        <v>27</v>
      </c>
      <c r="M8" s="68" t="s">
        <v>26</v>
      </c>
      <c r="N8" s="68" t="s">
        <v>28</v>
      </c>
      <c r="O8" s="67" t="s">
        <v>29</v>
      </c>
      <c r="P8" s="68" t="s">
        <v>22</v>
      </c>
      <c r="Q8" s="68" t="s">
        <v>22</v>
      </c>
      <c r="R8" s="28"/>
      <c r="S8" s="30"/>
      <c r="T8" s="28"/>
      <c r="U8" s="28"/>
    </row>
    <row r="9" spans="1:21" s="12" customFormat="1" x14ac:dyDescent="0.25">
      <c r="A9" s="59" t="s">
        <v>542</v>
      </c>
      <c r="B9" s="60">
        <v>1.42</v>
      </c>
      <c r="C9" s="60">
        <v>29.36</v>
      </c>
      <c r="D9" s="60">
        <v>17.79</v>
      </c>
      <c r="E9" s="60">
        <v>2.02</v>
      </c>
      <c r="F9" s="60">
        <v>29.79</v>
      </c>
      <c r="G9" s="60">
        <v>40.61</v>
      </c>
      <c r="H9" s="60">
        <v>19.22</v>
      </c>
      <c r="I9" s="60">
        <v>0.66</v>
      </c>
      <c r="J9" s="60">
        <v>0.55000000000000004</v>
      </c>
      <c r="K9" s="60">
        <v>243.2</v>
      </c>
      <c r="L9" s="60">
        <v>27.02</v>
      </c>
      <c r="M9" s="60">
        <v>49.86</v>
      </c>
      <c r="N9" s="60">
        <v>5.3</v>
      </c>
      <c r="O9" s="60">
        <v>0</v>
      </c>
      <c r="P9" s="60">
        <v>0.39</v>
      </c>
      <c r="Q9" s="60">
        <v>31.82</v>
      </c>
      <c r="R9" s="44"/>
      <c r="S9" s="44"/>
      <c r="T9" s="44"/>
      <c r="U9" s="44"/>
    </row>
    <row r="10" spans="1:21" s="12" customFormat="1" x14ac:dyDescent="0.25">
      <c r="A10" s="59" t="s">
        <v>543</v>
      </c>
      <c r="B10" s="60">
        <v>3.26</v>
      </c>
      <c r="C10" s="60">
        <v>30.24</v>
      </c>
      <c r="D10" s="60">
        <v>19.61</v>
      </c>
      <c r="E10" s="60">
        <v>1.95</v>
      </c>
      <c r="F10" s="60">
        <v>14.87</v>
      </c>
      <c r="G10" s="60">
        <v>35.840000000000003</v>
      </c>
      <c r="H10" s="60">
        <v>16.59</v>
      </c>
      <c r="I10" s="60">
        <v>0.68</v>
      </c>
      <c r="J10" s="60">
        <v>0.1</v>
      </c>
      <c r="K10" s="60">
        <v>239.98</v>
      </c>
      <c r="L10" s="60">
        <v>25.85</v>
      </c>
      <c r="M10" s="60">
        <v>52.42</v>
      </c>
      <c r="N10" s="60">
        <v>5</v>
      </c>
      <c r="O10" s="60">
        <v>0</v>
      </c>
      <c r="P10" s="60">
        <v>0.42</v>
      </c>
      <c r="Q10" s="60">
        <v>32.06</v>
      </c>
      <c r="R10" s="44"/>
      <c r="S10" s="44"/>
      <c r="T10" s="44"/>
      <c r="U10" s="44"/>
    </row>
    <row r="11" spans="1:21" s="12" customFormat="1" x14ac:dyDescent="0.25">
      <c r="A11" s="59" t="s">
        <v>544</v>
      </c>
      <c r="B11" s="60">
        <v>1.83</v>
      </c>
      <c r="C11" s="60">
        <v>31.48</v>
      </c>
      <c r="D11" s="60">
        <v>19.239999999999998</v>
      </c>
      <c r="E11" s="60">
        <v>1.54</v>
      </c>
      <c r="F11" s="60">
        <v>10.27</v>
      </c>
      <c r="G11" s="60">
        <v>34.130000000000003</v>
      </c>
      <c r="H11" s="60">
        <v>17.3</v>
      </c>
      <c r="I11" s="60">
        <v>0.66</v>
      </c>
      <c r="J11" s="60">
        <v>0.18</v>
      </c>
      <c r="K11" s="60">
        <v>258.39999999999998</v>
      </c>
      <c r="L11" s="60">
        <v>25.09</v>
      </c>
      <c r="M11" s="60">
        <v>54.19</v>
      </c>
      <c r="N11" s="60">
        <v>5</v>
      </c>
      <c r="O11" s="60">
        <v>0</v>
      </c>
      <c r="P11" s="60">
        <v>0.38</v>
      </c>
      <c r="Q11" s="60">
        <v>30.45</v>
      </c>
      <c r="R11" s="44"/>
      <c r="S11" s="44"/>
      <c r="T11" s="44"/>
      <c r="U11" s="44"/>
    </row>
    <row r="12" spans="1:21" s="12" customFormat="1" x14ac:dyDescent="0.25">
      <c r="A12" s="59" t="s">
        <v>545</v>
      </c>
      <c r="B12" s="60">
        <v>7.81</v>
      </c>
      <c r="C12" s="60">
        <v>39.380000000000003</v>
      </c>
      <c r="D12" s="60">
        <v>28.64</v>
      </c>
      <c r="E12" s="60">
        <v>1.6</v>
      </c>
      <c r="F12" s="60">
        <v>23.28</v>
      </c>
      <c r="G12" s="60">
        <v>34.130000000000003</v>
      </c>
      <c r="H12" s="60">
        <v>17.3</v>
      </c>
      <c r="I12" s="60">
        <v>0.76</v>
      </c>
      <c r="J12" s="60">
        <v>0.5</v>
      </c>
      <c r="K12" s="60">
        <v>249.42</v>
      </c>
      <c r="L12" s="60">
        <v>25.08</v>
      </c>
      <c r="M12" s="60">
        <v>56.15</v>
      </c>
      <c r="N12" s="62" t="s">
        <v>14</v>
      </c>
      <c r="O12" s="60">
        <v>0</v>
      </c>
      <c r="P12" s="60">
        <v>0.35</v>
      </c>
      <c r="Q12" s="60">
        <v>32.19</v>
      </c>
      <c r="R12" s="44"/>
      <c r="S12" s="44"/>
      <c r="T12" s="44"/>
      <c r="U12" s="44"/>
    </row>
    <row r="13" spans="1:21" s="12" customFormat="1" x14ac:dyDescent="0.25">
      <c r="A13" s="59" t="s">
        <v>546</v>
      </c>
      <c r="B13" s="60">
        <v>4.99</v>
      </c>
      <c r="C13" s="60">
        <v>34.159999999999997</v>
      </c>
      <c r="D13" s="60">
        <v>23.29</v>
      </c>
      <c r="E13" s="60">
        <v>1.21</v>
      </c>
      <c r="F13" s="60">
        <v>6.83</v>
      </c>
      <c r="G13" s="60">
        <v>28.7</v>
      </c>
      <c r="H13" s="60">
        <v>16.07</v>
      </c>
      <c r="I13" s="60">
        <v>0.77</v>
      </c>
      <c r="J13" s="60">
        <v>1.1200000000000001</v>
      </c>
      <c r="K13" s="60">
        <v>243.11</v>
      </c>
      <c r="L13" s="60">
        <v>24.83</v>
      </c>
      <c r="M13" s="60">
        <v>57.12</v>
      </c>
      <c r="N13" s="62" t="s">
        <v>14</v>
      </c>
      <c r="O13" s="60">
        <v>0</v>
      </c>
      <c r="P13" s="60">
        <v>0.37</v>
      </c>
      <c r="Q13" s="60">
        <v>32.340000000000003</v>
      </c>
      <c r="R13" s="44"/>
      <c r="S13" s="44"/>
      <c r="T13" s="44"/>
      <c r="U13" s="44"/>
    </row>
    <row r="14" spans="1:21" s="12" customFormat="1" x14ac:dyDescent="0.25">
      <c r="A14" s="59" t="s">
        <v>547</v>
      </c>
      <c r="B14" s="60">
        <v>9.2799999999999994</v>
      </c>
      <c r="C14" s="60">
        <v>38.9</v>
      </c>
      <c r="D14" s="60">
        <v>29.55</v>
      </c>
      <c r="E14" s="60">
        <v>1.29</v>
      </c>
      <c r="F14" s="60">
        <v>6.34</v>
      </c>
      <c r="G14" s="60">
        <v>38.369999999999997</v>
      </c>
      <c r="H14" s="60">
        <v>18.38</v>
      </c>
      <c r="I14" s="60">
        <v>0.76</v>
      </c>
      <c r="J14" s="60">
        <v>0.92</v>
      </c>
      <c r="K14" s="60">
        <v>242.99</v>
      </c>
      <c r="L14" s="60">
        <v>24.81</v>
      </c>
      <c r="M14" s="60">
        <v>61.37</v>
      </c>
      <c r="N14" s="62" t="s">
        <v>14</v>
      </c>
      <c r="O14" s="60">
        <v>0</v>
      </c>
      <c r="P14" s="60">
        <v>0.47</v>
      </c>
      <c r="Q14" s="60">
        <v>30.68</v>
      </c>
      <c r="R14" s="44"/>
      <c r="S14" s="44"/>
      <c r="T14" s="44"/>
      <c r="U14" s="44"/>
    </row>
    <row r="15" spans="1:21" s="12" customFormat="1" x14ac:dyDescent="0.25">
      <c r="A15" s="59" t="s">
        <v>548</v>
      </c>
      <c r="B15" s="60">
        <v>13.32</v>
      </c>
      <c r="C15" s="60">
        <v>44.75</v>
      </c>
      <c r="D15" s="60">
        <v>35.520000000000003</v>
      </c>
      <c r="E15" s="60">
        <v>1.59</v>
      </c>
      <c r="F15" s="60">
        <v>19.510000000000002</v>
      </c>
      <c r="G15" s="60">
        <v>42.63</v>
      </c>
      <c r="H15" s="60">
        <v>22.8</v>
      </c>
      <c r="I15" s="60">
        <v>0.64</v>
      </c>
      <c r="J15" s="60">
        <v>0.72</v>
      </c>
      <c r="K15" s="60">
        <v>265.52999999999997</v>
      </c>
      <c r="L15" s="60">
        <v>27.45</v>
      </c>
      <c r="M15" s="60">
        <v>56.3</v>
      </c>
      <c r="N15" s="62" t="s">
        <v>14</v>
      </c>
      <c r="O15" s="60">
        <v>0</v>
      </c>
      <c r="P15" s="60">
        <v>0.63</v>
      </c>
      <c r="Q15" s="60">
        <v>32.29</v>
      </c>
      <c r="R15" s="44"/>
      <c r="S15" s="44"/>
      <c r="T15" s="44"/>
      <c r="U15" s="44"/>
    </row>
    <row r="16" spans="1:21" s="12" customFormat="1" x14ac:dyDescent="0.25">
      <c r="A16" s="59" t="s">
        <v>549</v>
      </c>
      <c r="B16" s="60">
        <v>9.31</v>
      </c>
      <c r="C16" s="60">
        <v>37.81</v>
      </c>
      <c r="D16" s="60">
        <v>26.7</v>
      </c>
      <c r="E16" s="60">
        <v>1.79</v>
      </c>
      <c r="F16" s="60">
        <v>6.31</v>
      </c>
      <c r="G16" s="60">
        <v>42.63</v>
      </c>
      <c r="H16" s="60">
        <v>22.8</v>
      </c>
      <c r="I16" s="60">
        <v>0.71</v>
      </c>
      <c r="J16" s="60">
        <v>0.56000000000000005</v>
      </c>
      <c r="K16" s="60">
        <v>199.92</v>
      </c>
      <c r="L16" s="60">
        <v>31.31</v>
      </c>
      <c r="M16" s="60">
        <v>49.46</v>
      </c>
      <c r="N16" s="62" t="s">
        <v>14</v>
      </c>
      <c r="O16" s="60">
        <v>0</v>
      </c>
      <c r="P16" s="60">
        <v>0.62</v>
      </c>
      <c r="Q16" s="60">
        <v>32.090000000000003</v>
      </c>
      <c r="R16" s="44"/>
      <c r="S16" s="44"/>
      <c r="T16" s="44"/>
      <c r="U16" s="44"/>
    </row>
    <row r="17" spans="1:21" s="12" customFormat="1" x14ac:dyDescent="0.25">
      <c r="A17" s="59" t="s">
        <v>550</v>
      </c>
      <c r="B17" s="60">
        <v>3.47</v>
      </c>
      <c r="C17" s="60">
        <v>38.07</v>
      </c>
      <c r="D17" s="60">
        <v>24.44</v>
      </c>
      <c r="E17" s="60">
        <v>1.1599999999999999</v>
      </c>
      <c r="F17" s="60">
        <v>13.16</v>
      </c>
      <c r="G17" s="60">
        <v>44.35</v>
      </c>
      <c r="H17" s="60">
        <v>26.19</v>
      </c>
      <c r="I17" s="60">
        <v>0.85</v>
      </c>
      <c r="J17" s="60">
        <v>0.4</v>
      </c>
      <c r="K17" s="60">
        <v>231.62</v>
      </c>
      <c r="L17" s="60">
        <v>32.17</v>
      </c>
      <c r="M17" s="60">
        <v>47.25</v>
      </c>
      <c r="N17" s="62" t="s">
        <v>14</v>
      </c>
      <c r="O17" s="60">
        <v>0</v>
      </c>
      <c r="P17" s="60">
        <v>0.64</v>
      </c>
      <c r="Q17" s="60">
        <v>30.48</v>
      </c>
      <c r="R17" s="44"/>
      <c r="S17" s="44"/>
      <c r="T17" s="44"/>
      <c r="U17" s="44"/>
    </row>
    <row r="18" spans="1:21" s="12" customFormat="1" x14ac:dyDescent="0.25">
      <c r="A18" s="59" t="s">
        <v>551</v>
      </c>
      <c r="B18" s="60">
        <v>2.08</v>
      </c>
      <c r="C18" s="60">
        <v>31.57</v>
      </c>
      <c r="D18" s="60">
        <v>19.28</v>
      </c>
      <c r="E18" s="60">
        <v>1.31</v>
      </c>
      <c r="F18" s="60">
        <v>17.43</v>
      </c>
      <c r="G18" s="60">
        <v>48.02</v>
      </c>
      <c r="H18" s="60">
        <v>26.19</v>
      </c>
      <c r="I18" s="60">
        <v>0.56999999999999995</v>
      </c>
      <c r="J18" s="60">
        <v>0.32</v>
      </c>
      <c r="K18" s="60">
        <v>221.25</v>
      </c>
      <c r="L18" s="60">
        <v>33.9</v>
      </c>
      <c r="M18" s="60">
        <v>39.5</v>
      </c>
      <c r="N18" s="62" t="s">
        <v>14</v>
      </c>
      <c r="O18" s="60">
        <v>0</v>
      </c>
      <c r="P18" s="60">
        <v>0.62</v>
      </c>
      <c r="Q18" s="60">
        <v>30.25</v>
      </c>
      <c r="R18" s="44"/>
      <c r="S18" s="44"/>
      <c r="T18" s="44"/>
      <c r="U18" s="44"/>
    </row>
    <row r="19" spans="1:21" s="12" customFormat="1" x14ac:dyDescent="0.25">
      <c r="A19" s="59" t="s">
        <v>552</v>
      </c>
      <c r="B19" s="60">
        <v>1.8</v>
      </c>
      <c r="C19" s="60">
        <v>34.33</v>
      </c>
      <c r="D19" s="60">
        <v>21.03</v>
      </c>
      <c r="E19" s="60">
        <v>1.64</v>
      </c>
      <c r="F19" s="60">
        <v>11.79</v>
      </c>
      <c r="G19" s="60">
        <v>48.02</v>
      </c>
      <c r="H19" s="60">
        <v>24.41</v>
      </c>
      <c r="I19" s="60">
        <v>0.76</v>
      </c>
      <c r="J19" s="60">
        <v>0.65</v>
      </c>
      <c r="K19" s="60">
        <v>279.77</v>
      </c>
      <c r="L19" s="60">
        <v>38.18</v>
      </c>
      <c r="M19" s="60">
        <v>30.5</v>
      </c>
      <c r="N19" s="62" t="s">
        <v>14</v>
      </c>
      <c r="O19" s="60">
        <v>0</v>
      </c>
      <c r="P19" s="60">
        <v>0.66</v>
      </c>
      <c r="Q19" s="60">
        <v>29.67</v>
      </c>
      <c r="R19" s="44"/>
      <c r="S19" s="44"/>
      <c r="T19" s="44"/>
      <c r="U19" s="44"/>
    </row>
    <row r="20" spans="1:21" s="12" customFormat="1" x14ac:dyDescent="0.25">
      <c r="A20" s="59" t="s">
        <v>553</v>
      </c>
      <c r="B20" s="60">
        <v>2.72</v>
      </c>
      <c r="C20" s="60">
        <v>42.47</v>
      </c>
      <c r="D20" s="60">
        <v>25.64</v>
      </c>
      <c r="E20" s="60">
        <v>3.32</v>
      </c>
      <c r="F20" s="60">
        <v>39.82</v>
      </c>
      <c r="G20" s="60">
        <v>46.21</v>
      </c>
      <c r="H20" s="60">
        <v>25.27</v>
      </c>
      <c r="I20" s="60">
        <v>0.64</v>
      </c>
      <c r="J20" s="60">
        <v>0.68</v>
      </c>
      <c r="K20" s="60">
        <v>301.93</v>
      </c>
      <c r="L20" s="60">
        <v>39.76</v>
      </c>
      <c r="M20" s="60">
        <v>25.25</v>
      </c>
      <c r="N20" s="62" t="s">
        <v>14</v>
      </c>
      <c r="O20" s="60">
        <v>0</v>
      </c>
      <c r="P20" s="60">
        <v>1.1100000000000001</v>
      </c>
      <c r="Q20" s="60">
        <v>29.68</v>
      </c>
      <c r="R20" s="44"/>
      <c r="S20" s="44"/>
      <c r="T20" s="44"/>
      <c r="U20" s="44"/>
    </row>
    <row r="21" spans="1:21" s="12" customFormat="1" x14ac:dyDescent="0.25">
      <c r="A21" s="59" t="s">
        <v>554</v>
      </c>
      <c r="B21" s="60">
        <v>4.79</v>
      </c>
      <c r="C21" s="60">
        <v>43.34</v>
      </c>
      <c r="D21" s="60">
        <v>28.41</v>
      </c>
      <c r="E21" s="60">
        <v>23.2</v>
      </c>
      <c r="F21" s="60">
        <v>88.64</v>
      </c>
      <c r="G21" s="60">
        <v>54.52</v>
      </c>
      <c r="H21" s="60">
        <v>26.71</v>
      </c>
      <c r="I21" s="60">
        <v>0.67</v>
      </c>
      <c r="J21" s="60">
        <v>0.8</v>
      </c>
      <c r="K21" s="60">
        <v>261.52</v>
      </c>
      <c r="L21" s="60">
        <v>40.21</v>
      </c>
      <c r="M21" s="60">
        <v>23.12</v>
      </c>
      <c r="N21" s="60">
        <v>878.3</v>
      </c>
      <c r="O21" s="60">
        <v>0</v>
      </c>
      <c r="P21" s="60">
        <v>1.1299999999999999</v>
      </c>
      <c r="Q21" s="60">
        <v>29.47</v>
      </c>
      <c r="R21" s="44"/>
      <c r="S21" s="44"/>
      <c r="T21" s="44"/>
      <c r="U21" s="44"/>
    </row>
    <row r="22" spans="1:21" s="12" customFormat="1" x14ac:dyDescent="0.25">
      <c r="A22" s="59" t="s">
        <v>555</v>
      </c>
      <c r="B22" s="60">
        <v>2.99</v>
      </c>
      <c r="C22" s="60">
        <v>40.96</v>
      </c>
      <c r="D22" s="60">
        <v>24.62</v>
      </c>
      <c r="E22" s="60">
        <v>6.93</v>
      </c>
      <c r="F22" s="60">
        <v>28.84</v>
      </c>
      <c r="G22" s="60">
        <v>54.52</v>
      </c>
      <c r="H22" s="60">
        <v>27.22</v>
      </c>
      <c r="I22" s="60">
        <v>0.91</v>
      </c>
      <c r="J22" s="60">
        <v>0.89</v>
      </c>
      <c r="K22" s="60">
        <v>270.12</v>
      </c>
      <c r="L22" s="60">
        <v>41.56</v>
      </c>
      <c r="M22" s="60">
        <v>17.8</v>
      </c>
      <c r="N22" s="60">
        <v>823.8</v>
      </c>
      <c r="O22" s="60">
        <v>0</v>
      </c>
      <c r="P22" s="60">
        <v>0.86</v>
      </c>
      <c r="Q22" s="60">
        <v>29.72</v>
      </c>
      <c r="R22" s="44"/>
      <c r="S22" s="44"/>
      <c r="T22" s="44"/>
      <c r="U22" s="44"/>
    </row>
    <row r="23" spans="1:21" s="12" customFormat="1" x14ac:dyDescent="0.25">
      <c r="A23" s="59" t="s">
        <v>556</v>
      </c>
      <c r="B23" s="60">
        <v>2.2799999999999998</v>
      </c>
      <c r="C23" s="60">
        <v>36.94</v>
      </c>
      <c r="D23" s="60">
        <v>22.49</v>
      </c>
      <c r="E23" s="60">
        <v>6.6</v>
      </c>
      <c r="F23" s="60">
        <v>33.44</v>
      </c>
      <c r="G23" s="60">
        <v>52.35</v>
      </c>
      <c r="H23" s="60">
        <v>27.22</v>
      </c>
      <c r="I23" s="60">
        <v>0.71</v>
      </c>
      <c r="J23" s="60">
        <v>1.55</v>
      </c>
      <c r="K23" s="60">
        <v>269.93</v>
      </c>
      <c r="L23" s="60">
        <v>40.67</v>
      </c>
      <c r="M23" s="60">
        <v>21.27</v>
      </c>
      <c r="N23" s="60">
        <v>587.6</v>
      </c>
      <c r="O23" s="60">
        <v>0</v>
      </c>
      <c r="P23" s="60">
        <v>0.79</v>
      </c>
      <c r="Q23" s="60">
        <v>29.66</v>
      </c>
      <c r="R23" s="44"/>
      <c r="S23" s="44"/>
      <c r="T23" s="44"/>
      <c r="U23" s="44"/>
    </row>
    <row r="24" spans="1:21" s="12" customFormat="1" x14ac:dyDescent="0.25">
      <c r="A24" s="59" t="s">
        <v>557</v>
      </c>
      <c r="B24" s="60">
        <v>5.97</v>
      </c>
      <c r="C24" s="60">
        <v>35.479999999999997</v>
      </c>
      <c r="D24" s="60">
        <v>25.02</v>
      </c>
      <c r="E24" s="60">
        <v>4.59</v>
      </c>
      <c r="F24" s="60">
        <v>24.99</v>
      </c>
      <c r="G24" s="60">
        <v>50.16</v>
      </c>
      <c r="H24" s="60">
        <v>23.12</v>
      </c>
      <c r="I24" s="60">
        <v>0.93</v>
      </c>
      <c r="J24" s="60">
        <v>1.61</v>
      </c>
      <c r="K24" s="60">
        <v>256.74</v>
      </c>
      <c r="L24" s="60">
        <v>36.89</v>
      </c>
      <c r="M24" s="60">
        <v>28.98</v>
      </c>
      <c r="N24" s="60">
        <v>116.8</v>
      </c>
      <c r="O24" s="60">
        <v>0</v>
      </c>
      <c r="P24" s="60">
        <v>0.63</v>
      </c>
      <c r="Q24" s="60">
        <v>27.88</v>
      </c>
      <c r="R24" s="44"/>
      <c r="S24" s="44"/>
      <c r="T24" s="44"/>
      <c r="U24" s="44"/>
    </row>
    <row r="25" spans="1:21" s="12" customFormat="1" x14ac:dyDescent="0.25">
      <c r="A25" s="59" t="s">
        <v>558</v>
      </c>
      <c r="B25" s="60">
        <v>6.4</v>
      </c>
      <c r="C25" s="60">
        <v>48</v>
      </c>
      <c r="D25" s="60">
        <v>31.93</v>
      </c>
      <c r="E25" s="60">
        <v>3.36</v>
      </c>
      <c r="F25" s="60">
        <v>26</v>
      </c>
      <c r="G25" s="60">
        <v>50.16</v>
      </c>
      <c r="H25" s="60">
        <v>21.57</v>
      </c>
      <c r="I25" s="60">
        <v>0.73</v>
      </c>
      <c r="J25" s="60">
        <v>0.84</v>
      </c>
      <c r="K25" s="60">
        <v>313.69</v>
      </c>
      <c r="L25" s="60">
        <v>32.75</v>
      </c>
      <c r="M25" s="60">
        <v>28.15</v>
      </c>
      <c r="N25" s="60">
        <v>116.5</v>
      </c>
      <c r="O25" s="60">
        <v>0</v>
      </c>
      <c r="P25" s="60">
        <v>0.68</v>
      </c>
      <c r="Q25" s="60">
        <v>25.57</v>
      </c>
      <c r="R25" s="44"/>
      <c r="S25" s="44"/>
      <c r="T25" s="44"/>
      <c r="U25" s="44"/>
    </row>
    <row r="26" spans="1:21" s="12" customFormat="1" x14ac:dyDescent="0.25">
      <c r="A26" s="59" t="s">
        <v>559</v>
      </c>
      <c r="B26" s="60">
        <v>8.7200000000000006</v>
      </c>
      <c r="C26" s="60">
        <v>62.23</v>
      </c>
      <c r="D26" s="60">
        <v>41.75</v>
      </c>
      <c r="E26" s="60">
        <v>3.95</v>
      </c>
      <c r="F26" s="60">
        <v>42.16</v>
      </c>
      <c r="G26" s="60">
        <v>49.62</v>
      </c>
      <c r="H26" s="60">
        <v>21.57</v>
      </c>
      <c r="I26" s="60">
        <v>0.68</v>
      </c>
      <c r="J26" s="60">
        <v>0.45</v>
      </c>
      <c r="K26" s="60">
        <v>295.60000000000002</v>
      </c>
      <c r="L26" s="60">
        <v>35.18</v>
      </c>
      <c r="M26" s="60">
        <v>22.98</v>
      </c>
      <c r="N26" s="60">
        <v>119.5</v>
      </c>
      <c r="O26" s="60">
        <v>0</v>
      </c>
      <c r="P26" s="60">
        <v>0.85</v>
      </c>
      <c r="Q26" s="60">
        <v>25.84</v>
      </c>
      <c r="R26" s="44"/>
      <c r="S26" s="44"/>
      <c r="T26" s="44"/>
      <c r="U26" s="44"/>
    </row>
    <row r="27" spans="1:21" s="12" customFormat="1" x14ac:dyDescent="0.25">
      <c r="A27" s="59" t="s">
        <v>560</v>
      </c>
      <c r="B27" s="60">
        <v>52.71</v>
      </c>
      <c r="C27" s="60">
        <v>106.64</v>
      </c>
      <c r="D27" s="60">
        <v>101.76</v>
      </c>
      <c r="E27" s="60">
        <v>18.059999999999999</v>
      </c>
      <c r="F27" s="60">
        <v>33.58</v>
      </c>
      <c r="G27" s="60">
        <v>53.37</v>
      </c>
      <c r="H27" s="60">
        <v>24.78</v>
      </c>
      <c r="I27" s="60">
        <v>0.75</v>
      </c>
      <c r="J27" s="60">
        <v>0.09</v>
      </c>
      <c r="K27" s="60">
        <v>274.56</v>
      </c>
      <c r="L27" s="60">
        <v>32.79</v>
      </c>
      <c r="M27" s="60">
        <v>29.95</v>
      </c>
      <c r="N27" s="60">
        <v>20</v>
      </c>
      <c r="O27" s="60">
        <v>0</v>
      </c>
      <c r="P27" s="60">
        <v>2.71</v>
      </c>
      <c r="Q27" s="60">
        <v>24.82</v>
      </c>
      <c r="R27" s="44"/>
      <c r="S27" s="44"/>
      <c r="T27" s="44"/>
      <c r="U27" s="44"/>
    </row>
    <row r="28" spans="1:21" s="12" customFormat="1" x14ac:dyDescent="0.25">
      <c r="A28" s="59" t="s">
        <v>561</v>
      </c>
      <c r="B28" s="60">
        <v>129</v>
      </c>
      <c r="C28" s="60">
        <v>98.53</v>
      </c>
      <c r="D28" s="60">
        <v>154.68</v>
      </c>
      <c r="E28" s="60">
        <v>9.76</v>
      </c>
      <c r="F28" s="60">
        <v>4.1500000000000004</v>
      </c>
      <c r="G28" s="60">
        <v>70.760000000000005</v>
      </c>
      <c r="H28" s="60">
        <v>32.46</v>
      </c>
      <c r="I28" s="60">
        <v>1.1399999999999999</v>
      </c>
      <c r="J28" s="60">
        <v>0.16</v>
      </c>
      <c r="K28" s="60">
        <v>284.89</v>
      </c>
      <c r="L28" s="60">
        <v>29.77</v>
      </c>
      <c r="M28" s="60">
        <v>39.450000000000003</v>
      </c>
      <c r="N28" s="60">
        <v>5.5</v>
      </c>
      <c r="O28" s="60">
        <v>0</v>
      </c>
      <c r="P28" s="60">
        <v>2.84</v>
      </c>
      <c r="Q28" s="60">
        <v>22.91</v>
      </c>
      <c r="R28" s="44"/>
      <c r="S28" s="44"/>
      <c r="T28" s="44"/>
      <c r="U28" s="44"/>
    </row>
    <row r="29" spans="1:21" s="12" customFormat="1" x14ac:dyDescent="0.25">
      <c r="A29" s="59" t="s">
        <v>562</v>
      </c>
      <c r="B29" s="60">
        <v>195.82</v>
      </c>
      <c r="C29" s="60">
        <v>120.24</v>
      </c>
      <c r="D29" s="60">
        <v>224.04</v>
      </c>
      <c r="E29" s="60">
        <v>17.190000000000001</v>
      </c>
      <c r="F29" s="60">
        <v>4.8</v>
      </c>
      <c r="G29" s="60">
        <v>180.4</v>
      </c>
      <c r="H29" s="60">
        <v>44.71</v>
      </c>
      <c r="I29" s="60">
        <v>1.22</v>
      </c>
      <c r="J29" s="60">
        <v>0.16</v>
      </c>
      <c r="K29" s="60">
        <v>272.82</v>
      </c>
      <c r="L29" s="60">
        <v>29.72</v>
      </c>
      <c r="M29" s="60">
        <v>40.840000000000003</v>
      </c>
      <c r="N29" s="60">
        <v>5.3</v>
      </c>
      <c r="O29" s="60">
        <v>0</v>
      </c>
      <c r="P29" s="60">
        <v>5.14</v>
      </c>
      <c r="Q29" s="60">
        <v>31.39</v>
      </c>
      <c r="R29" s="44"/>
      <c r="S29" s="44"/>
      <c r="T29" s="44"/>
      <c r="U29" s="44"/>
    </row>
    <row r="30" spans="1:21" s="12" customFormat="1" x14ac:dyDescent="0.25">
      <c r="A30" s="59" t="s">
        <v>563</v>
      </c>
      <c r="B30" s="60">
        <v>180.39</v>
      </c>
      <c r="C30" s="60">
        <v>113.47</v>
      </c>
      <c r="D30" s="60">
        <v>207.93</v>
      </c>
      <c r="E30" s="60">
        <v>15.11</v>
      </c>
      <c r="F30" s="60">
        <v>11.48</v>
      </c>
      <c r="G30" s="60">
        <v>180.4</v>
      </c>
      <c r="H30" s="60">
        <v>48.39</v>
      </c>
      <c r="I30" s="60">
        <v>1.67</v>
      </c>
      <c r="J30" s="60">
        <v>0.68</v>
      </c>
      <c r="K30" s="60">
        <v>224.06</v>
      </c>
      <c r="L30" s="60">
        <v>28.88</v>
      </c>
      <c r="M30" s="60">
        <v>41.51</v>
      </c>
      <c r="N30" s="60">
        <v>4.9000000000000004</v>
      </c>
      <c r="O30" s="60">
        <v>0</v>
      </c>
      <c r="P30" s="60">
        <v>3.82</v>
      </c>
      <c r="Q30" s="60">
        <v>42.22</v>
      </c>
      <c r="R30" s="44"/>
      <c r="S30" s="44"/>
      <c r="T30" s="44"/>
      <c r="U30" s="44"/>
    </row>
    <row r="31" spans="1:21" s="12" customFormat="1" x14ac:dyDescent="0.25">
      <c r="A31" s="59" t="s">
        <v>564</v>
      </c>
      <c r="B31" s="60">
        <v>69.89</v>
      </c>
      <c r="C31" s="60">
        <v>47.85</v>
      </c>
      <c r="D31" s="60">
        <v>82.94</v>
      </c>
      <c r="E31" s="60">
        <v>3.36</v>
      </c>
      <c r="F31" s="60">
        <v>6.69</v>
      </c>
      <c r="G31" s="60">
        <v>138.18</v>
      </c>
      <c r="H31" s="60">
        <v>48.39</v>
      </c>
      <c r="I31" s="60">
        <v>1.08</v>
      </c>
      <c r="J31" s="60">
        <v>0.42</v>
      </c>
      <c r="K31" s="60">
        <v>220.88</v>
      </c>
      <c r="L31" s="60">
        <v>28.21</v>
      </c>
      <c r="M31" s="60">
        <v>36.909999999999997</v>
      </c>
      <c r="N31" s="60">
        <v>5</v>
      </c>
      <c r="O31" s="60">
        <v>0</v>
      </c>
      <c r="P31" s="60">
        <v>2.19</v>
      </c>
      <c r="Q31" s="60">
        <v>35.96</v>
      </c>
      <c r="R31" s="44"/>
      <c r="S31" s="44"/>
      <c r="T31" s="44"/>
      <c r="U31" s="44"/>
    </row>
    <row r="32" spans="1:21" s="12" customFormat="1" x14ac:dyDescent="0.25">
      <c r="A32" s="59" t="s">
        <v>565</v>
      </c>
      <c r="B32" s="60">
        <v>36.1</v>
      </c>
      <c r="C32" s="60">
        <v>45.74</v>
      </c>
      <c r="D32" s="60">
        <v>54.84</v>
      </c>
      <c r="E32" s="60">
        <v>2.29</v>
      </c>
      <c r="F32" s="60">
        <v>21.01</v>
      </c>
      <c r="G32" s="60">
        <v>47.28</v>
      </c>
      <c r="H32" s="60">
        <v>40.5</v>
      </c>
      <c r="I32" s="60">
        <v>0.87</v>
      </c>
      <c r="J32" s="60">
        <v>0.96</v>
      </c>
      <c r="K32" s="60">
        <v>170.86</v>
      </c>
      <c r="L32" s="60">
        <v>27.27</v>
      </c>
      <c r="M32" s="60">
        <v>45.2</v>
      </c>
      <c r="N32" s="60">
        <v>4.7</v>
      </c>
      <c r="O32" s="60">
        <v>0</v>
      </c>
      <c r="P32" s="60">
        <v>1.57</v>
      </c>
      <c r="Q32" s="60">
        <v>31.99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1.42</v>
      </c>
      <c r="C34" s="29">
        <f t="shared" si="0"/>
        <v>29.36</v>
      </c>
      <c r="D34" s="29">
        <f t="shared" si="0"/>
        <v>17.79</v>
      </c>
      <c r="E34" s="29">
        <f t="shared" si="0"/>
        <v>1.1599999999999999</v>
      </c>
      <c r="F34" s="29">
        <f t="shared" si="0"/>
        <v>4.1500000000000004</v>
      </c>
      <c r="G34" s="29">
        <f t="shared" si="0"/>
        <v>28.7</v>
      </c>
      <c r="H34" s="29">
        <f t="shared" si="0"/>
        <v>16.07</v>
      </c>
      <c r="I34" s="29">
        <f t="shared" si="0"/>
        <v>0.56999999999999995</v>
      </c>
      <c r="J34" s="29">
        <f t="shared" si="0"/>
        <v>0.09</v>
      </c>
      <c r="K34" s="29">
        <f t="shared" si="0"/>
        <v>170.86</v>
      </c>
      <c r="L34" s="29">
        <f t="shared" si="0"/>
        <v>24.81</v>
      </c>
      <c r="M34" s="29">
        <f t="shared" si="0"/>
        <v>17.8</v>
      </c>
      <c r="N34" s="29">
        <f t="shared" si="0"/>
        <v>4.7</v>
      </c>
      <c r="O34" s="29">
        <f t="shared" si="0"/>
        <v>0</v>
      </c>
      <c r="P34" s="29">
        <f t="shared" si="0"/>
        <v>0.35</v>
      </c>
      <c r="Q34" s="29">
        <f t="shared" si="0"/>
        <v>22.91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195.82</v>
      </c>
      <c r="C35" s="30">
        <f t="shared" si="1"/>
        <v>120.24</v>
      </c>
      <c r="D35" s="30">
        <f t="shared" si="1"/>
        <v>224.04</v>
      </c>
      <c r="E35" s="30">
        <f t="shared" si="1"/>
        <v>23.2</v>
      </c>
      <c r="F35" s="30">
        <f t="shared" si="1"/>
        <v>88.64</v>
      </c>
      <c r="G35" s="30">
        <f t="shared" si="1"/>
        <v>180.4</v>
      </c>
      <c r="H35" s="30">
        <f t="shared" si="1"/>
        <v>48.39</v>
      </c>
      <c r="I35" s="30">
        <f t="shared" si="1"/>
        <v>1.67</v>
      </c>
      <c r="J35" s="30">
        <f t="shared" si="1"/>
        <v>1.61</v>
      </c>
      <c r="K35" s="30">
        <f t="shared" si="1"/>
        <v>313.69</v>
      </c>
      <c r="L35" s="30">
        <f t="shared" si="1"/>
        <v>41.56</v>
      </c>
      <c r="M35" s="30">
        <f t="shared" si="1"/>
        <v>61.37</v>
      </c>
      <c r="N35" s="30">
        <f t="shared" si="1"/>
        <v>878.3</v>
      </c>
      <c r="O35" s="30">
        <f t="shared" si="1"/>
        <v>0</v>
      </c>
      <c r="P35" s="30">
        <f t="shared" si="1"/>
        <v>5.14</v>
      </c>
      <c r="Q35" s="30">
        <f t="shared" si="1"/>
        <v>42.22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31.514583333333331</v>
      </c>
      <c r="C36" s="29">
        <f t="shared" si="2"/>
        <v>51.330833333333324</v>
      </c>
      <c r="D36" s="29">
        <f t="shared" si="2"/>
        <v>53.797500000000007</v>
      </c>
      <c r="E36" s="29">
        <f t="shared" si="2"/>
        <v>5.6175000000000006</v>
      </c>
      <c r="F36" s="29">
        <f t="shared" si="2"/>
        <v>21.882500000000004</v>
      </c>
      <c r="G36" s="29">
        <f t="shared" si="2"/>
        <v>61.056666666666672</v>
      </c>
      <c r="H36" s="29">
        <f t="shared" si="2"/>
        <v>26.631666666666661</v>
      </c>
      <c r="I36" s="29">
        <f t="shared" si="2"/>
        <v>0.8258333333333332</v>
      </c>
      <c r="J36" s="29">
        <f t="shared" si="2"/>
        <v>0.63791666666666658</v>
      </c>
      <c r="K36" s="29">
        <f t="shared" si="2"/>
        <v>253.86625000000001</v>
      </c>
      <c r="L36" s="29">
        <f t="shared" si="2"/>
        <v>31.639583333333331</v>
      </c>
      <c r="M36" s="29">
        <f t="shared" si="2"/>
        <v>39.813750000000006</v>
      </c>
      <c r="N36" s="29">
        <f t="shared" si="2"/>
        <v>180.21333333333334</v>
      </c>
      <c r="O36" s="29">
        <f t="shared" si="2"/>
        <v>0</v>
      </c>
      <c r="P36" s="29">
        <f t="shared" si="2"/>
        <v>1.2445833333333336</v>
      </c>
      <c r="Q36" s="29">
        <f t="shared" si="2"/>
        <v>30.476250000000007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56.463135028176971</v>
      </c>
      <c r="C37" s="29">
        <f t="shared" ref="C37:Q37" si="3">STDEV(C9:C32)</f>
        <v>27.798508079558435</v>
      </c>
      <c r="D37" s="29">
        <f t="shared" si="3"/>
        <v>59.268799934300787</v>
      </c>
      <c r="E37" s="29">
        <f t="shared" si="3"/>
        <v>6.3267735097345019</v>
      </c>
      <c r="F37" s="29">
        <f t="shared" si="3"/>
        <v>18.229823450694141</v>
      </c>
      <c r="G37" s="29">
        <f t="shared" si="3"/>
        <v>42.164505334996257</v>
      </c>
      <c r="H37" s="29">
        <f t="shared" si="3"/>
        <v>9.5866445445311435</v>
      </c>
      <c r="I37" s="29">
        <f t="shared" si="3"/>
        <v>0.24370182541406044</v>
      </c>
      <c r="J37" s="29">
        <f t="shared" si="3"/>
        <v>0.40982476813842067</v>
      </c>
      <c r="K37" s="29">
        <f t="shared" si="3"/>
        <v>32.766061950757518</v>
      </c>
      <c r="L37" s="29">
        <f t="shared" si="3"/>
        <v>5.545435631271892</v>
      </c>
      <c r="M37" s="29">
        <f t="shared" si="3"/>
        <v>13.186635794885529</v>
      </c>
      <c r="N37" s="29">
        <f t="shared" si="3"/>
        <v>310.56178098652737</v>
      </c>
      <c r="O37" s="29">
        <f t="shared" si="3"/>
        <v>0</v>
      </c>
      <c r="P37" s="29">
        <f t="shared" si="3"/>
        <v>1.2322760107486741</v>
      </c>
      <c r="Q37" s="29">
        <f t="shared" si="3"/>
        <v>3.8045051240772456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>COUNT(N9:N32)+9</f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57" sqref="H57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22-05-2023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53" t="s">
        <v>57</v>
      </c>
      <c r="R7" s="28"/>
      <c r="S7" s="30"/>
      <c r="T7" s="28"/>
      <c r="U7" s="28"/>
    </row>
    <row r="8" spans="1:21" s="22" customFormat="1" x14ac:dyDescent="0.25">
      <c r="A8" s="67"/>
      <c r="B8" s="68" t="s">
        <v>22</v>
      </c>
      <c r="C8" s="68" t="s">
        <v>22</v>
      </c>
      <c r="D8" s="30" t="s">
        <v>61</v>
      </c>
      <c r="E8" s="68" t="s">
        <v>22</v>
      </c>
      <c r="F8" s="68" t="s">
        <v>22</v>
      </c>
      <c r="G8" s="68" t="s">
        <v>23</v>
      </c>
      <c r="H8" s="68" t="s">
        <v>22</v>
      </c>
      <c r="I8" s="68" t="s">
        <v>22</v>
      </c>
      <c r="J8" s="68" t="s">
        <v>24</v>
      </c>
      <c r="K8" s="68" t="s">
        <v>25</v>
      </c>
      <c r="L8" s="67" t="s">
        <v>27</v>
      </c>
      <c r="M8" s="68" t="s">
        <v>26</v>
      </c>
      <c r="N8" s="68" t="s">
        <v>28</v>
      </c>
      <c r="O8" s="67" t="s">
        <v>29</v>
      </c>
      <c r="P8" s="68" t="s">
        <v>22</v>
      </c>
      <c r="Q8" s="68" t="s">
        <v>22</v>
      </c>
      <c r="R8" s="28"/>
      <c r="S8" s="30"/>
      <c r="T8" s="28"/>
      <c r="U8" s="28"/>
    </row>
    <row r="9" spans="1:21" s="12" customFormat="1" x14ac:dyDescent="0.25">
      <c r="A9" s="59" t="s">
        <v>566</v>
      </c>
      <c r="B9" s="60">
        <v>16.37</v>
      </c>
      <c r="C9" s="60">
        <v>35.76</v>
      </c>
      <c r="D9" s="60">
        <v>33.1</v>
      </c>
      <c r="E9" s="60">
        <v>3.3</v>
      </c>
      <c r="F9" s="60">
        <v>28.43</v>
      </c>
      <c r="G9" s="60">
        <v>32.869999999999997</v>
      </c>
      <c r="H9" s="60">
        <v>31.3</v>
      </c>
      <c r="I9" s="60">
        <v>0.9</v>
      </c>
      <c r="J9" s="60">
        <v>0.6</v>
      </c>
      <c r="K9" s="60">
        <v>195.01</v>
      </c>
      <c r="L9" s="60">
        <v>26.87</v>
      </c>
      <c r="M9" s="60">
        <v>51.5</v>
      </c>
      <c r="N9" s="60">
        <v>5.0999999999999996</v>
      </c>
      <c r="O9" s="60">
        <v>0</v>
      </c>
      <c r="P9" s="60">
        <v>1.05</v>
      </c>
      <c r="Q9" s="60">
        <v>32.340000000000003</v>
      </c>
      <c r="R9" s="44"/>
      <c r="S9" s="44"/>
      <c r="T9" s="44"/>
      <c r="U9" s="44"/>
    </row>
    <row r="10" spans="1:21" s="12" customFormat="1" x14ac:dyDescent="0.25">
      <c r="A10" s="59" t="s">
        <v>567</v>
      </c>
      <c r="B10" s="60">
        <v>11.35</v>
      </c>
      <c r="C10" s="60">
        <v>38.700000000000003</v>
      </c>
      <c r="D10" s="60">
        <v>30.73</v>
      </c>
      <c r="E10" s="60">
        <v>2.4</v>
      </c>
      <c r="F10" s="60">
        <v>6.89</v>
      </c>
      <c r="G10" s="60">
        <v>32.869999999999997</v>
      </c>
      <c r="H10" s="60">
        <v>25.53</v>
      </c>
      <c r="I10" s="60">
        <v>0.78</v>
      </c>
      <c r="J10" s="60">
        <v>0.19</v>
      </c>
      <c r="K10" s="60">
        <v>235.29</v>
      </c>
      <c r="L10" s="60">
        <v>26.11</v>
      </c>
      <c r="M10" s="60">
        <v>52.86</v>
      </c>
      <c r="N10" s="60">
        <v>4.9000000000000004</v>
      </c>
      <c r="O10" s="60">
        <v>0</v>
      </c>
      <c r="P10" s="60">
        <v>0.89</v>
      </c>
      <c r="Q10" s="60">
        <v>29.09</v>
      </c>
      <c r="R10" s="44"/>
      <c r="S10" s="44"/>
      <c r="T10" s="44"/>
      <c r="U10" s="44"/>
    </row>
    <row r="11" spans="1:21" s="12" customFormat="1" x14ac:dyDescent="0.25">
      <c r="A11" s="59" t="s">
        <v>568</v>
      </c>
      <c r="B11" s="60">
        <v>2.36</v>
      </c>
      <c r="C11" s="60">
        <v>35.28</v>
      </c>
      <c r="D11" s="60">
        <v>22.01</v>
      </c>
      <c r="E11" s="60">
        <v>2.77</v>
      </c>
      <c r="F11" s="60">
        <v>27.69</v>
      </c>
      <c r="G11" s="60">
        <v>29.4</v>
      </c>
      <c r="H11" s="60">
        <v>21.85</v>
      </c>
      <c r="I11" s="60">
        <v>0.83</v>
      </c>
      <c r="J11" s="60">
        <v>0.17</v>
      </c>
      <c r="K11" s="60">
        <v>246.29</v>
      </c>
      <c r="L11" s="60">
        <v>25.64</v>
      </c>
      <c r="M11" s="60">
        <v>55.03</v>
      </c>
      <c r="N11" s="60">
        <v>5</v>
      </c>
      <c r="O11" s="60">
        <v>0</v>
      </c>
      <c r="P11" s="60">
        <v>0.66</v>
      </c>
      <c r="Q11" s="60">
        <v>29.42</v>
      </c>
      <c r="R11" s="44"/>
      <c r="S11" s="44"/>
      <c r="T11" s="44"/>
      <c r="U11" s="44"/>
    </row>
    <row r="12" spans="1:21" s="12" customFormat="1" x14ac:dyDescent="0.25">
      <c r="A12" s="59" t="s">
        <v>569</v>
      </c>
      <c r="B12" s="60">
        <v>2.25</v>
      </c>
      <c r="C12" s="60">
        <v>28.7</v>
      </c>
      <c r="D12" s="60">
        <v>18.29</v>
      </c>
      <c r="E12" s="60">
        <v>2.94</v>
      </c>
      <c r="F12" s="60">
        <v>25.42</v>
      </c>
      <c r="G12" s="60">
        <v>22.15</v>
      </c>
      <c r="H12" s="60">
        <v>20.87</v>
      </c>
      <c r="I12" s="60">
        <v>0.7</v>
      </c>
      <c r="J12" s="60">
        <v>0.22</v>
      </c>
      <c r="K12" s="60">
        <v>233.78</v>
      </c>
      <c r="L12" s="60">
        <v>25.62</v>
      </c>
      <c r="M12" s="60">
        <v>56.37</v>
      </c>
      <c r="N12" s="60">
        <v>5.0999999999999996</v>
      </c>
      <c r="O12" s="60">
        <v>0</v>
      </c>
      <c r="P12" s="60">
        <v>0.54</v>
      </c>
      <c r="Q12" s="60">
        <v>30</v>
      </c>
      <c r="R12" s="44"/>
      <c r="S12" s="44"/>
      <c r="T12" s="44"/>
      <c r="U12" s="44"/>
    </row>
    <row r="13" spans="1:21" s="12" customFormat="1" x14ac:dyDescent="0.25">
      <c r="A13" s="59" t="s">
        <v>570</v>
      </c>
      <c r="B13" s="60">
        <v>1.97</v>
      </c>
      <c r="C13" s="60">
        <v>30.01</v>
      </c>
      <c r="D13" s="60">
        <v>18.61</v>
      </c>
      <c r="E13" s="60">
        <v>1.07</v>
      </c>
      <c r="F13" s="60">
        <v>5.54</v>
      </c>
      <c r="G13" s="60">
        <v>28.74</v>
      </c>
      <c r="H13" s="60">
        <v>18.78</v>
      </c>
      <c r="I13" s="60">
        <v>0.89</v>
      </c>
      <c r="J13" s="60">
        <v>0.75</v>
      </c>
      <c r="K13" s="60">
        <v>181.3</v>
      </c>
      <c r="L13" s="60">
        <v>24.89</v>
      </c>
      <c r="M13" s="60">
        <v>58.89</v>
      </c>
      <c r="N13" s="60">
        <v>5.0999999999999996</v>
      </c>
      <c r="O13" s="60">
        <v>0</v>
      </c>
      <c r="P13" s="60">
        <v>0.49</v>
      </c>
      <c r="Q13" s="60">
        <v>28.53</v>
      </c>
      <c r="R13" s="44"/>
      <c r="S13" s="44"/>
      <c r="T13" s="44"/>
      <c r="U13" s="44"/>
    </row>
    <row r="14" spans="1:21" s="12" customFormat="1" x14ac:dyDescent="0.25">
      <c r="A14" s="59" t="s">
        <v>571</v>
      </c>
      <c r="B14" s="60">
        <v>2.29</v>
      </c>
      <c r="C14" s="60">
        <v>31.02</v>
      </c>
      <c r="D14" s="60">
        <v>19.600000000000001</v>
      </c>
      <c r="E14" s="60">
        <v>1.21</v>
      </c>
      <c r="F14" s="60">
        <v>16.89</v>
      </c>
      <c r="G14" s="60">
        <v>32.35</v>
      </c>
      <c r="H14" s="60">
        <v>15.8</v>
      </c>
      <c r="I14" s="60">
        <v>0.65</v>
      </c>
      <c r="J14" s="60">
        <v>0.57999999999999996</v>
      </c>
      <c r="K14" s="60">
        <v>237.89</v>
      </c>
      <c r="L14" s="60">
        <v>24.85</v>
      </c>
      <c r="M14" s="60">
        <v>59.35</v>
      </c>
      <c r="N14" s="60">
        <v>49.9</v>
      </c>
      <c r="O14" s="60">
        <v>0</v>
      </c>
      <c r="P14" s="60">
        <v>0.41</v>
      </c>
      <c r="Q14" s="60">
        <v>29.15</v>
      </c>
      <c r="R14" s="44"/>
      <c r="S14" s="44"/>
      <c r="T14" s="44"/>
      <c r="U14" s="44"/>
    </row>
    <row r="15" spans="1:21" s="12" customFormat="1" x14ac:dyDescent="0.25">
      <c r="A15" s="59" t="s">
        <v>572</v>
      </c>
      <c r="B15" s="60">
        <v>4.3099999999999996</v>
      </c>
      <c r="C15" s="60">
        <v>35.82</v>
      </c>
      <c r="D15" s="60">
        <v>23.87</v>
      </c>
      <c r="E15" s="60">
        <v>1.4</v>
      </c>
      <c r="F15" s="60">
        <v>14.93</v>
      </c>
      <c r="G15" s="60">
        <v>32.79</v>
      </c>
      <c r="H15" s="60">
        <v>21.33</v>
      </c>
      <c r="I15" s="60">
        <v>0.64</v>
      </c>
      <c r="J15" s="60">
        <v>0.54</v>
      </c>
      <c r="K15" s="60">
        <v>175.47</v>
      </c>
      <c r="L15" s="60">
        <v>26.96</v>
      </c>
      <c r="M15" s="60">
        <v>57.43</v>
      </c>
      <c r="N15" s="60">
        <v>215.4</v>
      </c>
      <c r="O15" s="60">
        <v>0</v>
      </c>
      <c r="P15" s="60">
        <v>0.44</v>
      </c>
      <c r="Q15" s="60">
        <v>29.47</v>
      </c>
      <c r="R15" s="44"/>
      <c r="S15" s="44"/>
      <c r="T15" s="44"/>
      <c r="U15" s="44"/>
    </row>
    <row r="16" spans="1:21" s="12" customFormat="1" x14ac:dyDescent="0.25">
      <c r="A16" s="59" t="s">
        <v>573</v>
      </c>
      <c r="B16" s="60">
        <v>2.62</v>
      </c>
      <c r="C16" s="60">
        <v>32.47</v>
      </c>
      <c r="D16" s="60">
        <v>20.13</v>
      </c>
      <c r="E16" s="60">
        <v>1.21</v>
      </c>
      <c r="F16" s="60">
        <v>6.74</v>
      </c>
      <c r="G16" s="60">
        <v>32.79</v>
      </c>
      <c r="H16" s="60">
        <v>21.33</v>
      </c>
      <c r="I16" s="60">
        <v>0.66</v>
      </c>
      <c r="J16" s="60">
        <v>0.56000000000000005</v>
      </c>
      <c r="K16" s="60">
        <v>247.9</v>
      </c>
      <c r="L16" s="60">
        <v>30.09</v>
      </c>
      <c r="M16" s="60">
        <v>53.75</v>
      </c>
      <c r="N16" s="60">
        <v>399.8</v>
      </c>
      <c r="O16" s="60">
        <v>0</v>
      </c>
      <c r="P16" s="60">
        <v>0.54</v>
      </c>
      <c r="Q16" s="60">
        <v>28.58</v>
      </c>
      <c r="R16" s="44"/>
      <c r="S16" s="44"/>
      <c r="T16" s="44"/>
      <c r="U16" s="44"/>
    </row>
    <row r="17" spans="1:21" s="12" customFormat="1" x14ac:dyDescent="0.25">
      <c r="A17" s="59" t="s">
        <v>574</v>
      </c>
      <c r="B17" s="60">
        <v>1.1599999999999999</v>
      </c>
      <c r="C17" s="60">
        <v>32.299999999999997</v>
      </c>
      <c r="D17" s="60">
        <v>19.41</v>
      </c>
      <c r="E17" s="60">
        <v>1.95</v>
      </c>
      <c r="F17" s="60">
        <v>11.38</v>
      </c>
      <c r="G17" s="60">
        <v>57.91</v>
      </c>
      <c r="H17" s="60">
        <v>21.31</v>
      </c>
      <c r="I17" s="60">
        <v>0.62</v>
      </c>
      <c r="J17" s="60">
        <v>0.27</v>
      </c>
      <c r="K17" s="60">
        <v>344.79</v>
      </c>
      <c r="L17" s="60">
        <v>32.97</v>
      </c>
      <c r="M17" s="60">
        <v>45</v>
      </c>
      <c r="N17" s="60">
        <v>610.1</v>
      </c>
      <c r="O17" s="60">
        <v>0</v>
      </c>
      <c r="P17" s="60">
        <v>0.55000000000000004</v>
      </c>
      <c r="Q17" s="60">
        <v>27.71</v>
      </c>
      <c r="R17" s="44"/>
      <c r="S17" s="44"/>
      <c r="T17" s="44"/>
      <c r="U17" s="44"/>
    </row>
    <row r="18" spans="1:21" s="12" customFormat="1" x14ac:dyDescent="0.25">
      <c r="A18" s="59" t="s">
        <v>575</v>
      </c>
      <c r="B18" s="60">
        <v>1.01</v>
      </c>
      <c r="C18" s="60">
        <v>33.479999999999997</v>
      </c>
      <c r="D18" s="60">
        <v>19.920000000000002</v>
      </c>
      <c r="E18" s="60">
        <v>2.21</v>
      </c>
      <c r="F18" s="60">
        <v>12.19</v>
      </c>
      <c r="G18" s="60">
        <v>57.91</v>
      </c>
      <c r="H18" s="60">
        <v>23.14</v>
      </c>
      <c r="I18" s="60">
        <v>0.69</v>
      </c>
      <c r="J18" s="60">
        <v>0.24</v>
      </c>
      <c r="K18" s="60">
        <v>342.81</v>
      </c>
      <c r="L18" s="60">
        <v>33.99</v>
      </c>
      <c r="M18" s="60">
        <v>40.43</v>
      </c>
      <c r="N18" s="60">
        <v>722.5</v>
      </c>
      <c r="O18" s="60">
        <v>0</v>
      </c>
      <c r="P18" s="60">
        <v>0.65</v>
      </c>
      <c r="Q18" s="60">
        <v>26.74</v>
      </c>
      <c r="R18" s="44"/>
      <c r="S18" s="44"/>
      <c r="T18" s="44"/>
      <c r="U18" s="44"/>
    </row>
    <row r="19" spans="1:21" s="12" customFormat="1" x14ac:dyDescent="0.25">
      <c r="A19" s="59" t="s">
        <v>576</v>
      </c>
      <c r="B19" s="60">
        <v>1.01</v>
      </c>
      <c r="C19" s="60">
        <v>36.840000000000003</v>
      </c>
      <c r="D19" s="60">
        <v>21.79</v>
      </c>
      <c r="E19" s="60">
        <v>1.97</v>
      </c>
      <c r="F19" s="60">
        <v>12.62</v>
      </c>
      <c r="G19" s="60">
        <v>59.5</v>
      </c>
      <c r="H19" s="60">
        <v>23.95</v>
      </c>
      <c r="I19" s="60">
        <v>0.83</v>
      </c>
      <c r="J19" s="60">
        <v>0.71</v>
      </c>
      <c r="K19" s="60">
        <v>332.75</v>
      </c>
      <c r="L19" s="60">
        <v>36.33</v>
      </c>
      <c r="M19" s="60">
        <v>36.65</v>
      </c>
      <c r="N19" s="60">
        <v>855.5</v>
      </c>
      <c r="O19" s="60">
        <v>0</v>
      </c>
      <c r="P19" s="60">
        <v>0.82</v>
      </c>
      <c r="Q19" s="60">
        <v>25.86</v>
      </c>
      <c r="R19" s="44"/>
      <c r="S19" s="44"/>
      <c r="T19" s="44"/>
      <c r="U19" s="44"/>
    </row>
    <row r="20" spans="1:21" s="12" customFormat="1" x14ac:dyDescent="0.25">
      <c r="A20" s="59" t="s">
        <v>577</v>
      </c>
      <c r="B20" s="60">
        <v>1.94</v>
      </c>
      <c r="C20" s="60">
        <v>38.880000000000003</v>
      </c>
      <c r="D20" s="60">
        <v>23.41</v>
      </c>
      <c r="E20" s="60">
        <v>2.3199999999999998</v>
      </c>
      <c r="F20" s="60">
        <v>14.69</v>
      </c>
      <c r="G20" s="60">
        <v>59.5</v>
      </c>
      <c r="H20" s="60">
        <v>23.95</v>
      </c>
      <c r="I20" s="60">
        <v>0.63</v>
      </c>
      <c r="J20" s="60">
        <v>0.54</v>
      </c>
      <c r="K20" s="60">
        <v>355.67</v>
      </c>
      <c r="L20" s="60">
        <v>37.9</v>
      </c>
      <c r="M20" s="60">
        <v>32.479999999999997</v>
      </c>
      <c r="N20" s="60">
        <v>904.6</v>
      </c>
      <c r="O20" s="60">
        <v>0</v>
      </c>
      <c r="P20" s="60">
        <v>0.8</v>
      </c>
      <c r="Q20" s="60">
        <v>26.62</v>
      </c>
      <c r="R20" s="44"/>
      <c r="S20" s="44"/>
      <c r="T20" s="44"/>
      <c r="U20" s="44"/>
    </row>
    <row r="21" spans="1:21" s="12" customFormat="1" x14ac:dyDescent="0.25">
      <c r="A21" s="59" t="s">
        <v>578</v>
      </c>
      <c r="B21" s="60">
        <v>1.99</v>
      </c>
      <c r="C21" s="60">
        <v>41.21</v>
      </c>
      <c r="D21" s="60">
        <v>24.99</v>
      </c>
      <c r="E21" s="60">
        <v>1.92</v>
      </c>
      <c r="F21" s="60">
        <v>13.97</v>
      </c>
      <c r="G21" s="60">
        <v>44.47</v>
      </c>
      <c r="H21" s="60">
        <v>22.59</v>
      </c>
      <c r="I21" s="60">
        <v>0.63</v>
      </c>
      <c r="J21" s="60">
        <v>0.56000000000000005</v>
      </c>
      <c r="K21" s="60">
        <v>267.70999999999998</v>
      </c>
      <c r="L21" s="60">
        <v>38.979999999999997</v>
      </c>
      <c r="M21" s="60">
        <v>25.06</v>
      </c>
      <c r="N21" s="60">
        <v>891.8</v>
      </c>
      <c r="O21" s="60">
        <v>0</v>
      </c>
      <c r="P21" s="60">
        <v>0.7</v>
      </c>
      <c r="Q21" s="60">
        <v>26.29</v>
      </c>
      <c r="R21" s="44"/>
      <c r="S21" s="44"/>
      <c r="T21" s="44"/>
      <c r="U21" s="44"/>
    </row>
    <row r="22" spans="1:21" s="12" customFormat="1" x14ac:dyDescent="0.25">
      <c r="A22" s="59" t="s">
        <v>579</v>
      </c>
      <c r="B22" s="60">
        <v>1.05</v>
      </c>
      <c r="C22" s="60">
        <v>38.54</v>
      </c>
      <c r="D22" s="60">
        <v>22.72</v>
      </c>
      <c r="E22" s="60">
        <v>1.72</v>
      </c>
      <c r="F22" s="60">
        <v>14.22</v>
      </c>
      <c r="G22" s="60">
        <v>44.47</v>
      </c>
      <c r="H22" s="60">
        <v>24.13</v>
      </c>
      <c r="I22" s="60">
        <v>0.56999999999999995</v>
      </c>
      <c r="J22" s="60">
        <v>1.05</v>
      </c>
      <c r="K22" s="60">
        <v>268.07</v>
      </c>
      <c r="L22" s="60">
        <v>39.6</v>
      </c>
      <c r="M22" s="60">
        <v>22.19</v>
      </c>
      <c r="N22" s="60">
        <v>833.2</v>
      </c>
      <c r="O22" s="60">
        <v>0</v>
      </c>
      <c r="P22" s="60">
        <v>0.52</v>
      </c>
      <c r="Q22" s="60">
        <v>25.3</v>
      </c>
      <c r="R22" s="44"/>
      <c r="S22" s="44"/>
      <c r="T22" s="44"/>
      <c r="U22" s="44"/>
    </row>
    <row r="23" spans="1:21" s="12" customFormat="1" x14ac:dyDescent="0.25">
      <c r="A23" s="59" t="s">
        <v>580</v>
      </c>
      <c r="B23" s="60">
        <v>1.62</v>
      </c>
      <c r="C23" s="60">
        <v>35.75</v>
      </c>
      <c r="D23" s="60">
        <v>21.19</v>
      </c>
      <c r="E23" s="60">
        <v>1.92</v>
      </c>
      <c r="F23" s="60">
        <v>15.06</v>
      </c>
      <c r="G23" s="60">
        <v>36.93</v>
      </c>
      <c r="H23" s="60">
        <v>24.33</v>
      </c>
      <c r="I23" s="60">
        <v>0.56999999999999995</v>
      </c>
      <c r="J23" s="60">
        <v>1.25</v>
      </c>
      <c r="K23" s="60">
        <v>274.74</v>
      </c>
      <c r="L23" s="60">
        <v>39.17</v>
      </c>
      <c r="M23" s="60">
        <v>19.88</v>
      </c>
      <c r="N23" s="60">
        <v>709.2</v>
      </c>
      <c r="O23" s="60">
        <v>0</v>
      </c>
      <c r="P23" s="60">
        <v>0.47</v>
      </c>
      <c r="Q23" s="60">
        <v>25.49</v>
      </c>
      <c r="R23" s="44"/>
      <c r="S23" s="44"/>
      <c r="T23" s="44"/>
      <c r="U23" s="44"/>
    </row>
    <row r="24" spans="1:21" s="12" customFormat="1" x14ac:dyDescent="0.25">
      <c r="A24" s="59" t="s">
        <v>581</v>
      </c>
      <c r="B24" s="60">
        <v>1.1000000000000001</v>
      </c>
      <c r="C24" s="60">
        <v>32.049999999999997</v>
      </c>
      <c r="D24" s="60">
        <v>19.22</v>
      </c>
      <c r="E24" s="60">
        <v>2.92</v>
      </c>
      <c r="F24" s="60">
        <v>13.91</v>
      </c>
      <c r="G24" s="60">
        <v>33.090000000000003</v>
      </c>
      <c r="H24" s="60">
        <v>24.33</v>
      </c>
      <c r="I24" s="60">
        <v>0.7</v>
      </c>
      <c r="J24" s="60">
        <v>0.68</v>
      </c>
      <c r="K24" s="60">
        <v>277.52999999999997</v>
      </c>
      <c r="L24" s="60">
        <v>37.479999999999997</v>
      </c>
      <c r="M24" s="60">
        <v>20.18</v>
      </c>
      <c r="N24" s="60">
        <v>282.60000000000002</v>
      </c>
      <c r="O24" s="60">
        <v>0</v>
      </c>
      <c r="P24" s="60">
        <v>0.4</v>
      </c>
      <c r="Q24" s="60">
        <v>24.39</v>
      </c>
      <c r="R24" s="44"/>
      <c r="S24" s="44"/>
      <c r="T24" s="44"/>
      <c r="U24" s="44"/>
    </row>
    <row r="25" spans="1:21" s="12" customFormat="1" x14ac:dyDescent="0.25">
      <c r="A25" s="59" t="s">
        <v>582</v>
      </c>
      <c r="B25" s="60">
        <v>1.01</v>
      </c>
      <c r="C25" s="60">
        <v>32.71</v>
      </c>
      <c r="D25" s="60">
        <v>19.5</v>
      </c>
      <c r="E25" s="60">
        <v>1.52</v>
      </c>
      <c r="F25" s="60">
        <v>15.09</v>
      </c>
      <c r="G25" s="60">
        <v>29.31</v>
      </c>
      <c r="H25" s="60">
        <v>20.399999999999999</v>
      </c>
      <c r="I25" s="60">
        <v>0.75</v>
      </c>
      <c r="J25" s="60">
        <v>0.32</v>
      </c>
      <c r="K25" s="60">
        <v>281.18</v>
      </c>
      <c r="L25" s="60">
        <v>36.46</v>
      </c>
      <c r="M25" s="60">
        <v>20.29</v>
      </c>
      <c r="N25" s="60">
        <v>92.2</v>
      </c>
      <c r="O25" s="60">
        <v>0</v>
      </c>
      <c r="P25" s="60">
        <v>0.38</v>
      </c>
      <c r="Q25" s="60">
        <v>23.22</v>
      </c>
      <c r="R25" s="44"/>
      <c r="S25" s="44"/>
      <c r="T25" s="44"/>
      <c r="U25" s="44"/>
    </row>
    <row r="26" spans="1:21" s="12" customFormat="1" x14ac:dyDescent="0.25">
      <c r="A26" s="59" t="s">
        <v>583</v>
      </c>
      <c r="B26" s="60">
        <v>2.78</v>
      </c>
      <c r="C26" s="60">
        <v>48.52</v>
      </c>
      <c r="D26" s="60">
        <v>29.45</v>
      </c>
      <c r="E26" s="60">
        <v>7.73</v>
      </c>
      <c r="F26" s="60">
        <v>37.9</v>
      </c>
      <c r="G26" s="60">
        <v>29.31</v>
      </c>
      <c r="H26" s="60">
        <v>20.9</v>
      </c>
      <c r="I26" s="60">
        <v>0.65</v>
      </c>
      <c r="J26" s="60">
        <v>0.31</v>
      </c>
      <c r="K26" s="60">
        <v>272.54000000000002</v>
      </c>
      <c r="L26" s="60">
        <v>35.89</v>
      </c>
      <c r="M26" s="60">
        <v>21.6</v>
      </c>
      <c r="N26" s="60">
        <v>60.7</v>
      </c>
      <c r="O26" s="60">
        <v>0</v>
      </c>
      <c r="P26" s="60">
        <v>1.21</v>
      </c>
      <c r="Q26" s="60">
        <v>23.65</v>
      </c>
      <c r="R26" s="44"/>
      <c r="S26" s="44"/>
      <c r="T26" s="44"/>
      <c r="U26" s="44"/>
    </row>
    <row r="27" spans="1:21" s="12" customFormat="1" x14ac:dyDescent="0.25">
      <c r="A27" s="59" t="s">
        <v>584</v>
      </c>
      <c r="B27" s="60">
        <v>2.8</v>
      </c>
      <c r="C27" s="60">
        <v>49.38</v>
      </c>
      <c r="D27" s="60">
        <v>28.92</v>
      </c>
      <c r="E27" s="60">
        <v>3.12</v>
      </c>
      <c r="F27" s="60">
        <v>22.09</v>
      </c>
      <c r="G27" s="60">
        <v>49.57</v>
      </c>
      <c r="H27" s="60">
        <v>24.33</v>
      </c>
      <c r="I27" s="60">
        <v>0.61</v>
      </c>
      <c r="J27" s="60">
        <v>0.28000000000000003</v>
      </c>
      <c r="K27" s="60">
        <v>358.03</v>
      </c>
      <c r="L27" s="60">
        <v>34.270000000000003</v>
      </c>
      <c r="M27" s="60">
        <v>24.45</v>
      </c>
      <c r="N27" s="60">
        <v>19.899999999999999</v>
      </c>
      <c r="O27" s="60">
        <v>0</v>
      </c>
      <c r="P27" s="60">
        <v>0.84</v>
      </c>
      <c r="Q27" s="60">
        <v>22.9</v>
      </c>
      <c r="R27" s="44"/>
      <c r="S27" s="44"/>
      <c r="T27" s="44"/>
      <c r="U27" s="44"/>
    </row>
    <row r="28" spans="1:21" s="12" customFormat="1" x14ac:dyDescent="0.25">
      <c r="A28" s="59" t="s">
        <v>585</v>
      </c>
      <c r="B28" s="60">
        <v>1.74</v>
      </c>
      <c r="C28" s="60">
        <v>44.99</v>
      </c>
      <c r="D28" s="60">
        <v>26.87</v>
      </c>
      <c r="E28" s="60">
        <v>1.92</v>
      </c>
      <c r="F28" s="60">
        <v>11.53</v>
      </c>
      <c r="G28" s="60">
        <v>54.87</v>
      </c>
      <c r="H28" s="60">
        <v>27.72</v>
      </c>
      <c r="I28" s="60">
        <v>0.74</v>
      </c>
      <c r="J28" s="60">
        <v>2.73</v>
      </c>
      <c r="K28" s="60">
        <v>179.49</v>
      </c>
      <c r="L28" s="60">
        <v>31.4</v>
      </c>
      <c r="M28" s="60">
        <v>38.24</v>
      </c>
      <c r="N28" s="60">
        <v>7.6</v>
      </c>
      <c r="O28" s="60">
        <v>0</v>
      </c>
      <c r="P28" s="60">
        <v>0.71</v>
      </c>
      <c r="Q28" s="60">
        <v>23.13</v>
      </c>
      <c r="R28" s="44"/>
      <c r="S28" s="44"/>
      <c r="T28" s="44"/>
      <c r="U28" s="44"/>
    </row>
    <row r="29" spans="1:21" s="12" customFormat="1" x14ac:dyDescent="0.25">
      <c r="A29" s="59" t="s">
        <v>586</v>
      </c>
      <c r="B29" s="60">
        <v>1.05</v>
      </c>
      <c r="C29" s="60">
        <v>32.76</v>
      </c>
      <c r="D29" s="60">
        <v>19.53</v>
      </c>
      <c r="E29" s="60">
        <v>2.92</v>
      </c>
      <c r="F29" s="60">
        <v>15.83</v>
      </c>
      <c r="G29" s="60">
        <v>58.28</v>
      </c>
      <c r="H29" s="60">
        <v>27.72</v>
      </c>
      <c r="I29" s="60">
        <v>0.73</v>
      </c>
      <c r="J29" s="60">
        <v>2.2400000000000002</v>
      </c>
      <c r="K29" s="60">
        <v>179.82</v>
      </c>
      <c r="L29" s="60">
        <v>27.94</v>
      </c>
      <c r="M29" s="60">
        <v>38.9</v>
      </c>
      <c r="N29" s="60">
        <v>5.4</v>
      </c>
      <c r="O29" s="60">
        <v>0</v>
      </c>
      <c r="P29" s="60">
        <v>0.53</v>
      </c>
      <c r="Q29" s="60">
        <v>23.83</v>
      </c>
      <c r="R29" s="44"/>
      <c r="S29" s="44"/>
      <c r="T29" s="44"/>
      <c r="U29" s="44"/>
    </row>
    <row r="30" spans="1:21" s="12" customFormat="1" x14ac:dyDescent="0.25">
      <c r="A30" s="59" t="s">
        <v>587</v>
      </c>
      <c r="B30" s="60">
        <v>1.1200000000000001</v>
      </c>
      <c r="C30" s="60">
        <v>28.61</v>
      </c>
      <c r="D30" s="60">
        <v>17.25</v>
      </c>
      <c r="E30" s="60">
        <v>2.52</v>
      </c>
      <c r="F30" s="60">
        <v>11.06</v>
      </c>
      <c r="G30" s="60">
        <v>58.28</v>
      </c>
      <c r="H30" s="60">
        <v>26.43</v>
      </c>
      <c r="I30" s="60">
        <v>0.63</v>
      </c>
      <c r="J30" s="60">
        <v>0.85</v>
      </c>
      <c r="K30" s="60">
        <v>205.79</v>
      </c>
      <c r="L30" s="60">
        <v>26.45</v>
      </c>
      <c r="M30" s="60">
        <v>41.04</v>
      </c>
      <c r="N30" s="60">
        <v>5</v>
      </c>
      <c r="O30" s="60">
        <v>0</v>
      </c>
      <c r="P30" s="60">
        <v>0.42</v>
      </c>
      <c r="Q30" s="60">
        <v>23.42</v>
      </c>
      <c r="R30" s="44"/>
      <c r="S30" s="44"/>
      <c r="T30" s="44"/>
      <c r="U30" s="44"/>
    </row>
    <row r="31" spans="1:21" s="12" customFormat="1" x14ac:dyDescent="0.25">
      <c r="A31" s="59" t="s">
        <v>588</v>
      </c>
      <c r="B31" s="60">
        <v>1</v>
      </c>
      <c r="C31" s="60">
        <v>27.16</v>
      </c>
      <c r="D31" s="60">
        <v>16.440000000000001</v>
      </c>
      <c r="E31" s="60">
        <v>0.92</v>
      </c>
      <c r="F31" s="60">
        <v>15.56</v>
      </c>
      <c r="G31" s="60">
        <v>35.14</v>
      </c>
      <c r="H31" s="60">
        <v>34.630000000000003</v>
      </c>
      <c r="I31" s="60">
        <v>0.63</v>
      </c>
      <c r="J31" s="60">
        <v>0.69</v>
      </c>
      <c r="K31" s="60">
        <v>218.06</v>
      </c>
      <c r="L31" s="60">
        <v>26.07</v>
      </c>
      <c r="M31" s="60">
        <v>44.04</v>
      </c>
      <c r="N31" s="60">
        <v>5.0999999999999996</v>
      </c>
      <c r="O31" s="60">
        <v>0</v>
      </c>
      <c r="P31" s="60">
        <v>0.36</v>
      </c>
      <c r="Q31" s="60">
        <v>22.03</v>
      </c>
      <c r="R31" s="44"/>
      <c r="S31" s="44"/>
      <c r="T31" s="44"/>
      <c r="U31" s="44"/>
    </row>
    <row r="32" spans="1:21" s="12" customFormat="1" x14ac:dyDescent="0.25">
      <c r="A32" s="59" t="s">
        <v>589</v>
      </c>
      <c r="B32" s="60">
        <v>1.1100000000000001</v>
      </c>
      <c r="C32" s="60">
        <v>24.2</v>
      </c>
      <c r="D32" s="60">
        <v>14.8</v>
      </c>
      <c r="E32" s="60">
        <v>1.42</v>
      </c>
      <c r="F32" s="60">
        <v>17.399999999999999</v>
      </c>
      <c r="G32" s="60">
        <v>30.4</v>
      </c>
      <c r="H32" s="60">
        <v>34.630000000000003</v>
      </c>
      <c r="I32" s="60">
        <v>0.64</v>
      </c>
      <c r="J32" s="60">
        <v>0.62</v>
      </c>
      <c r="K32" s="60">
        <v>199.96</v>
      </c>
      <c r="L32" s="60">
        <v>24.93</v>
      </c>
      <c r="M32" s="60">
        <v>46.51</v>
      </c>
      <c r="N32" s="60">
        <v>4.7</v>
      </c>
      <c r="O32" s="60">
        <v>0</v>
      </c>
      <c r="P32" s="60">
        <v>0.28000000000000003</v>
      </c>
      <c r="Q32" s="60">
        <v>24.11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</v>
      </c>
      <c r="C34" s="29">
        <f t="shared" si="0"/>
        <v>24.2</v>
      </c>
      <c r="D34" s="29">
        <f t="shared" si="0"/>
        <v>14.8</v>
      </c>
      <c r="E34" s="29">
        <f t="shared" si="0"/>
        <v>0.92</v>
      </c>
      <c r="F34" s="29">
        <f t="shared" si="0"/>
        <v>5.54</v>
      </c>
      <c r="G34" s="29">
        <f t="shared" si="0"/>
        <v>22.15</v>
      </c>
      <c r="H34" s="29">
        <f t="shared" si="0"/>
        <v>15.8</v>
      </c>
      <c r="I34" s="29">
        <f t="shared" si="0"/>
        <v>0.56999999999999995</v>
      </c>
      <c r="J34" s="29">
        <f t="shared" si="0"/>
        <v>0.17</v>
      </c>
      <c r="K34" s="29">
        <f t="shared" si="0"/>
        <v>175.47</v>
      </c>
      <c r="L34" s="29">
        <f t="shared" si="0"/>
        <v>24.85</v>
      </c>
      <c r="M34" s="29">
        <f t="shared" si="0"/>
        <v>19.88</v>
      </c>
      <c r="N34" s="29">
        <f t="shared" si="0"/>
        <v>4.7</v>
      </c>
      <c r="O34" s="29">
        <f t="shared" si="0"/>
        <v>0</v>
      </c>
      <c r="P34" s="29">
        <f t="shared" si="0"/>
        <v>0.28000000000000003</v>
      </c>
      <c r="Q34" s="29">
        <f t="shared" si="0"/>
        <v>22.03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16.37</v>
      </c>
      <c r="C35" s="30">
        <f t="shared" si="1"/>
        <v>49.38</v>
      </c>
      <c r="D35" s="30">
        <f t="shared" si="1"/>
        <v>33.1</v>
      </c>
      <c r="E35" s="30">
        <f t="shared" si="1"/>
        <v>7.73</v>
      </c>
      <c r="F35" s="30">
        <f t="shared" si="1"/>
        <v>37.9</v>
      </c>
      <c r="G35" s="30">
        <f t="shared" si="1"/>
        <v>59.5</v>
      </c>
      <c r="H35" s="30">
        <f t="shared" si="1"/>
        <v>34.630000000000003</v>
      </c>
      <c r="I35" s="30">
        <f t="shared" si="1"/>
        <v>0.9</v>
      </c>
      <c r="J35" s="30">
        <f t="shared" si="1"/>
        <v>2.73</v>
      </c>
      <c r="K35" s="30">
        <f t="shared" si="1"/>
        <v>358.03</v>
      </c>
      <c r="L35" s="30">
        <f t="shared" si="1"/>
        <v>39.6</v>
      </c>
      <c r="M35" s="30">
        <f t="shared" si="1"/>
        <v>59.35</v>
      </c>
      <c r="N35" s="30">
        <f t="shared" si="1"/>
        <v>904.6</v>
      </c>
      <c r="O35" s="30">
        <f t="shared" si="1"/>
        <v>0</v>
      </c>
      <c r="P35" s="30">
        <f t="shared" si="1"/>
        <v>1.21</v>
      </c>
      <c r="Q35" s="30">
        <f t="shared" si="1"/>
        <v>32.340000000000003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2.7920833333333324</v>
      </c>
      <c r="C36" s="29">
        <f t="shared" si="2"/>
        <v>35.214166666666664</v>
      </c>
      <c r="D36" s="29">
        <f t="shared" si="2"/>
        <v>22.15625</v>
      </c>
      <c r="E36" s="29">
        <f t="shared" si="2"/>
        <v>2.3041666666666671</v>
      </c>
      <c r="F36" s="29">
        <f t="shared" si="2"/>
        <v>16.126249999999995</v>
      </c>
      <c r="G36" s="29">
        <f t="shared" si="2"/>
        <v>40.954166666666659</v>
      </c>
      <c r="H36" s="29">
        <f t="shared" si="2"/>
        <v>24.219999999999995</v>
      </c>
      <c r="I36" s="29">
        <f t="shared" si="2"/>
        <v>0.69458333333333344</v>
      </c>
      <c r="J36" s="29">
        <f t="shared" si="2"/>
        <v>0.70625000000000016</v>
      </c>
      <c r="K36" s="29">
        <f t="shared" si="2"/>
        <v>254.66125</v>
      </c>
      <c r="L36" s="29">
        <f t="shared" si="2"/>
        <v>31.28583333333334</v>
      </c>
      <c r="M36" s="29">
        <f t="shared" si="2"/>
        <v>40.088333333333331</v>
      </c>
      <c r="N36" s="29">
        <f t="shared" si="2"/>
        <v>279.18333333333334</v>
      </c>
      <c r="O36" s="29">
        <f t="shared" si="2"/>
        <v>0</v>
      </c>
      <c r="P36" s="29">
        <f t="shared" si="2"/>
        <v>0.61083333333333345</v>
      </c>
      <c r="Q36" s="29">
        <f t="shared" si="2"/>
        <v>26.302916666666665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3.5822691122741781</v>
      </c>
      <c r="C37" s="29">
        <f t="shared" ref="C37:Q37" si="3">STDEV(C9:C32)</f>
        <v>6.2822191569724719</v>
      </c>
      <c r="D37" s="29">
        <f t="shared" si="3"/>
        <v>4.7205819579517101</v>
      </c>
      <c r="E37" s="29">
        <f t="shared" si="3"/>
        <v>1.3450453901074388</v>
      </c>
      <c r="F37" s="29">
        <f t="shared" si="3"/>
        <v>7.4752878743462388</v>
      </c>
      <c r="G37" s="29">
        <f t="shared" si="3"/>
        <v>12.553547191987228</v>
      </c>
      <c r="H37" s="29">
        <f t="shared" si="3"/>
        <v>4.5209310314695799</v>
      </c>
      <c r="I37" s="29">
        <f t="shared" si="3"/>
        <v>9.3807349608543922E-2</v>
      </c>
      <c r="J37" s="29">
        <f t="shared" si="3"/>
        <v>0.61517627378344719</v>
      </c>
      <c r="K37" s="29">
        <f t="shared" si="3"/>
        <v>58.8181247806952</v>
      </c>
      <c r="L37" s="29">
        <f t="shared" si="3"/>
        <v>5.437385014609597</v>
      </c>
      <c r="M37" s="29">
        <f t="shared" si="3"/>
        <v>13.955494372769662</v>
      </c>
      <c r="N37" s="29">
        <f t="shared" si="3"/>
        <v>353.10561009995001</v>
      </c>
      <c r="O37" s="29">
        <f t="shared" si="3"/>
        <v>0</v>
      </c>
      <c r="P37" s="29">
        <f t="shared" si="3"/>
        <v>0.23055541004593488</v>
      </c>
      <c r="Q37" s="29">
        <f t="shared" si="3"/>
        <v>2.7925109149553982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L51" sqref="L51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23-05-2023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53" t="s">
        <v>57</v>
      </c>
      <c r="R7" s="28"/>
      <c r="S7" s="30"/>
      <c r="T7" s="28"/>
      <c r="U7" s="28"/>
    </row>
    <row r="8" spans="1:21" s="22" customFormat="1" x14ac:dyDescent="0.25">
      <c r="A8" s="67"/>
      <c r="B8" s="68" t="s">
        <v>22</v>
      </c>
      <c r="C8" s="68" t="s">
        <v>22</v>
      </c>
      <c r="D8" s="30" t="s">
        <v>61</v>
      </c>
      <c r="E8" s="68" t="s">
        <v>22</v>
      </c>
      <c r="F8" s="68" t="s">
        <v>22</v>
      </c>
      <c r="G8" s="68" t="s">
        <v>23</v>
      </c>
      <c r="H8" s="68" t="s">
        <v>22</v>
      </c>
      <c r="I8" s="68" t="s">
        <v>22</v>
      </c>
      <c r="J8" s="68" t="s">
        <v>24</v>
      </c>
      <c r="K8" s="68" t="s">
        <v>25</v>
      </c>
      <c r="L8" s="67" t="s">
        <v>27</v>
      </c>
      <c r="M8" s="68" t="s">
        <v>26</v>
      </c>
      <c r="N8" s="68" t="s">
        <v>28</v>
      </c>
      <c r="O8" s="67" t="s">
        <v>29</v>
      </c>
      <c r="P8" s="68" t="s">
        <v>22</v>
      </c>
      <c r="Q8" s="68" t="s">
        <v>22</v>
      </c>
      <c r="R8" s="28"/>
      <c r="S8" s="30"/>
      <c r="T8" s="28"/>
      <c r="U8" s="28"/>
    </row>
    <row r="9" spans="1:21" s="12" customFormat="1" x14ac:dyDescent="0.25">
      <c r="A9" s="59" t="s">
        <v>590</v>
      </c>
      <c r="B9" s="60">
        <v>1.18</v>
      </c>
      <c r="C9" s="60">
        <v>24.47</v>
      </c>
      <c r="D9" s="60">
        <v>14.99</v>
      </c>
      <c r="E9" s="62" t="s">
        <v>14</v>
      </c>
      <c r="F9" s="60">
        <v>8.33</v>
      </c>
      <c r="G9" s="62" t="s">
        <v>14</v>
      </c>
      <c r="H9" s="62" t="s">
        <v>14</v>
      </c>
      <c r="I9" s="60">
        <v>0.65</v>
      </c>
      <c r="J9" s="60">
        <v>0.9</v>
      </c>
      <c r="K9" s="60">
        <v>221.63</v>
      </c>
      <c r="L9" s="60">
        <v>24.49</v>
      </c>
      <c r="M9" s="60">
        <v>48.09</v>
      </c>
      <c r="N9" s="60">
        <v>4.8</v>
      </c>
      <c r="O9" s="60">
        <v>0</v>
      </c>
      <c r="P9" s="60">
        <v>0.28000000000000003</v>
      </c>
      <c r="Q9" s="60">
        <v>24</v>
      </c>
      <c r="R9" s="44"/>
      <c r="S9" s="44"/>
      <c r="T9" s="44"/>
      <c r="U9" s="44"/>
    </row>
    <row r="10" spans="1:21" s="12" customFormat="1" x14ac:dyDescent="0.25">
      <c r="A10" s="59" t="s">
        <v>591</v>
      </c>
      <c r="B10" s="60">
        <v>1</v>
      </c>
      <c r="C10" s="60">
        <v>23.83</v>
      </c>
      <c r="D10" s="60">
        <v>14.6</v>
      </c>
      <c r="E10" s="62" t="s">
        <v>14</v>
      </c>
      <c r="F10" s="60">
        <v>22.53</v>
      </c>
      <c r="G10" s="62" t="s">
        <v>14</v>
      </c>
      <c r="H10" s="62" t="s">
        <v>14</v>
      </c>
      <c r="I10" s="60">
        <v>0.65</v>
      </c>
      <c r="J10" s="60">
        <v>0.24</v>
      </c>
      <c r="K10" s="60">
        <v>226.71</v>
      </c>
      <c r="L10" s="60">
        <v>24.36</v>
      </c>
      <c r="M10" s="60">
        <v>51.24</v>
      </c>
      <c r="N10" s="60">
        <v>4.9000000000000004</v>
      </c>
      <c r="O10" s="60">
        <v>0</v>
      </c>
      <c r="P10" s="60">
        <v>0.24</v>
      </c>
      <c r="Q10" s="60">
        <v>22.19</v>
      </c>
      <c r="R10" s="44"/>
      <c r="S10" s="44"/>
      <c r="T10" s="44"/>
      <c r="U10" s="44"/>
    </row>
    <row r="11" spans="1:21" s="12" customFormat="1" x14ac:dyDescent="0.25">
      <c r="A11" s="59" t="s">
        <v>592</v>
      </c>
      <c r="B11" s="60">
        <v>1.18</v>
      </c>
      <c r="C11" s="60">
        <v>20.05</v>
      </c>
      <c r="D11" s="60">
        <v>12.65</v>
      </c>
      <c r="E11" s="62" t="s">
        <v>14</v>
      </c>
      <c r="F11" s="60">
        <v>35.33</v>
      </c>
      <c r="G11" s="60">
        <v>17.53</v>
      </c>
      <c r="H11" s="60">
        <v>14.29</v>
      </c>
      <c r="I11" s="60">
        <v>0.81</v>
      </c>
      <c r="J11" s="60">
        <v>0.18</v>
      </c>
      <c r="K11" s="60">
        <v>359.94</v>
      </c>
      <c r="L11" s="60">
        <v>23.71</v>
      </c>
      <c r="M11" s="60">
        <v>54.23</v>
      </c>
      <c r="N11" s="60">
        <v>5.2</v>
      </c>
      <c r="O11" s="60">
        <v>0</v>
      </c>
      <c r="P11" s="60">
        <v>0.22</v>
      </c>
      <c r="Q11" s="60">
        <v>25.35</v>
      </c>
      <c r="R11" s="44"/>
      <c r="S11" s="44"/>
      <c r="T11" s="44"/>
      <c r="U11" s="44"/>
    </row>
    <row r="12" spans="1:21" s="12" customFormat="1" x14ac:dyDescent="0.25">
      <c r="A12" s="59" t="s">
        <v>593</v>
      </c>
      <c r="B12" s="60">
        <v>1.64</v>
      </c>
      <c r="C12" s="60">
        <v>25.29</v>
      </c>
      <c r="D12" s="60">
        <v>15.48</v>
      </c>
      <c r="E12" s="62" t="s">
        <v>14</v>
      </c>
      <c r="F12" s="60">
        <v>7.3</v>
      </c>
      <c r="G12" s="60">
        <v>17.510000000000002</v>
      </c>
      <c r="H12" s="60">
        <v>14.19</v>
      </c>
      <c r="I12" s="60">
        <v>0.55000000000000004</v>
      </c>
      <c r="J12" s="60">
        <v>1.1100000000000001</v>
      </c>
      <c r="K12" s="60">
        <v>128.96</v>
      </c>
      <c r="L12" s="60">
        <v>24.36</v>
      </c>
      <c r="M12" s="60">
        <v>53.84</v>
      </c>
      <c r="N12" s="60">
        <v>5</v>
      </c>
      <c r="O12" s="60">
        <v>0</v>
      </c>
      <c r="P12" s="60">
        <v>0.24</v>
      </c>
      <c r="Q12" s="60">
        <v>25.08</v>
      </c>
      <c r="R12" s="44"/>
      <c r="S12" s="44"/>
      <c r="T12" s="44"/>
      <c r="U12" s="44"/>
    </row>
    <row r="13" spans="1:21" s="12" customFormat="1" x14ac:dyDescent="0.25">
      <c r="A13" s="59" t="s">
        <v>594</v>
      </c>
      <c r="B13" s="60">
        <v>1.05</v>
      </c>
      <c r="C13" s="60">
        <v>27.73</v>
      </c>
      <c r="D13" s="60">
        <v>16.79</v>
      </c>
      <c r="E13" s="62" t="s">
        <v>14</v>
      </c>
      <c r="F13" s="60">
        <v>15.09</v>
      </c>
      <c r="G13" s="60">
        <v>13.08</v>
      </c>
      <c r="H13" s="60">
        <v>13.97</v>
      </c>
      <c r="I13" s="60">
        <v>0.64</v>
      </c>
      <c r="J13" s="60">
        <v>1.55</v>
      </c>
      <c r="K13" s="60">
        <v>109.34</v>
      </c>
      <c r="L13" s="60">
        <v>24.72</v>
      </c>
      <c r="M13" s="60">
        <v>49.45</v>
      </c>
      <c r="N13" s="60">
        <v>4.9000000000000004</v>
      </c>
      <c r="O13" s="60">
        <v>0</v>
      </c>
      <c r="P13" s="60">
        <v>0.24</v>
      </c>
      <c r="Q13" s="60">
        <v>25.33</v>
      </c>
      <c r="R13" s="44"/>
      <c r="S13" s="44"/>
      <c r="T13" s="44"/>
      <c r="U13" s="44"/>
    </row>
    <row r="14" spans="1:21" s="12" customFormat="1" x14ac:dyDescent="0.25">
      <c r="A14" s="59" t="s">
        <v>595</v>
      </c>
      <c r="B14" s="60">
        <v>8.51</v>
      </c>
      <c r="C14" s="60">
        <v>41.29</v>
      </c>
      <c r="D14" s="60">
        <v>30.26</v>
      </c>
      <c r="E14" s="62" t="s">
        <v>14</v>
      </c>
      <c r="F14" s="60">
        <v>17.05</v>
      </c>
      <c r="G14" s="60">
        <v>22.53</v>
      </c>
      <c r="H14" s="60">
        <v>11.86</v>
      </c>
      <c r="I14" s="60">
        <v>0.69</v>
      </c>
      <c r="J14" s="60">
        <v>0.4</v>
      </c>
      <c r="K14" s="60">
        <v>253.43</v>
      </c>
      <c r="L14" s="60">
        <v>23.92</v>
      </c>
      <c r="M14" s="60">
        <v>52.82</v>
      </c>
      <c r="N14" s="60">
        <v>55.8</v>
      </c>
      <c r="O14" s="60">
        <v>0</v>
      </c>
      <c r="P14" s="60">
        <v>0.37</v>
      </c>
      <c r="Q14" s="60">
        <v>26.18</v>
      </c>
      <c r="R14" s="44"/>
      <c r="S14" s="44"/>
      <c r="T14" s="44"/>
      <c r="U14" s="44"/>
    </row>
    <row r="15" spans="1:21" s="12" customFormat="1" x14ac:dyDescent="0.25">
      <c r="A15" s="59" t="s">
        <v>596</v>
      </c>
      <c r="B15" s="60">
        <v>6.18</v>
      </c>
      <c r="C15" s="60">
        <v>38.96</v>
      </c>
      <c r="D15" s="60">
        <v>27.03</v>
      </c>
      <c r="E15" s="62" t="s">
        <v>14</v>
      </c>
      <c r="F15" s="60">
        <v>5.41</v>
      </c>
      <c r="G15" s="60">
        <v>42.37</v>
      </c>
      <c r="H15" s="60">
        <v>20.78</v>
      </c>
      <c r="I15" s="60">
        <v>0.8</v>
      </c>
      <c r="J15" s="60">
        <v>0.52</v>
      </c>
      <c r="K15" s="60">
        <v>270.68</v>
      </c>
      <c r="L15" s="60">
        <v>27.46</v>
      </c>
      <c r="M15" s="60">
        <v>49.18</v>
      </c>
      <c r="N15" s="60">
        <v>235.9</v>
      </c>
      <c r="O15" s="60">
        <v>0</v>
      </c>
      <c r="P15" s="60">
        <v>0.42</v>
      </c>
      <c r="Q15" s="60">
        <v>26.73</v>
      </c>
      <c r="R15" s="44"/>
      <c r="S15" s="44"/>
      <c r="T15" s="44"/>
      <c r="U15" s="44"/>
    </row>
    <row r="16" spans="1:21" s="12" customFormat="1" x14ac:dyDescent="0.25">
      <c r="A16" s="59" t="s">
        <v>597</v>
      </c>
      <c r="B16" s="60">
        <v>4.93</v>
      </c>
      <c r="C16" s="60">
        <v>41.57</v>
      </c>
      <c r="D16" s="60">
        <v>26.51</v>
      </c>
      <c r="E16" s="62" t="s">
        <v>14</v>
      </c>
      <c r="F16" s="60">
        <v>21.32</v>
      </c>
      <c r="G16" s="60">
        <v>56.25</v>
      </c>
      <c r="H16" s="60">
        <v>26.47</v>
      </c>
      <c r="I16" s="60">
        <v>0.77</v>
      </c>
      <c r="J16" s="60">
        <v>0.19</v>
      </c>
      <c r="K16" s="60">
        <v>322.73</v>
      </c>
      <c r="L16" s="60">
        <v>30.21</v>
      </c>
      <c r="M16" s="60">
        <v>40.49</v>
      </c>
      <c r="N16" s="60">
        <v>430.7</v>
      </c>
      <c r="O16" s="60">
        <v>0</v>
      </c>
      <c r="P16" s="60">
        <v>0.55000000000000004</v>
      </c>
      <c r="Q16" s="60">
        <v>25.78</v>
      </c>
      <c r="R16" s="44"/>
      <c r="S16" s="44"/>
      <c r="T16" s="44"/>
      <c r="U16" s="44"/>
    </row>
    <row r="17" spans="1:21" s="12" customFormat="1" x14ac:dyDescent="0.25">
      <c r="A17" s="59" t="s">
        <v>598</v>
      </c>
      <c r="B17" s="60">
        <v>4.53</v>
      </c>
      <c r="C17" s="60">
        <v>38.799999999999997</v>
      </c>
      <c r="D17" s="60">
        <v>25.38</v>
      </c>
      <c r="E17" s="62" t="s">
        <v>14</v>
      </c>
      <c r="F17" s="60">
        <v>19.03</v>
      </c>
      <c r="G17" s="60">
        <v>57.25</v>
      </c>
      <c r="H17" s="60">
        <v>26.47</v>
      </c>
      <c r="I17" s="60">
        <v>0.62</v>
      </c>
      <c r="J17" s="60">
        <v>0.54</v>
      </c>
      <c r="K17" s="60">
        <v>270.06</v>
      </c>
      <c r="L17" s="60">
        <v>33.74</v>
      </c>
      <c r="M17" s="60">
        <v>34.5</v>
      </c>
      <c r="N17" s="60">
        <v>622.79999999999995</v>
      </c>
      <c r="O17" s="60">
        <v>0</v>
      </c>
      <c r="P17" s="60">
        <v>0.79</v>
      </c>
      <c r="Q17" s="60">
        <v>25.7</v>
      </c>
      <c r="R17" s="44"/>
      <c r="S17" s="44"/>
      <c r="T17" s="44"/>
      <c r="U17" s="44"/>
    </row>
    <row r="18" spans="1:21" s="12" customFormat="1" x14ac:dyDescent="0.25">
      <c r="A18" s="59" t="s">
        <v>599</v>
      </c>
      <c r="B18" s="60">
        <v>2.39</v>
      </c>
      <c r="C18" s="60">
        <v>42.14</v>
      </c>
      <c r="D18" s="60">
        <v>24.88</v>
      </c>
      <c r="E18" s="62" t="s">
        <v>14</v>
      </c>
      <c r="F18" s="60">
        <v>11.27</v>
      </c>
      <c r="G18" s="60">
        <v>61.33</v>
      </c>
      <c r="H18" s="60">
        <v>27.31</v>
      </c>
      <c r="I18" s="60">
        <v>0.59</v>
      </c>
      <c r="J18" s="60">
        <v>0.22</v>
      </c>
      <c r="K18" s="60">
        <v>354.98</v>
      </c>
      <c r="L18" s="60">
        <v>34.14</v>
      </c>
      <c r="M18" s="60">
        <v>35.01</v>
      </c>
      <c r="N18" s="60">
        <v>687.9</v>
      </c>
      <c r="O18" s="60">
        <v>0</v>
      </c>
      <c r="P18" s="60">
        <v>1</v>
      </c>
      <c r="Q18" s="60">
        <v>25.36</v>
      </c>
      <c r="R18" s="44"/>
      <c r="S18" s="44"/>
      <c r="T18" s="44"/>
      <c r="U18" s="44"/>
    </row>
    <row r="19" spans="1:21" s="12" customFormat="1" x14ac:dyDescent="0.25">
      <c r="A19" s="59" t="s">
        <v>600</v>
      </c>
      <c r="B19" s="60">
        <v>1.08</v>
      </c>
      <c r="C19" s="60">
        <v>41.99</v>
      </c>
      <c r="D19" s="60">
        <v>24.66</v>
      </c>
      <c r="E19" s="60">
        <v>5.58</v>
      </c>
      <c r="F19" s="60">
        <v>69.28</v>
      </c>
      <c r="G19" s="60">
        <v>61.33</v>
      </c>
      <c r="H19" s="60">
        <v>27.31</v>
      </c>
      <c r="I19" s="60">
        <v>0.69</v>
      </c>
      <c r="J19" s="60">
        <v>0.16</v>
      </c>
      <c r="K19" s="60">
        <v>343.75</v>
      </c>
      <c r="L19" s="60">
        <v>35.01</v>
      </c>
      <c r="M19" s="60">
        <v>35.36</v>
      </c>
      <c r="N19" s="60">
        <v>896.6</v>
      </c>
      <c r="O19" s="60">
        <v>0</v>
      </c>
      <c r="P19" s="60">
        <v>1</v>
      </c>
      <c r="Q19" s="60">
        <v>23.7</v>
      </c>
      <c r="R19" s="44"/>
      <c r="S19" s="44"/>
      <c r="T19" s="44"/>
      <c r="U19" s="44"/>
    </row>
    <row r="20" spans="1:21" s="12" customFormat="1" x14ac:dyDescent="0.25">
      <c r="A20" s="59" t="s">
        <v>601</v>
      </c>
      <c r="B20" s="60">
        <v>1.3</v>
      </c>
      <c r="C20" s="60">
        <v>31.44</v>
      </c>
      <c r="D20" s="60">
        <v>18.829999999999998</v>
      </c>
      <c r="E20" s="60">
        <v>3.99</v>
      </c>
      <c r="F20" s="60">
        <v>25.2</v>
      </c>
      <c r="G20" s="60">
        <v>56.68</v>
      </c>
      <c r="H20" s="60">
        <v>28.97</v>
      </c>
      <c r="I20" s="60">
        <v>0.71</v>
      </c>
      <c r="J20" s="60">
        <v>0.13</v>
      </c>
      <c r="K20" s="60">
        <v>350.63</v>
      </c>
      <c r="L20" s="60">
        <v>36.14</v>
      </c>
      <c r="M20" s="60">
        <v>31.34</v>
      </c>
      <c r="N20" s="60">
        <v>894.4</v>
      </c>
      <c r="O20" s="60">
        <v>0</v>
      </c>
      <c r="P20" s="60">
        <v>0.83</v>
      </c>
      <c r="Q20" s="60">
        <v>25.86</v>
      </c>
      <c r="R20" s="44"/>
      <c r="S20" s="44"/>
      <c r="T20" s="44"/>
      <c r="U20" s="44"/>
    </row>
    <row r="21" spans="1:21" s="12" customFormat="1" x14ac:dyDescent="0.25">
      <c r="A21" s="59" t="s">
        <v>602</v>
      </c>
      <c r="B21" s="60">
        <v>1.31</v>
      </c>
      <c r="C21" s="60">
        <v>44.67</v>
      </c>
      <c r="D21" s="60">
        <v>26.35</v>
      </c>
      <c r="E21" s="60">
        <v>2.2200000000000002</v>
      </c>
      <c r="F21" s="60">
        <v>27.32</v>
      </c>
      <c r="G21" s="60">
        <v>56.68</v>
      </c>
      <c r="H21" s="60">
        <v>28.97</v>
      </c>
      <c r="I21" s="60">
        <v>0.63</v>
      </c>
      <c r="J21" s="60">
        <v>0.28000000000000003</v>
      </c>
      <c r="K21" s="60">
        <v>268.29000000000002</v>
      </c>
      <c r="L21" s="60">
        <v>38.19</v>
      </c>
      <c r="M21" s="60">
        <v>26.36</v>
      </c>
      <c r="N21" s="60">
        <v>883.6</v>
      </c>
      <c r="O21" s="60">
        <v>0</v>
      </c>
      <c r="P21" s="60">
        <v>0.89</v>
      </c>
      <c r="Q21" s="60">
        <v>24.7</v>
      </c>
      <c r="R21" s="44"/>
      <c r="S21" s="44"/>
      <c r="T21" s="44"/>
      <c r="U21" s="44"/>
    </row>
    <row r="22" spans="1:21" s="12" customFormat="1" x14ac:dyDescent="0.25">
      <c r="A22" s="59" t="s">
        <v>603</v>
      </c>
      <c r="B22" s="60">
        <v>2.73</v>
      </c>
      <c r="C22" s="60">
        <v>51.84</v>
      </c>
      <c r="D22" s="60">
        <v>30.19</v>
      </c>
      <c r="E22" s="60">
        <v>3.73</v>
      </c>
      <c r="F22" s="60">
        <v>31.3</v>
      </c>
      <c r="G22" s="60">
        <v>50.67</v>
      </c>
      <c r="H22" s="60">
        <v>28.19</v>
      </c>
      <c r="I22" s="60">
        <v>0.54</v>
      </c>
      <c r="J22" s="60">
        <v>0.54</v>
      </c>
      <c r="K22" s="60">
        <v>278.01</v>
      </c>
      <c r="L22" s="60">
        <v>39.01</v>
      </c>
      <c r="M22" s="60">
        <v>23.04</v>
      </c>
      <c r="N22" s="60">
        <v>836.4</v>
      </c>
      <c r="O22" s="60">
        <v>0</v>
      </c>
      <c r="P22" s="60">
        <v>0.74</v>
      </c>
      <c r="Q22" s="60">
        <v>26.02</v>
      </c>
      <c r="R22" s="44"/>
      <c r="S22" s="44"/>
      <c r="T22" s="44"/>
      <c r="U22" s="44"/>
    </row>
    <row r="23" spans="1:21" s="12" customFormat="1" x14ac:dyDescent="0.25">
      <c r="A23" s="59" t="s">
        <v>604</v>
      </c>
      <c r="B23" s="60">
        <v>3.14</v>
      </c>
      <c r="C23" s="60">
        <v>36.65</v>
      </c>
      <c r="D23" s="60">
        <v>23.39</v>
      </c>
      <c r="E23" s="60">
        <v>6.75</v>
      </c>
      <c r="F23" s="60">
        <v>40.67</v>
      </c>
      <c r="G23" s="60">
        <v>48.23</v>
      </c>
      <c r="H23" s="60">
        <v>26.88</v>
      </c>
      <c r="I23" s="60">
        <v>0.65</v>
      </c>
      <c r="J23" s="60">
        <v>0.33</v>
      </c>
      <c r="K23" s="60">
        <v>295.64999999999998</v>
      </c>
      <c r="L23" s="60">
        <v>38.630000000000003</v>
      </c>
      <c r="M23" s="60">
        <v>21.08</v>
      </c>
      <c r="N23" s="60">
        <v>670.4</v>
      </c>
      <c r="O23" s="60">
        <v>0</v>
      </c>
      <c r="P23" s="60">
        <v>0.67</v>
      </c>
      <c r="Q23" s="60">
        <v>25.93</v>
      </c>
      <c r="R23" s="44"/>
      <c r="S23" s="44"/>
      <c r="T23" s="44"/>
      <c r="U23" s="44"/>
    </row>
    <row r="24" spans="1:21" s="12" customFormat="1" x14ac:dyDescent="0.25">
      <c r="A24" s="59" t="s">
        <v>605</v>
      </c>
      <c r="B24" s="60">
        <v>1.04</v>
      </c>
      <c r="C24" s="60">
        <v>35.42</v>
      </c>
      <c r="D24" s="60">
        <v>21</v>
      </c>
      <c r="E24" s="60">
        <v>3.78</v>
      </c>
      <c r="F24" s="60">
        <v>24.68</v>
      </c>
      <c r="G24" s="60">
        <v>45.6</v>
      </c>
      <c r="H24" s="60">
        <v>26.88</v>
      </c>
      <c r="I24" s="60">
        <v>0.68</v>
      </c>
      <c r="J24" s="60">
        <v>0.17</v>
      </c>
      <c r="K24" s="60">
        <v>287.39</v>
      </c>
      <c r="L24" s="60">
        <v>37.590000000000003</v>
      </c>
      <c r="M24" s="60">
        <v>20.83</v>
      </c>
      <c r="N24" s="60">
        <v>304.39999999999998</v>
      </c>
      <c r="O24" s="60">
        <v>0</v>
      </c>
      <c r="P24" s="60">
        <v>0.56999999999999995</v>
      </c>
      <c r="Q24" s="60">
        <v>25.29</v>
      </c>
      <c r="R24" s="44"/>
      <c r="S24" s="44"/>
      <c r="T24" s="44"/>
      <c r="U24" s="44"/>
    </row>
    <row r="25" spans="1:21" s="12" customFormat="1" x14ac:dyDescent="0.25">
      <c r="A25" s="59" t="s">
        <v>606</v>
      </c>
      <c r="B25" s="60">
        <v>2.5299999999999998</v>
      </c>
      <c r="C25" s="60">
        <v>35.729999999999997</v>
      </c>
      <c r="D25" s="60">
        <v>22.39</v>
      </c>
      <c r="E25" s="60">
        <v>5.67</v>
      </c>
      <c r="F25" s="60">
        <v>41.22</v>
      </c>
      <c r="G25" s="60">
        <v>39.93</v>
      </c>
      <c r="H25" s="60">
        <v>26.19</v>
      </c>
      <c r="I25" s="60">
        <v>0.62</v>
      </c>
      <c r="J25" s="60">
        <v>7.0000000000000007E-2</v>
      </c>
      <c r="K25" s="60">
        <v>59.75</v>
      </c>
      <c r="L25" s="60">
        <v>36.869999999999997</v>
      </c>
      <c r="M25" s="60">
        <v>20.69</v>
      </c>
      <c r="N25" s="60">
        <v>102</v>
      </c>
      <c r="O25" s="60">
        <v>0</v>
      </c>
      <c r="P25" s="60">
        <v>0.56999999999999995</v>
      </c>
      <c r="Q25" s="60">
        <v>26.56</v>
      </c>
      <c r="R25" s="44"/>
      <c r="S25" s="44"/>
      <c r="T25" s="44"/>
      <c r="U25" s="44"/>
    </row>
    <row r="26" spans="1:21" s="12" customFormat="1" x14ac:dyDescent="0.25">
      <c r="A26" s="59" t="s">
        <v>607</v>
      </c>
      <c r="B26" s="60">
        <v>2.98</v>
      </c>
      <c r="C26" s="60">
        <v>39.14</v>
      </c>
      <c r="D26" s="60">
        <v>24.63</v>
      </c>
      <c r="E26" s="60">
        <v>8.3800000000000008</v>
      </c>
      <c r="F26" s="60">
        <v>41.13</v>
      </c>
      <c r="G26" s="60">
        <v>41.02</v>
      </c>
      <c r="H26" s="60">
        <v>25.01</v>
      </c>
      <c r="I26" s="60">
        <v>0.52</v>
      </c>
      <c r="J26" s="60">
        <v>0.05</v>
      </c>
      <c r="K26" s="60">
        <v>355.59</v>
      </c>
      <c r="L26" s="60">
        <v>35.93</v>
      </c>
      <c r="M26" s="60">
        <v>21.88</v>
      </c>
      <c r="N26" s="60">
        <v>62.3</v>
      </c>
      <c r="O26" s="60">
        <v>0</v>
      </c>
      <c r="P26" s="60">
        <v>0.64</v>
      </c>
      <c r="Q26" s="60">
        <v>25.41</v>
      </c>
      <c r="R26" s="44"/>
      <c r="S26" s="44"/>
      <c r="T26" s="44"/>
      <c r="U26" s="44"/>
    </row>
    <row r="27" spans="1:21" s="12" customFormat="1" x14ac:dyDescent="0.25">
      <c r="A27" s="59" t="s">
        <v>608</v>
      </c>
      <c r="B27" s="60">
        <v>3.2</v>
      </c>
      <c r="C27" s="60">
        <v>44.73</v>
      </c>
      <c r="D27" s="60">
        <v>27.21</v>
      </c>
      <c r="E27" s="60">
        <v>6.17</v>
      </c>
      <c r="F27" s="60">
        <v>25.95</v>
      </c>
      <c r="G27" s="60">
        <v>42.76</v>
      </c>
      <c r="H27" s="60">
        <v>25.14</v>
      </c>
      <c r="I27" s="60">
        <v>0.66</v>
      </c>
      <c r="J27" s="60">
        <v>0.09</v>
      </c>
      <c r="K27" s="60">
        <v>319</v>
      </c>
      <c r="L27" s="60">
        <v>34.35</v>
      </c>
      <c r="M27" s="60">
        <v>24.96</v>
      </c>
      <c r="N27" s="60">
        <v>19.8</v>
      </c>
      <c r="O27" s="60">
        <v>0</v>
      </c>
      <c r="P27" s="60">
        <v>0.71</v>
      </c>
      <c r="Q27" s="60">
        <v>24.52</v>
      </c>
      <c r="R27" s="44"/>
      <c r="S27" s="44"/>
      <c r="T27" s="44"/>
      <c r="U27" s="44"/>
    </row>
    <row r="28" spans="1:21" s="12" customFormat="1" x14ac:dyDescent="0.25">
      <c r="A28" s="59" t="s">
        <v>609</v>
      </c>
      <c r="B28" s="60">
        <v>1.78</v>
      </c>
      <c r="C28" s="60">
        <v>60.16</v>
      </c>
      <c r="D28" s="60">
        <v>35.11</v>
      </c>
      <c r="E28" s="60">
        <v>10.85</v>
      </c>
      <c r="F28" s="60">
        <v>44.11</v>
      </c>
      <c r="G28" s="60">
        <v>47.46</v>
      </c>
      <c r="H28" s="60">
        <v>25.68</v>
      </c>
      <c r="I28" s="60">
        <v>0.72</v>
      </c>
      <c r="J28" s="60">
        <v>0.23</v>
      </c>
      <c r="K28" s="60">
        <v>228.71</v>
      </c>
      <c r="L28" s="60">
        <v>32.82</v>
      </c>
      <c r="M28" s="60">
        <v>29.2</v>
      </c>
      <c r="N28" s="60">
        <v>5</v>
      </c>
      <c r="O28" s="60">
        <v>0</v>
      </c>
      <c r="P28" s="60">
        <v>0.84</v>
      </c>
      <c r="Q28" s="60">
        <v>24.89</v>
      </c>
      <c r="R28" s="44"/>
      <c r="S28" s="44"/>
      <c r="T28" s="44"/>
      <c r="U28" s="44"/>
    </row>
    <row r="29" spans="1:21" s="12" customFormat="1" x14ac:dyDescent="0.25">
      <c r="A29" s="59" t="s">
        <v>610</v>
      </c>
      <c r="B29" s="60">
        <v>4.53</v>
      </c>
      <c r="C29" s="60">
        <v>72.63</v>
      </c>
      <c r="D29" s="60">
        <v>44.36</v>
      </c>
      <c r="E29" s="60">
        <v>10.119999999999999</v>
      </c>
      <c r="F29" s="60">
        <v>41.32</v>
      </c>
      <c r="G29" s="60">
        <v>51.63</v>
      </c>
      <c r="H29" s="60">
        <v>29.87</v>
      </c>
      <c r="I29" s="60">
        <v>0.71</v>
      </c>
      <c r="J29" s="60">
        <v>0.19</v>
      </c>
      <c r="K29" s="60">
        <v>218.6</v>
      </c>
      <c r="L29" s="60">
        <v>31.35</v>
      </c>
      <c r="M29" s="60">
        <v>33.729999999999997</v>
      </c>
      <c r="N29" s="60">
        <v>5.2</v>
      </c>
      <c r="O29" s="60">
        <v>0</v>
      </c>
      <c r="P29" s="60">
        <v>0.84</v>
      </c>
      <c r="Q29" s="60">
        <v>24.57</v>
      </c>
      <c r="R29" s="44"/>
      <c r="S29" s="44"/>
      <c r="T29" s="44"/>
      <c r="U29" s="44"/>
    </row>
    <row r="30" spans="1:21" s="12" customFormat="1" x14ac:dyDescent="0.25">
      <c r="A30" s="59" t="s">
        <v>611</v>
      </c>
      <c r="B30" s="60">
        <v>1.96</v>
      </c>
      <c r="C30" s="60">
        <v>43.34</v>
      </c>
      <c r="D30" s="60">
        <v>26.14</v>
      </c>
      <c r="E30" s="60">
        <v>4.57</v>
      </c>
      <c r="F30" s="60">
        <v>20.8</v>
      </c>
      <c r="G30" s="60">
        <v>53.75</v>
      </c>
      <c r="H30" s="60">
        <v>29.87</v>
      </c>
      <c r="I30" s="60">
        <v>0.72</v>
      </c>
      <c r="J30" s="60">
        <v>0.16</v>
      </c>
      <c r="K30" s="60">
        <v>234.62</v>
      </c>
      <c r="L30" s="60">
        <v>30.35</v>
      </c>
      <c r="M30" s="60">
        <v>35.56</v>
      </c>
      <c r="N30" s="60">
        <v>4.9000000000000004</v>
      </c>
      <c r="O30" s="60">
        <v>0</v>
      </c>
      <c r="P30" s="60">
        <v>0.76</v>
      </c>
      <c r="Q30" s="60">
        <v>25.54</v>
      </c>
      <c r="R30" s="44"/>
      <c r="S30" s="44"/>
      <c r="T30" s="44"/>
      <c r="U30" s="44"/>
    </row>
    <row r="31" spans="1:21" s="12" customFormat="1" x14ac:dyDescent="0.25">
      <c r="A31" s="59" t="s">
        <v>612</v>
      </c>
      <c r="B31" s="60">
        <v>1.26</v>
      </c>
      <c r="C31" s="60">
        <v>35.799999999999997</v>
      </c>
      <c r="D31" s="60">
        <v>21.25</v>
      </c>
      <c r="E31" s="60">
        <v>6.72</v>
      </c>
      <c r="F31" s="60">
        <v>39.69</v>
      </c>
      <c r="G31" s="60">
        <v>56.37</v>
      </c>
      <c r="H31" s="60">
        <v>28.42</v>
      </c>
      <c r="I31" s="60">
        <v>0.83</v>
      </c>
      <c r="J31" s="60">
        <v>0.17</v>
      </c>
      <c r="K31" s="60">
        <v>206.59</v>
      </c>
      <c r="L31" s="60">
        <v>29.28</v>
      </c>
      <c r="M31" s="60">
        <v>39.299999999999997</v>
      </c>
      <c r="N31" s="60">
        <v>5.0999999999999996</v>
      </c>
      <c r="O31" s="60">
        <v>0</v>
      </c>
      <c r="P31" s="60">
        <v>0.7</v>
      </c>
      <c r="Q31" s="60">
        <v>25.94</v>
      </c>
      <c r="R31" s="44"/>
      <c r="S31" s="44"/>
      <c r="T31" s="44"/>
      <c r="U31" s="44"/>
    </row>
    <row r="32" spans="1:21" s="12" customFormat="1" x14ac:dyDescent="0.25">
      <c r="A32" s="59" t="s">
        <v>613</v>
      </c>
      <c r="B32" s="60">
        <v>2.5</v>
      </c>
      <c r="C32" s="60">
        <v>33.49</v>
      </c>
      <c r="D32" s="60">
        <v>20.76</v>
      </c>
      <c r="E32" s="60">
        <v>6.92</v>
      </c>
      <c r="F32" s="60">
        <v>44.21</v>
      </c>
      <c r="G32" s="60">
        <v>56.37</v>
      </c>
      <c r="H32" s="60">
        <v>27.89</v>
      </c>
      <c r="I32" s="60">
        <v>0.72</v>
      </c>
      <c r="J32" s="60">
        <v>0.16</v>
      </c>
      <c r="K32" s="60">
        <v>238.97</v>
      </c>
      <c r="L32" s="60">
        <v>28.73</v>
      </c>
      <c r="M32" s="60">
        <v>40.43</v>
      </c>
      <c r="N32" s="60">
        <v>5</v>
      </c>
      <c r="O32" s="60">
        <v>0</v>
      </c>
      <c r="P32" s="60">
        <v>0.75</v>
      </c>
      <c r="Q32" s="60">
        <v>27.05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</v>
      </c>
      <c r="C34" s="29">
        <f t="shared" si="0"/>
        <v>20.05</v>
      </c>
      <c r="D34" s="29">
        <f t="shared" si="0"/>
        <v>12.65</v>
      </c>
      <c r="E34" s="29">
        <f t="shared" si="0"/>
        <v>2.2200000000000002</v>
      </c>
      <c r="F34" s="29">
        <f t="shared" si="0"/>
        <v>5.41</v>
      </c>
      <c r="G34" s="29">
        <f t="shared" si="0"/>
        <v>13.08</v>
      </c>
      <c r="H34" s="29">
        <f t="shared" si="0"/>
        <v>11.86</v>
      </c>
      <c r="I34" s="29">
        <f t="shared" si="0"/>
        <v>0.52</v>
      </c>
      <c r="J34" s="29">
        <f t="shared" si="0"/>
        <v>0.05</v>
      </c>
      <c r="K34" s="29">
        <f t="shared" si="0"/>
        <v>59.75</v>
      </c>
      <c r="L34" s="29">
        <f t="shared" si="0"/>
        <v>23.71</v>
      </c>
      <c r="M34" s="29">
        <f t="shared" si="0"/>
        <v>20.69</v>
      </c>
      <c r="N34" s="29">
        <f t="shared" si="0"/>
        <v>4.8</v>
      </c>
      <c r="O34" s="29">
        <f t="shared" si="0"/>
        <v>0</v>
      </c>
      <c r="P34" s="29">
        <f t="shared" si="0"/>
        <v>0.22</v>
      </c>
      <c r="Q34" s="29">
        <f t="shared" si="0"/>
        <v>22.19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8.51</v>
      </c>
      <c r="C35" s="30">
        <f t="shared" si="1"/>
        <v>72.63</v>
      </c>
      <c r="D35" s="30">
        <f t="shared" si="1"/>
        <v>44.36</v>
      </c>
      <c r="E35" s="30">
        <f t="shared" si="1"/>
        <v>10.85</v>
      </c>
      <c r="F35" s="30">
        <f t="shared" si="1"/>
        <v>69.28</v>
      </c>
      <c r="G35" s="30">
        <f t="shared" si="1"/>
        <v>61.33</v>
      </c>
      <c r="H35" s="30">
        <f t="shared" si="1"/>
        <v>29.87</v>
      </c>
      <c r="I35" s="30">
        <f t="shared" si="1"/>
        <v>0.83</v>
      </c>
      <c r="J35" s="30">
        <f t="shared" si="1"/>
        <v>1.55</v>
      </c>
      <c r="K35" s="30">
        <f t="shared" si="1"/>
        <v>359.94</v>
      </c>
      <c r="L35" s="30">
        <f t="shared" si="1"/>
        <v>39.01</v>
      </c>
      <c r="M35" s="30">
        <f t="shared" si="1"/>
        <v>54.23</v>
      </c>
      <c r="N35" s="30">
        <f t="shared" si="1"/>
        <v>896.6</v>
      </c>
      <c r="O35" s="30">
        <f t="shared" si="1"/>
        <v>0</v>
      </c>
      <c r="P35" s="30">
        <f t="shared" si="1"/>
        <v>1</v>
      </c>
      <c r="Q35" s="30">
        <f t="shared" si="1"/>
        <v>27.05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2.6637499999999998</v>
      </c>
      <c r="C36" s="29">
        <f t="shared" si="2"/>
        <v>38.798333333333332</v>
      </c>
      <c r="D36" s="29">
        <f t="shared" si="2"/>
        <v>23.951666666666668</v>
      </c>
      <c r="E36" s="29">
        <f t="shared" si="2"/>
        <v>6.1035714285714286</v>
      </c>
      <c r="F36" s="29">
        <f t="shared" si="2"/>
        <v>28.314166666666665</v>
      </c>
      <c r="G36" s="29">
        <f t="shared" si="2"/>
        <v>45.287727272727274</v>
      </c>
      <c r="H36" s="29">
        <f t="shared" si="2"/>
        <v>24.573181818181819</v>
      </c>
      <c r="I36" s="29">
        <f t="shared" si="2"/>
        <v>0.67375000000000007</v>
      </c>
      <c r="J36" s="29">
        <f t="shared" si="2"/>
        <v>0.3575000000000001</v>
      </c>
      <c r="K36" s="29">
        <f t="shared" si="2"/>
        <v>258.50041666666669</v>
      </c>
      <c r="L36" s="29">
        <f t="shared" si="2"/>
        <v>31.473333333333333</v>
      </c>
      <c r="M36" s="29">
        <f t="shared" si="2"/>
        <v>36.358750000000008</v>
      </c>
      <c r="N36" s="29">
        <f t="shared" si="2"/>
        <v>281.37499999999994</v>
      </c>
      <c r="O36" s="29">
        <f t="shared" si="2"/>
        <v>0</v>
      </c>
      <c r="P36" s="29">
        <f t="shared" si="2"/>
        <v>0.61916666666666675</v>
      </c>
      <c r="Q36" s="29">
        <f t="shared" si="2"/>
        <v>25.319999999999997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1.8915160988407995</v>
      </c>
      <c r="C37" s="29">
        <f t="shared" ref="C37:Q37" si="3">STDEV(C9:C32)</f>
        <v>11.608194506905255</v>
      </c>
      <c r="D37" s="29">
        <f t="shared" si="3"/>
        <v>7.0232475249774113</v>
      </c>
      <c r="E37" s="29">
        <f t="shared" si="3"/>
        <v>2.4605709379449614</v>
      </c>
      <c r="F37" s="29">
        <f t="shared" si="3"/>
        <v>15.083678745344379</v>
      </c>
      <c r="G37" s="29">
        <f t="shared" si="3"/>
        <v>14.794820500309012</v>
      </c>
      <c r="H37" s="29">
        <f t="shared" si="3"/>
        <v>5.6603149721915162</v>
      </c>
      <c r="I37" s="29">
        <f t="shared" si="3"/>
        <v>8.1390764351608122E-2</v>
      </c>
      <c r="J37" s="29">
        <f t="shared" si="3"/>
        <v>0.36167785329657309</v>
      </c>
      <c r="K37" s="29">
        <f t="shared" si="3"/>
        <v>78.737804382324782</v>
      </c>
      <c r="L37" s="29">
        <f t="shared" si="3"/>
        <v>5.2765598696471816</v>
      </c>
      <c r="M37" s="29">
        <f t="shared" si="3"/>
        <v>11.53512228784988</v>
      </c>
      <c r="N37" s="29">
        <f t="shared" si="3"/>
        <v>351.79080153335207</v>
      </c>
      <c r="O37" s="29">
        <f t="shared" si="3"/>
        <v>0</v>
      </c>
      <c r="P37" s="29">
        <f t="shared" si="3"/>
        <v>0.24855961871947552</v>
      </c>
      <c r="Q37" s="29">
        <f t="shared" si="3"/>
        <v>1.046846195255893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>COUNT(E9:E32)+10</f>
        <v>24</v>
      </c>
      <c r="F38" s="33">
        <f t="shared" si="4"/>
        <v>24</v>
      </c>
      <c r="G38" s="33">
        <f>COUNT(G9:G32)+2</f>
        <v>24</v>
      </c>
      <c r="H38" s="33">
        <f>COUNT(H9:H32)+2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J57" sqref="J57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24-05-2023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53" t="s">
        <v>57</v>
      </c>
      <c r="R7" s="28"/>
      <c r="S7" s="30"/>
      <c r="T7" s="28"/>
      <c r="U7" s="28"/>
    </row>
    <row r="8" spans="1:21" s="22" customFormat="1" x14ac:dyDescent="0.25">
      <c r="A8" s="67"/>
      <c r="B8" s="68" t="s">
        <v>22</v>
      </c>
      <c r="C8" s="68" t="s">
        <v>22</v>
      </c>
      <c r="D8" s="30" t="s">
        <v>61</v>
      </c>
      <c r="E8" s="68" t="s">
        <v>22</v>
      </c>
      <c r="F8" s="68" t="s">
        <v>22</v>
      </c>
      <c r="G8" s="68" t="s">
        <v>23</v>
      </c>
      <c r="H8" s="68" t="s">
        <v>22</v>
      </c>
      <c r="I8" s="68" t="s">
        <v>22</v>
      </c>
      <c r="J8" s="68" t="s">
        <v>24</v>
      </c>
      <c r="K8" s="68" t="s">
        <v>25</v>
      </c>
      <c r="L8" s="67" t="s">
        <v>27</v>
      </c>
      <c r="M8" s="68" t="s">
        <v>26</v>
      </c>
      <c r="N8" s="68" t="s">
        <v>28</v>
      </c>
      <c r="O8" s="67" t="s">
        <v>29</v>
      </c>
      <c r="P8" s="68" t="s">
        <v>22</v>
      </c>
      <c r="Q8" s="68" t="s">
        <v>22</v>
      </c>
      <c r="R8" s="28"/>
      <c r="S8" s="30"/>
      <c r="T8" s="28"/>
      <c r="U8" s="28"/>
    </row>
    <row r="9" spans="1:21" s="12" customFormat="1" x14ac:dyDescent="0.25">
      <c r="A9" s="59" t="s">
        <v>614</v>
      </c>
      <c r="B9" s="60">
        <v>1.48</v>
      </c>
      <c r="C9" s="60">
        <v>29.56</v>
      </c>
      <c r="D9" s="60">
        <v>18.149999999999999</v>
      </c>
      <c r="E9" s="60">
        <v>2.95</v>
      </c>
      <c r="F9" s="60">
        <v>17.850000000000001</v>
      </c>
      <c r="G9" s="60">
        <v>51.3</v>
      </c>
      <c r="H9" s="60">
        <v>25.07</v>
      </c>
      <c r="I9" s="60">
        <v>0.8</v>
      </c>
      <c r="J9" s="60">
        <v>0.21</v>
      </c>
      <c r="K9" s="60">
        <v>329.03</v>
      </c>
      <c r="L9" s="60">
        <v>28.38</v>
      </c>
      <c r="M9" s="60">
        <v>42.44</v>
      </c>
      <c r="N9" s="60">
        <v>4.9000000000000004</v>
      </c>
      <c r="O9" s="60">
        <v>0</v>
      </c>
      <c r="P9" s="60">
        <v>0.63</v>
      </c>
      <c r="Q9" s="60">
        <v>27.26</v>
      </c>
      <c r="R9" s="44"/>
      <c r="S9" s="44"/>
      <c r="T9" s="44"/>
      <c r="U9" s="44"/>
    </row>
    <row r="10" spans="1:21" s="12" customFormat="1" x14ac:dyDescent="0.25">
      <c r="A10" s="59" t="s">
        <v>615</v>
      </c>
      <c r="B10" s="60">
        <v>1.68</v>
      </c>
      <c r="C10" s="60">
        <v>26.8</v>
      </c>
      <c r="D10" s="60">
        <v>16.29</v>
      </c>
      <c r="E10" s="60">
        <v>3.05</v>
      </c>
      <c r="F10" s="60">
        <v>37.33</v>
      </c>
      <c r="G10" s="60">
        <v>49.44</v>
      </c>
      <c r="H10" s="60">
        <v>25.92</v>
      </c>
      <c r="I10" s="60">
        <v>0.72</v>
      </c>
      <c r="J10" s="60">
        <v>0.05</v>
      </c>
      <c r="K10" s="60">
        <v>346.76</v>
      </c>
      <c r="L10" s="60">
        <v>28.54</v>
      </c>
      <c r="M10" s="60">
        <v>42.13</v>
      </c>
      <c r="N10" s="60">
        <v>4.8</v>
      </c>
      <c r="O10" s="60">
        <v>0</v>
      </c>
      <c r="P10" s="60">
        <v>0.56000000000000005</v>
      </c>
      <c r="Q10" s="60">
        <v>26.74</v>
      </c>
      <c r="R10" s="44"/>
      <c r="S10" s="44"/>
      <c r="T10" s="44"/>
      <c r="U10" s="44"/>
    </row>
    <row r="11" spans="1:21" s="12" customFormat="1" x14ac:dyDescent="0.25">
      <c r="A11" s="59" t="s">
        <v>616</v>
      </c>
      <c r="B11" s="60">
        <v>1.39</v>
      </c>
      <c r="C11" s="60">
        <v>22.85</v>
      </c>
      <c r="D11" s="60">
        <v>14.21</v>
      </c>
      <c r="E11" s="60">
        <v>2.99</v>
      </c>
      <c r="F11" s="60">
        <v>28.83</v>
      </c>
      <c r="G11" s="60">
        <v>45.47</v>
      </c>
      <c r="H11" s="60">
        <v>25.92</v>
      </c>
      <c r="I11" s="60">
        <v>0.76</v>
      </c>
      <c r="J11" s="60">
        <v>0.08</v>
      </c>
      <c r="K11" s="60">
        <v>268.26</v>
      </c>
      <c r="L11" s="60">
        <v>28.3</v>
      </c>
      <c r="M11" s="60">
        <v>43.48</v>
      </c>
      <c r="N11" s="60">
        <v>4.9000000000000004</v>
      </c>
      <c r="O11" s="60">
        <v>0</v>
      </c>
      <c r="P11" s="60">
        <v>0.52</v>
      </c>
      <c r="Q11" s="60">
        <v>26.47</v>
      </c>
      <c r="R11" s="44"/>
      <c r="S11" s="44"/>
      <c r="T11" s="44"/>
      <c r="U11" s="44"/>
    </row>
    <row r="12" spans="1:21" s="12" customFormat="1" x14ac:dyDescent="0.25">
      <c r="A12" s="59" t="s">
        <v>617</v>
      </c>
      <c r="B12" s="60">
        <v>1.03</v>
      </c>
      <c r="C12" s="60">
        <v>23.25</v>
      </c>
      <c r="D12" s="60">
        <v>14.31</v>
      </c>
      <c r="E12" s="60">
        <v>2.04</v>
      </c>
      <c r="F12" s="60">
        <v>9.6999999999999993</v>
      </c>
      <c r="G12" s="60">
        <v>43.54</v>
      </c>
      <c r="H12" s="60">
        <v>23.28</v>
      </c>
      <c r="I12" s="60">
        <v>0.9</v>
      </c>
      <c r="J12" s="60">
        <v>0.05</v>
      </c>
      <c r="K12" s="60">
        <v>311.63</v>
      </c>
      <c r="L12" s="60">
        <v>27.74</v>
      </c>
      <c r="M12" s="60">
        <v>46.14</v>
      </c>
      <c r="N12" s="60">
        <v>5</v>
      </c>
      <c r="O12" s="60">
        <v>0</v>
      </c>
      <c r="P12" s="60">
        <v>0.49</v>
      </c>
      <c r="Q12" s="60">
        <v>26.27</v>
      </c>
      <c r="R12" s="44"/>
      <c r="S12" s="44"/>
      <c r="T12" s="44"/>
      <c r="U12" s="44"/>
    </row>
    <row r="13" spans="1:21" s="12" customFormat="1" x14ac:dyDescent="0.25">
      <c r="A13" s="59" t="s">
        <v>618</v>
      </c>
      <c r="B13" s="60">
        <v>1.56</v>
      </c>
      <c r="C13" s="60">
        <v>22.91</v>
      </c>
      <c r="D13" s="60">
        <v>14.11</v>
      </c>
      <c r="E13" s="60">
        <v>2.79</v>
      </c>
      <c r="F13" s="60">
        <v>39.090000000000003</v>
      </c>
      <c r="G13" s="60">
        <v>42.45</v>
      </c>
      <c r="H13" s="60">
        <v>23.03</v>
      </c>
      <c r="I13" s="60">
        <v>0.62</v>
      </c>
      <c r="J13" s="60">
        <v>1.86</v>
      </c>
      <c r="K13" s="60">
        <v>153.55000000000001</v>
      </c>
      <c r="L13" s="60">
        <v>27.28</v>
      </c>
      <c r="M13" s="60">
        <v>49.33</v>
      </c>
      <c r="N13" s="60">
        <v>5</v>
      </c>
      <c r="O13" s="60">
        <v>0</v>
      </c>
      <c r="P13" s="60">
        <v>0.44</v>
      </c>
      <c r="Q13" s="60">
        <v>27.41</v>
      </c>
      <c r="R13" s="44"/>
      <c r="S13" s="44"/>
      <c r="T13" s="44"/>
      <c r="U13" s="44"/>
    </row>
    <row r="14" spans="1:21" s="12" customFormat="1" x14ac:dyDescent="0.25">
      <c r="A14" s="59" t="s">
        <v>619</v>
      </c>
      <c r="B14" s="60">
        <v>8.59</v>
      </c>
      <c r="C14" s="60">
        <v>32.01</v>
      </c>
      <c r="D14" s="60">
        <v>25.2</v>
      </c>
      <c r="E14" s="60">
        <v>2.8</v>
      </c>
      <c r="F14" s="60">
        <v>28.91</v>
      </c>
      <c r="G14" s="60">
        <v>46.29</v>
      </c>
      <c r="H14" s="60">
        <v>24.28</v>
      </c>
      <c r="I14" s="60">
        <v>1.01</v>
      </c>
      <c r="J14" s="60">
        <v>0.46</v>
      </c>
      <c r="K14" s="60">
        <v>261.18</v>
      </c>
      <c r="L14" s="60">
        <v>27.08</v>
      </c>
      <c r="M14" s="60">
        <v>50.18</v>
      </c>
      <c r="N14" s="60">
        <v>52.7</v>
      </c>
      <c r="O14" s="60">
        <v>0</v>
      </c>
      <c r="P14" s="60">
        <v>0.49</v>
      </c>
      <c r="Q14" s="60">
        <v>28.5</v>
      </c>
      <c r="R14" s="44"/>
      <c r="S14" s="44"/>
      <c r="T14" s="44"/>
      <c r="U14" s="44"/>
    </row>
    <row r="15" spans="1:21" s="12" customFormat="1" x14ac:dyDescent="0.25">
      <c r="A15" s="59" t="s">
        <v>620</v>
      </c>
      <c r="B15" s="60">
        <v>2.15</v>
      </c>
      <c r="C15" s="60">
        <v>31.49</v>
      </c>
      <c r="D15" s="60">
        <v>19.739999999999998</v>
      </c>
      <c r="E15" s="60">
        <v>1.83</v>
      </c>
      <c r="F15" s="60">
        <v>7.94</v>
      </c>
      <c r="G15" s="60">
        <v>48.33</v>
      </c>
      <c r="H15" s="60">
        <v>24.28</v>
      </c>
      <c r="I15" s="60">
        <v>0.8</v>
      </c>
      <c r="J15" s="60">
        <v>0.15</v>
      </c>
      <c r="K15" s="60">
        <v>239.87</v>
      </c>
      <c r="L15" s="60">
        <v>29.16</v>
      </c>
      <c r="M15" s="60">
        <v>49.84</v>
      </c>
      <c r="N15" s="60">
        <v>230.2</v>
      </c>
      <c r="O15" s="60">
        <v>0</v>
      </c>
      <c r="P15" s="60">
        <v>0.52</v>
      </c>
      <c r="Q15" s="60">
        <v>28.53</v>
      </c>
      <c r="R15" s="44"/>
      <c r="S15" s="44"/>
      <c r="T15" s="44"/>
      <c r="U15" s="44"/>
    </row>
    <row r="16" spans="1:21" s="12" customFormat="1" x14ac:dyDescent="0.25">
      <c r="A16" s="59" t="s">
        <v>621</v>
      </c>
      <c r="B16" s="60">
        <v>2.89</v>
      </c>
      <c r="C16" s="60">
        <v>32.659999999999997</v>
      </c>
      <c r="D16" s="60">
        <v>20.94</v>
      </c>
      <c r="E16" s="60">
        <v>2.0699999999999998</v>
      </c>
      <c r="F16" s="60">
        <v>19.29</v>
      </c>
      <c r="G16" s="60">
        <v>58.96</v>
      </c>
      <c r="H16" s="60">
        <v>26.88</v>
      </c>
      <c r="I16" s="60">
        <v>0.82</v>
      </c>
      <c r="J16" s="60">
        <v>0.06</v>
      </c>
      <c r="K16" s="60">
        <v>353.57</v>
      </c>
      <c r="L16" s="60">
        <v>31.91</v>
      </c>
      <c r="M16" s="60">
        <v>45.92</v>
      </c>
      <c r="N16" s="60">
        <v>443.5</v>
      </c>
      <c r="O16" s="60">
        <v>0</v>
      </c>
      <c r="P16" s="60">
        <v>0.64</v>
      </c>
      <c r="Q16" s="60">
        <v>27.64</v>
      </c>
      <c r="R16" s="44"/>
      <c r="S16" s="44"/>
      <c r="T16" s="44"/>
      <c r="U16" s="44"/>
    </row>
    <row r="17" spans="1:21" s="12" customFormat="1" x14ac:dyDescent="0.25">
      <c r="A17" s="59" t="s">
        <v>622</v>
      </c>
      <c r="B17" s="60">
        <v>2.2599999999999998</v>
      </c>
      <c r="C17" s="60">
        <v>30.73</v>
      </c>
      <c r="D17" s="60">
        <v>18.64</v>
      </c>
      <c r="E17" s="60">
        <v>1.72</v>
      </c>
      <c r="F17" s="60">
        <v>19.63</v>
      </c>
      <c r="G17" s="60">
        <v>72.59</v>
      </c>
      <c r="H17" s="60">
        <v>31.22</v>
      </c>
      <c r="I17" s="60">
        <v>0.67</v>
      </c>
      <c r="J17" s="60">
        <v>0.17</v>
      </c>
      <c r="K17" s="60">
        <v>53.52</v>
      </c>
      <c r="L17" s="60">
        <v>33.43</v>
      </c>
      <c r="M17" s="60">
        <v>38.729999999999997</v>
      </c>
      <c r="N17" s="60">
        <v>640.9</v>
      </c>
      <c r="O17" s="60">
        <v>0</v>
      </c>
      <c r="P17" s="60">
        <v>0.57999999999999996</v>
      </c>
      <c r="Q17" s="60">
        <v>26.52</v>
      </c>
      <c r="R17" s="44"/>
      <c r="S17" s="44"/>
      <c r="T17" s="44"/>
      <c r="U17" s="44"/>
    </row>
    <row r="18" spans="1:21" s="12" customFormat="1" x14ac:dyDescent="0.25">
      <c r="A18" s="59" t="s">
        <v>623</v>
      </c>
      <c r="B18" s="60">
        <v>1.19</v>
      </c>
      <c r="C18" s="60">
        <v>34.619999999999997</v>
      </c>
      <c r="D18" s="60">
        <v>20.68</v>
      </c>
      <c r="E18" s="60">
        <v>1.55</v>
      </c>
      <c r="F18" s="60">
        <v>11.92</v>
      </c>
      <c r="G18" s="60">
        <v>73.459999999999994</v>
      </c>
      <c r="H18" s="60">
        <v>34.82</v>
      </c>
      <c r="I18" s="60">
        <v>0.81</v>
      </c>
      <c r="J18" s="60">
        <v>0.32</v>
      </c>
      <c r="K18" s="60">
        <v>333.64</v>
      </c>
      <c r="L18" s="60">
        <v>36.700000000000003</v>
      </c>
      <c r="M18" s="60">
        <v>32.6</v>
      </c>
      <c r="N18" s="60">
        <v>776.7</v>
      </c>
      <c r="O18" s="60">
        <v>0</v>
      </c>
      <c r="P18" s="60">
        <v>0.68</v>
      </c>
      <c r="Q18" s="60">
        <v>26.07</v>
      </c>
      <c r="R18" s="44"/>
      <c r="S18" s="44"/>
      <c r="T18" s="44"/>
      <c r="U18" s="44"/>
    </row>
    <row r="19" spans="1:21" s="12" customFormat="1" x14ac:dyDescent="0.25">
      <c r="A19" s="59" t="s">
        <v>624</v>
      </c>
      <c r="B19" s="60">
        <v>3.62</v>
      </c>
      <c r="C19" s="60">
        <v>41.82</v>
      </c>
      <c r="D19" s="60">
        <v>26.39</v>
      </c>
      <c r="E19" s="60">
        <v>3.49</v>
      </c>
      <c r="F19" s="60">
        <v>43.12</v>
      </c>
      <c r="G19" s="60">
        <v>73.819999999999993</v>
      </c>
      <c r="H19" s="60">
        <v>34.82</v>
      </c>
      <c r="I19" s="60">
        <v>0.71</v>
      </c>
      <c r="J19" s="60">
        <v>0.93</v>
      </c>
      <c r="K19" s="60">
        <v>260.57</v>
      </c>
      <c r="L19" s="60">
        <v>39.979999999999997</v>
      </c>
      <c r="M19" s="60">
        <v>23.73</v>
      </c>
      <c r="N19" s="60">
        <v>854</v>
      </c>
      <c r="O19" s="60">
        <v>0</v>
      </c>
      <c r="P19" s="60">
        <v>0.83</v>
      </c>
      <c r="Q19" s="60">
        <v>26.16</v>
      </c>
      <c r="R19" s="44"/>
      <c r="S19" s="44"/>
      <c r="T19" s="44"/>
      <c r="U19" s="44"/>
    </row>
    <row r="20" spans="1:21" s="12" customFormat="1" x14ac:dyDescent="0.25">
      <c r="A20" s="59" t="s">
        <v>625</v>
      </c>
      <c r="B20" s="60">
        <v>4.7699999999999996</v>
      </c>
      <c r="C20" s="60">
        <v>40.020000000000003</v>
      </c>
      <c r="D20" s="60">
        <v>26.45</v>
      </c>
      <c r="E20" s="60">
        <v>2.91</v>
      </c>
      <c r="F20" s="60">
        <v>28.12</v>
      </c>
      <c r="G20" s="60">
        <v>78.680000000000007</v>
      </c>
      <c r="H20" s="60">
        <v>36.22</v>
      </c>
      <c r="I20" s="60">
        <v>0.82</v>
      </c>
      <c r="J20" s="60">
        <v>1.08</v>
      </c>
      <c r="K20" s="60">
        <v>258.8</v>
      </c>
      <c r="L20" s="60">
        <v>40.99</v>
      </c>
      <c r="M20" s="60">
        <v>20.74</v>
      </c>
      <c r="N20" s="60">
        <v>871.6</v>
      </c>
      <c r="O20" s="60">
        <v>0</v>
      </c>
      <c r="P20" s="60">
        <v>0.8</v>
      </c>
      <c r="Q20" s="60">
        <v>24.98</v>
      </c>
      <c r="R20" s="44"/>
      <c r="S20" s="44"/>
      <c r="T20" s="44"/>
      <c r="U20" s="44"/>
    </row>
    <row r="21" spans="1:21" s="12" customFormat="1" x14ac:dyDescent="0.25">
      <c r="A21" s="59" t="s">
        <v>626</v>
      </c>
      <c r="B21" s="60">
        <v>1.81</v>
      </c>
      <c r="C21" s="60">
        <v>36.92</v>
      </c>
      <c r="D21" s="60">
        <v>22.23</v>
      </c>
      <c r="E21" s="60">
        <v>2.98</v>
      </c>
      <c r="F21" s="60">
        <v>28.5</v>
      </c>
      <c r="G21" s="60">
        <v>84.56</v>
      </c>
      <c r="H21" s="60">
        <v>36.5</v>
      </c>
      <c r="I21" s="60">
        <v>0.62</v>
      </c>
      <c r="J21" s="60">
        <v>0.61</v>
      </c>
      <c r="K21" s="60">
        <v>258.44</v>
      </c>
      <c r="L21" s="60">
        <v>41</v>
      </c>
      <c r="M21" s="60">
        <v>20.329999999999998</v>
      </c>
      <c r="N21" s="60">
        <v>857</v>
      </c>
      <c r="O21" s="60">
        <v>0</v>
      </c>
      <c r="P21" s="60">
        <v>0.66</v>
      </c>
      <c r="Q21" s="60">
        <v>25.37</v>
      </c>
      <c r="R21" s="44"/>
      <c r="S21" s="44"/>
      <c r="T21" s="44"/>
      <c r="U21" s="44"/>
    </row>
    <row r="22" spans="1:21" s="12" customFormat="1" x14ac:dyDescent="0.25">
      <c r="A22" s="59" t="s">
        <v>627</v>
      </c>
      <c r="B22" s="60">
        <v>5.66</v>
      </c>
      <c r="C22" s="60">
        <v>34.54</v>
      </c>
      <c r="D22" s="60">
        <v>21.9</v>
      </c>
      <c r="E22" s="60">
        <v>4.55</v>
      </c>
      <c r="F22" s="60">
        <v>54.33</v>
      </c>
      <c r="G22" s="60">
        <v>84.56</v>
      </c>
      <c r="H22" s="60">
        <v>36.5</v>
      </c>
      <c r="I22" s="60">
        <v>0.65</v>
      </c>
      <c r="J22" s="60">
        <v>0.77</v>
      </c>
      <c r="K22" s="60">
        <v>267.87</v>
      </c>
      <c r="L22" s="60">
        <v>41.19</v>
      </c>
      <c r="M22" s="60">
        <v>16.809999999999999</v>
      </c>
      <c r="N22" s="60">
        <v>844.5</v>
      </c>
      <c r="O22" s="60">
        <v>0</v>
      </c>
      <c r="P22" s="60">
        <v>0.5</v>
      </c>
      <c r="Q22" s="60">
        <v>26.6</v>
      </c>
      <c r="R22" s="44"/>
      <c r="S22" s="44"/>
      <c r="T22" s="44"/>
      <c r="U22" s="44"/>
    </row>
    <row r="23" spans="1:21" s="12" customFormat="1" x14ac:dyDescent="0.25">
      <c r="A23" s="59" t="s">
        <v>628</v>
      </c>
      <c r="B23" s="60">
        <v>4.18</v>
      </c>
      <c r="C23" s="60">
        <v>35.71</v>
      </c>
      <c r="D23" s="60">
        <v>23.24</v>
      </c>
      <c r="E23" s="60">
        <v>2.73</v>
      </c>
      <c r="F23" s="60">
        <v>19.260000000000002</v>
      </c>
      <c r="G23" s="60">
        <v>86.42</v>
      </c>
      <c r="H23" s="60">
        <v>33.770000000000003</v>
      </c>
      <c r="I23" s="60">
        <v>0.72</v>
      </c>
      <c r="J23" s="60">
        <v>1.22</v>
      </c>
      <c r="K23" s="60">
        <v>259.58999999999997</v>
      </c>
      <c r="L23" s="60">
        <v>40.92</v>
      </c>
      <c r="M23" s="60">
        <v>17.45</v>
      </c>
      <c r="N23" s="60">
        <v>546.4</v>
      </c>
      <c r="O23" s="60">
        <v>0</v>
      </c>
      <c r="P23" s="60">
        <v>0.5</v>
      </c>
      <c r="Q23" s="60">
        <v>26.62</v>
      </c>
      <c r="R23" s="44"/>
      <c r="S23" s="44"/>
      <c r="T23" s="44"/>
      <c r="U23" s="44"/>
    </row>
    <row r="24" spans="1:21" s="12" customFormat="1" x14ac:dyDescent="0.25">
      <c r="A24" s="59" t="s">
        <v>629</v>
      </c>
      <c r="B24" s="60">
        <v>2.93</v>
      </c>
      <c r="C24" s="60">
        <v>36.340000000000003</v>
      </c>
      <c r="D24" s="60">
        <v>23.05</v>
      </c>
      <c r="E24" s="60">
        <v>1.77</v>
      </c>
      <c r="F24" s="60">
        <v>13.46</v>
      </c>
      <c r="G24" s="60">
        <v>86.42</v>
      </c>
      <c r="H24" s="60">
        <v>33.770000000000003</v>
      </c>
      <c r="I24" s="60">
        <v>0.75</v>
      </c>
      <c r="J24" s="60">
        <v>1.1399999999999999</v>
      </c>
      <c r="K24" s="60">
        <v>270.06</v>
      </c>
      <c r="L24" s="60">
        <v>38.020000000000003</v>
      </c>
      <c r="M24" s="60">
        <v>20.72</v>
      </c>
      <c r="N24" s="60">
        <v>166.2</v>
      </c>
      <c r="O24" s="60">
        <v>0</v>
      </c>
      <c r="P24" s="60">
        <v>0.47</v>
      </c>
      <c r="Q24" s="60">
        <v>26.55</v>
      </c>
      <c r="R24" s="44"/>
      <c r="S24" s="44"/>
      <c r="T24" s="44"/>
      <c r="U24" s="44"/>
    </row>
    <row r="25" spans="1:21" s="12" customFormat="1" x14ac:dyDescent="0.25">
      <c r="A25" s="59" t="s">
        <v>630</v>
      </c>
      <c r="B25" s="60">
        <v>14.94</v>
      </c>
      <c r="C25" s="60">
        <v>60.7</v>
      </c>
      <c r="D25" s="60">
        <v>46.12</v>
      </c>
      <c r="E25" s="60">
        <v>2.44</v>
      </c>
      <c r="F25" s="60">
        <v>41.26</v>
      </c>
      <c r="G25" s="60">
        <v>99.66</v>
      </c>
      <c r="H25" s="60">
        <v>37.79</v>
      </c>
      <c r="I25" s="60">
        <v>0.66</v>
      </c>
      <c r="J25" s="60">
        <v>1.76</v>
      </c>
      <c r="K25" s="60">
        <v>258.61</v>
      </c>
      <c r="L25" s="60">
        <v>35.29</v>
      </c>
      <c r="M25" s="60">
        <v>38.32</v>
      </c>
      <c r="N25" s="60">
        <v>146.1</v>
      </c>
      <c r="O25" s="60">
        <v>0.2</v>
      </c>
      <c r="P25" s="60">
        <v>0.73</v>
      </c>
      <c r="Q25" s="60">
        <v>26.69</v>
      </c>
      <c r="R25" s="44"/>
      <c r="S25" s="44"/>
      <c r="T25" s="44"/>
      <c r="U25" s="44"/>
    </row>
    <row r="26" spans="1:21" s="12" customFormat="1" x14ac:dyDescent="0.25">
      <c r="A26" s="59" t="s">
        <v>631</v>
      </c>
      <c r="B26" s="60">
        <v>23.41</v>
      </c>
      <c r="C26" s="60">
        <v>78.680000000000007</v>
      </c>
      <c r="D26" s="60">
        <v>62.84</v>
      </c>
      <c r="E26" s="60">
        <v>3.01</v>
      </c>
      <c r="F26" s="60">
        <v>25.05</v>
      </c>
      <c r="G26" s="60">
        <v>188.3</v>
      </c>
      <c r="H26" s="60">
        <v>51.75</v>
      </c>
      <c r="I26" s="60">
        <v>0.64</v>
      </c>
      <c r="J26" s="60">
        <v>0.1</v>
      </c>
      <c r="K26" s="60">
        <v>261.07</v>
      </c>
      <c r="L26" s="60">
        <v>32.97</v>
      </c>
      <c r="M26" s="60">
        <v>37.53</v>
      </c>
      <c r="N26" s="60">
        <v>64.599999999999994</v>
      </c>
      <c r="O26" s="60">
        <v>0</v>
      </c>
      <c r="P26" s="60">
        <v>1.87</v>
      </c>
      <c r="Q26" s="60">
        <v>25.54</v>
      </c>
      <c r="R26" s="44"/>
      <c r="S26" s="44"/>
      <c r="T26" s="44"/>
      <c r="U26" s="44"/>
    </row>
    <row r="27" spans="1:21" s="12" customFormat="1" x14ac:dyDescent="0.25">
      <c r="A27" s="59" t="s">
        <v>632</v>
      </c>
      <c r="B27" s="60">
        <v>34.07</v>
      </c>
      <c r="C27" s="60">
        <v>91.16</v>
      </c>
      <c r="D27" s="60">
        <v>76.83</v>
      </c>
      <c r="E27" s="60">
        <v>8.32</v>
      </c>
      <c r="F27" s="60">
        <v>11.09</v>
      </c>
      <c r="G27" s="60">
        <v>188.3</v>
      </c>
      <c r="H27" s="60">
        <v>83.66</v>
      </c>
      <c r="I27" s="60">
        <v>0.92</v>
      </c>
      <c r="J27" s="60">
        <v>0.16</v>
      </c>
      <c r="K27" s="60">
        <v>293.68</v>
      </c>
      <c r="L27" s="60">
        <v>33.19</v>
      </c>
      <c r="M27" s="60">
        <v>36.74</v>
      </c>
      <c r="N27" s="60">
        <v>19.7</v>
      </c>
      <c r="O27" s="60">
        <v>0</v>
      </c>
      <c r="P27" s="60">
        <v>2.0299999999999998</v>
      </c>
      <c r="Q27" s="60">
        <v>29.06</v>
      </c>
      <c r="R27" s="44"/>
      <c r="S27" s="44"/>
      <c r="T27" s="44"/>
      <c r="U27" s="44"/>
    </row>
    <row r="28" spans="1:21" s="12" customFormat="1" x14ac:dyDescent="0.25">
      <c r="A28" s="59" t="s">
        <v>633</v>
      </c>
      <c r="B28" s="60">
        <v>46.32</v>
      </c>
      <c r="C28" s="60">
        <v>88.71</v>
      </c>
      <c r="D28" s="60">
        <v>86.75</v>
      </c>
      <c r="E28" s="60">
        <v>11.1</v>
      </c>
      <c r="F28" s="60">
        <v>22.79</v>
      </c>
      <c r="G28" s="60">
        <v>185.3</v>
      </c>
      <c r="H28" s="60">
        <v>98.14</v>
      </c>
      <c r="I28" s="60">
        <v>1.08</v>
      </c>
      <c r="J28" s="60">
        <v>0.06</v>
      </c>
      <c r="K28" s="60">
        <v>315.87</v>
      </c>
      <c r="L28" s="60">
        <v>32.78</v>
      </c>
      <c r="M28" s="60">
        <v>28.25</v>
      </c>
      <c r="N28" s="60">
        <v>5.3</v>
      </c>
      <c r="O28" s="60">
        <v>0</v>
      </c>
      <c r="P28" s="60">
        <v>2.17</v>
      </c>
      <c r="Q28" s="60">
        <v>30.58</v>
      </c>
      <c r="R28" s="44"/>
      <c r="S28" s="44"/>
      <c r="T28" s="44"/>
      <c r="U28" s="44"/>
    </row>
    <row r="29" spans="1:21" s="12" customFormat="1" x14ac:dyDescent="0.25">
      <c r="A29" s="59" t="s">
        <v>634</v>
      </c>
      <c r="B29" s="60">
        <v>35.86</v>
      </c>
      <c r="C29" s="60">
        <v>74.650000000000006</v>
      </c>
      <c r="D29" s="60">
        <v>70.599999999999994</v>
      </c>
      <c r="E29" s="60">
        <v>10.6</v>
      </c>
      <c r="F29" s="60">
        <v>8.0399999999999991</v>
      </c>
      <c r="G29" s="60">
        <v>180.3</v>
      </c>
      <c r="H29" s="60">
        <v>98.14</v>
      </c>
      <c r="I29" s="60">
        <v>1</v>
      </c>
      <c r="J29" s="60">
        <v>0.25</v>
      </c>
      <c r="K29" s="60">
        <v>259.33</v>
      </c>
      <c r="L29" s="60">
        <v>31.97</v>
      </c>
      <c r="M29" s="60">
        <v>30.81</v>
      </c>
      <c r="N29" s="60">
        <v>5.3</v>
      </c>
      <c r="O29" s="60">
        <v>0</v>
      </c>
      <c r="P29" s="60">
        <v>2.13</v>
      </c>
      <c r="Q29" s="60">
        <v>31.33</v>
      </c>
      <c r="R29" s="44"/>
      <c r="S29" s="44"/>
      <c r="T29" s="44"/>
      <c r="U29" s="44"/>
    </row>
    <row r="30" spans="1:21" s="12" customFormat="1" x14ac:dyDescent="0.25">
      <c r="A30" s="59" t="s">
        <v>635</v>
      </c>
      <c r="B30" s="60">
        <v>17.41</v>
      </c>
      <c r="C30" s="60">
        <v>63.84</v>
      </c>
      <c r="D30" s="60">
        <v>49.52</v>
      </c>
      <c r="E30" s="60">
        <v>8.7799999999999994</v>
      </c>
      <c r="F30" s="60">
        <v>20.76</v>
      </c>
      <c r="G30" s="62" t="s">
        <v>14</v>
      </c>
      <c r="H30" s="62" t="s">
        <v>14</v>
      </c>
      <c r="I30" s="60">
        <v>0.95</v>
      </c>
      <c r="J30" s="60">
        <v>0.19</v>
      </c>
      <c r="K30" s="60">
        <v>204.26</v>
      </c>
      <c r="L30" s="60">
        <v>30.8</v>
      </c>
      <c r="M30" s="60">
        <v>32.75</v>
      </c>
      <c r="N30" s="60">
        <v>5.3</v>
      </c>
      <c r="O30" s="60">
        <v>0</v>
      </c>
      <c r="P30" s="60">
        <v>1.4</v>
      </c>
      <c r="Q30" s="60">
        <v>31.69</v>
      </c>
      <c r="R30" s="44"/>
      <c r="S30" s="44"/>
      <c r="T30" s="44"/>
      <c r="U30" s="44"/>
    </row>
    <row r="31" spans="1:21" s="12" customFormat="1" x14ac:dyDescent="0.25">
      <c r="A31" s="59" t="s">
        <v>636</v>
      </c>
      <c r="B31" s="60">
        <v>5.8</v>
      </c>
      <c r="C31" s="60">
        <v>58.42</v>
      </c>
      <c r="D31" s="60">
        <v>35.71</v>
      </c>
      <c r="E31" s="60">
        <v>8.16</v>
      </c>
      <c r="F31" s="60">
        <v>27.81</v>
      </c>
      <c r="G31" s="60">
        <v>69.61</v>
      </c>
      <c r="H31" s="60">
        <v>58.73</v>
      </c>
      <c r="I31" s="60">
        <v>0.72</v>
      </c>
      <c r="J31" s="60">
        <v>0.31</v>
      </c>
      <c r="K31" s="60">
        <v>212.69</v>
      </c>
      <c r="L31" s="60">
        <v>30.07</v>
      </c>
      <c r="M31" s="60">
        <v>35.31</v>
      </c>
      <c r="N31" s="60">
        <v>5.4</v>
      </c>
      <c r="O31" s="60">
        <v>0</v>
      </c>
      <c r="P31" s="60">
        <v>0.84</v>
      </c>
      <c r="Q31" s="60">
        <v>32.049999999999997</v>
      </c>
      <c r="R31" s="44"/>
      <c r="S31" s="44"/>
      <c r="T31" s="44"/>
      <c r="U31" s="44"/>
    </row>
    <row r="32" spans="1:21" s="12" customFormat="1" x14ac:dyDescent="0.25">
      <c r="A32" s="59" t="s">
        <v>637</v>
      </c>
      <c r="B32" s="60">
        <v>9.59</v>
      </c>
      <c r="C32" s="60">
        <v>41.82</v>
      </c>
      <c r="D32" s="60">
        <v>31.42</v>
      </c>
      <c r="E32" s="60">
        <v>4.2</v>
      </c>
      <c r="F32" s="60">
        <v>16.23</v>
      </c>
      <c r="G32" s="60">
        <v>59.55</v>
      </c>
      <c r="H32" s="60">
        <v>43.38</v>
      </c>
      <c r="I32" s="60">
        <v>0.79</v>
      </c>
      <c r="J32" s="60">
        <v>0.14000000000000001</v>
      </c>
      <c r="K32" s="60">
        <v>244.47</v>
      </c>
      <c r="L32" s="60">
        <v>29.58</v>
      </c>
      <c r="M32" s="60">
        <v>38.619999999999997</v>
      </c>
      <c r="N32" s="60">
        <v>5.5</v>
      </c>
      <c r="O32" s="60">
        <v>0</v>
      </c>
      <c r="P32" s="60">
        <v>0.98</v>
      </c>
      <c r="Q32" s="60">
        <v>31.81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1.03</v>
      </c>
      <c r="C34" s="29">
        <f t="shared" si="0"/>
        <v>22.85</v>
      </c>
      <c r="D34" s="29">
        <f t="shared" si="0"/>
        <v>14.11</v>
      </c>
      <c r="E34" s="29">
        <f t="shared" si="0"/>
        <v>1.55</v>
      </c>
      <c r="F34" s="29">
        <f t="shared" si="0"/>
        <v>7.94</v>
      </c>
      <c r="G34" s="29">
        <f t="shared" si="0"/>
        <v>42.45</v>
      </c>
      <c r="H34" s="29">
        <f t="shared" si="0"/>
        <v>23.03</v>
      </c>
      <c r="I34" s="29">
        <f t="shared" si="0"/>
        <v>0.62</v>
      </c>
      <c r="J34" s="29">
        <f t="shared" si="0"/>
        <v>0.05</v>
      </c>
      <c r="K34" s="29">
        <f t="shared" si="0"/>
        <v>53.52</v>
      </c>
      <c r="L34" s="29">
        <f t="shared" si="0"/>
        <v>27.08</v>
      </c>
      <c r="M34" s="29">
        <f t="shared" si="0"/>
        <v>16.809999999999999</v>
      </c>
      <c r="N34" s="29">
        <f t="shared" si="0"/>
        <v>4.8</v>
      </c>
      <c r="O34" s="29">
        <f t="shared" si="0"/>
        <v>0</v>
      </c>
      <c r="P34" s="29">
        <f t="shared" si="0"/>
        <v>0.44</v>
      </c>
      <c r="Q34" s="29">
        <f t="shared" si="0"/>
        <v>24.98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46.32</v>
      </c>
      <c r="C35" s="30">
        <f t="shared" si="1"/>
        <v>91.16</v>
      </c>
      <c r="D35" s="30">
        <f t="shared" si="1"/>
        <v>86.75</v>
      </c>
      <c r="E35" s="30">
        <f t="shared" si="1"/>
        <v>11.1</v>
      </c>
      <c r="F35" s="30">
        <f t="shared" si="1"/>
        <v>54.33</v>
      </c>
      <c r="G35" s="30">
        <f t="shared" si="1"/>
        <v>188.3</v>
      </c>
      <c r="H35" s="30">
        <f t="shared" si="1"/>
        <v>98.14</v>
      </c>
      <c r="I35" s="30">
        <f t="shared" si="1"/>
        <v>1.08</v>
      </c>
      <c r="J35" s="30">
        <f t="shared" si="1"/>
        <v>1.86</v>
      </c>
      <c r="K35" s="30">
        <f t="shared" si="1"/>
        <v>353.57</v>
      </c>
      <c r="L35" s="30">
        <f t="shared" si="1"/>
        <v>41.19</v>
      </c>
      <c r="M35" s="30">
        <f t="shared" si="1"/>
        <v>50.18</v>
      </c>
      <c r="N35" s="30">
        <f t="shared" si="1"/>
        <v>871.6</v>
      </c>
      <c r="O35" s="30">
        <f t="shared" si="1"/>
        <v>0.2</v>
      </c>
      <c r="P35" s="30">
        <f t="shared" si="1"/>
        <v>2.17</v>
      </c>
      <c r="Q35" s="30">
        <f t="shared" si="1"/>
        <v>32.049999999999997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9.7745833333333323</v>
      </c>
      <c r="C36" s="29">
        <f t="shared" si="2"/>
        <v>44.592083333333335</v>
      </c>
      <c r="D36" s="29">
        <f t="shared" si="2"/>
        <v>32.721666666666664</v>
      </c>
      <c r="E36" s="29">
        <f t="shared" si="2"/>
        <v>4.117916666666666</v>
      </c>
      <c r="F36" s="29">
        <f t="shared" si="2"/>
        <v>24.179583333333326</v>
      </c>
      <c r="G36" s="29">
        <f t="shared" si="2"/>
        <v>86.839565217391296</v>
      </c>
      <c r="H36" s="29">
        <f t="shared" si="2"/>
        <v>41.211739130434779</v>
      </c>
      <c r="I36" s="29">
        <f t="shared" si="2"/>
        <v>0.78916666666666668</v>
      </c>
      <c r="J36" s="29">
        <f t="shared" si="2"/>
        <v>0.50541666666666674</v>
      </c>
      <c r="K36" s="29">
        <f t="shared" si="2"/>
        <v>261.51333333333332</v>
      </c>
      <c r="L36" s="29">
        <f t="shared" si="2"/>
        <v>33.219583333333333</v>
      </c>
      <c r="M36" s="29">
        <f t="shared" si="2"/>
        <v>34.954166666666666</v>
      </c>
      <c r="N36" s="29">
        <f t="shared" si="2"/>
        <v>273.56250000000006</v>
      </c>
      <c r="O36" s="29">
        <f t="shared" si="2"/>
        <v>8.3333333333333332E-3</v>
      </c>
      <c r="P36" s="29">
        <f t="shared" si="2"/>
        <v>0.89416666666666655</v>
      </c>
      <c r="Q36" s="29">
        <f t="shared" si="2"/>
        <v>27.768333333333342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12.683655000301242</v>
      </c>
      <c r="C37" s="29">
        <f t="shared" ref="C37:Q37" si="3">STDEV(C9:C32)</f>
        <v>20.903022244385507</v>
      </c>
      <c r="D37" s="29">
        <f t="shared" si="3"/>
        <v>21.250537316310012</v>
      </c>
      <c r="E37" s="29">
        <f t="shared" si="3"/>
        <v>2.9094209481653208</v>
      </c>
      <c r="F37" s="29">
        <f t="shared" si="3"/>
        <v>12.163775328968535</v>
      </c>
      <c r="G37" s="29">
        <f t="shared" si="3"/>
        <v>49.071203319838411</v>
      </c>
      <c r="H37" s="29">
        <f t="shared" si="3"/>
        <v>22.601893656017957</v>
      </c>
      <c r="I37" s="29">
        <f t="shared" si="3"/>
        <v>0.12994703491829979</v>
      </c>
      <c r="J37" s="29">
        <f t="shared" si="3"/>
        <v>0.54727768300821522</v>
      </c>
      <c r="K37" s="29">
        <f t="shared" si="3"/>
        <v>63.770973475171516</v>
      </c>
      <c r="L37" s="29">
        <f t="shared" si="3"/>
        <v>4.8922516192237264</v>
      </c>
      <c r="M37" s="29">
        <f t="shared" si="3"/>
        <v>10.606140926949761</v>
      </c>
      <c r="N37" s="29">
        <f t="shared" si="3"/>
        <v>346.37131974415018</v>
      </c>
      <c r="O37" s="29">
        <f t="shared" si="3"/>
        <v>4.0824829046386311E-2</v>
      </c>
      <c r="P37" s="29">
        <f t="shared" si="3"/>
        <v>0.56923225692053037</v>
      </c>
      <c r="Q37" s="29">
        <f t="shared" si="3"/>
        <v>2.1835942979342597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>COUNT(G9:G32)+1</f>
        <v>24</v>
      </c>
      <c r="H38" s="33">
        <f>COUNT(H9:H32)+1</f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 t="shared" si="4"/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53" sqref="I53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25-05-2023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53" t="s">
        <v>57</v>
      </c>
      <c r="R7" s="28"/>
      <c r="S7" s="30"/>
      <c r="T7" s="28"/>
      <c r="U7" s="28"/>
    </row>
    <row r="8" spans="1:21" s="22" customFormat="1" x14ac:dyDescent="0.25">
      <c r="A8" s="67"/>
      <c r="B8" s="68" t="s">
        <v>22</v>
      </c>
      <c r="C8" s="68" t="s">
        <v>22</v>
      </c>
      <c r="D8" s="30" t="s">
        <v>61</v>
      </c>
      <c r="E8" s="68" t="s">
        <v>22</v>
      </c>
      <c r="F8" s="68" t="s">
        <v>22</v>
      </c>
      <c r="G8" s="68" t="s">
        <v>23</v>
      </c>
      <c r="H8" s="68" t="s">
        <v>22</v>
      </c>
      <c r="I8" s="68" t="s">
        <v>22</v>
      </c>
      <c r="J8" s="68" t="s">
        <v>24</v>
      </c>
      <c r="K8" s="68" t="s">
        <v>25</v>
      </c>
      <c r="L8" s="67" t="s">
        <v>27</v>
      </c>
      <c r="M8" s="68" t="s">
        <v>26</v>
      </c>
      <c r="N8" s="68" t="s">
        <v>28</v>
      </c>
      <c r="O8" s="67" t="s">
        <v>29</v>
      </c>
      <c r="P8" s="68" t="s">
        <v>22</v>
      </c>
      <c r="Q8" s="68" t="s">
        <v>22</v>
      </c>
      <c r="R8" s="28"/>
      <c r="S8" s="30"/>
      <c r="T8" s="28"/>
      <c r="U8" s="28"/>
    </row>
    <row r="9" spans="1:21" s="12" customFormat="1" x14ac:dyDescent="0.25">
      <c r="A9" s="59" t="s">
        <v>638</v>
      </c>
      <c r="B9" s="60">
        <v>3.85</v>
      </c>
      <c r="C9" s="60">
        <v>40.049999999999997</v>
      </c>
      <c r="D9" s="60">
        <v>25.84</v>
      </c>
      <c r="E9" s="60">
        <v>2.69</v>
      </c>
      <c r="F9" s="60">
        <v>29.3</v>
      </c>
      <c r="G9" s="60">
        <v>48.07</v>
      </c>
      <c r="H9" s="60">
        <v>37.369999999999997</v>
      </c>
      <c r="I9" s="60">
        <v>0.79</v>
      </c>
      <c r="J9" s="60">
        <v>1.29</v>
      </c>
      <c r="K9" s="60">
        <v>192.35</v>
      </c>
      <c r="L9" s="60">
        <v>28.87</v>
      </c>
      <c r="M9" s="60">
        <v>39.89</v>
      </c>
      <c r="N9" s="60">
        <v>5.5</v>
      </c>
      <c r="O9" s="60">
        <v>0</v>
      </c>
      <c r="P9" s="60">
        <v>0.84</v>
      </c>
      <c r="Q9" s="60">
        <v>29.82</v>
      </c>
      <c r="R9" s="44"/>
      <c r="S9" s="44"/>
      <c r="T9" s="44"/>
      <c r="U9" s="44"/>
    </row>
    <row r="10" spans="1:21" s="12" customFormat="1" x14ac:dyDescent="0.25">
      <c r="A10" s="59" t="s">
        <v>639</v>
      </c>
      <c r="B10" s="60">
        <v>1.79</v>
      </c>
      <c r="C10" s="60">
        <v>25.04</v>
      </c>
      <c r="D10" s="60">
        <v>15.9</v>
      </c>
      <c r="E10" s="60">
        <v>3.84</v>
      </c>
      <c r="F10" s="60">
        <v>34.89</v>
      </c>
      <c r="G10" s="60">
        <v>58.85</v>
      </c>
      <c r="H10" s="60">
        <v>34.32</v>
      </c>
      <c r="I10" s="60">
        <v>0.74</v>
      </c>
      <c r="J10" s="60">
        <v>0.15</v>
      </c>
      <c r="K10" s="60">
        <v>231.36</v>
      </c>
      <c r="L10" s="60">
        <v>28.28</v>
      </c>
      <c r="M10" s="60">
        <v>44.22</v>
      </c>
      <c r="N10" s="60">
        <v>5.4</v>
      </c>
      <c r="O10" s="60">
        <v>0</v>
      </c>
      <c r="P10" s="60">
        <v>0.71</v>
      </c>
      <c r="Q10" s="60">
        <v>30.18</v>
      </c>
      <c r="R10" s="44"/>
      <c r="S10" s="44"/>
      <c r="T10" s="44"/>
      <c r="U10" s="44"/>
    </row>
    <row r="11" spans="1:21" s="12" customFormat="1" x14ac:dyDescent="0.25">
      <c r="A11" s="59" t="s">
        <v>640</v>
      </c>
      <c r="B11" s="60">
        <v>2.1</v>
      </c>
      <c r="C11" s="60">
        <v>25.92</v>
      </c>
      <c r="D11" s="60">
        <v>16.39</v>
      </c>
      <c r="E11" s="60">
        <v>2.73</v>
      </c>
      <c r="F11" s="60">
        <v>10.84</v>
      </c>
      <c r="G11" s="60">
        <v>58.85</v>
      </c>
      <c r="H11" s="60">
        <v>34.32</v>
      </c>
      <c r="I11" s="60">
        <v>0.7</v>
      </c>
      <c r="J11" s="60">
        <v>0.32</v>
      </c>
      <c r="K11" s="60">
        <v>232.02</v>
      </c>
      <c r="L11" s="60">
        <v>27.61</v>
      </c>
      <c r="M11" s="60">
        <v>45.84</v>
      </c>
      <c r="N11" s="60">
        <v>5.3</v>
      </c>
      <c r="O11" s="60">
        <v>0</v>
      </c>
      <c r="P11" s="60">
        <v>0.7</v>
      </c>
      <c r="Q11" s="60">
        <v>29.7</v>
      </c>
      <c r="R11" s="44"/>
      <c r="S11" s="44"/>
      <c r="T11" s="44"/>
      <c r="U11" s="44"/>
    </row>
    <row r="12" spans="1:21" s="12" customFormat="1" x14ac:dyDescent="0.25">
      <c r="A12" s="59" t="s">
        <v>641</v>
      </c>
      <c r="B12" s="60">
        <v>2.62</v>
      </c>
      <c r="C12" s="60">
        <v>26.12</v>
      </c>
      <c r="D12" s="60">
        <v>17.16</v>
      </c>
      <c r="E12" s="60">
        <v>2.11</v>
      </c>
      <c r="F12" s="60">
        <v>30.1</v>
      </c>
      <c r="G12" s="60">
        <v>33.99</v>
      </c>
      <c r="H12" s="60">
        <v>25.41</v>
      </c>
      <c r="I12" s="60">
        <v>0.64</v>
      </c>
      <c r="J12" s="60">
        <v>0.16</v>
      </c>
      <c r="K12" s="60">
        <v>250.05</v>
      </c>
      <c r="L12" s="60">
        <v>27.46</v>
      </c>
      <c r="M12" s="60">
        <v>45.7</v>
      </c>
      <c r="N12" s="60">
        <v>5.0999999999999996</v>
      </c>
      <c r="O12" s="60">
        <v>0</v>
      </c>
      <c r="P12" s="60">
        <v>0.6</v>
      </c>
      <c r="Q12" s="60">
        <v>29.54</v>
      </c>
      <c r="R12" s="44"/>
      <c r="S12" s="44"/>
      <c r="T12" s="44"/>
      <c r="U12" s="44"/>
    </row>
    <row r="13" spans="1:21" s="12" customFormat="1" x14ac:dyDescent="0.25">
      <c r="A13" s="59" t="s">
        <v>642</v>
      </c>
      <c r="B13" s="60">
        <v>1.77</v>
      </c>
      <c r="C13" s="60">
        <v>23.56</v>
      </c>
      <c r="D13" s="60">
        <v>15.07</v>
      </c>
      <c r="E13" s="60">
        <v>4.9400000000000004</v>
      </c>
      <c r="F13" s="60">
        <v>37.01</v>
      </c>
      <c r="G13" s="60">
        <v>29.62</v>
      </c>
      <c r="H13" s="60">
        <v>21.91</v>
      </c>
      <c r="I13" s="60">
        <v>0.63</v>
      </c>
      <c r="J13" s="60">
        <v>0.19</v>
      </c>
      <c r="K13" s="60">
        <v>235.27</v>
      </c>
      <c r="L13" s="60">
        <v>27.77</v>
      </c>
      <c r="M13" s="60">
        <v>45.73</v>
      </c>
      <c r="N13" s="60">
        <v>5.2</v>
      </c>
      <c r="O13" s="60">
        <v>0</v>
      </c>
      <c r="P13" s="60">
        <v>0.51</v>
      </c>
      <c r="Q13" s="60">
        <v>30.28</v>
      </c>
      <c r="R13" s="44"/>
      <c r="S13" s="44"/>
      <c r="T13" s="44"/>
      <c r="U13" s="44"/>
    </row>
    <row r="14" spans="1:21" s="12" customFormat="1" x14ac:dyDescent="0.25">
      <c r="A14" s="59" t="s">
        <v>643</v>
      </c>
      <c r="B14" s="60">
        <v>1.83</v>
      </c>
      <c r="C14" s="60">
        <v>28.81</v>
      </c>
      <c r="D14" s="60">
        <v>17.77</v>
      </c>
      <c r="E14" s="60">
        <v>3.72</v>
      </c>
      <c r="F14" s="60">
        <v>11.15</v>
      </c>
      <c r="G14" s="60">
        <v>40.17</v>
      </c>
      <c r="H14" s="60">
        <v>21.67</v>
      </c>
      <c r="I14" s="60">
        <v>0.7</v>
      </c>
      <c r="J14" s="60">
        <v>0.16</v>
      </c>
      <c r="K14" s="60">
        <v>230.35</v>
      </c>
      <c r="L14" s="60">
        <v>27.54</v>
      </c>
      <c r="M14" s="60">
        <v>47.13</v>
      </c>
      <c r="N14" s="60">
        <v>53.6</v>
      </c>
      <c r="O14" s="60">
        <v>0</v>
      </c>
      <c r="P14" s="60">
        <v>0.53</v>
      </c>
      <c r="Q14" s="60">
        <v>30.24</v>
      </c>
      <c r="R14" s="44"/>
      <c r="S14" s="44"/>
      <c r="T14" s="44"/>
      <c r="U14" s="44"/>
    </row>
    <row r="15" spans="1:21" s="12" customFormat="1" x14ac:dyDescent="0.25">
      <c r="A15" s="59" t="s">
        <v>644</v>
      </c>
      <c r="B15" s="60">
        <v>2.39</v>
      </c>
      <c r="C15" s="60">
        <v>32.36</v>
      </c>
      <c r="D15" s="60">
        <v>20.420000000000002</v>
      </c>
      <c r="E15" s="60">
        <v>3.24</v>
      </c>
      <c r="F15" s="60">
        <v>26.5</v>
      </c>
      <c r="G15" s="60">
        <v>55.87</v>
      </c>
      <c r="H15" s="60">
        <v>24.57</v>
      </c>
      <c r="I15" s="60">
        <v>0.76</v>
      </c>
      <c r="J15" s="60">
        <v>0.13</v>
      </c>
      <c r="K15" s="60">
        <v>234.99</v>
      </c>
      <c r="L15" s="60">
        <v>28.99</v>
      </c>
      <c r="M15" s="60">
        <v>46.27</v>
      </c>
      <c r="N15" s="60">
        <v>101.5</v>
      </c>
      <c r="O15" s="60">
        <v>0</v>
      </c>
      <c r="P15" s="60">
        <v>0.55000000000000004</v>
      </c>
      <c r="Q15" s="60">
        <v>29.58</v>
      </c>
      <c r="R15" s="44"/>
      <c r="S15" s="44"/>
      <c r="T15" s="44"/>
      <c r="U15" s="44"/>
    </row>
    <row r="16" spans="1:21" s="12" customFormat="1" x14ac:dyDescent="0.25">
      <c r="A16" s="59" t="s">
        <v>645</v>
      </c>
      <c r="B16" s="60">
        <v>3.07</v>
      </c>
      <c r="C16" s="60">
        <v>31.57</v>
      </c>
      <c r="D16" s="60">
        <v>20.54</v>
      </c>
      <c r="E16" s="60">
        <v>4.2</v>
      </c>
      <c r="F16" s="60">
        <v>22.01</v>
      </c>
      <c r="G16" s="60">
        <v>60.48</v>
      </c>
      <c r="H16" s="60">
        <v>26.21</v>
      </c>
      <c r="I16" s="60">
        <v>0.66</v>
      </c>
      <c r="J16" s="60">
        <v>0.15</v>
      </c>
      <c r="K16" s="60">
        <v>308.66000000000003</v>
      </c>
      <c r="L16" s="60">
        <v>30.81</v>
      </c>
      <c r="M16" s="60">
        <v>45.47</v>
      </c>
      <c r="N16" s="60">
        <v>257.8</v>
      </c>
      <c r="O16" s="60">
        <v>0</v>
      </c>
      <c r="P16" s="60">
        <v>0.59</v>
      </c>
      <c r="Q16" s="60">
        <v>29.36</v>
      </c>
      <c r="R16" s="44"/>
      <c r="S16" s="44"/>
      <c r="T16" s="44"/>
      <c r="U16" s="44"/>
    </row>
    <row r="17" spans="1:21" s="12" customFormat="1" x14ac:dyDescent="0.25">
      <c r="A17" s="59" t="s">
        <v>646</v>
      </c>
      <c r="B17" s="60">
        <v>1.68</v>
      </c>
      <c r="C17" s="60">
        <v>32.979999999999997</v>
      </c>
      <c r="D17" s="60">
        <v>20.149999999999999</v>
      </c>
      <c r="E17" s="62" t="s">
        <v>14</v>
      </c>
      <c r="F17" s="60">
        <v>8.5299999999999994</v>
      </c>
      <c r="G17" s="60">
        <v>77.45</v>
      </c>
      <c r="H17" s="60">
        <v>28.49</v>
      </c>
      <c r="I17" s="60">
        <v>0.67</v>
      </c>
      <c r="J17" s="60">
        <v>0.17</v>
      </c>
      <c r="K17" s="60">
        <v>31.73</v>
      </c>
      <c r="L17" s="60">
        <v>31.1</v>
      </c>
      <c r="M17" s="60">
        <v>36.799999999999997</v>
      </c>
      <c r="N17" s="60">
        <v>304.39999999999998</v>
      </c>
      <c r="O17" s="60">
        <v>0.2</v>
      </c>
      <c r="P17" s="60">
        <v>0.56999999999999995</v>
      </c>
      <c r="Q17" s="60">
        <v>28.68</v>
      </c>
      <c r="R17" s="44"/>
      <c r="S17" s="44"/>
      <c r="T17" s="44"/>
      <c r="U17" s="44"/>
    </row>
    <row r="18" spans="1:21" s="12" customFormat="1" x14ac:dyDescent="0.25">
      <c r="A18" s="59" t="s">
        <v>647</v>
      </c>
      <c r="B18" s="60">
        <v>4.05</v>
      </c>
      <c r="C18" s="60">
        <v>39.47</v>
      </c>
      <c r="D18" s="60">
        <v>25.68</v>
      </c>
      <c r="E18" s="62" t="s">
        <v>14</v>
      </c>
      <c r="F18" s="60">
        <v>23.31</v>
      </c>
      <c r="G18" s="60">
        <v>77.45</v>
      </c>
      <c r="H18" s="60">
        <v>30.32</v>
      </c>
      <c r="I18" s="60">
        <v>0.56000000000000005</v>
      </c>
      <c r="J18" s="60">
        <v>0.19</v>
      </c>
      <c r="K18" s="60">
        <v>263.12</v>
      </c>
      <c r="L18" s="60">
        <v>27.53</v>
      </c>
      <c r="M18" s="60">
        <v>67.319999999999993</v>
      </c>
      <c r="N18" s="60">
        <v>407.1</v>
      </c>
      <c r="O18" s="60">
        <v>0.6</v>
      </c>
      <c r="P18" s="60">
        <v>0.88</v>
      </c>
      <c r="Q18" s="60">
        <v>28.03</v>
      </c>
      <c r="R18" s="44"/>
      <c r="S18" s="44"/>
      <c r="T18" s="44"/>
      <c r="U18" s="44"/>
    </row>
    <row r="19" spans="1:21" s="12" customFormat="1" x14ac:dyDescent="0.25">
      <c r="A19" s="59" t="s">
        <v>648</v>
      </c>
      <c r="B19" s="60">
        <v>4.17</v>
      </c>
      <c r="C19" s="60">
        <v>36.950000000000003</v>
      </c>
      <c r="D19" s="60">
        <v>22.05</v>
      </c>
      <c r="E19" s="62" t="s">
        <v>14</v>
      </c>
      <c r="F19" s="60">
        <v>39.340000000000003</v>
      </c>
      <c r="G19" s="60">
        <v>66.790000000000006</v>
      </c>
      <c r="H19" s="60">
        <v>30.32</v>
      </c>
      <c r="I19" s="60">
        <v>0.73</v>
      </c>
      <c r="J19" s="60">
        <v>0.18</v>
      </c>
      <c r="K19" s="60">
        <v>293.64</v>
      </c>
      <c r="L19" s="60">
        <v>35.47</v>
      </c>
      <c r="M19" s="60">
        <v>53.11</v>
      </c>
      <c r="N19" s="60">
        <v>886.1</v>
      </c>
      <c r="O19" s="60">
        <v>0</v>
      </c>
      <c r="P19" s="60">
        <v>0.77</v>
      </c>
      <c r="Q19" s="60">
        <v>28.03</v>
      </c>
      <c r="R19" s="44"/>
      <c r="S19" s="44"/>
      <c r="T19" s="44"/>
      <c r="U19" s="44"/>
    </row>
    <row r="20" spans="1:21" s="12" customFormat="1" x14ac:dyDescent="0.25">
      <c r="A20" s="59" t="s">
        <v>649</v>
      </c>
      <c r="B20" s="60">
        <v>2.38</v>
      </c>
      <c r="C20" s="60">
        <v>40.200000000000003</v>
      </c>
      <c r="D20" s="60">
        <v>24.02</v>
      </c>
      <c r="E20" s="60">
        <v>2.2999999999999998</v>
      </c>
      <c r="F20" s="60">
        <v>12.33</v>
      </c>
      <c r="G20" s="60">
        <v>78.66</v>
      </c>
      <c r="H20" s="60">
        <v>34.53</v>
      </c>
      <c r="I20" s="60">
        <v>0.74</v>
      </c>
      <c r="J20" s="60">
        <v>0.56000000000000005</v>
      </c>
      <c r="K20" s="60">
        <v>263.94</v>
      </c>
      <c r="L20" s="60">
        <v>36.99</v>
      </c>
      <c r="M20" s="60">
        <v>27.21</v>
      </c>
      <c r="N20" s="60">
        <v>885.1</v>
      </c>
      <c r="O20" s="60">
        <v>0</v>
      </c>
      <c r="P20" s="60">
        <v>0.78</v>
      </c>
      <c r="Q20" s="60">
        <v>26.71</v>
      </c>
      <c r="R20" s="44"/>
      <c r="S20" s="44"/>
      <c r="T20" s="44"/>
      <c r="U20" s="44"/>
    </row>
    <row r="21" spans="1:21" s="12" customFormat="1" x14ac:dyDescent="0.25">
      <c r="A21" s="59" t="s">
        <v>650</v>
      </c>
      <c r="B21" s="60">
        <v>3.66</v>
      </c>
      <c r="C21" s="60">
        <v>39.08</v>
      </c>
      <c r="D21" s="60">
        <v>25.15</v>
      </c>
      <c r="E21" s="60">
        <v>3.08</v>
      </c>
      <c r="F21" s="60">
        <v>23.36</v>
      </c>
      <c r="G21" s="60">
        <v>78.66</v>
      </c>
      <c r="H21" s="60">
        <v>34.53</v>
      </c>
      <c r="I21" s="60">
        <v>0.62</v>
      </c>
      <c r="J21" s="60">
        <v>0.28000000000000003</v>
      </c>
      <c r="K21" s="60">
        <v>341.83</v>
      </c>
      <c r="L21" s="60">
        <v>37.75</v>
      </c>
      <c r="M21" s="60">
        <v>23.75</v>
      </c>
      <c r="N21" s="60">
        <v>866.6</v>
      </c>
      <c r="O21" s="60">
        <v>0</v>
      </c>
      <c r="P21" s="60">
        <v>0.74</v>
      </c>
      <c r="Q21" s="60">
        <v>27.51</v>
      </c>
      <c r="R21" s="44"/>
      <c r="S21" s="44"/>
      <c r="T21" s="44"/>
      <c r="U21" s="44"/>
    </row>
    <row r="22" spans="1:21" s="12" customFormat="1" x14ac:dyDescent="0.25">
      <c r="A22" s="59" t="s">
        <v>651</v>
      </c>
      <c r="B22" s="60">
        <v>2.71</v>
      </c>
      <c r="C22" s="60">
        <v>39.65</v>
      </c>
      <c r="D22" s="60">
        <v>24.7</v>
      </c>
      <c r="E22" s="60">
        <v>2.72</v>
      </c>
      <c r="F22" s="60">
        <v>15.13</v>
      </c>
      <c r="G22" s="60">
        <v>61.8</v>
      </c>
      <c r="H22" s="60">
        <v>30.16</v>
      </c>
      <c r="I22" s="60">
        <v>0.61</v>
      </c>
      <c r="J22" s="60">
        <v>0.2</v>
      </c>
      <c r="K22" s="60">
        <v>342.67</v>
      </c>
      <c r="L22" s="60">
        <v>38.25</v>
      </c>
      <c r="M22" s="60">
        <v>20.9</v>
      </c>
      <c r="N22" s="60">
        <v>804.4</v>
      </c>
      <c r="O22" s="60">
        <v>0</v>
      </c>
      <c r="P22" s="60">
        <v>0.61</v>
      </c>
      <c r="Q22" s="60">
        <v>26.39</v>
      </c>
      <c r="R22" s="44"/>
      <c r="S22" s="44"/>
      <c r="T22" s="44"/>
      <c r="U22" s="44"/>
    </row>
    <row r="23" spans="1:21" s="12" customFormat="1" x14ac:dyDescent="0.25">
      <c r="A23" s="59" t="s">
        <v>652</v>
      </c>
      <c r="B23" s="60">
        <v>1.21</v>
      </c>
      <c r="C23" s="60">
        <v>34.49</v>
      </c>
      <c r="D23" s="60">
        <v>20.63</v>
      </c>
      <c r="E23" s="60">
        <v>2.4900000000000002</v>
      </c>
      <c r="F23" s="60">
        <v>13.13</v>
      </c>
      <c r="G23" s="60">
        <v>61.8</v>
      </c>
      <c r="H23" s="60">
        <v>30.16</v>
      </c>
      <c r="I23" s="60">
        <v>0.68</v>
      </c>
      <c r="J23" s="60">
        <v>0.3</v>
      </c>
      <c r="K23" s="60">
        <v>351.77</v>
      </c>
      <c r="L23" s="60">
        <v>38.22</v>
      </c>
      <c r="M23" s="60">
        <v>19.16</v>
      </c>
      <c r="N23" s="62" t="s">
        <v>14</v>
      </c>
      <c r="O23" s="60">
        <v>0</v>
      </c>
      <c r="P23" s="60">
        <v>0.56999999999999995</v>
      </c>
      <c r="Q23" s="60">
        <v>25.83</v>
      </c>
      <c r="R23" s="44"/>
      <c r="S23" s="44"/>
      <c r="T23" s="44"/>
      <c r="U23" s="44"/>
    </row>
    <row r="24" spans="1:21" s="12" customFormat="1" x14ac:dyDescent="0.25">
      <c r="A24" s="59" t="s">
        <v>653</v>
      </c>
      <c r="B24" s="60">
        <v>2.8</v>
      </c>
      <c r="C24" s="60">
        <v>33.07</v>
      </c>
      <c r="D24" s="60">
        <v>19.72</v>
      </c>
      <c r="E24" s="60">
        <v>2.0099999999999998</v>
      </c>
      <c r="F24" s="60">
        <v>15.8</v>
      </c>
      <c r="G24" s="60">
        <v>54.12</v>
      </c>
      <c r="H24" s="60">
        <v>27.41</v>
      </c>
      <c r="I24" s="60">
        <v>0.57999999999999996</v>
      </c>
      <c r="J24" s="60">
        <v>0.21</v>
      </c>
      <c r="K24" s="60">
        <v>296.45999999999998</v>
      </c>
      <c r="L24" s="60">
        <v>37.58</v>
      </c>
      <c r="M24" s="60">
        <v>18.72</v>
      </c>
      <c r="N24" s="62" t="s">
        <v>14</v>
      </c>
      <c r="O24" s="60">
        <v>0</v>
      </c>
      <c r="P24" s="60">
        <v>0.46</v>
      </c>
      <c r="Q24" s="60">
        <v>26.13</v>
      </c>
      <c r="R24" s="44"/>
      <c r="S24" s="44"/>
      <c r="T24" s="44"/>
      <c r="U24" s="44"/>
    </row>
    <row r="25" spans="1:21" s="12" customFormat="1" x14ac:dyDescent="0.25">
      <c r="A25" s="59" t="s">
        <v>654</v>
      </c>
      <c r="B25" s="60">
        <v>1.77</v>
      </c>
      <c r="C25" s="60">
        <v>32.93</v>
      </c>
      <c r="D25" s="60">
        <v>19.75</v>
      </c>
      <c r="E25" s="60">
        <v>1.81</v>
      </c>
      <c r="F25" s="60">
        <v>25.37</v>
      </c>
      <c r="G25" s="60">
        <v>54.12</v>
      </c>
      <c r="H25" s="60">
        <v>21.91</v>
      </c>
      <c r="I25" s="60">
        <v>0.87</v>
      </c>
      <c r="J25" s="60">
        <v>1.0900000000000001</v>
      </c>
      <c r="K25" s="60">
        <v>264.54000000000002</v>
      </c>
      <c r="L25" s="60">
        <v>36.5</v>
      </c>
      <c r="M25" s="60">
        <v>21.75</v>
      </c>
      <c r="N25" s="62" t="s">
        <v>14</v>
      </c>
      <c r="O25" s="60">
        <v>0</v>
      </c>
      <c r="P25" s="60">
        <v>0.42</v>
      </c>
      <c r="Q25" s="60">
        <v>24.4</v>
      </c>
      <c r="R25" s="44"/>
      <c r="S25" s="44"/>
      <c r="T25" s="44"/>
      <c r="U25" s="44"/>
    </row>
    <row r="26" spans="1:21" s="12" customFormat="1" x14ac:dyDescent="0.25">
      <c r="A26" s="59" t="s">
        <v>655</v>
      </c>
      <c r="B26" s="60">
        <v>2.3199999999999998</v>
      </c>
      <c r="C26" s="60">
        <v>35.25</v>
      </c>
      <c r="D26" s="60">
        <v>21.96</v>
      </c>
      <c r="E26" s="60">
        <v>1.67</v>
      </c>
      <c r="F26" s="60">
        <v>15.22</v>
      </c>
      <c r="G26" s="60">
        <v>50.08</v>
      </c>
      <c r="H26" s="60">
        <v>23.25</v>
      </c>
      <c r="I26" s="60">
        <v>0.63</v>
      </c>
      <c r="J26" s="60">
        <v>0.54</v>
      </c>
      <c r="K26" s="60">
        <v>275.17</v>
      </c>
      <c r="L26" s="60">
        <v>35.61</v>
      </c>
      <c r="M26" s="60">
        <v>22.29</v>
      </c>
      <c r="N26" s="60">
        <v>12.5</v>
      </c>
      <c r="O26" s="60">
        <v>0</v>
      </c>
      <c r="P26" s="60">
        <v>0.45</v>
      </c>
      <c r="Q26" s="60">
        <v>24.77</v>
      </c>
      <c r="R26" s="44"/>
      <c r="S26" s="44"/>
      <c r="T26" s="44"/>
      <c r="U26" s="44"/>
    </row>
    <row r="27" spans="1:21" s="12" customFormat="1" x14ac:dyDescent="0.25">
      <c r="A27" s="59" t="s">
        <v>656</v>
      </c>
      <c r="B27" s="60">
        <v>10.75</v>
      </c>
      <c r="C27" s="60">
        <v>41.04</v>
      </c>
      <c r="D27" s="60">
        <v>31.86</v>
      </c>
      <c r="E27" s="60">
        <v>3.74</v>
      </c>
      <c r="F27" s="60">
        <v>25.48</v>
      </c>
      <c r="G27" s="60">
        <v>50.66</v>
      </c>
      <c r="H27" s="60">
        <v>23.25</v>
      </c>
      <c r="I27" s="60">
        <v>0.67</v>
      </c>
      <c r="J27" s="60">
        <v>0.39</v>
      </c>
      <c r="K27" s="60">
        <v>316.16000000000003</v>
      </c>
      <c r="L27" s="60">
        <v>34.68</v>
      </c>
      <c r="M27" s="60">
        <v>21.49</v>
      </c>
      <c r="N27" s="62" t="s">
        <v>14</v>
      </c>
      <c r="O27" s="60">
        <v>0</v>
      </c>
      <c r="P27" s="60">
        <v>0.5</v>
      </c>
      <c r="Q27" s="60">
        <v>24.71</v>
      </c>
      <c r="R27" s="44"/>
      <c r="S27" s="44"/>
      <c r="T27" s="44"/>
      <c r="U27" s="44"/>
    </row>
    <row r="28" spans="1:21" s="12" customFormat="1" x14ac:dyDescent="0.25">
      <c r="A28" s="59" t="s">
        <v>657</v>
      </c>
      <c r="B28" s="60">
        <v>20.3</v>
      </c>
      <c r="C28" s="60">
        <v>59.83</v>
      </c>
      <c r="D28" s="60">
        <v>49.35</v>
      </c>
      <c r="E28" s="60">
        <v>12.97</v>
      </c>
      <c r="F28" s="60">
        <v>22.92</v>
      </c>
      <c r="G28" s="60">
        <v>73.739999999999995</v>
      </c>
      <c r="H28" s="60">
        <v>26.6</v>
      </c>
      <c r="I28" s="60">
        <v>0.62</v>
      </c>
      <c r="J28" s="60">
        <v>0.08</v>
      </c>
      <c r="K28" s="60">
        <v>337.36</v>
      </c>
      <c r="L28" s="60">
        <v>33.409999999999997</v>
      </c>
      <c r="M28" s="60">
        <v>25.08</v>
      </c>
      <c r="N28" s="62" t="s">
        <v>14</v>
      </c>
      <c r="O28" s="60">
        <v>0</v>
      </c>
      <c r="P28" s="60">
        <v>0.81</v>
      </c>
      <c r="Q28" s="60">
        <v>21.54</v>
      </c>
      <c r="R28" s="44"/>
      <c r="S28" s="44"/>
      <c r="T28" s="44"/>
      <c r="U28" s="44"/>
    </row>
    <row r="29" spans="1:21" s="12" customFormat="1" x14ac:dyDescent="0.25">
      <c r="A29" s="59" t="s">
        <v>658</v>
      </c>
      <c r="B29" s="60">
        <v>19.22</v>
      </c>
      <c r="C29" s="60">
        <v>71.44</v>
      </c>
      <c r="D29" s="60">
        <v>55.31</v>
      </c>
      <c r="E29" s="60">
        <v>11.62</v>
      </c>
      <c r="F29" s="60">
        <v>11.85</v>
      </c>
      <c r="G29" s="60">
        <v>81.96</v>
      </c>
      <c r="H29" s="60">
        <v>30.92</v>
      </c>
      <c r="I29" s="60">
        <v>0.87</v>
      </c>
      <c r="J29" s="60">
        <v>0.2</v>
      </c>
      <c r="K29" s="60">
        <v>243.88</v>
      </c>
      <c r="L29" s="60">
        <v>31.48</v>
      </c>
      <c r="M29" s="60">
        <v>29.05</v>
      </c>
      <c r="N29" s="62" t="s">
        <v>14</v>
      </c>
      <c r="O29" s="60">
        <v>0</v>
      </c>
      <c r="P29" s="60">
        <v>1.17</v>
      </c>
      <c r="Q29" s="60">
        <v>23.71</v>
      </c>
      <c r="R29" s="44"/>
      <c r="S29" s="44"/>
      <c r="T29" s="44"/>
      <c r="U29" s="44"/>
    </row>
    <row r="30" spans="1:21" s="12" customFormat="1" x14ac:dyDescent="0.25">
      <c r="A30" s="59" t="s">
        <v>659</v>
      </c>
      <c r="B30" s="60">
        <v>25.35</v>
      </c>
      <c r="C30" s="60">
        <v>67.78</v>
      </c>
      <c r="D30" s="60">
        <v>58.38</v>
      </c>
      <c r="E30" s="60">
        <v>11.54</v>
      </c>
      <c r="F30" s="60">
        <v>24.97</v>
      </c>
      <c r="G30" s="60">
        <v>88.69</v>
      </c>
      <c r="H30" s="60">
        <v>31.94</v>
      </c>
      <c r="I30" s="60">
        <v>0.87</v>
      </c>
      <c r="J30" s="60">
        <v>0.18</v>
      </c>
      <c r="K30" s="60">
        <v>269.77999999999997</v>
      </c>
      <c r="L30" s="60">
        <v>30.42</v>
      </c>
      <c r="M30" s="60">
        <v>36.909999999999997</v>
      </c>
      <c r="N30" s="60">
        <v>0.4</v>
      </c>
      <c r="O30" s="60">
        <v>0</v>
      </c>
      <c r="P30" s="60">
        <v>1.25</v>
      </c>
      <c r="Q30" s="60">
        <v>26.52</v>
      </c>
      <c r="R30" s="44"/>
      <c r="S30" s="44"/>
      <c r="T30" s="44"/>
      <c r="U30" s="44"/>
    </row>
    <row r="31" spans="1:21" s="12" customFormat="1" x14ac:dyDescent="0.25">
      <c r="A31" s="59" t="s">
        <v>660</v>
      </c>
      <c r="B31" s="60">
        <v>13.98</v>
      </c>
      <c r="C31" s="60">
        <v>58.6</v>
      </c>
      <c r="D31" s="60">
        <v>44.2</v>
      </c>
      <c r="E31" s="60">
        <v>9.92</v>
      </c>
      <c r="F31" s="60">
        <v>22.16</v>
      </c>
      <c r="G31" s="60">
        <v>91.38</v>
      </c>
      <c r="H31" s="60">
        <v>36.71</v>
      </c>
      <c r="I31" s="60">
        <v>0.77</v>
      </c>
      <c r="J31" s="60">
        <v>0.11</v>
      </c>
      <c r="K31" s="60">
        <v>258.02</v>
      </c>
      <c r="L31" s="60">
        <v>30.06</v>
      </c>
      <c r="M31" s="60">
        <v>36.46</v>
      </c>
      <c r="N31" s="62" t="s">
        <v>14</v>
      </c>
      <c r="O31" s="60">
        <v>0</v>
      </c>
      <c r="P31" s="60">
        <v>1.26</v>
      </c>
      <c r="Q31" s="60">
        <v>27.99</v>
      </c>
      <c r="R31" s="44"/>
      <c r="S31" s="44"/>
      <c r="T31" s="44"/>
      <c r="U31" s="44"/>
    </row>
    <row r="32" spans="1:21" s="12" customFormat="1" x14ac:dyDescent="0.25">
      <c r="A32" s="59" t="s">
        <v>661</v>
      </c>
      <c r="B32" s="60">
        <v>26.85</v>
      </c>
      <c r="C32" s="60">
        <v>56.25</v>
      </c>
      <c r="D32" s="60">
        <v>53.22</v>
      </c>
      <c r="E32" s="60">
        <v>5.23</v>
      </c>
      <c r="F32" s="60">
        <v>9.25</v>
      </c>
      <c r="G32" s="60">
        <v>96.49</v>
      </c>
      <c r="H32" s="60">
        <v>43.42</v>
      </c>
      <c r="I32" s="60">
        <v>0.8</v>
      </c>
      <c r="J32" s="60">
        <v>0.1</v>
      </c>
      <c r="K32" s="60">
        <v>256.2</v>
      </c>
      <c r="L32" s="60">
        <v>29.2</v>
      </c>
      <c r="M32" s="60">
        <v>45.38</v>
      </c>
      <c r="N32" s="60">
        <v>5.2</v>
      </c>
      <c r="O32" s="60">
        <v>0</v>
      </c>
      <c r="P32" s="60">
        <v>1.17</v>
      </c>
      <c r="Q32" s="60">
        <v>27.19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1.21</v>
      </c>
      <c r="C34" s="29">
        <f t="shared" si="0"/>
        <v>23.56</v>
      </c>
      <c r="D34" s="29">
        <f t="shared" si="0"/>
        <v>15.07</v>
      </c>
      <c r="E34" s="29">
        <f t="shared" si="0"/>
        <v>1.67</v>
      </c>
      <c r="F34" s="29">
        <f t="shared" si="0"/>
        <v>8.5299999999999994</v>
      </c>
      <c r="G34" s="29">
        <f t="shared" si="0"/>
        <v>29.62</v>
      </c>
      <c r="H34" s="29">
        <f t="shared" si="0"/>
        <v>21.67</v>
      </c>
      <c r="I34" s="29">
        <f t="shared" si="0"/>
        <v>0.56000000000000005</v>
      </c>
      <c r="J34" s="29">
        <f t="shared" si="0"/>
        <v>0.08</v>
      </c>
      <c r="K34" s="29">
        <f t="shared" si="0"/>
        <v>31.73</v>
      </c>
      <c r="L34" s="29">
        <f t="shared" si="0"/>
        <v>27.46</v>
      </c>
      <c r="M34" s="29">
        <f t="shared" si="0"/>
        <v>18.72</v>
      </c>
      <c r="N34" s="29">
        <f t="shared" si="0"/>
        <v>0.4</v>
      </c>
      <c r="O34" s="29">
        <f t="shared" si="0"/>
        <v>0</v>
      </c>
      <c r="P34" s="29">
        <f t="shared" si="0"/>
        <v>0.42</v>
      </c>
      <c r="Q34" s="29">
        <f t="shared" si="0"/>
        <v>21.54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26.85</v>
      </c>
      <c r="C35" s="30">
        <f t="shared" si="1"/>
        <v>71.44</v>
      </c>
      <c r="D35" s="30">
        <f t="shared" si="1"/>
        <v>58.38</v>
      </c>
      <c r="E35" s="30">
        <f t="shared" si="1"/>
        <v>12.97</v>
      </c>
      <c r="F35" s="30">
        <f t="shared" si="1"/>
        <v>39.340000000000003</v>
      </c>
      <c r="G35" s="30">
        <f t="shared" si="1"/>
        <v>96.49</v>
      </c>
      <c r="H35" s="30">
        <f t="shared" si="1"/>
        <v>43.42</v>
      </c>
      <c r="I35" s="30">
        <f t="shared" si="1"/>
        <v>0.87</v>
      </c>
      <c r="J35" s="30">
        <f t="shared" si="1"/>
        <v>1.29</v>
      </c>
      <c r="K35" s="30">
        <f t="shared" si="1"/>
        <v>351.77</v>
      </c>
      <c r="L35" s="30">
        <f t="shared" si="1"/>
        <v>38.25</v>
      </c>
      <c r="M35" s="30">
        <f t="shared" si="1"/>
        <v>67.319999999999993</v>
      </c>
      <c r="N35" s="30">
        <f t="shared" si="1"/>
        <v>886.1</v>
      </c>
      <c r="O35" s="30">
        <f t="shared" si="1"/>
        <v>0.6</v>
      </c>
      <c r="P35" s="30">
        <f t="shared" si="1"/>
        <v>1.26</v>
      </c>
      <c r="Q35" s="30">
        <f t="shared" si="1"/>
        <v>30.28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6.775833333333332</v>
      </c>
      <c r="C36" s="29">
        <f t="shared" si="2"/>
        <v>39.684999999999995</v>
      </c>
      <c r="D36" s="29">
        <f t="shared" si="2"/>
        <v>27.717500000000005</v>
      </c>
      <c r="E36" s="29">
        <f t="shared" si="2"/>
        <v>4.6938095238095237</v>
      </c>
      <c r="F36" s="29">
        <f t="shared" si="2"/>
        <v>21.247916666666672</v>
      </c>
      <c r="G36" s="29">
        <f t="shared" si="2"/>
        <v>63.739583333333343</v>
      </c>
      <c r="H36" s="29">
        <f t="shared" si="2"/>
        <v>29.57083333333334</v>
      </c>
      <c r="I36" s="29">
        <f t="shared" si="2"/>
        <v>0.70458333333333323</v>
      </c>
      <c r="J36" s="29">
        <f t="shared" si="2"/>
        <v>0.30541666666666661</v>
      </c>
      <c r="K36" s="29">
        <f t="shared" si="2"/>
        <v>263.38833333333326</v>
      </c>
      <c r="L36" s="29">
        <f t="shared" si="2"/>
        <v>32.149166666666666</v>
      </c>
      <c r="M36" s="29">
        <f t="shared" si="2"/>
        <v>36.067916666666669</v>
      </c>
      <c r="N36" s="29">
        <f t="shared" si="2"/>
        <v>271.24705882352936</v>
      </c>
      <c r="O36" s="29">
        <f t="shared" si="2"/>
        <v>3.3333333333333333E-2</v>
      </c>
      <c r="P36" s="29">
        <f t="shared" si="2"/>
        <v>0.72666666666666657</v>
      </c>
      <c r="Q36" s="29">
        <f t="shared" si="2"/>
        <v>27.368333333333336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8.0377300043724045</v>
      </c>
      <c r="C37" s="29">
        <f t="shared" ref="C37:Q37" si="3">STDEV(C9:C32)</f>
        <v>13.371917035989691</v>
      </c>
      <c r="D37" s="29">
        <f t="shared" si="3"/>
        <v>13.495690858163954</v>
      </c>
      <c r="E37" s="29">
        <f t="shared" si="3"/>
        <v>3.5513468940536868</v>
      </c>
      <c r="F37" s="29">
        <f t="shared" si="3"/>
        <v>8.9625156499368028</v>
      </c>
      <c r="G37" s="29">
        <f t="shared" si="3"/>
        <v>17.74513270171424</v>
      </c>
      <c r="H37" s="29">
        <f t="shared" si="3"/>
        <v>5.6534905852137971</v>
      </c>
      <c r="I37" s="29">
        <f t="shared" si="3"/>
        <v>9.0648828701355905E-2</v>
      </c>
      <c r="J37" s="29">
        <f t="shared" si="3"/>
        <v>0.30023149281073486</v>
      </c>
      <c r="K37" s="29">
        <f t="shared" si="3"/>
        <v>64.873076258093661</v>
      </c>
      <c r="L37" s="29">
        <f t="shared" si="3"/>
        <v>3.9986431575534747</v>
      </c>
      <c r="M37" s="29">
        <f t="shared" si="3"/>
        <v>12.950077716458638</v>
      </c>
      <c r="N37" s="29">
        <f t="shared" si="3"/>
        <v>358.3124964985995</v>
      </c>
      <c r="O37" s="29">
        <f t="shared" si="3"/>
        <v>0.12740441145412124</v>
      </c>
      <c r="P37" s="29">
        <f t="shared" si="3"/>
        <v>0.25605139882566508</v>
      </c>
      <c r="Q37" s="29">
        <f t="shared" si="3"/>
        <v>2.3653102869651561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>COUNT(E9:E32)+3</f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>COUNT(N9:N32)+7</f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26-05-2023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55" t="s">
        <v>21</v>
      </c>
      <c r="B7" s="56" t="s">
        <v>58</v>
      </c>
      <c r="C7" s="56" t="s">
        <v>43</v>
      </c>
      <c r="D7" s="56" t="s">
        <v>44</v>
      </c>
      <c r="E7" s="56" t="s">
        <v>45</v>
      </c>
      <c r="F7" s="56" t="s">
        <v>46</v>
      </c>
      <c r="G7" s="56" t="s">
        <v>47</v>
      </c>
      <c r="H7" s="56" t="s">
        <v>48</v>
      </c>
      <c r="I7" s="56" t="s">
        <v>49</v>
      </c>
      <c r="J7" s="56" t="s">
        <v>50</v>
      </c>
      <c r="K7" s="56" t="s">
        <v>51</v>
      </c>
      <c r="L7" s="56" t="s">
        <v>52</v>
      </c>
      <c r="M7" s="56" t="s">
        <v>53</v>
      </c>
      <c r="N7" s="56" t="s">
        <v>54</v>
      </c>
      <c r="O7" s="56" t="s">
        <v>55</v>
      </c>
      <c r="P7" s="56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70"/>
      <c r="B8" s="71" t="s">
        <v>22</v>
      </c>
      <c r="C8" s="71" t="s">
        <v>22</v>
      </c>
      <c r="D8" s="30" t="s">
        <v>61</v>
      </c>
      <c r="E8" s="71" t="s">
        <v>22</v>
      </c>
      <c r="F8" s="71" t="s">
        <v>22</v>
      </c>
      <c r="G8" s="71" t="s">
        <v>23</v>
      </c>
      <c r="H8" s="71" t="s">
        <v>22</v>
      </c>
      <c r="I8" s="71" t="s">
        <v>22</v>
      </c>
      <c r="J8" s="71" t="s">
        <v>24</v>
      </c>
      <c r="K8" s="71" t="s">
        <v>25</v>
      </c>
      <c r="L8" s="70" t="s">
        <v>27</v>
      </c>
      <c r="M8" s="71" t="s">
        <v>26</v>
      </c>
      <c r="N8" s="71" t="s">
        <v>28</v>
      </c>
      <c r="O8" s="70" t="s">
        <v>29</v>
      </c>
      <c r="P8" s="71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662</v>
      </c>
      <c r="B9" s="60">
        <v>16.260000000000002</v>
      </c>
      <c r="C9" s="60">
        <v>53.93</v>
      </c>
      <c r="D9" s="60">
        <v>43.45</v>
      </c>
      <c r="E9" s="60">
        <v>6.96</v>
      </c>
      <c r="F9" s="60">
        <v>32.950000000000003</v>
      </c>
      <c r="G9" s="60">
        <v>105.2</v>
      </c>
      <c r="H9" s="60">
        <v>43.71</v>
      </c>
      <c r="I9" s="60">
        <v>0.8</v>
      </c>
      <c r="J9" s="60">
        <v>0.42</v>
      </c>
      <c r="K9" s="60">
        <v>230.59</v>
      </c>
      <c r="L9" s="60">
        <v>27.66</v>
      </c>
      <c r="M9" s="60">
        <v>46.39</v>
      </c>
      <c r="N9" s="60">
        <v>5</v>
      </c>
      <c r="O9" s="60">
        <v>0</v>
      </c>
      <c r="P9" s="60">
        <v>1.2</v>
      </c>
      <c r="Q9" s="60">
        <v>30.95</v>
      </c>
      <c r="R9" s="44"/>
      <c r="S9" s="44"/>
      <c r="T9" s="44"/>
      <c r="U9" s="44"/>
    </row>
    <row r="10" spans="1:21" s="12" customFormat="1" x14ac:dyDescent="0.25">
      <c r="A10" s="59" t="s">
        <v>663</v>
      </c>
      <c r="B10" s="60">
        <v>9.91</v>
      </c>
      <c r="C10" s="60">
        <v>33.19</v>
      </c>
      <c r="D10" s="60">
        <v>26.34</v>
      </c>
      <c r="E10" s="60">
        <v>6.54</v>
      </c>
      <c r="F10" s="60">
        <v>32.28</v>
      </c>
      <c r="G10" s="60">
        <v>105.2</v>
      </c>
      <c r="H10" s="60">
        <v>43.71</v>
      </c>
      <c r="I10" s="60">
        <v>0.7</v>
      </c>
      <c r="J10" s="60">
        <v>0.21</v>
      </c>
      <c r="K10" s="60">
        <v>232.36</v>
      </c>
      <c r="L10" s="60">
        <v>26.88</v>
      </c>
      <c r="M10" s="60">
        <v>47.9</v>
      </c>
      <c r="N10" s="60">
        <v>5.3</v>
      </c>
      <c r="O10" s="60">
        <v>0</v>
      </c>
      <c r="P10" s="60">
        <v>1.07</v>
      </c>
      <c r="Q10" s="60">
        <v>31.11</v>
      </c>
      <c r="R10" s="44"/>
      <c r="S10" s="44"/>
      <c r="T10" s="44"/>
      <c r="U10" s="44"/>
    </row>
    <row r="11" spans="1:21" s="12" customFormat="1" x14ac:dyDescent="0.25">
      <c r="A11" s="59" t="s">
        <v>664</v>
      </c>
      <c r="B11" s="60">
        <v>5.15</v>
      </c>
      <c r="C11" s="60">
        <v>33.46</v>
      </c>
      <c r="D11" s="60">
        <v>23.05</v>
      </c>
      <c r="E11" s="60">
        <v>2.35</v>
      </c>
      <c r="F11" s="60">
        <v>10.54</v>
      </c>
      <c r="G11" s="60">
        <v>82.28</v>
      </c>
      <c r="H11" s="60">
        <v>38.21</v>
      </c>
      <c r="I11" s="60">
        <v>0.74</v>
      </c>
      <c r="J11" s="60">
        <v>0.13</v>
      </c>
      <c r="K11" s="60">
        <v>256.01</v>
      </c>
      <c r="L11" s="60">
        <v>26.37</v>
      </c>
      <c r="M11" s="60">
        <v>49.6</v>
      </c>
      <c r="N11" s="60">
        <v>5.0999999999999996</v>
      </c>
      <c r="O11" s="60">
        <v>0</v>
      </c>
      <c r="P11" s="60">
        <v>0.88</v>
      </c>
      <c r="Q11" s="60">
        <v>29.3</v>
      </c>
      <c r="R11" s="44"/>
      <c r="S11" s="44"/>
      <c r="T11" s="44"/>
      <c r="U11" s="44"/>
    </row>
    <row r="12" spans="1:21" s="12" customFormat="1" x14ac:dyDescent="0.25">
      <c r="A12" s="59" t="s">
        <v>665</v>
      </c>
      <c r="B12" s="60">
        <v>2.48</v>
      </c>
      <c r="C12" s="60">
        <v>29.56</v>
      </c>
      <c r="D12" s="60">
        <v>18.54</v>
      </c>
      <c r="E12" s="60">
        <v>3.67</v>
      </c>
      <c r="F12" s="60">
        <v>32.74</v>
      </c>
      <c r="G12" s="60">
        <v>75.010000000000005</v>
      </c>
      <c r="H12" s="60">
        <v>35.03</v>
      </c>
      <c r="I12" s="60">
        <v>0.67</v>
      </c>
      <c r="J12" s="60">
        <v>0.14000000000000001</v>
      </c>
      <c r="K12" s="60">
        <v>252.83</v>
      </c>
      <c r="L12" s="60">
        <v>26.33</v>
      </c>
      <c r="M12" s="60">
        <v>49.75</v>
      </c>
      <c r="N12" s="60">
        <v>5.0999999999999996</v>
      </c>
      <c r="O12" s="60">
        <v>0</v>
      </c>
      <c r="P12" s="60">
        <v>0.73</v>
      </c>
      <c r="Q12" s="60">
        <v>29.16</v>
      </c>
      <c r="R12" s="44"/>
      <c r="S12" s="44"/>
      <c r="T12" s="44"/>
      <c r="U12" s="44"/>
    </row>
    <row r="13" spans="1:21" s="12" customFormat="1" x14ac:dyDescent="0.25">
      <c r="A13" s="59" t="s">
        <v>666</v>
      </c>
      <c r="B13" s="60">
        <v>2.78</v>
      </c>
      <c r="C13" s="60">
        <v>29.13</v>
      </c>
      <c r="D13" s="60">
        <v>18.95</v>
      </c>
      <c r="E13" s="60">
        <v>4.59</v>
      </c>
      <c r="F13" s="60">
        <v>22.31</v>
      </c>
      <c r="G13" s="60">
        <v>59.76</v>
      </c>
      <c r="H13" s="60">
        <v>34.57</v>
      </c>
      <c r="I13" s="60">
        <v>0.75</v>
      </c>
      <c r="J13" s="60">
        <v>0.12</v>
      </c>
      <c r="K13" s="60">
        <v>239.07</v>
      </c>
      <c r="L13" s="60">
        <v>25.85</v>
      </c>
      <c r="M13" s="60">
        <v>52.45</v>
      </c>
      <c r="N13" s="60">
        <v>5.0999999999999996</v>
      </c>
      <c r="O13" s="60">
        <v>0</v>
      </c>
      <c r="P13" s="60">
        <v>0.69</v>
      </c>
      <c r="Q13" s="60">
        <v>29.27</v>
      </c>
      <c r="R13" s="44"/>
      <c r="S13" s="44"/>
      <c r="T13" s="44"/>
      <c r="U13" s="44"/>
    </row>
    <row r="14" spans="1:21" s="12" customFormat="1" x14ac:dyDescent="0.25">
      <c r="A14" s="59" t="s">
        <v>667</v>
      </c>
      <c r="B14" s="60">
        <v>1.75</v>
      </c>
      <c r="C14" s="60">
        <v>29.72</v>
      </c>
      <c r="D14" s="60">
        <v>18.46</v>
      </c>
      <c r="E14" s="60">
        <v>2.2400000000000002</v>
      </c>
      <c r="F14" s="60">
        <v>6.91</v>
      </c>
      <c r="G14" s="60">
        <v>51.07</v>
      </c>
      <c r="H14" s="60">
        <v>29.56</v>
      </c>
      <c r="I14" s="60">
        <v>0.73</v>
      </c>
      <c r="J14" s="60">
        <v>0.19</v>
      </c>
      <c r="K14" s="60">
        <v>224.99</v>
      </c>
      <c r="L14" s="60">
        <v>26.03</v>
      </c>
      <c r="M14" s="60">
        <v>54.1</v>
      </c>
      <c r="N14" s="60">
        <v>48.4</v>
      </c>
      <c r="O14" s="60">
        <v>0</v>
      </c>
      <c r="P14" s="60">
        <v>0.61</v>
      </c>
      <c r="Q14" s="60">
        <v>29.05</v>
      </c>
      <c r="R14" s="44"/>
      <c r="S14" s="44"/>
      <c r="T14" s="44"/>
      <c r="U14" s="44"/>
    </row>
    <row r="15" spans="1:21" s="12" customFormat="1" x14ac:dyDescent="0.25">
      <c r="A15" s="59" t="s">
        <v>668</v>
      </c>
      <c r="B15" s="60">
        <v>4.68</v>
      </c>
      <c r="C15" s="60">
        <v>32.43</v>
      </c>
      <c r="D15" s="60">
        <v>22.3</v>
      </c>
      <c r="E15" s="60">
        <v>3.68</v>
      </c>
      <c r="F15" s="60">
        <v>24.1</v>
      </c>
      <c r="G15" s="60">
        <v>52.87</v>
      </c>
      <c r="H15" s="60">
        <v>29.37</v>
      </c>
      <c r="I15" s="60">
        <v>0.72</v>
      </c>
      <c r="J15" s="60">
        <v>1.55</v>
      </c>
      <c r="K15" s="60">
        <v>251.51</v>
      </c>
      <c r="L15" s="60">
        <v>27.44</v>
      </c>
      <c r="M15" s="60">
        <v>51.92</v>
      </c>
      <c r="N15" s="60">
        <v>85</v>
      </c>
      <c r="O15" s="60">
        <v>0</v>
      </c>
      <c r="P15" s="60">
        <v>0.62</v>
      </c>
      <c r="Q15" s="60">
        <v>28.45</v>
      </c>
      <c r="R15" s="44"/>
      <c r="S15" s="44"/>
      <c r="T15" s="44"/>
      <c r="U15" s="44"/>
    </row>
    <row r="16" spans="1:21" s="12" customFormat="1" x14ac:dyDescent="0.25">
      <c r="A16" s="59" t="s">
        <v>669</v>
      </c>
      <c r="B16" s="60">
        <v>4.79</v>
      </c>
      <c r="C16" s="60">
        <v>34.53</v>
      </c>
      <c r="D16" s="60">
        <v>23.52</v>
      </c>
      <c r="E16" s="60">
        <v>3</v>
      </c>
      <c r="F16" s="60">
        <v>6.85</v>
      </c>
      <c r="G16" s="60">
        <v>60.61</v>
      </c>
      <c r="H16" s="60">
        <v>28.81</v>
      </c>
      <c r="I16" s="60">
        <v>0.74</v>
      </c>
      <c r="J16" s="60">
        <v>1.54</v>
      </c>
      <c r="K16" s="60">
        <v>269.89999999999998</v>
      </c>
      <c r="L16" s="60">
        <v>33.92</v>
      </c>
      <c r="M16" s="60">
        <v>38.51</v>
      </c>
      <c r="N16" s="62" t="s">
        <v>14</v>
      </c>
      <c r="O16" s="60">
        <v>0</v>
      </c>
      <c r="P16" s="60">
        <v>0.66</v>
      </c>
      <c r="Q16" s="60">
        <v>28.16</v>
      </c>
      <c r="R16" s="44"/>
      <c r="S16" s="44"/>
      <c r="T16" s="44"/>
      <c r="U16" s="44"/>
    </row>
    <row r="17" spans="1:21" s="12" customFormat="1" x14ac:dyDescent="0.25">
      <c r="A17" s="59" t="s">
        <v>670</v>
      </c>
      <c r="B17" s="60">
        <v>6.18</v>
      </c>
      <c r="C17" s="60">
        <v>50</v>
      </c>
      <c r="D17" s="60">
        <v>33</v>
      </c>
      <c r="E17" s="60">
        <v>8.36</v>
      </c>
      <c r="F17" s="60">
        <v>16.11</v>
      </c>
      <c r="G17" s="60">
        <v>79.3</v>
      </c>
      <c r="H17" s="60">
        <v>33.200000000000003</v>
      </c>
      <c r="I17" s="60">
        <v>0.77</v>
      </c>
      <c r="J17" s="60">
        <v>0.88</v>
      </c>
      <c r="K17" s="60">
        <v>261.58999999999997</v>
      </c>
      <c r="L17" s="60">
        <v>34.81</v>
      </c>
      <c r="M17" s="60">
        <v>32.49</v>
      </c>
      <c r="N17" s="62" t="s">
        <v>14</v>
      </c>
      <c r="O17" s="60">
        <v>0</v>
      </c>
      <c r="P17" s="60">
        <v>0.72</v>
      </c>
      <c r="Q17" s="60">
        <v>27.81</v>
      </c>
      <c r="R17" s="44"/>
      <c r="S17" s="44"/>
      <c r="T17" s="44"/>
      <c r="U17" s="44"/>
    </row>
    <row r="18" spans="1:21" s="12" customFormat="1" x14ac:dyDescent="0.25">
      <c r="A18" s="59" t="s">
        <v>671</v>
      </c>
      <c r="B18" s="60">
        <v>6.12</v>
      </c>
      <c r="C18" s="60">
        <v>41.21</v>
      </c>
      <c r="D18" s="60">
        <v>28.3</v>
      </c>
      <c r="E18" s="60">
        <v>21.87</v>
      </c>
      <c r="F18" s="60">
        <v>43.52</v>
      </c>
      <c r="G18" s="60">
        <v>81.59</v>
      </c>
      <c r="H18" s="60">
        <v>35.630000000000003</v>
      </c>
      <c r="I18" s="60">
        <v>0.56999999999999995</v>
      </c>
      <c r="J18" s="60">
        <v>0.71</v>
      </c>
      <c r="K18" s="60">
        <v>140.88</v>
      </c>
      <c r="L18" s="60">
        <v>33.08</v>
      </c>
      <c r="M18" s="60">
        <v>32.71</v>
      </c>
      <c r="N18" s="62" t="s">
        <v>14</v>
      </c>
      <c r="O18" s="60">
        <v>0</v>
      </c>
      <c r="P18" s="60">
        <v>0.73</v>
      </c>
      <c r="Q18" s="60">
        <v>28.52</v>
      </c>
      <c r="R18" s="44"/>
      <c r="S18" s="44"/>
      <c r="T18" s="44"/>
      <c r="U18" s="44"/>
    </row>
    <row r="19" spans="1:21" s="12" customFormat="1" x14ac:dyDescent="0.25">
      <c r="A19" s="59" t="s">
        <v>672</v>
      </c>
      <c r="B19" s="60">
        <v>2.4</v>
      </c>
      <c r="C19" s="60">
        <v>35.53</v>
      </c>
      <c r="D19" s="60">
        <v>22.18</v>
      </c>
      <c r="E19" s="60">
        <v>7.18</v>
      </c>
      <c r="F19" s="60">
        <v>16.98</v>
      </c>
      <c r="G19" s="60">
        <v>81.59</v>
      </c>
      <c r="H19" s="60">
        <v>35.630000000000003</v>
      </c>
      <c r="I19" s="60">
        <v>0.73</v>
      </c>
      <c r="J19" s="60">
        <v>1.26</v>
      </c>
      <c r="K19" s="60">
        <v>223.66</v>
      </c>
      <c r="L19" s="60">
        <v>34.729999999999997</v>
      </c>
      <c r="M19" s="60">
        <v>33.130000000000003</v>
      </c>
      <c r="N19" s="60">
        <v>862.1</v>
      </c>
      <c r="O19" s="60">
        <v>0</v>
      </c>
      <c r="P19" s="60">
        <v>0.7</v>
      </c>
      <c r="Q19" s="60">
        <v>28.73</v>
      </c>
      <c r="R19" s="44"/>
      <c r="S19" s="44"/>
      <c r="T19" s="44"/>
      <c r="U19" s="44"/>
    </row>
    <row r="20" spans="1:21" s="12" customFormat="1" x14ac:dyDescent="0.25">
      <c r="A20" s="59" t="s">
        <v>673</v>
      </c>
      <c r="B20" s="60">
        <v>3.62</v>
      </c>
      <c r="C20" s="60">
        <v>36.159999999999997</v>
      </c>
      <c r="D20" s="60">
        <v>23.25</v>
      </c>
      <c r="E20" s="60">
        <v>3.87</v>
      </c>
      <c r="F20" s="60">
        <v>32.69</v>
      </c>
      <c r="G20" s="60">
        <v>75.88</v>
      </c>
      <c r="H20" s="60">
        <v>33.57</v>
      </c>
      <c r="I20" s="60">
        <v>0.92</v>
      </c>
      <c r="J20" s="60">
        <v>1.33</v>
      </c>
      <c r="K20" s="60">
        <v>255.81</v>
      </c>
      <c r="L20" s="60">
        <v>37.56</v>
      </c>
      <c r="M20" s="60">
        <v>27.11</v>
      </c>
      <c r="N20" s="60">
        <v>908.4</v>
      </c>
      <c r="O20" s="60">
        <v>0</v>
      </c>
      <c r="P20" s="60">
        <v>0.65</v>
      </c>
      <c r="Q20" s="60">
        <v>28.01</v>
      </c>
      <c r="R20" s="44"/>
      <c r="S20" s="44"/>
      <c r="T20" s="44"/>
      <c r="U20" s="44"/>
    </row>
    <row r="21" spans="1:21" s="12" customFormat="1" x14ac:dyDescent="0.25">
      <c r="A21" s="59" t="s">
        <v>674</v>
      </c>
      <c r="B21" s="60">
        <v>5.86</v>
      </c>
      <c r="C21" s="60">
        <v>29.65</v>
      </c>
      <c r="D21" s="60">
        <v>21.71</v>
      </c>
      <c r="E21" s="60">
        <v>5.22</v>
      </c>
      <c r="F21" s="60">
        <v>46.22</v>
      </c>
      <c r="G21" s="60">
        <v>73.92</v>
      </c>
      <c r="H21" s="60">
        <v>32.78</v>
      </c>
      <c r="I21" s="60">
        <v>0.86</v>
      </c>
      <c r="J21" s="60">
        <v>0.65</v>
      </c>
      <c r="K21" s="60">
        <v>258.08</v>
      </c>
      <c r="L21" s="60">
        <v>38.28</v>
      </c>
      <c r="M21" s="60">
        <v>25.37</v>
      </c>
      <c r="N21" s="60">
        <v>900.7</v>
      </c>
      <c r="O21" s="60">
        <v>0</v>
      </c>
      <c r="P21" s="60">
        <v>0.57999999999999996</v>
      </c>
      <c r="Q21" s="60">
        <v>27.5</v>
      </c>
      <c r="R21" s="44"/>
      <c r="S21" s="44"/>
      <c r="T21" s="44"/>
      <c r="U21" s="44"/>
    </row>
    <row r="22" spans="1:21" s="12" customFormat="1" x14ac:dyDescent="0.25">
      <c r="A22" s="59" t="s">
        <v>675</v>
      </c>
      <c r="B22" s="60">
        <v>2.52</v>
      </c>
      <c r="C22" s="60">
        <v>32.200000000000003</v>
      </c>
      <c r="D22" s="60">
        <v>20.440000000000001</v>
      </c>
      <c r="E22" s="60">
        <v>3.04</v>
      </c>
      <c r="F22" s="60">
        <v>24.55</v>
      </c>
      <c r="G22" s="60">
        <v>66.62</v>
      </c>
      <c r="H22" s="60">
        <v>30.52</v>
      </c>
      <c r="I22" s="60">
        <v>1.04</v>
      </c>
      <c r="J22" s="60">
        <v>0.45</v>
      </c>
      <c r="K22" s="60">
        <v>279.45999999999998</v>
      </c>
      <c r="L22" s="60">
        <v>36.93</v>
      </c>
      <c r="M22" s="60">
        <v>25.26</v>
      </c>
      <c r="N22" s="60">
        <v>785.1</v>
      </c>
      <c r="O22" s="60">
        <v>0</v>
      </c>
      <c r="P22" s="60">
        <v>0.57999999999999996</v>
      </c>
      <c r="Q22" s="60">
        <v>27.62</v>
      </c>
      <c r="R22" s="44"/>
      <c r="S22" s="44"/>
      <c r="T22" s="44"/>
      <c r="U22" s="44"/>
    </row>
    <row r="23" spans="1:21" s="12" customFormat="1" x14ac:dyDescent="0.25">
      <c r="A23" s="59" t="s">
        <v>676</v>
      </c>
      <c r="B23" s="60">
        <v>1.28</v>
      </c>
      <c r="C23" s="60">
        <v>30.79</v>
      </c>
      <c r="D23" s="60">
        <v>18.46</v>
      </c>
      <c r="E23" s="60">
        <v>2.08</v>
      </c>
      <c r="F23" s="60">
        <v>15.47</v>
      </c>
      <c r="G23" s="60">
        <v>62.74</v>
      </c>
      <c r="H23" s="60">
        <v>27.83</v>
      </c>
      <c r="I23" s="60">
        <v>0.8</v>
      </c>
      <c r="J23" s="60">
        <v>0.17</v>
      </c>
      <c r="K23" s="60">
        <v>277.57</v>
      </c>
      <c r="L23" s="60">
        <v>36.89</v>
      </c>
      <c r="M23" s="60">
        <v>22.19</v>
      </c>
      <c r="N23" s="60">
        <v>633.5</v>
      </c>
      <c r="O23" s="60">
        <v>0</v>
      </c>
      <c r="P23" s="60">
        <v>0.54</v>
      </c>
      <c r="Q23" s="60">
        <v>27.42</v>
      </c>
      <c r="R23" s="44"/>
      <c r="S23" s="44"/>
      <c r="T23" s="44"/>
      <c r="U23" s="44"/>
    </row>
    <row r="24" spans="1:21" s="12" customFormat="1" x14ac:dyDescent="0.25">
      <c r="A24" s="59" t="s">
        <v>677</v>
      </c>
      <c r="B24" s="60">
        <v>2.4</v>
      </c>
      <c r="C24" s="60">
        <v>30.47</v>
      </c>
      <c r="D24" s="60">
        <v>19.39</v>
      </c>
      <c r="E24" s="60">
        <v>2.09</v>
      </c>
      <c r="F24" s="60">
        <v>15.45</v>
      </c>
      <c r="G24" s="60">
        <v>59.61</v>
      </c>
      <c r="H24" s="60">
        <v>25.74</v>
      </c>
      <c r="I24" s="60">
        <v>0.8</v>
      </c>
      <c r="J24" s="60">
        <v>0.18</v>
      </c>
      <c r="K24" s="60">
        <v>357.43</v>
      </c>
      <c r="L24" s="60">
        <v>36.82</v>
      </c>
      <c r="M24" s="60">
        <v>20.38</v>
      </c>
      <c r="N24" s="60">
        <v>285.3</v>
      </c>
      <c r="O24" s="60">
        <v>0</v>
      </c>
      <c r="P24" s="60">
        <v>0.49</v>
      </c>
      <c r="Q24" s="60">
        <v>26.04</v>
      </c>
      <c r="R24" s="44"/>
      <c r="S24" s="44"/>
      <c r="T24" s="44"/>
      <c r="U24" s="44"/>
    </row>
    <row r="25" spans="1:21" s="12" customFormat="1" x14ac:dyDescent="0.25">
      <c r="A25" s="59" t="s">
        <v>678</v>
      </c>
      <c r="B25" s="60">
        <v>1.43</v>
      </c>
      <c r="C25" s="60">
        <v>29.84</v>
      </c>
      <c r="D25" s="60">
        <v>18.260000000000002</v>
      </c>
      <c r="E25" s="60">
        <v>1.59</v>
      </c>
      <c r="F25" s="60">
        <v>11.32</v>
      </c>
      <c r="G25" s="60">
        <v>53.91</v>
      </c>
      <c r="H25" s="60">
        <v>24.53</v>
      </c>
      <c r="I25" s="60">
        <v>0.74</v>
      </c>
      <c r="J25" s="60">
        <v>0.79</v>
      </c>
      <c r="K25" s="60">
        <v>294.86</v>
      </c>
      <c r="L25" s="60">
        <v>36.35</v>
      </c>
      <c r="M25" s="60">
        <v>19.940000000000001</v>
      </c>
      <c r="N25" s="60">
        <v>124.4</v>
      </c>
      <c r="O25" s="60">
        <v>0</v>
      </c>
      <c r="P25" s="60">
        <v>0.46</v>
      </c>
      <c r="Q25" s="60">
        <v>23.43</v>
      </c>
      <c r="R25" s="44"/>
      <c r="S25" s="44"/>
      <c r="T25" s="44"/>
      <c r="U25" s="44"/>
    </row>
    <row r="26" spans="1:21" s="12" customFormat="1" x14ac:dyDescent="0.25">
      <c r="A26" s="59" t="s">
        <v>679</v>
      </c>
      <c r="B26" s="60">
        <v>2.41</v>
      </c>
      <c r="C26" s="60">
        <v>31.9</v>
      </c>
      <c r="D26" s="60">
        <v>20.190000000000001</v>
      </c>
      <c r="E26" s="60">
        <v>1.32</v>
      </c>
      <c r="F26" s="60">
        <v>10.59</v>
      </c>
      <c r="G26" s="60">
        <v>61.55</v>
      </c>
      <c r="H26" s="60">
        <v>24.15</v>
      </c>
      <c r="I26" s="60">
        <v>0.57999999999999996</v>
      </c>
      <c r="J26" s="60">
        <v>2.0499999999999998</v>
      </c>
      <c r="K26" s="60">
        <v>256.41000000000003</v>
      </c>
      <c r="L26" s="60">
        <v>34.880000000000003</v>
      </c>
      <c r="M26" s="60">
        <v>26.61</v>
      </c>
      <c r="N26" s="60">
        <v>73.599999999999994</v>
      </c>
      <c r="O26" s="60">
        <v>0</v>
      </c>
      <c r="P26" s="60">
        <v>0.43</v>
      </c>
      <c r="Q26" s="60">
        <v>22.59</v>
      </c>
      <c r="R26" s="44"/>
      <c r="S26" s="44"/>
      <c r="T26" s="44"/>
      <c r="U26" s="44"/>
    </row>
    <row r="27" spans="1:21" s="12" customFormat="1" x14ac:dyDescent="0.25">
      <c r="A27" s="59" t="s">
        <v>680</v>
      </c>
      <c r="B27" s="60">
        <v>5.66</v>
      </c>
      <c r="C27" s="60">
        <v>33.57</v>
      </c>
      <c r="D27" s="60">
        <v>22.73</v>
      </c>
      <c r="E27" s="60">
        <v>1.48</v>
      </c>
      <c r="F27" s="60">
        <v>12.05</v>
      </c>
      <c r="G27" s="60">
        <v>61.55</v>
      </c>
      <c r="H27" s="60">
        <v>24.15</v>
      </c>
      <c r="I27" s="60">
        <v>0.69</v>
      </c>
      <c r="J27" s="60">
        <v>1.42</v>
      </c>
      <c r="K27" s="60">
        <v>256.10000000000002</v>
      </c>
      <c r="L27" s="60">
        <v>32.74</v>
      </c>
      <c r="M27" s="60">
        <v>20.95</v>
      </c>
      <c r="N27" s="60">
        <v>15.3</v>
      </c>
      <c r="O27" s="60">
        <v>0</v>
      </c>
      <c r="P27" s="60">
        <v>0.5</v>
      </c>
      <c r="Q27" s="60">
        <v>22.32</v>
      </c>
      <c r="R27" s="44"/>
      <c r="S27" s="44"/>
      <c r="T27" s="44"/>
      <c r="U27" s="44"/>
    </row>
    <row r="28" spans="1:21" s="12" customFormat="1" x14ac:dyDescent="0.25">
      <c r="A28" s="59" t="s">
        <v>681</v>
      </c>
      <c r="B28" s="60">
        <v>6.47</v>
      </c>
      <c r="C28" s="60">
        <v>36.520000000000003</v>
      </c>
      <c r="D28" s="60">
        <v>24.88</v>
      </c>
      <c r="E28" s="60">
        <v>1.22</v>
      </c>
      <c r="F28" s="60">
        <v>7.61</v>
      </c>
      <c r="G28" s="60">
        <v>71.06</v>
      </c>
      <c r="H28" s="60">
        <v>21.17</v>
      </c>
      <c r="I28" s="60">
        <v>0.74</v>
      </c>
      <c r="J28" s="60">
        <v>1</v>
      </c>
      <c r="K28" s="60">
        <v>265.41000000000003</v>
      </c>
      <c r="L28" s="60">
        <v>32.049999999999997</v>
      </c>
      <c r="M28" s="60">
        <v>24.07</v>
      </c>
      <c r="N28" s="60">
        <v>5.2</v>
      </c>
      <c r="O28" s="60">
        <v>0</v>
      </c>
      <c r="P28" s="60">
        <v>0.62</v>
      </c>
      <c r="Q28" s="60">
        <v>21.76</v>
      </c>
      <c r="R28" s="44"/>
      <c r="S28" s="44"/>
      <c r="T28" s="44"/>
      <c r="U28" s="44"/>
    </row>
    <row r="29" spans="1:21" s="12" customFormat="1" x14ac:dyDescent="0.25">
      <c r="A29" s="59" t="s">
        <v>682</v>
      </c>
      <c r="B29" s="60">
        <v>23.76</v>
      </c>
      <c r="C29" s="60">
        <v>44.42</v>
      </c>
      <c r="D29" s="60">
        <v>44.21</v>
      </c>
      <c r="E29" s="60">
        <v>9.8000000000000007</v>
      </c>
      <c r="F29" s="60">
        <v>19.12</v>
      </c>
      <c r="G29" s="60">
        <v>72.28</v>
      </c>
      <c r="H29" s="60">
        <v>22.61</v>
      </c>
      <c r="I29" s="60">
        <v>0.75</v>
      </c>
      <c r="J29" s="60">
        <v>0.23</v>
      </c>
      <c r="K29" s="60">
        <v>331.67</v>
      </c>
      <c r="L29" s="60">
        <v>31.22</v>
      </c>
      <c r="M29" s="60">
        <v>30.87</v>
      </c>
      <c r="N29" s="60">
        <v>5.3</v>
      </c>
      <c r="O29" s="60">
        <v>0</v>
      </c>
      <c r="P29" s="60">
        <v>0.85</v>
      </c>
      <c r="Q29" s="60">
        <v>21.81</v>
      </c>
      <c r="R29" s="44"/>
      <c r="S29" s="44"/>
      <c r="T29" s="44"/>
      <c r="U29" s="44"/>
    </row>
    <row r="30" spans="1:21" s="12" customFormat="1" x14ac:dyDescent="0.25">
      <c r="A30" s="59" t="s">
        <v>683</v>
      </c>
      <c r="B30" s="60">
        <v>25.5</v>
      </c>
      <c r="C30" s="60">
        <v>44.17</v>
      </c>
      <c r="D30" s="60">
        <v>45.48</v>
      </c>
      <c r="E30" s="60">
        <v>15.92</v>
      </c>
      <c r="F30" s="60">
        <v>16.829999999999998</v>
      </c>
      <c r="G30" s="60">
        <v>72.28</v>
      </c>
      <c r="H30" s="60">
        <v>27.04</v>
      </c>
      <c r="I30" s="60">
        <v>1</v>
      </c>
      <c r="J30" s="60">
        <v>0.37</v>
      </c>
      <c r="K30" s="60">
        <v>266.89</v>
      </c>
      <c r="L30" s="60">
        <v>29.68</v>
      </c>
      <c r="M30" s="60">
        <v>33.32</v>
      </c>
      <c r="N30" s="60">
        <v>5</v>
      </c>
      <c r="O30" s="60">
        <v>0</v>
      </c>
      <c r="P30" s="60">
        <v>0.93</v>
      </c>
      <c r="Q30" s="60">
        <v>21.79</v>
      </c>
      <c r="R30" s="44"/>
      <c r="S30" s="44"/>
      <c r="T30" s="44"/>
      <c r="U30" s="44"/>
    </row>
    <row r="31" spans="1:21" s="12" customFormat="1" x14ac:dyDescent="0.25">
      <c r="A31" s="59" t="s">
        <v>684</v>
      </c>
      <c r="B31" s="60">
        <v>12.8</v>
      </c>
      <c r="C31" s="60">
        <v>40.14</v>
      </c>
      <c r="D31" s="60">
        <v>32.229999999999997</v>
      </c>
      <c r="E31" s="60">
        <v>6.38</v>
      </c>
      <c r="F31" s="60">
        <v>4.46</v>
      </c>
      <c r="G31" s="60">
        <v>88.2</v>
      </c>
      <c r="H31" s="60">
        <v>30.17</v>
      </c>
      <c r="I31" s="60">
        <v>0.83</v>
      </c>
      <c r="J31" s="60">
        <v>0.12</v>
      </c>
      <c r="K31" s="60">
        <v>295.13</v>
      </c>
      <c r="L31" s="60">
        <v>29.26</v>
      </c>
      <c r="M31" s="60">
        <v>35.69</v>
      </c>
      <c r="N31" s="60">
        <v>5</v>
      </c>
      <c r="O31" s="60">
        <v>0</v>
      </c>
      <c r="P31" s="60">
        <v>0.98</v>
      </c>
      <c r="Q31" s="60">
        <v>24</v>
      </c>
      <c r="R31" s="44"/>
      <c r="S31" s="44"/>
      <c r="T31" s="44"/>
      <c r="U31" s="44"/>
    </row>
    <row r="32" spans="1:21" s="12" customFormat="1" x14ac:dyDescent="0.25">
      <c r="A32" s="59" t="s">
        <v>685</v>
      </c>
      <c r="B32" s="60">
        <v>10.08</v>
      </c>
      <c r="C32" s="60">
        <v>43.5</v>
      </c>
      <c r="D32" s="60">
        <v>32.64</v>
      </c>
      <c r="E32" s="60">
        <v>5.19</v>
      </c>
      <c r="F32" s="60">
        <v>16.95</v>
      </c>
      <c r="G32" s="60">
        <v>88.2</v>
      </c>
      <c r="H32" s="60">
        <v>31.65</v>
      </c>
      <c r="I32" s="60">
        <v>0.65</v>
      </c>
      <c r="J32" s="60">
        <v>0.04</v>
      </c>
      <c r="K32" s="60">
        <v>284.64999999999998</v>
      </c>
      <c r="L32" s="60">
        <v>28.66</v>
      </c>
      <c r="M32" s="60">
        <v>37.92</v>
      </c>
      <c r="N32" s="60">
        <v>4.9000000000000004</v>
      </c>
      <c r="O32" s="60">
        <v>0</v>
      </c>
      <c r="P32" s="60">
        <v>1.31</v>
      </c>
      <c r="Q32" s="60">
        <v>24.72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1.28</v>
      </c>
      <c r="C34" s="29">
        <f t="shared" si="0"/>
        <v>29.13</v>
      </c>
      <c r="D34" s="29">
        <f t="shared" si="0"/>
        <v>18.260000000000002</v>
      </c>
      <c r="E34" s="29">
        <f t="shared" si="0"/>
        <v>1.22</v>
      </c>
      <c r="F34" s="29">
        <f t="shared" si="0"/>
        <v>4.46</v>
      </c>
      <c r="G34" s="29">
        <f t="shared" si="0"/>
        <v>51.07</v>
      </c>
      <c r="H34" s="29">
        <f t="shared" si="0"/>
        <v>21.17</v>
      </c>
      <c r="I34" s="29">
        <f t="shared" si="0"/>
        <v>0.56999999999999995</v>
      </c>
      <c r="J34" s="29">
        <f t="shared" si="0"/>
        <v>0.04</v>
      </c>
      <c r="K34" s="29">
        <f t="shared" si="0"/>
        <v>140.88</v>
      </c>
      <c r="L34" s="29">
        <f t="shared" si="0"/>
        <v>25.85</v>
      </c>
      <c r="M34" s="29">
        <f t="shared" si="0"/>
        <v>19.940000000000001</v>
      </c>
      <c r="N34" s="29">
        <f t="shared" si="0"/>
        <v>4.9000000000000004</v>
      </c>
      <c r="O34" s="29">
        <f t="shared" si="0"/>
        <v>0</v>
      </c>
      <c r="P34" s="29">
        <f t="shared" si="0"/>
        <v>0.43</v>
      </c>
      <c r="Q34" s="29">
        <f t="shared" si="0"/>
        <v>21.76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25.5</v>
      </c>
      <c r="C35" s="30">
        <f t="shared" si="1"/>
        <v>53.93</v>
      </c>
      <c r="D35" s="30">
        <f t="shared" si="1"/>
        <v>45.48</v>
      </c>
      <c r="E35" s="30">
        <f t="shared" si="1"/>
        <v>21.87</v>
      </c>
      <c r="F35" s="30">
        <f t="shared" si="1"/>
        <v>46.22</v>
      </c>
      <c r="G35" s="30">
        <f t="shared" si="1"/>
        <v>105.2</v>
      </c>
      <c r="H35" s="30">
        <f t="shared" si="1"/>
        <v>43.71</v>
      </c>
      <c r="I35" s="30">
        <f t="shared" si="1"/>
        <v>1.04</v>
      </c>
      <c r="J35" s="30">
        <f t="shared" si="1"/>
        <v>2.0499999999999998</v>
      </c>
      <c r="K35" s="30">
        <f t="shared" si="1"/>
        <v>357.43</v>
      </c>
      <c r="L35" s="30">
        <f t="shared" si="1"/>
        <v>38.28</v>
      </c>
      <c r="M35" s="30">
        <f t="shared" si="1"/>
        <v>54.1</v>
      </c>
      <c r="N35" s="30">
        <f t="shared" si="1"/>
        <v>908.4</v>
      </c>
      <c r="O35" s="30">
        <f t="shared" si="1"/>
        <v>0</v>
      </c>
      <c r="P35" s="30">
        <f t="shared" si="1"/>
        <v>1.31</v>
      </c>
      <c r="Q35" s="30">
        <f t="shared" si="1"/>
        <v>31.11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6.9287500000000009</v>
      </c>
      <c r="C36" s="29">
        <f t="shared" si="2"/>
        <v>36.084166666666668</v>
      </c>
      <c r="D36" s="29">
        <f t="shared" si="2"/>
        <v>25.914999999999996</v>
      </c>
      <c r="E36" s="29">
        <f t="shared" si="2"/>
        <v>5.4016666666666673</v>
      </c>
      <c r="F36" s="29">
        <f t="shared" si="2"/>
        <v>19.941666666666666</v>
      </c>
      <c r="G36" s="29">
        <f t="shared" si="2"/>
        <v>72.594999999999999</v>
      </c>
      <c r="H36" s="29">
        <f t="shared" si="2"/>
        <v>30.972499999999993</v>
      </c>
      <c r="I36" s="29">
        <f t="shared" si="2"/>
        <v>0.76333333333333331</v>
      </c>
      <c r="J36" s="29">
        <f t="shared" si="2"/>
        <v>0.66458333333333319</v>
      </c>
      <c r="K36" s="29">
        <f t="shared" si="2"/>
        <v>260.95250000000004</v>
      </c>
      <c r="L36" s="29">
        <f t="shared" si="2"/>
        <v>31.85083333333333</v>
      </c>
      <c r="M36" s="29">
        <f t="shared" si="2"/>
        <v>34.942916666666676</v>
      </c>
      <c r="N36" s="29">
        <f t="shared" si="2"/>
        <v>227.27619047619044</v>
      </c>
      <c r="O36" s="29">
        <f t="shared" si="2"/>
        <v>0</v>
      </c>
      <c r="P36" s="29">
        <f t="shared" si="2"/>
        <v>0.7304166666666666</v>
      </c>
      <c r="Q36" s="29">
        <f t="shared" si="2"/>
        <v>26.646666666666665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6.604699455032331</v>
      </c>
      <c r="C37" s="29">
        <f t="shared" ref="C37:Q37" si="3">STDEV(C9:C32)</f>
        <v>6.8731398537550179</v>
      </c>
      <c r="D37" s="29">
        <f t="shared" si="3"/>
        <v>8.3953600021212758</v>
      </c>
      <c r="E37" s="29">
        <f t="shared" si="3"/>
        <v>4.8612806209230817</v>
      </c>
      <c r="F37" s="29">
        <f t="shared" si="3"/>
        <v>11.547164028515803</v>
      </c>
      <c r="G37" s="29">
        <f t="shared" si="3"/>
        <v>14.729500124343804</v>
      </c>
      <c r="H37" s="29">
        <f t="shared" si="3"/>
        <v>6.0018853921805571</v>
      </c>
      <c r="I37" s="29">
        <f t="shared" si="3"/>
        <v>0.11102943858222447</v>
      </c>
      <c r="J37" s="29">
        <f t="shared" si="3"/>
        <v>0.58427196739537168</v>
      </c>
      <c r="K37" s="29">
        <f t="shared" si="3"/>
        <v>40.389761859207056</v>
      </c>
      <c r="L37" s="29">
        <f t="shared" si="3"/>
        <v>4.2582042721302393</v>
      </c>
      <c r="M37" s="29">
        <f t="shared" si="3"/>
        <v>11.383413746082146</v>
      </c>
      <c r="N37" s="29">
        <f t="shared" si="3"/>
        <v>348.20814451239056</v>
      </c>
      <c r="O37" s="29">
        <f t="shared" si="3"/>
        <v>0</v>
      </c>
      <c r="P37" s="29">
        <f t="shared" si="3"/>
        <v>0.23024522214117893</v>
      </c>
      <c r="Q37" s="29">
        <f t="shared" si="3"/>
        <v>3.0274177067286963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>COUNT(N9:N32)+3</f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O38" sqref="O38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59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27-05-2023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53" t="s">
        <v>57</v>
      </c>
      <c r="R7" s="28"/>
      <c r="S7" s="30"/>
      <c r="T7" s="28"/>
      <c r="U7" s="28"/>
    </row>
    <row r="8" spans="1:21" s="22" customFormat="1" x14ac:dyDescent="0.25">
      <c r="A8" s="67"/>
      <c r="B8" s="68" t="s">
        <v>22</v>
      </c>
      <c r="C8" s="68" t="s">
        <v>22</v>
      </c>
      <c r="D8" s="30" t="s">
        <v>61</v>
      </c>
      <c r="E8" s="68" t="s">
        <v>22</v>
      </c>
      <c r="F8" s="68" t="s">
        <v>22</v>
      </c>
      <c r="G8" s="68" t="s">
        <v>23</v>
      </c>
      <c r="H8" s="68" t="s">
        <v>22</v>
      </c>
      <c r="I8" s="68" t="s">
        <v>22</v>
      </c>
      <c r="J8" s="68" t="s">
        <v>24</v>
      </c>
      <c r="K8" s="68" t="s">
        <v>25</v>
      </c>
      <c r="L8" s="67" t="s">
        <v>27</v>
      </c>
      <c r="M8" s="68" t="s">
        <v>26</v>
      </c>
      <c r="N8" s="68" t="s">
        <v>28</v>
      </c>
      <c r="O8" s="67" t="s">
        <v>29</v>
      </c>
      <c r="P8" s="68" t="s">
        <v>22</v>
      </c>
      <c r="Q8" s="68" t="s">
        <v>22</v>
      </c>
      <c r="R8" s="28"/>
      <c r="S8" s="30"/>
      <c r="T8" s="28"/>
      <c r="U8" s="28"/>
    </row>
    <row r="9" spans="1:21" s="12" customFormat="1" x14ac:dyDescent="0.25">
      <c r="A9" s="59" t="s">
        <v>686</v>
      </c>
      <c r="B9" s="60">
        <v>8.75</v>
      </c>
      <c r="C9" s="60">
        <v>39.03</v>
      </c>
      <c r="D9" s="60">
        <v>27.79</v>
      </c>
      <c r="E9" s="60">
        <v>15.04</v>
      </c>
      <c r="F9" s="60">
        <v>18.079999999999998</v>
      </c>
      <c r="G9" s="60">
        <v>81.36</v>
      </c>
      <c r="H9" s="60">
        <v>31.65</v>
      </c>
      <c r="I9" s="60">
        <v>0.94</v>
      </c>
      <c r="J9" s="60">
        <v>0.05</v>
      </c>
      <c r="K9" s="60">
        <v>268.49</v>
      </c>
      <c r="L9" s="60">
        <v>28.25</v>
      </c>
      <c r="M9" s="60">
        <v>41.46</v>
      </c>
      <c r="N9" s="60">
        <v>5.0999999999999996</v>
      </c>
      <c r="O9" s="60">
        <v>0</v>
      </c>
      <c r="P9" s="60">
        <v>1.27</v>
      </c>
      <c r="Q9" s="60">
        <v>24.9</v>
      </c>
      <c r="R9" s="44"/>
      <c r="S9" s="44"/>
      <c r="T9" s="44"/>
      <c r="U9" s="44"/>
    </row>
    <row r="10" spans="1:21" s="12" customFormat="1" x14ac:dyDescent="0.25">
      <c r="A10" s="59" t="s">
        <v>687</v>
      </c>
      <c r="B10" s="60">
        <v>8.35</v>
      </c>
      <c r="C10" s="60">
        <v>40.29</v>
      </c>
      <c r="D10" s="60">
        <v>29.58</v>
      </c>
      <c r="E10" s="60">
        <v>4.8</v>
      </c>
      <c r="F10" s="60">
        <v>5.04</v>
      </c>
      <c r="G10" s="60">
        <v>81.02</v>
      </c>
      <c r="H10" s="60">
        <v>30.66</v>
      </c>
      <c r="I10" s="60">
        <v>0.73</v>
      </c>
      <c r="J10" s="60">
        <v>0.1</v>
      </c>
      <c r="K10" s="60">
        <v>267.85000000000002</v>
      </c>
      <c r="L10" s="60">
        <v>27.01</v>
      </c>
      <c r="M10" s="60">
        <v>46.93</v>
      </c>
      <c r="N10" s="60">
        <v>5.3</v>
      </c>
      <c r="O10" s="60">
        <v>0</v>
      </c>
      <c r="P10" s="60">
        <v>1.43</v>
      </c>
      <c r="Q10" s="60">
        <v>25.21</v>
      </c>
      <c r="R10" s="44"/>
      <c r="S10" s="44"/>
      <c r="T10" s="44"/>
      <c r="U10" s="44"/>
    </row>
    <row r="11" spans="1:21" s="12" customFormat="1" x14ac:dyDescent="0.25">
      <c r="A11" s="59" t="s">
        <v>688</v>
      </c>
      <c r="B11" s="60">
        <v>9.6</v>
      </c>
      <c r="C11" s="60">
        <v>40.78</v>
      </c>
      <c r="D11" s="60">
        <v>30.04</v>
      </c>
      <c r="E11" s="60">
        <v>12.26</v>
      </c>
      <c r="F11" s="60">
        <v>12.96</v>
      </c>
      <c r="G11" s="60">
        <v>81.02</v>
      </c>
      <c r="H11" s="60">
        <v>35.26</v>
      </c>
      <c r="I11" s="60">
        <v>0.71</v>
      </c>
      <c r="J11" s="60">
        <v>0.11</v>
      </c>
      <c r="K11" s="60">
        <v>270.7</v>
      </c>
      <c r="L11" s="60">
        <v>26.17</v>
      </c>
      <c r="M11" s="60">
        <v>45.46</v>
      </c>
      <c r="N11" s="60">
        <v>5.0999999999999996</v>
      </c>
      <c r="O11" s="60">
        <v>0</v>
      </c>
      <c r="P11" s="60">
        <v>1.48</v>
      </c>
      <c r="Q11" s="60">
        <v>25.44</v>
      </c>
      <c r="R11" s="44"/>
      <c r="S11" s="44"/>
      <c r="T11" s="44"/>
      <c r="U11" s="44"/>
    </row>
    <row r="12" spans="1:21" s="12" customFormat="1" x14ac:dyDescent="0.25">
      <c r="A12" s="59" t="s">
        <v>689</v>
      </c>
      <c r="B12" s="60">
        <v>8.48</v>
      </c>
      <c r="C12" s="60">
        <v>43.65</v>
      </c>
      <c r="D12" s="60">
        <v>30.74</v>
      </c>
      <c r="E12" s="60">
        <v>33.11</v>
      </c>
      <c r="F12" s="60">
        <v>8.44</v>
      </c>
      <c r="G12" s="60">
        <v>67.78</v>
      </c>
      <c r="H12" s="60">
        <v>35.26</v>
      </c>
      <c r="I12" s="60">
        <v>0.67</v>
      </c>
      <c r="J12" s="60">
        <v>0.38</v>
      </c>
      <c r="K12" s="60">
        <v>269.83</v>
      </c>
      <c r="L12" s="60">
        <v>26.09</v>
      </c>
      <c r="M12" s="60">
        <v>48.63</v>
      </c>
      <c r="N12" s="60">
        <v>5</v>
      </c>
      <c r="O12" s="60">
        <v>0</v>
      </c>
      <c r="P12" s="60">
        <v>1.36</v>
      </c>
      <c r="Q12" s="60">
        <v>26.11</v>
      </c>
      <c r="R12" s="44"/>
      <c r="S12" s="44"/>
      <c r="T12" s="44"/>
      <c r="U12" s="44"/>
    </row>
    <row r="13" spans="1:21" s="12" customFormat="1" x14ac:dyDescent="0.25">
      <c r="A13" s="59" t="s">
        <v>690</v>
      </c>
      <c r="B13" s="60">
        <v>8.42</v>
      </c>
      <c r="C13" s="60">
        <v>36.25</v>
      </c>
      <c r="D13" s="60">
        <v>27.16</v>
      </c>
      <c r="E13" s="60">
        <v>7.24</v>
      </c>
      <c r="F13" s="60">
        <v>4.0999999999999996</v>
      </c>
      <c r="G13" s="60">
        <v>79.760000000000005</v>
      </c>
      <c r="H13" s="60">
        <v>34.840000000000003</v>
      </c>
      <c r="I13" s="60">
        <v>0.62</v>
      </c>
      <c r="J13" s="60">
        <v>0.87</v>
      </c>
      <c r="K13" s="60">
        <v>266.01</v>
      </c>
      <c r="L13" s="60">
        <v>25.17</v>
      </c>
      <c r="M13" s="60">
        <v>50.68</v>
      </c>
      <c r="N13" s="60">
        <v>5.4</v>
      </c>
      <c r="O13" s="60">
        <v>0</v>
      </c>
      <c r="P13" s="60">
        <v>1.1100000000000001</v>
      </c>
      <c r="Q13" s="60">
        <v>26.89</v>
      </c>
      <c r="R13" s="44"/>
      <c r="S13" s="44"/>
      <c r="T13" s="44"/>
      <c r="U13" s="44"/>
    </row>
    <row r="14" spans="1:21" s="12" customFormat="1" x14ac:dyDescent="0.25">
      <c r="A14" s="59" t="s">
        <v>691</v>
      </c>
      <c r="B14" s="60">
        <v>24.17</v>
      </c>
      <c r="C14" s="60">
        <v>48.89</v>
      </c>
      <c r="D14" s="60">
        <v>44.9</v>
      </c>
      <c r="E14" s="60">
        <v>29.68</v>
      </c>
      <c r="F14" s="60">
        <v>4.3499999999999996</v>
      </c>
      <c r="G14" s="60">
        <v>79.760000000000005</v>
      </c>
      <c r="H14" s="60">
        <v>49.31</v>
      </c>
      <c r="I14" s="60">
        <v>0.68</v>
      </c>
      <c r="J14" s="60">
        <v>0.24</v>
      </c>
      <c r="K14" s="60">
        <v>257.51</v>
      </c>
      <c r="L14" s="60">
        <v>25.24</v>
      </c>
      <c r="M14" s="60">
        <v>52.06</v>
      </c>
      <c r="N14" s="60">
        <v>58.5</v>
      </c>
      <c r="O14" s="60">
        <v>0</v>
      </c>
      <c r="P14" s="60">
        <v>0.97</v>
      </c>
      <c r="Q14" s="60">
        <v>26.61</v>
      </c>
      <c r="R14" s="44"/>
      <c r="S14" s="44"/>
      <c r="T14" s="44"/>
      <c r="U14" s="44"/>
    </row>
    <row r="15" spans="1:21" s="12" customFormat="1" x14ac:dyDescent="0.25">
      <c r="A15" s="59" t="s">
        <v>692</v>
      </c>
      <c r="B15" s="60">
        <v>16.47</v>
      </c>
      <c r="C15" s="60">
        <v>37.94</v>
      </c>
      <c r="D15" s="60">
        <v>34.79</v>
      </c>
      <c r="E15" s="60">
        <v>17.579999999999998</v>
      </c>
      <c r="F15" s="60">
        <v>8.1999999999999993</v>
      </c>
      <c r="G15" s="60">
        <v>177.21</v>
      </c>
      <c r="H15" s="60">
        <v>49.31</v>
      </c>
      <c r="I15" s="60">
        <v>0.77</v>
      </c>
      <c r="J15" s="60">
        <v>0.25</v>
      </c>
      <c r="K15" s="60">
        <v>230.75</v>
      </c>
      <c r="L15" s="60">
        <v>28.24</v>
      </c>
      <c r="M15" s="60">
        <v>51.11</v>
      </c>
      <c r="N15" s="60">
        <v>246.3</v>
      </c>
      <c r="O15" s="60">
        <v>0</v>
      </c>
      <c r="P15" s="60">
        <v>0.96</v>
      </c>
      <c r="Q15" s="60">
        <v>28.12</v>
      </c>
      <c r="R15" s="44"/>
      <c r="S15" s="44"/>
      <c r="T15" s="44"/>
      <c r="U15" s="44"/>
    </row>
    <row r="16" spans="1:21" s="12" customFormat="1" x14ac:dyDescent="0.25">
      <c r="A16" s="59" t="s">
        <v>693</v>
      </c>
      <c r="B16" s="60">
        <v>13.66</v>
      </c>
      <c r="C16" s="60">
        <v>39.950000000000003</v>
      </c>
      <c r="D16" s="60">
        <v>30.74</v>
      </c>
      <c r="E16" s="60">
        <v>5.58</v>
      </c>
      <c r="F16" s="60">
        <v>6.35</v>
      </c>
      <c r="G16" s="60">
        <v>177.21</v>
      </c>
      <c r="H16" s="60">
        <v>48.03</v>
      </c>
      <c r="I16" s="60">
        <v>0.76</v>
      </c>
      <c r="J16" s="60">
        <v>1.07</v>
      </c>
      <c r="K16" s="60">
        <v>146.93</v>
      </c>
      <c r="L16" s="60">
        <v>29</v>
      </c>
      <c r="M16" s="60">
        <v>42.99</v>
      </c>
      <c r="N16" s="60">
        <v>447.3</v>
      </c>
      <c r="O16" s="60">
        <v>0</v>
      </c>
      <c r="P16" s="60">
        <v>0.9</v>
      </c>
      <c r="Q16" s="60">
        <v>28.27</v>
      </c>
      <c r="R16" s="44"/>
      <c r="S16" s="44"/>
      <c r="T16" s="44"/>
      <c r="U16" s="44"/>
    </row>
    <row r="17" spans="1:21" s="12" customFormat="1" x14ac:dyDescent="0.25">
      <c r="A17" s="59" t="s">
        <v>694</v>
      </c>
      <c r="B17" s="60">
        <v>9.25</v>
      </c>
      <c r="C17" s="60">
        <v>40.619999999999997</v>
      </c>
      <c r="D17" s="60">
        <v>29.85</v>
      </c>
      <c r="E17" s="60">
        <v>21.39</v>
      </c>
      <c r="F17" s="60">
        <v>31.19</v>
      </c>
      <c r="G17" s="60">
        <v>123.17</v>
      </c>
      <c r="H17" s="60">
        <v>47.61</v>
      </c>
      <c r="I17" s="60">
        <v>0.6</v>
      </c>
      <c r="J17" s="60">
        <v>1.0900000000000001</v>
      </c>
      <c r="K17" s="60">
        <v>120.36</v>
      </c>
      <c r="L17" s="60">
        <v>31.49</v>
      </c>
      <c r="M17" s="60">
        <v>40.32</v>
      </c>
      <c r="N17" s="60">
        <v>639.9</v>
      </c>
      <c r="O17" s="60">
        <v>0</v>
      </c>
      <c r="P17" s="60">
        <v>0.84</v>
      </c>
      <c r="Q17" s="60">
        <v>28.43</v>
      </c>
      <c r="R17" s="44"/>
      <c r="S17" s="44"/>
      <c r="T17" s="44"/>
      <c r="U17" s="44"/>
    </row>
    <row r="18" spans="1:21" s="12" customFormat="1" x14ac:dyDescent="0.25">
      <c r="A18" s="59" t="s">
        <v>695</v>
      </c>
      <c r="B18" s="60">
        <v>4.79</v>
      </c>
      <c r="C18" s="60">
        <v>38.72</v>
      </c>
      <c r="D18" s="60">
        <v>25.86</v>
      </c>
      <c r="E18" s="60">
        <v>24.41</v>
      </c>
      <c r="F18" s="60">
        <v>47.58</v>
      </c>
      <c r="G18" s="60">
        <v>111.11</v>
      </c>
      <c r="H18" s="60">
        <v>48.82</v>
      </c>
      <c r="I18" s="60">
        <v>0.7</v>
      </c>
      <c r="J18" s="60">
        <v>0.86</v>
      </c>
      <c r="K18" s="60">
        <v>262.93</v>
      </c>
      <c r="L18" s="60">
        <v>37.28</v>
      </c>
      <c r="M18" s="60">
        <v>33.18</v>
      </c>
      <c r="N18" s="60">
        <v>791.6</v>
      </c>
      <c r="O18" s="60">
        <v>0</v>
      </c>
      <c r="P18" s="60">
        <v>0.85</v>
      </c>
      <c r="Q18" s="60">
        <v>28.62</v>
      </c>
      <c r="R18" s="44"/>
      <c r="S18" s="44"/>
      <c r="T18" s="44"/>
      <c r="U18" s="44"/>
    </row>
    <row r="19" spans="1:21" s="12" customFormat="1" x14ac:dyDescent="0.25">
      <c r="A19" s="59" t="s">
        <v>696</v>
      </c>
      <c r="B19" s="60">
        <v>2.64</v>
      </c>
      <c r="C19" s="60">
        <v>54.91</v>
      </c>
      <c r="D19" s="60">
        <v>32.24</v>
      </c>
      <c r="E19" s="60">
        <v>6.86</v>
      </c>
      <c r="F19" s="60">
        <v>36.89</v>
      </c>
      <c r="G19" s="60">
        <v>90.61</v>
      </c>
      <c r="H19" s="60">
        <v>48.82</v>
      </c>
      <c r="I19" s="60">
        <v>0.82</v>
      </c>
      <c r="J19" s="60">
        <v>1.38</v>
      </c>
      <c r="K19" s="60">
        <v>269.87</v>
      </c>
      <c r="L19" s="60">
        <v>38.68</v>
      </c>
      <c r="M19" s="60">
        <v>25.21</v>
      </c>
      <c r="N19" s="60">
        <v>861.5</v>
      </c>
      <c r="O19" s="60">
        <v>0</v>
      </c>
      <c r="P19" s="60">
        <v>0.91</v>
      </c>
      <c r="Q19" s="60">
        <v>27.96</v>
      </c>
      <c r="R19" s="44"/>
      <c r="S19" s="44"/>
      <c r="T19" s="44"/>
      <c r="U19" s="44"/>
    </row>
    <row r="20" spans="1:21" s="12" customFormat="1" x14ac:dyDescent="0.25">
      <c r="A20" s="59" t="s">
        <v>697</v>
      </c>
      <c r="B20" s="60">
        <v>3.09</v>
      </c>
      <c r="C20" s="60">
        <v>45.57</v>
      </c>
      <c r="D20" s="60">
        <v>27.28</v>
      </c>
      <c r="E20" s="60">
        <v>5.18</v>
      </c>
      <c r="F20" s="60">
        <v>46.48</v>
      </c>
      <c r="G20" s="60">
        <v>78.7</v>
      </c>
      <c r="H20" s="60">
        <v>39.880000000000003</v>
      </c>
      <c r="I20" s="60">
        <v>0.66</v>
      </c>
      <c r="J20" s="60">
        <v>2.16</v>
      </c>
      <c r="K20" s="60">
        <v>258.97000000000003</v>
      </c>
      <c r="L20" s="60">
        <v>38.49</v>
      </c>
      <c r="M20" s="60">
        <v>24.74</v>
      </c>
      <c r="N20" s="60">
        <v>875.9</v>
      </c>
      <c r="O20" s="60">
        <v>0</v>
      </c>
      <c r="P20" s="60">
        <v>0.77</v>
      </c>
      <c r="Q20" s="60">
        <v>25.18</v>
      </c>
      <c r="R20" s="44"/>
      <c r="S20" s="44"/>
      <c r="T20" s="44"/>
      <c r="U20" s="44"/>
    </row>
    <row r="21" spans="1:21" s="12" customFormat="1" x14ac:dyDescent="0.25">
      <c r="A21" s="59" t="s">
        <v>698</v>
      </c>
      <c r="B21" s="60">
        <v>1.89</v>
      </c>
      <c r="C21" s="60">
        <v>35.78</v>
      </c>
      <c r="D21" s="60">
        <v>21.9</v>
      </c>
      <c r="E21" s="60">
        <v>4.16</v>
      </c>
      <c r="F21" s="60">
        <v>37.020000000000003</v>
      </c>
      <c r="G21" s="60">
        <v>78.7</v>
      </c>
      <c r="H21" s="60">
        <v>36.659999999999997</v>
      </c>
      <c r="I21" s="60">
        <v>0.7</v>
      </c>
      <c r="J21" s="66" t="s">
        <v>8</v>
      </c>
      <c r="K21" s="66" t="s">
        <v>8</v>
      </c>
      <c r="L21" s="66" t="s">
        <v>8</v>
      </c>
      <c r="M21" s="66" t="s">
        <v>8</v>
      </c>
      <c r="N21" s="66" t="s">
        <v>8</v>
      </c>
      <c r="O21" s="66" t="s">
        <v>8</v>
      </c>
      <c r="P21" s="60">
        <v>0.67</v>
      </c>
      <c r="Q21" s="60">
        <v>25.05</v>
      </c>
      <c r="R21" s="44"/>
      <c r="S21" s="44"/>
      <c r="T21" s="44"/>
      <c r="U21" s="44"/>
    </row>
    <row r="22" spans="1:21" s="12" customFormat="1" x14ac:dyDescent="0.25">
      <c r="A22" s="59" t="s">
        <v>699</v>
      </c>
      <c r="B22" s="60">
        <v>2.34</v>
      </c>
      <c r="C22" s="60">
        <v>37.840000000000003</v>
      </c>
      <c r="D22" s="60">
        <v>23.4</v>
      </c>
      <c r="E22" s="60">
        <v>3.29</v>
      </c>
      <c r="F22" s="60">
        <v>17.41</v>
      </c>
      <c r="G22" s="60">
        <v>62.22</v>
      </c>
      <c r="H22" s="60">
        <v>32.049999999999997</v>
      </c>
      <c r="I22" s="60">
        <v>0.65</v>
      </c>
      <c r="J22" s="66" t="s">
        <v>8</v>
      </c>
      <c r="K22" s="66" t="s">
        <v>8</v>
      </c>
      <c r="L22" s="66" t="s">
        <v>8</v>
      </c>
      <c r="M22" s="66" t="s">
        <v>8</v>
      </c>
      <c r="N22" s="66" t="s">
        <v>8</v>
      </c>
      <c r="O22" s="66" t="s">
        <v>8</v>
      </c>
      <c r="P22" s="60">
        <v>0.52</v>
      </c>
      <c r="Q22" s="60">
        <v>25.41</v>
      </c>
      <c r="R22" s="44"/>
      <c r="S22" s="44"/>
      <c r="T22" s="44"/>
      <c r="U22" s="44"/>
    </row>
    <row r="23" spans="1:21" s="12" customFormat="1" x14ac:dyDescent="0.25">
      <c r="A23" s="59" t="s">
        <v>700</v>
      </c>
      <c r="B23" s="60">
        <v>2.33</v>
      </c>
      <c r="C23" s="60">
        <v>52.9</v>
      </c>
      <c r="D23" s="60">
        <v>31.32</v>
      </c>
      <c r="E23" s="60">
        <v>3.01</v>
      </c>
      <c r="F23" s="60">
        <v>50.03</v>
      </c>
      <c r="G23" s="60">
        <v>53.02</v>
      </c>
      <c r="H23" s="60">
        <v>28.81</v>
      </c>
      <c r="I23" s="60">
        <v>0.7</v>
      </c>
      <c r="J23" s="66" t="s">
        <v>8</v>
      </c>
      <c r="K23" s="66" t="s">
        <v>8</v>
      </c>
      <c r="L23" s="66" t="s">
        <v>8</v>
      </c>
      <c r="M23" s="66" t="s">
        <v>8</v>
      </c>
      <c r="N23" s="66" t="s">
        <v>8</v>
      </c>
      <c r="O23" s="66" t="s">
        <v>8</v>
      </c>
      <c r="P23" s="60">
        <v>0.48</v>
      </c>
      <c r="Q23" s="60">
        <v>26.39</v>
      </c>
      <c r="R23" s="44"/>
      <c r="S23" s="44"/>
      <c r="T23" s="44"/>
      <c r="U23" s="44"/>
    </row>
    <row r="24" spans="1:21" s="12" customFormat="1" x14ac:dyDescent="0.25">
      <c r="A24" s="59" t="s">
        <v>701</v>
      </c>
      <c r="B24" s="60">
        <v>2.5299999999999998</v>
      </c>
      <c r="C24" s="60">
        <v>44.54</v>
      </c>
      <c r="D24" s="60">
        <v>27.12</v>
      </c>
      <c r="E24" s="60">
        <v>2.15</v>
      </c>
      <c r="F24" s="60">
        <v>39.159999999999997</v>
      </c>
      <c r="G24" s="60">
        <v>55.92</v>
      </c>
      <c r="H24" s="60">
        <v>26.45</v>
      </c>
      <c r="I24" s="60">
        <v>0.74</v>
      </c>
      <c r="J24" s="66" t="s">
        <v>8</v>
      </c>
      <c r="K24" s="66" t="s">
        <v>8</v>
      </c>
      <c r="L24" s="66" t="s">
        <v>8</v>
      </c>
      <c r="M24" s="66" t="s">
        <v>8</v>
      </c>
      <c r="N24" s="66" t="s">
        <v>8</v>
      </c>
      <c r="O24" s="66" t="s">
        <v>8</v>
      </c>
      <c r="P24" s="60">
        <v>0.47</v>
      </c>
      <c r="Q24" s="60">
        <v>24.47</v>
      </c>
      <c r="R24" s="44"/>
      <c r="S24" s="44"/>
      <c r="T24" s="44"/>
      <c r="U24" s="44"/>
    </row>
    <row r="25" spans="1:21" s="12" customFormat="1" x14ac:dyDescent="0.25">
      <c r="A25" s="59" t="s">
        <v>702</v>
      </c>
      <c r="B25" s="60">
        <v>1.83</v>
      </c>
      <c r="C25" s="60">
        <v>36.79</v>
      </c>
      <c r="D25" s="60">
        <v>22.42</v>
      </c>
      <c r="E25" s="60">
        <v>2.58</v>
      </c>
      <c r="F25" s="60">
        <v>11.3</v>
      </c>
      <c r="G25" s="60">
        <v>55.92</v>
      </c>
      <c r="H25" s="60">
        <v>26.45</v>
      </c>
      <c r="I25" s="60">
        <v>0.59</v>
      </c>
      <c r="J25" s="66" t="s">
        <v>8</v>
      </c>
      <c r="K25" s="66" t="s">
        <v>8</v>
      </c>
      <c r="L25" s="66" t="s">
        <v>8</v>
      </c>
      <c r="M25" s="66" t="s">
        <v>8</v>
      </c>
      <c r="N25" s="66" t="s">
        <v>8</v>
      </c>
      <c r="O25" s="66" t="s">
        <v>8</v>
      </c>
      <c r="P25" s="60">
        <v>0.45</v>
      </c>
      <c r="Q25" s="60">
        <v>23.6</v>
      </c>
      <c r="R25" s="44"/>
      <c r="S25" s="44"/>
      <c r="T25" s="44"/>
      <c r="U25" s="44"/>
    </row>
    <row r="26" spans="1:21" s="12" customFormat="1" x14ac:dyDescent="0.25">
      <c r="A26" s="59" t="s">
        <v>703</v>
      </c>
      <c r="B26" s="60">
        <v>3.74</v>
      </c>
      <c r="C26" s="60">
        <v>33.83</v>
      </c>
      <c r="D26" s="60">
        <v>21.52</v>
      </c>
      <c r="E26" s="60">
        <v>2.77</v>
      </c>
      <c r="F26" s="60">
        <v>28.99</v>
      </c>
      <c r="G26" s="60">
        <v>53.54</v>
      </c>
      <c r="H26" s="60">
        <v>25.82</v>
      </c>
      <c r="I26" s="60">
        <v>0.64</v>
      </c>
      <c r="J26" s="66" t="s">
        <v>8</v>
      </c>
      <c r="K26" s="66" t="s">
        <v>8</v>
      </c>
      <c r="L26" s="66" t="s">
        <v>8</v>
      </c>
      <c r="M26" s="66" t="s">
        <v>8</v>
      </c>
      <c r="N26" s="66" t="s">
        <v>8</v>
      </c>
      <c r="O26" s="66" t="s">
        <v>8</v>
      </c>
      <c r="P26" s="60">
        <v>0.5</v>
      </c>
      <c r="Q26" s="60">
        <v>23.44</v>
      </c>
      <c r="R26" s="44"/>
      <c r="S26" s="44"/>
      <c r="T26" s="44"/>
      <c r="U26" s="44"/>
    </row>
    <row r="27" spans="1:21" s="12" customFormat="1" x14ac:dyDescent="0.25">
      <c r="A27" s="59" t="s">
        <v>704</v>
      </c>
      <c r="B27" s="60">
        <v>4.49</v>
      </c>
      <c r="C27" s="60">
        <v>40.44</v>
      </c>
      <c r="D27" s="60">
        <v>25.7</v>
      </c>
      <c r="E27" s="60">
        <v>3.05</v>
      </c>
      <c r="F27" s="60">
        <v>35.04</v>
      </c>
      <c r="G27" s="60">
        <v>53.11</v>
      </c>
      <c r="H27" s="60">
        <v>35.35</v>
      </c>
      <c r="I27" s="60">
        <v>0.67</v>
      </c>
      <c r="J27" s="66" t="s">
        <v>8</v>
      </c>
      <c r="K27" s="66" t="s">
        <v>8</v>
      </c>
      <c r="L27" s="66" t="s">
        <v>8</v>
      </c>
      <c r="M27" s="66" t="s">
        <v>8</v>
      </c>
      <c r="N27" s="66" t="s">
        <v>8</v>
      </c>
      <c r="O27" s="66" t="s">
        <v>8</v>
      </c>
      <c r="P27" s="60">
        <v>0.56999999999999995</v>
      </c>
      <c r="Q27" s="60">
        <v>22.44</v>
      </c>
      <c r="R27" s="44"/>
      <c r="S27" s="44"/>
      <c r="T27" s="44"/>
      <c r="U27" s="44"/>
    </row>
    <row r="28" spans="1:21" s="12" customFormat="1" x14ac:dyDescent="0.25">
      <c r="A28" s="59" t="s">
        <v>705</v>
      </c>
      <c r="B28" s="60">
        <v>1.78</v>
      </c>
      <c r="C28" s="60">
        <v>38.65</v>
      </c>
      <c r="D28" s="60">
        <v>23.4</v>
      </c>
      <c r="E28" s="60">
        <v>2.2999999999999998</v>
      </c>
      <c r="F28" s="60">
        <v>11.35</v>
      </c>
      <c r="G28" s="60">
        <v>12.65</v>
      </c>
      <c r="H28" s="60">
        <v>35.35</v>
      </c>
      <c r="I28" s="60">
        <v>0.81</v>
      </c>
      <c r="J28" s="66" t="s">
        <v>8</v>
      </c>
      <c r="K28" s="66" t="s">
        <v>8</v>
      </c>
      <c r="L28" s="66" t="s">
        <v>8</v>
      </c>
      <c r="M28" s="66" t="s">
        <v>8</v>
      </c>
      <c r="N28" s="66" t="s">
        <v>8</v>
      </c>
      <c r="O28" s="66" t="s">
        <v>8</v>
      </c>
      <c r="P28" s="60">
        <v>0.5</v>
      </c>
      <c r="Q28" s="60">
        <v>23.77</v>
      </c>
      <c r="R28" s="44"/>
      <c r="S28" s="44"/>
      <c r="T28" s="44"/>
      <c r="U28" s="44"/>
    </row>
    <row r="29" spans="1:21" s="12" customFormat="1" x14ac:dyDescent="0.25">
      <c r="A29" s="59" t="s">
        <v>706</v>
      </c>
      <c r="B29" s="60">
        <v>2.86</v>
      </c>
      <c r="C29" s="60">
        <v>31.85</v>
      </c>
      <c r="D29" s="60">
        <v>19.36</v>
      </c>
      <c r="E29" s="60">
        <v>2.16</v>
      </c>
      <c r="F29" s="60">
        <v>26.86</v>
      </c>
      <c r="G29" s="60">
        <v>12.65</v>
      </c>
      <c r="H29" s="60">
        <v>28.01</v>
      </c>
      <c r="I29" s="60">
        <v>0.57999999999999996</v>
      </c>
      <c r="J29" s="66" t="s">
        <v>8</v>
      </c>
      <c r="K29" s="66" t="s">
        <v>8</v>
      </c>
      <c r="L29" s="66" t="s">
        <v>8</v>
      </c>
      <c r="M29" s="66" t="s">
        <v>8</v>
      </c>
      <c r="N29" s="66" t="s">
        <v>8</v>
      </c>
      <c r="O29" s="66" t="s">
        <v>8</v>
      </c>
      <c r="P29" s="60">
        <v>0.47</v>
      </c>
      <c r="Q29" s="60">
        <v>24.99</v>
      </c>
      <c r="R29" s="44"/>
      <c r="S29" s="44"/>
      <c r="T29" s="44"/>
      <c r="U29" s="44"/>
    </row>
    <row r="30" spans="1:21" s="12" customFormat="1" x14ac:dyDescent="0.25">
      <c r="A30" s="59" t="s">
        <v>707</v>
      </c>
      <c r="B30" s="60">
        <v>4.63</v>
      </c>
      <c r="C30" s="60">
        <v>34.630000000000003</v>
      </c>
      <c r="D30" s="60">
        <v>23.47</v>
      </c>
      <c r="E30" s="60">
        <v>2.33</v>
      </c>
      <c r="F30" s="60">
        <v>18.71</v>
      </c>
      <c r="G30" s="60">
        <v>3.92</v>
      </c>
      <c r="H30" s="60">
        <v>21.01</v>
      </c>
      <c r="I30" s="60">
        <v>0.74</v>
      </c>
      <c r="J30" s="66" t="s">
        <v>8</v>
      </c>
      <c r="K30" s="66" t="s">
        <v>8</v>
      </c>
      <c r="L30" s="66" t="s">
        <v>8</v>
      </c>
      <c r="M30" s="66" t="s">
        <v>8</v>
      </c>
      <c r="N30" s="66" t="s">
        <v>8</v>
      </c>
      <c r="O30" s="66" t="s">
        <v>8</v>
      </c>
      <c r="P30" s="60">
        <v>0.53</v>
      </c>
      <c r="Q30" s="60">
        <v>26.11</v>
      </c>
      <c r="R30" s="44"/>
      <c r="S30" s="44"/>
      <c r="T30" s="44"/>
      <c r="U30" s="44"/>
    </row>
    <row r="31" spans="1:21" s="12" customFormat="1" x14ac:dyDescent="0.25">
      <c r="A31" s="59" t="s">
        <v>708</v>
      </c>
      <c r="B31" s="60">
        <v>3.96</v>
      </c>
      <c r="C31" s="60">
        <v>35.68</v>
      </c>
      <c r="D31" s="60">
        <v>23.51</v>
      </c>
      <c r="E31" s="60">
        <v>2.06</v>
      </c>
      <c r="F31" s="60">
        <v>6.46</v>
      </c>
      <c r="G31" s="60">
        <v>243.25</v>
      </c>
      <c r="H31" s="60">
        <v>18.89</v>
      </c>
      <c r="I31" s="60">
        <v>0.6</v>
      </c>
      <c r="J31" s="66" t="s">
        <v>8</v>
      </c>
      <c r="K31" s="66" t="s">
        <v>8</v>
      </c>
      <c r="L31" s="66" t="s">
        <v>8</v>
      </c>
      <c r="M31" s="66" t="s">
        <v>8</v>
      </c>
      <c r="N31" s="66" t="s">
        <v>8</v>
      </c>
      <c r="O31" s="66" t="s">
        <v>8</v>
      </c>
      <c r="P31" s="60">
        <v>0.53</v>
      </c>
      <c r="Q31" s="60">
        <v>26.46</v>
      </c>
      <c r="R31" s="44"/>
      <c r="S31" s="44"/>
      <c r="T31" s="44"/>
      <c r="U31" s="44"/>
    </row>
    <row r="32" spans="1:21" s="12" customFormat="1" x14ac:dyDescent="0.25">
      <c r="A32" s="59" t="s">
        <v>709</v>
      </c>
      <c r="B32" s="60">
        <v>2.75</v>
      </c>
      <c r="C32" s="60">
        <v>32.74</v>
      </c>
      <c r="D32" s="60">
        <v>20.43</v>
      </c>
      <c r="E32" s="60">
        <v>2.2400000000000002</v>
      </c>
      <c r="F32" s="60">
        <v>25.4</v>
      </c>
      <c r="G32" s="60">
        <v>243.25</v>
      </c>
      <c r="H32" s="60">
        <v>16.579999999999998</v>
      </c>
      <c r="I32" s="60">
        <v>0.71</v>
      </c>
      <c r="J32" s="66" t="s">
        <v>8</v>
      </c>
      <c r="K32" s="66" t="s">
        <v>8</v>
      </c>
      <c r="L32" s="66" t="s">
        <v>8</v>
      </c>
      <c r="M32" s="66" t="s">
        <v>8</v>
      </c>
      <c r="N32" s="66" t="s">
        <v>8</v>
      </c>
      <c r="O32" s="66" t="s">
        <v>8</v>
      </c>
      <c r="P32" s="60">
        <v>0.44</v>
      </c>
      <c r="Q32" s="60">
        <v>27.3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1.78</v>
      </c>
      <c r="C34" s="29">
        <f t="shared" si="0"/>
        <v>31.85</v>
      </c>
      <c r="D34" s="29">
        <f t="shared" si="0"/>
        <v>19.36</v>
      </c>
      <c r="E34" s="29">
        <f t="shared" si="0"/>
        <v>2.06</v>
      </c>
      <c r="F34" s="29">
        <f t="shared" si="0"/>
        <v>4.0999999999999996</v>
      </c>
      <c r="G34" s="29">
        <f t="shared" si="0"/>
        <v>3.92</v>
      </c>
      <c r="H34" s="29">
        <f t="shared" si="0"/>
        <v>16.579999999999998</v>
      </c>
      <c r="I34" s="29">
        <f t="shared" si="0"/>
        <v>0.57999999999999996</v>
      </c>
      <c r="J34" s="29">
        <f t="shared" si="0"/>
        <v>0.05</v>
      </c>
      <c r="K34" s="29">
        <f t="shared" si="0"/>
        <v>120.36</v>
      </c>
      <c r="L34" s="29">
        <f t="shared" si="0"/>
        <v>25.17</v>
      </c>
      <c r="M34" s="29">
        <f t="shared" si="0"/>
        <v>24.74</v>
      </c>
      <c r="N34" s="29">
        <f t="shared" si="0"/>
        <v>5</v>
      </c>
      <c r="O34" s="29">
        <f t="shared" si="0"/>
        <v>0</v>
      </c>
      <c r="P34" s="29">
        <f t="shared" si="0"/>
        <v>0.44</v>
      </c>
      <c r="Q34" s="29">
        <f t="shared" si="0"/>
        <v>22.44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24.17</v>
      </c>
      <c r="C35" s="30">
        <f t="shared" si="1"/>
        <v>54.91</v>
      </c>
      <c r="D35" s="30">
        <f t="shared" si="1"/>
        <v>44.9</v>
      </c>
      <c r="E35" s="30">
        <f t="shared" si="1"/>
        <v>33.11</v>
      </c>
      <c r="F35" s="30">
        <f t="shared" si="1"/>
        <v>50.03</v>
      </c>
      <c r="G35" s="30">
        <f t="shared" si="1"/>
        <v>243.25</v>
      </c>
      <c r="H35" s="30">
        <f t="shared" si="1"/>
        <v>49.31</v>
      </c>
      <c r="I35" s="30">
        <f t="shared" si="1"/>
        <v>0.94</v>
      </c>
      <c r="J35" s="30">
        <f t="shared" si="1"/>
        <v>2.16</v>
      </c>
      <c r="K35" s="30">
        <f t="shared" si="1"/>
        <v>270.7</v>
      </c>
      <c r="L35" s="30">
        <f t="shared" si="1"/>
        <v>38.68</v>
      </c>
      <c r="M35" s="30">
        <f t="shared" si="1"/>
        <v>52.06</v>
      </c>
      <c r="N35" s="30">
        <f t="shared" si="1"/>
        <v>875.9</v>
      </c>
      <c r="O35" s="30">
        <f t="shared" si="1"/>
        <v>0</v>
      </c>
      <c r="P35" s="30">
        <f t="shared" si="1"/>
        <v>1.48</v>
      </c>
      <c r="Q35" s="30">
        <f t="shared" si="1"/>
        <v>28.62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6.3666666666666698</v>
      </c>
      <c r="C36" s="29">
        <f t="shared" si="2"/>
        <v>40.094583333333333</v>
      </c>
      <c r="D36" s="29">
        <f t="shared" si="2"/>
        <v>27.271666666666665</v>
      </c>
      <c r="E36" s="29">
        <f t="shared" si="2"/>
        <v>8.9679166666666692</v>
      </c>
      <c r="F36" s="29">
        <f t="shared" si="2"/>
        <v>22.391249999999999</v>
      </c>
      <c r="G36" s="29">
        <f t="shared" si="2"/>
        <v>89.869166666666672</v>
      </c>
      <c r="H36" s="29">
        <f t="shared" si="2"/>
        <v>34.619999999999997</v>
      </c>
      <c r="I36" s="29">
        <f t="shared" si="2"/>
        <v>0.69958333333333333</v>
      </c>
      <c r="J36" s="29">
        <f t="shared" si="2"/>
        <v>0.71333333333333337</v>
      </c>
      <c r="K36" s="29">
        <f t="shared" si="2"/>
        <v>240.85</v>
      </c>
      <c r="L36" s="29">
        <f t="shared" si="2"/>
        <v>30.092500000000005</v>
      </c>
      <c r="M36" s="29">
        <f t="shared" si="2"/>
        <v>41.897500000000001</v>
      </c>
      <c r="N36" s="29">
        <f t="shared" si="2"/>
        <v>328.90833333333336</v>
      </c>
      <c r="O36" s="29">
        <f t="shared" si="2"/>
        <v>0</v>
      </c>
      <c r="P36" s="29">
        <f t="shared" si="2"/>
        <v>0.79083333333333339</v>
      </c>
      <c r="Q36" s="29">
        <f t="shared" si="2"/>
        <v>25.882083333333338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5.4768204570572268</v>
      </c>
      <c r="C37" s="29">
        <f t="shared" ref="C37:Q37" si="3">STDEV(C9:C32)</f>
        <v>5.8753419727792844</v>
      </c>
      <c r="D37" s="29">
        <f t="shared" si="3"/>
        <v>5.5571455502503051</v>
      </c>
      <c r="E37" s="29">
        <f t="shared" si="3"/>
        <v>9.4559192315973508</v>
      </c>
      <c r="F37" s="29">
        <f t="shared" si="3"/>
        <v>15.112798869630767</v>
      </c>
      <c r="G37" s="29">
        <f t="shared" si="3"/>
        <v>63.056581280256715</v>
      </c>
      <c r="H37" s="29">
        <f t="shared" si="3"/>
        <v>9.988695784648824</v>
      </c>
      <c r="I37" s="29">
        <f t="shared" si="3"/>
        <v>8.3326448990997018E-2</v>
      </c>
      <c r="J37" s="29">
        <f t="shared" si="3"/>
        <v>0.6454361926541452</v>
      </c>
      <c r="K37" s="29">
        <f t="shared" si="3"/>
        <v>51.551608210519632</v>
      </c>
      <c r="L37" s="29">
        <f t="shared" si="3"/>
        <v>5.1749573999124765</v>
      </c>
      <c r="M37" s="29">
        <f t="shared" si="3"/>
        <v>9.541029223116503</v>
      </c>
      <c r="N37" s="29">
        <f t="shared" si="3"/>
        <v>370.70140264671568</v>
      </c>
      <c r="O37" s="29">
        <f t="shared" si="3"/>
        <v>0</v>
      </c>
      <c r="P37" s="29">
        <f t="shared" si="3"/>
        <v>0.33723835805692032</v>
      </c>
      <c r="Q37" s="29">
        <f t="shared" si="3"/>
        <v>1.7011300059376557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ref="J38:O38" si="5">COUNT(J9:J32)+12</f>
        <v>24</v>
      </c>
      <c r="K38" s="33">
        <f t="shared" si="5"/>
        <v>24</v>
      </c>
      <c r="L38" s="33">
        <f t="shared" si="5"/>
        <v>24</v>
      </c>
      <c r="M38" s="33">
        <f t="shared" si="5"/>
        <v>24</v>
      </c>
      <c r="N38" s="33">
        <f t="shared" si="5"/>
        <v>24</v>
      </c>
      <c r="O38" s="33">
        <f t="shared" si="5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6">IF(C38&gt;=22,"&gt;90%",IF(C38&lt;=22,"&lt;90%"))</f>
        <v>&gt;90%</v>
      </c>
      <c r="D39" s="30" t="str">
        <f t="shared" si="6"/>
        <v>&gt;90%</v>
      </c>
      <c r="E39" s="30" t="str">
        <f t="shared" si="6"/>
        <v>&gt;90%</v>
      </c>
      <c r="F39" s="30" t="str">
        <f t="shared" si="6"/>
        <v>&gt;90%</v>
      </c>
      <c r="G39" s="30" t="str">
        <f t="shared" si="6"/>
        <v>&gt;90%</v>
      </c>
      <c r="H39" s="30" t="str">
        <f t="shared" si="6"/>
        <v>&gt;90%</v>
      </c>
      <c r="I39" s="30" t="str">
        <f t="shared" si="6"/>
        <v>&gt;90%</v>
      </c>
      <c r="J39" s="30" t="str">
        <f t="shared" si="6"/>
        <v>&gt;90%</v>
      </c>
      <c r="K39" s="30" t="str">
        <f t="shared" si="6"/>
        <v>&gt;90%</v>
      </c>
      <c r="L39" s="30" t="str">
        <f t="shared" si="6"/>
        <v>&gt;90%</v>
      </c>
      <c r="M39" s="30" t="str">
        <f t="shared" si="6"/>
        <v>&gt;90%</v>
      </c>
      <c r="N39" s="30" t="str">
        <f t="shared" si="6"/>
        <v>&gt;90%</v>
      </c>
      <c r="O39" s="30" t="str">
        <f t="shared" si="6"/>
        <v>&gt;90%</v>
      </c>
      <c r="P39" s="30" t="str">
        <f t="shared" si="6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7">IF(C38&gt;=22,"OK",IF(C38&lt;=22,"LESS"))</f>
        <v>OK</v>
      </c>
      <c r="D40" s="30" t="str">
        <f t="shared" si="7"/>
        <v>OK</v>
      </c>
      <c r="E40" s="30" t="str">
        <f t="shared" si="7"/>
        <v>OK</v>
      </c>
      <c r="F40" s="30" t="str">
        <f t="shared" si="7"/>
        <v>OK</v>
      </c>
      <c r="G40" s="30" t="str">
        <f t="shared" si="7"/>
        <v>OK</v>
      </c>
      <c r="H40" s="30" t="str">
        <f t="shared" si="7"/>
        <v>OK</v>
      </c>
      <c r="I40" s="30" t="str">
        <f t="shared" si="7"/>
        <v>OK</v>
      </c>
      <c r="J40" s="30" t="str">
        <f t="shared" si="7"/>
        <v>OK</v>
      </c>
      <c r="K40" s="30" t="str">
        <f t="shared" si="7"/>
        <v>OK</v>
      </c>
      <c r="L40" s="30" t="str">
        <f t="shared" si="7"/>
        <v>OK</v>
      </c>
      <c r="M40" s="30" t="str">
        <f t="shared" si="7"/>
        <v>OK</v>
      </c>
      <c r="N40" s="30" t="str">
        <f t="shared" si="7"/>
        <v>OK</v>
      </c>
      <c r="O40" s="30" t="str">
        <f t="shared" si="7"/>
        <v>OK</v>
      </c>
      <c r="P40" s="30" t="str">
        <f t="shared" si="7"/>
        <v>OK</v>
      </c>
      <c r="Q40" s="30" t="str">
        <f t="shared" si="7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O38" sqref="O38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28-05-2023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710</v>
      </c>
      <c r="B9" s="60">
        <v>2.93</v>
      </c>
      <c r="C9" s="60">
        <v>28.47</v>
      </c>
      <c r="D9" s="60">
        <v>18.39</v>
      </c>
      <c r="E9" s="60">
        <v>0.82</v>
      </c>
      <c r="F9" s="60">
        <v>22.7</v>
      </c>
      <c r="G9" s="60">
        <v>38.020000000000003</v>
      </c>
      <c r="H9" s="60">
        <v>13.91</v>
      </c>
      <c r="I9" s="60">
        <v>0.61</v>
      </c>
      <c r="J9" s="66" t="s">
        <v>8</v>
      </c>
      <c r="K9" s="66" t="s">
        <v>8</v>
      </c>
      <c r="L9" s="66" t="s">
        <v>8</v>
      </c>
      <c r="M9" s="66" t="s">
        <v>8</v>
      </c>
      <c r="N9" s="66" t="s">
        <v>8</v>
      </c>
      <c r="O9" s="66" t="s">
        <v>8</v>
      </c>
      <c r="P9" s="60">
        <v>0.41</v>
      </c>
      <c r="Q9" s="60">
        <v>27.25</v>
      </c>
      <c r="R9" s="44"/>
      <c r="S9" s="44"/>
      <c r="T9" s="44"/>
      <c r="U9" s="44"/>
    </row>
    <row r="10" spans="1:21" s="12" customFormat="1" x14ac:dyDescent="0.25">
      <c r="A10" s="59" t="s">
        <v>711</v>
      </c>
      <c r="B10" s="60">
        <v>2.25</v>
      </c>
      <c r="C10" s="60">
        <v>28.55</v>
      </c>
      <c r="D10" s="60">
        <v>18.21</v>
      </c>
      <c r="E10" s="60">
        <v>0.74</v>
      </c>
      <c r="F10" s="60">
        <v>8.23</v>
      </c>
      <c r="G10" s="60">
        <v>166.44</v>
      </c>
      <c r="H10" s="60">
        <v>11.32</v>
      </c>
      <c r="I10" s="60">
        <v>0.67</v>
      </c>
      <c r="J10" s="66" t="s">
        <v>8</v>
      </c>
      <c r="K10" s="66" t="s">
        <v>8</v>
      </c>
      <c r="L10" s="66" t="s">
        <v>8</v>
      </c>
      <c r="M10" s="66" t="s">
        <v>8</v>
      </c>
      <c r="N10" s="66" t="s">
        <v>8</v>
      </c>
      <c r="O10" s="66" t="s">
        <v>8</v>
      </c>
      <c r="P10" s="60">
        <v>0.36</v>
      </c>
      <c r="Q10" s="60">
        <v>26.84</v>
      </c>
      <c r="R10" s="44"/>
      <c r="S10" s="44"/>
      <c r="T10" s="44"/>
      <c r="U10" s="44"/>
    </row>
    <row r="11" spans="1:21" s="12" customFormat="1" x14ac:dyDescent="0.25">
      <c r="A11" s="59" t="s">
        <v>712</v>
      </c>
      <c r="B11" s="60">
        <v>3.15</v>
      </c>
      <c r="C11" s="60">
        <v>26.45</v>
      </c>
      <c r="D11" s="60">
        <v>17.100000000000001</v>
      </c>
      <c r="E11" s="60">
        <v>0.92</v>
      </c>
      <c r="F11" s="60">
        <v>25.74</v>
      </c>
      <c r="G11" s="60">
        <v>166.44</v>
      </c>
      <c r="H11" s="60">
        <v>11.72</v>
      </c>
      <c r="I11" s="60">
        <v>0.56000000000000005</v>
      </c>
      <c r="J11" s="66" t="s">
        <v>8</v>
      </c>
      <c r="K11" s="66" t="s">
        <v>8</v>
      </c>
      <c r="L11" s="66" t="s">
        <v>8</v>
      </c>
      <c r="M11" s="66" t="s">
        <v>8</v>
      </c>
      <c r="N11" s="66" t="s">
        <v>8</v>
      </c>
      <c r="O11" s="66" t="s">
        <v>8</v>
      </c>
      <c r="P11" s="60">
        <v>0.33</v>
      </c>
      <c r="Q11" s="60">
        <v>26.77</v>
      </c>
      <c r="R11" s="44"/>
      <c r="S11" s="44"/>
      <c r="T11" s="44"/>
      <c r="U11" s="44"/>
    </row>
    <row r="12" spans="1:21" s="12" customFormat="1" x14ac:dyDescent="0.25">
      <c r="A12" s="59" t="s">
        <v>713</v>
      </c>
      <c r="B12" s="60">
        <v>3.4</v>
      </c>
      <c r="C12" s="60">
        <v>27.41</v>
      </c>
      <c r="D12" s="60">
        <v>18.010000000000002</v>
      </c>
      <c r="E12" s="60">
        <v>1.1200000000000001</v>
      </c>
      <c r="F12" s="60">
        <v>18.04</v>
      </c>
      <c r="G12" s="60">
        <v>125.17</v>
      </c>
      <c r="H12" s="60">
        <v>12.54</v>
      </c>
      <c r="I12" s="60">
        <v>0.6</v>
      </c>
      <c r="J12" s="66" t="s">
        <v>8</v>
      </c>
      <c r="K12" s="66" t="s">
        <v>8</v>
      </c>
      <c r="L12" s="66" t="s">
        <v>8</v>
      </c>
      <c r="M12" s="66" t="s">
        <v>8</v>
      </c>
      <c r="N12" s="66" t="s">
        <v>8</v>
      </c>
      <c r="O12" s="66" t="s">
        <v>8</v>
      </c>
      <c r="P12" s="60">
        <v>0.33</v>
      </c>
      <c r="Q12" s="60">
        <v>27.3</v>
      </c>
      <c r="R12" s="44"/>
      <c r="S12" s="44"/>
      <c r="T12" s="44"/>
      <c r="U12" s="44"/>
    </row>
    <row r="13" spans="1:21" s="12" customFormat="1" x14ac:dyDescent="0.25">
      <c r="A13" s="59" t="s">
        <v>714</v>
      </c>
      <c r="B13" s="60">
        <v>4.3099999999999996</v>
      </c>
      <c r="C13" s="60">
        <v>32.26</v>
      </c>
      <c r="D13" s="60">
        <v>21.84</v>
      </c>
      <c r="E13" s="60">
        <v>1.46</v>
      </c>
      <c r="F13" s="60">
        <v>7.89</v>
      </c>
      <c r="G13" s="60">
        <v>125.17</v>
      </c>
      <c r="H13" s="60">
        <v>20.399999999999999</v>
      </c>
      <c r="I13" s="60">
        <v>0.65</v>
      </c>
      <c r="J13" s="66" t="s">
        <v>8</v>
      </c>
      <c r="K13" s="66" t="s">
        <v>8</v>
      </c>
      <c r="L13" s="66" t="s">
        <v>8</v>
      </c>
      <c r="M13" s="66" t="s">
        <v>8</v>
      </c>
      <c r="N13" s="66" t="s">
        <v>8</v>
      </c>
      <c r="O13" s="66" t="s">
        <v>8</v>
      </c>
      <c r="P13" s="60">
        <v>0.35</v>
      </c>
      <c r="Q13" s="60">
        <v>27.53</v>
      </c>
      <c r="R13" s="44"/>
      <c r="S13" s="44"/>
      <c r="T13" s="44"/>
      <c r="U13" s="44"/>
    </row>
    <row r="14" spans="1:21" s="12" customFormat="1" x14ac:dyDescent="0.25">
      <c r="A14" s="59" t="s">
        <v>715</v>
      </c>
      <c r="B14" s="60">
        <v>7.39</v>
      </c>
      <c r="C14" s="60">
        <v>30.55</v>
      </c>
      <c r="D14" s="60">
        <v>23.08</v>
      </c>
      <c r="E14" s="60">
        <v>1.41</v>
      </c>
      <c r="F14" s="60">
        <v>14.76</v>
      </c>
      <c r="G14" s="60">
        <v>96.1</v>
      </c>
      <c r="H14" s="60">
        <v>21.57</v>
      </c>
      <c r="I14" s="60">
        <v>0.68</v>
      </c>
      <c r="J14" s="66" t="s">
        <v>8</v>
      </c>
      <c r="K14" s="66" t="s">
        <v>8</v>
      </c>
      <c r="L14" s="66" t="s">
        <v>8</v>
      </c>
      <c r="M14" s="66" t="s">
        <v>8</v>
      </c>
      <c r="N14" s="66" t="s">
        <v>8</v>
      </c>
      <c r="O14" s="66" t="s">
        <v>8</v>
      </c>
      <c r="P14" s="60">
        <v>0.4</v>
      </c>
      <c r="Q14" s="60">
        <v>27.92</v>
      </c>
      <c r="R14" s="44"/>
      <c r="S14" s="44"/>
      <c r="T14" s="44"/>
      <c r="U14" s="44"/>
    </row>
    <row r="15" spans="1:21" s="12" customFormat="1" x14ac:dyDescent="0.25">
      <c r="A15" s="59" t="s">
        <v>716</v>
      </c>
      <c r="B15" s="60">
        <v>13.07</v>
      </c>
      <c r="C15" s="60">
        <v>34.54</v>
      </c>
      <c r="D15" s="60">
        <v>30.19</v>
      </c>
      <c r="E15" s="60">
        <v>1.53</v>
      </c>
      <c r="F15" s="60">
        <v>5.12</v>
      </c>
      <c r="G15" s="60">
        <v>112.79</v>
      </c>
      <c r="H15" s="60">
        <v>28.75</v>
      </c>
      <c r="I15" s="60">
        <v>0.63</v>
      </c>
      <c r="J15" s="66" t="s">
        <v>8</v>
      </c>
      <c r="K15" s="66" t="s">
        <v>8</v>
      </c>
      <c r="L15" s="66" t="s">
        <v>8</v>
      </c>
      <c r="M15" s="66" t="s">
        <v>8</v>
      </c>
      <c r="N15" s="66" t="s">
        <v>8</v>
      </c>
      <c r="O15" s="66" t="s">
        <v>8</v>
      </c>
      <c r="P15" s="60">
        <v>0.61</v>
      </c>
      <c r="Q15" s="60">
        <v>28.3</v>
      </c>
      <c r="R15" s="44"/>
      <c r="S15" s="44"/>
      <c r="T15" s="44"/>
      <c r="U15" s="44"/>
    </row>
    <row r="16" spans="1:21" s="12" customFormat="1" x14ac:dyDescent="0.25">
      <c r="A16" s="59" t="s">
        <v>717</v>
      </c>
      <c r="B16" s="60">
        <v>14.44</v>
      </c>
      <c r="C16" s="60">
        <v>40.130000000000003</v>
      </c>
      <c r="D16" s="60">
        <v>33.61</v>
      </c>
      <c r="E16" s="60">
        <v>1.89</v>
      </c>
      <c r="F16" s="60">
        <v>16.489999999999998</v>
      </c>
      <c r="G16" s="60">
        <v>213.03</v>
      </c>
      <c r="H16" s="60">
        <v>32.78</v>
      </c>
      <c r="I16" s="60">
        <v>0.8</v>
      </c>
      <c r="J16" s="66" t="s">
        <v>8</v>
      </c>
      <c r="K16" s="66" t="s">
        <v>8</v>
      </c>
      <c r="L16" s="66" t="s">
        <v>8</v>
      </c>
      <c r="M16" s="66" t="s">
        <v>8</v>
      </c>
      <c r="N16" s="66" t="s">
        <v>8</v>
      </c>
      <c r="O16" s="66" t="s">
        <v>8</v>
      </c>
      <c r="P16" s="60">
        <v>0.69</v>
      </c>
      <c r="Q16" s="60">
        <v>28.73</v>
      </c>
      <c r="R16" s="44"/>
      <c r="S16" s="44"/>
      <c r="T16" s="44"/>
      <c r="U16" s="44"/>
    </row>
    <row r="17" spans="1:21" s="12" customFormat="1" x14ac:dyDescent="0.25">
      <c r="A17" s="59" t="s">
        <v>718</v>
      </c>
      <c r="B17" s="60">
        <v>10.74</v>
      </c>
      <c r="C17" s="60">
        <v>37.090000000000003</v>
      </c>
      <c r="D17" s="60">
        <v>29.73</v>
      </c>
      <c r="E17" s="60">
        <v>2.92</v>
      </c>
      <c r="F17" s="60">
        <v>30.46</v>
      </c>
      <c r="G17" s="60">
        <v>213.03</v>
      </c>
      <c r="H17" s="60">
        <v>36.04</v>
      </c>
      <c r="I17" s="60">
        <v>0.77</v>
      </c>
      <c r="J17" s="66" t="s">
        <v>8</v>
      </c>
      <c r="K17" s="66" t="s">
        <v>8</v>
      </c>
      <c r="L17" s="66" t="s">
        <v>8</v>
      </c>
      <c r="M17" s="66" t="s">
        <v>8</v>
      </c>
      <c r="N17" s="66" t="s">
        <v>8</v>
      </c>
      <c r="O17" s="66" t="s">
        <v>8</v>
      </c>
      <c r="P17" s="60">
        <v>0.71</v>
      </c>
      <c r="Q17" s="60">
        <v>30.36</v>
      </c>
      <c r="R17" s="44"/>
      <c r="S17" s="44"/>
      <c r="T17" s="44"/>
      <c r="U17" s="44"/>
    </row>
    <row r="18" spans="1:21" s="12" customFormat="1" x14ac:dyDescent="0.25">
      <c r="A18" s="59" t="s">
        <v>719</v>
      </c>
      <c r="B18" s="60">
        <v>7.1</v>
      </c>
      <c r="C18" s="60">
        <v>42.25</v>
      </c>
      <c r="D18" s="60">
        <v>26.12</v>
      </c>
      <c r="E18" s="60">
        <v>2.67</v>
      </c>
      <c r="F18" s="60">
        <v>6.8</v>
      </c>
      <c r="G18" s="60">
        <v>142.83000000000001</v>
      </c>
      <c r="H18" s="60">
        <v>36.04</v>
      </c>
      <c r="I18" s="60">
        <v>0.68</v>
      </c>
      <c r="J18" s="66" t="s">
        <v>8</v>
      </c>
      <c r="K18" s="66" t="s">
        <v>8</v>
      </c>
      <c r="L18" s="66" t="s">
        <v>8</v>
      </c>
      <c r="M18" s="66" t="s">
        <v>8</v>
      </c>
      <c r="N18" s="66" t="s">
        <v>8</v>
      </c>
      <c r="O18" s="66" t="s">
        <v>8</v>
      </c>
      <c r="P18" s="60">
        <v>0.76</v>
      </c>
      <c r="Q18" s="60">
        <v>30.3</v>
      </c>
      <c r="R18" s="44"/>
      <c r="S18" s="44"/>
      <c r="T18" s="44"/>
      <c r="U18" s="44"/>
    </row>
    <row r="19" spans="1:21" s="12" customFormat="1" x14ac:dyDescent="0.25">
      <c r="A19" s="59" t="s">
        <v>720</v>
      </c>
      <c r="B19" s="60">
        <v>6.29</v>
      </c>
      <c r="C19" s="60">
        <v>62.69</v>
      </c>
      <c r="D19" s="60">
        <v>37.61</v>
      </c>
      <c r="E19" s="60">
        <v>11.67</v>
      </c>
      <c r="F19" s="60">
        <v>44.44</v>
      </c>
      <c r="G19" s="60">
        <v>71.94</v>
      </c>
      <c r="H19" s="60">
        <v>35.99</v>
      </c>
      <c r="I19" s="60">
        <v>0.67</v>
      </c>
      <c r="J19" s="60">
        <v>0.88</v>
      </c>
      <c r="K19" s="60">
        <v>245.61</v>
      </c>
      <c r="L19" s="60">
        <v>34.659999999999997</v>
      </c>
      <c r="M19" s="60">
        <v>32.33</v>
      </c>
      <c r="N19" s="60">
        <v>767.1</v>
      </c>
      <c r="O19" s="60">
        <v>0</v>
      </c>
      <c r="P19" s="60">
        <v>1.05</v>
      </c>
      <c r="Q19" s="60">
        <v>28.11</v>
      </c>
      <c r="R19" s="44"/>
      <c r="S19" s="44"/>
      <c r="T19" s="44"/>
      <c r="U19" s="44"/>
    </row>
    <row r="20" spans="1:21" s="12" customFormat="1" x14ac:dyDescent="0.25">
      <c r="A20" s="59" t="s">
        <v>721</v>
      </c>
      <c r="B20" s="60">
        <v>9.57</v>
      </c>
      <c r="C20" s="60">
        <v>57.57</v>
      </c>
      <c r="D20" s="60">
        <v>40.090000000000003</v>
      </c>
      <c r="E20" s="60">
        <v>33.53</v>
      </c>
      <c r="F20" s="60">
        <v>73.72</v>
      </c>
      <c r="G20" s="60">
        <v>114.4</v>
      </c>
      <c r="H20" s="60">
        <v>39.18</v>
      </c>
      <c r="I20" s="60">
        <v>0.56999999999999995</v>
      </c>
      <c r="J20" s="60">
        <v>1</v>
      </c>
      <c r="K20" s="60">
        <v>242.35</v>
      </c>
      <c r="L20" s="60">
        <v>37.659999999999997</v>
      </c>
      <c r="M20" s="60">
        <v>32.99</v>
      </c>
      <c r="N20" s="60">
        <v>858.7</v>
      </c>
      <c r="O20" s="60">
        <v>0</v>
      </c>
      <c r="P20" s="60">
        <v>1.06</v>
      </c>
      <c r="Q20" s="60">
        <v>25.99</v>
      </c>
      <c r="R20" s="44"/>
      <c r="S20" s="44"/>
      <c r="T20" s="44"/>
      <c r="U20" s="44"/>
    </row>
    <row r="21" spans="1:21" s="12" customFormat="1" x14ac:dyDescent="0.25">
      <c r="A21" s="59" t="s">
        <v>722</v>
      </c>
      <c r="B21" s="60">
        <v>2.31</v>
      </c>
      <c r="C21" s="60">
        <v>44.76</v>
      </c>
      <c r="D21" s="60">
        <v>27.1</v>
      </c>
      <c r="E21" s="60">
        <v>11.4</v>
      </c>
      <c r="F21" s="60">
        <v>33.6</v>
      </c>
      <c r="G21" s="60">
        <v>114.4</v>
      </c>
      <c r="H21" s="60">
        <v>39.18</v>
      </c>
      <c r="I21" s="60">
        <v>0.69</v>
      </c>
      <c r="J21" s="60">
        <v>0.4</v>
      </c>
      <c r="K21" s="60">
        <v>231.78</v>
      </c>
      <c r="L21" s="60">
        <v>37.14</v>
      </c>
      <c r="M21" s="60">
        <v>29.48</v>
      </c>
      <c r="N21" s="60">
        <v>866.2</v>
      </c>
      <c r="O21" s="60">
        <v>0</v>
      </c>
      <c r="P21" s="60">
        <v>1.01</v>
      </c>
      <c r="Q21" s="60">
        <v>26.14</v>
      </c>
      <c r="R21" s="44"/>
      <c r="S21" s="44"/>
      <c r="T21" s="44"/>
      <c r="U21" s="44"/>
    </row>
    <row r="22" spans="1:21" s="12" customFormat="1" x14ac:dyDescent="0.25">
      <c r="A22" s="59" t="s">
        <v>723</v>
      </c>
      <c r="B22" s="60">
        <v>1.87</v>
      </c>
      <c r="C22" s="60">
        <v>47.61</v>
      </c>
      <c r="D22" s="60">
        <v>27.89</v>
      </c>
      <c r="E22" s="60">
        <v>30.49</v>
      </c>
      <c r="F22" s="60">
        <v>62.43</v>
      </c>
      <c r="G22" s="60">
        <v>84.82</v>
      </c>
      <c r="H22" s="60">
        <v>36.630000000000003</v>
      </c>
      <c r="I22" s="60">
        <v>0.68</v>
      </c>
      <c r="J22" s="60">
        <v>0.74</v>
      </c>
      <c r="K22" s="60">
        <v>242.06</v>
      </c>
      <c r="L22" s="60">
        <v>36.22</v>
      </c>
      <c r="M22" s="60">
        <v>29.65</v>
      </c>
      <c r="N22" s="60">
        <v>758.5</v>
      </c>
      <c r="O22" s="60">
        <v>0</v>
      </c>
      <c r="P22" s="60">
        <v>0.85</v>
      </c>
      <c r="Q22" s="60">
        <v>29.5</v>
      </c>
      <c r="R22" s="44"/>
      <c r="S22" s="44"/>
      <c r="T22" s="44"/>
      <c r="U22" s="44"/>
    </row>
    <row r="23" spans="1:21" s="12" customFormat="1" x14ac:dyDescent="0.25">
      <c r="A23" s="59" t="s">
        <v>724</v>
      </c>
      <c r="B23" s="60">
        <v>3.15</v>
      </c>
      <c r="C23" s="60">
        <v>43.62</v>
      </c>
      <c r="D23" s="60">
        <v>26.76</v>
      </c>
      <c r="E23" s="60">
        <v>23.64</v>
      </c>
      <c r="F23" s="60">
        <v>61.46</v>
      </c>
      <c r="G23" s="60">
        <v>156.30000000000001</v>
      </c>
      <c r="H23" s="60">
        <v>37.979999999999997</v>
      </c>
      <c r="I23" s="60">
        <v>0.75</v>
      </c>
      <c r="J23" s="60">
        <v>1.74</v>
      </c>
      <c r="K23" s="60">
        <v>207.14</v>
      </c>
      <c r="L23" s="60">
        <v>34.9</v>
      </c>
      <c r="M23" s="60">
        <v>30.3</v>
      </c>
      <c r="N23" s="60">
        <v>604.20000000000005</v>
      </c>
      <c r="O23" s="60">
        <v>0</v>
      </c>
      <c r="P23" s="60">
        <v>0.79</v>
      </c>
      <c r="Q23" s="60">
        <v>28.88</v>
      </c>
      <c r="R23" s="44"/>
      <c r="S23" s="44"/>
      <c r="T23" s="44"/>
      <c r="U23" s="44"/>
    </row>
    <row r="24" spans="1:21" s="12" customFormat="1" x14ac:dyDescent="0.25">
      <c r="A24" s="59" t="s">
        <v>725</v>
      </c>
      <c r="B24" s="60">
        <v>1.89</v>
      </c>
      <c r="C24" s="60">
        <v>47.18</v>
      </c>
      <c r="D24" s="60">
        <v>28.19</v>
      </c>
      <c r="E24" s="60">
        <v>8.66</v>
      </c>
      <c r="F24" s="60">
        <v>21.77</v>
      </c>
      <c r="G24" s="60">
        <v>156.30000000000001</v>
      </c>
      <c r="H24" s="60">
        <v>37.979999999999997</v>
      </c>
      <c r="I24" s="60">
        <v>0.79</v>
      </c>
      <c r="J24" s="60">
        <v>1.6</v>
      </c>
      <c r="K24" s="60">
        <v>125.49</v>
      </c>
      <c r="L24" s="60">
        <v>34.69</v>
      </c>
      <c r="M24" s="60">
        <v>27.49</v>
      </c>
      <c r="N24" s="60">
        <v>372.8</v>
      </c>
      <c r="O24" s="60">
        <v>0</v>
      </c>
      <c r="P24" s="60">
        <v>0.76</v>
      </c>
      <c r="Q24" s="60">
        <v>28.75</v>
      </c>
      <c r="R24" s="44"/>
      <c r="S24" s="44"/>
      <c r="T24" s="44"/>
      <c r="U24" s="44"/>
    </row>
    <row r="25" spans="1:21" s="12" customFormat="1" x14ac:dyDescent="0.25">
      <c r="A25" s="59" t="s">
        <v>726</v>
      </c>
      <c r="B25" s="60">
        <v>1.63</v>
      </c>
      <c r="C25" s="60">
        <v>46.22</v>
      </c>
      <c r="D25" s="60">
        <v>27.46</v>
      </c>
      <c r="E25" s="60">
        <v>18.239999999999998</v>
      </c>
      <c r="F25" s="60">
        <v>80.27</v>
      </c>
      <c r="G25" s="60">
        <v>36.770000000000003</v>
      </c>
      <c r="H25" s="60">
        <v>37.35</v>
      </c>
      <c r="I25" s="60">
        <v>0.73</v>
      </c>
      <c r="J25" s="60">
        <v>1.43</v>
      </c>
      <c r="K25" s="60">
        <v>125.39</v>
      </c>
      <c r="L25" s="60">
        <v>34.32</v>
      </c>
      <c r="M25" s="60">
        <v>25.83</v>
      </c>
      <c r="N25" s="60">
        <v>109.9</v>
      </c>
      <c r="O25" s="60">
        <v>0</v>
      </c>
      <c r="P25" s="60">
        <v>0.65</v>
      </c>
      <c r="Q25" s="60">
        <v>30.78</v>
      </c>
      <c r="R25" s="44"/>
      <c r="S25" s="44"/>
      <c r="T25" s="44"/>
      <c r="U25" s="44"/>
    </row>
    <row r="26" spans="1:21" s="12" customFormat="1" x14ac:dyDescent="0.25">
      <c r="A26" s="59" t="s">
        <v>727</v>
      </c>
      <c r="B26" s="60">
        <v>2.2999999999999998</v>
      </c>
      <c r="C26" s="60">
        <v>37.25</v>
      </c>
      <c r="D26" s="60">
        <v>23.05</v>
      </c>
      <c r="E26" s="60">
        <v>22.23</v>
      </c>
      <c r="F26" s="60">
        <v>96.44</v>
      </c>
      <c r="G26" s="60">
        <v>112.45</v>
      </c>
      <c r="H26" s="60">
        <v>32.6</v>
      </c>
      <c r="I26" s="60">
        <v>0.63</v>
      </c>
      <c r="J26" s="60">
        <v>0.68</v>
      </c>
      <c r="K26" s="60">
        <v>109.75</v>
      </c>
      <c r="L26" s="60">
        <v>33.99</v>
      </c>
      <c r="M26" s="60">
        <v>27.08</v>
      </c>
      <c r="N26" s="60">
        <v>65.3</v>
      </c>
      <c r="O26" s="60">
        <v>0</v>
      </c>
      <c r="P26" s="60">
        <v>0.55000000000000004</v>
      </c>
      <c r="Q26" s="60">
        <v>31.07</v>
      </c>
      <c r="R26" s="44"/>
      <c r="S26" s="44"/>
      <c r="T26" s="44"/>
      <c r="U26" s="44"/>
    </row>
    <row r="27" spans="1:21" s="12" customFormat="1" x14ac:dyDescent="0.25">
      <c r="A27" s="59" t="s">
        <v>728</v>
      </c>
      <c r="B27" s="60">
        <v>3.52</v>
      </c>
      <c r="C27" s="60">
        <v>66.239999999999995</v>
      </c>
      <c r="D27" s="60">
        <v>40.03</v>
      </c>
      <c r="E27" s="60">
        <v>9.41</v>
      </c>
      <c r="F27" s="60">
        <v>39.22</v>
      </c>
      <c r="G27" s="60">
        <v>112.45</v>
      </c>
      <c r="H27" s="60">
        <v>32.479999999999997</v>
      </c>
      <c r="I27" s="60">
        <v>0.69</v>
      </c>
      <c r="J27" s="60">
        <v>0.32</v>
      </c>
      <c r="K27" s="60">
        <v>80.739999999999995</v>
      </c>
      <c r="L27" s="60">
        <v>33</v>
      </c>
      <c r="M27" s="60">
        <v>34.81</v>
      </c>
      <c r="N27" s="60">
        <v>13.4</v>
      </c>
      <c r="O27" s="60">
        <v>0</v>
      </c>
      <c r="P27" s="60">
        <v>0.74</v>
      </c>
      <c r="Q27" s="60">
        <v>28.46</v>
      </c>
      <c r="R27" s="44"/>
      <c r="S27" s="44"/>
      <c r="T27" s="44"/>
      <c r="U27" s="44"/>
    </row>
    <row r="28" spans="1:21" s="12" customFormat="1" x14ac:dyDescent="0.25">
      <c r="A28" s="59" t="s">
        <v>729</v>
      </c>
      <c r="B28" s="60">
        <v>31.65</v>
      </c>
      <c r="C28" s="60">
        <v>99.87</v>
      </c>
      <c r="D28" s="60">
        <v>81.150000000000006</v>
      </c>
      <c r="E28" s="60">
        <v>14.89</v>
      </c>
      <c r="F28" s="60">
        <v>22</v>
      </c>
      <c r="G28" s="60">
        <v>70.52</v>
      </c>
      <c r="H28" s="60">
        <v>36.19</v>
      </c>
      <c r="I28" s="60">
        <v>0.82</v>
      </c>
      <c r="J28" s="60">
        <v>0.28999999999999998</v>
      </c>
      <c r="K28" s="60">
        <v>75.349999999999994</v>
      </c>
      <c r="L28" s="60">
        <v>31.76</v>
      </c>
      <c r="M28" s="60">
        <v>32.42</v>
      </c>
      <c r="N28" s="60">
        <v>5</v>
      </c>
      <c r="O28" s="60">
        <v>0</v>
      </c>
      <c r="P28" s="60">
        <v>1</v>
      </c>
      <c r="Q28" s="60">
        <v>26.58</v>
      </c>
      <c r="R28" s="44"/>
      <c r="S28" s="44"/>
      <c r="T28" s="44"/>
      <c r="U28" s="44"/>
    </row>
    <row r="29" spans="1:21" s="12" customFormat="1" x14ac:dyDescent="0.25">
      <c r="A29" s="59" t="s">
        <v>730</v>
      </c>
      <c r="B29" s="60">
        <v>29.95</v>
      </c>
      <c r="C29" s="60">
        <v>102.81</v>
      </c>
      <c r="D29" s="60">
        <v>81.400000000000006</v>
      </c>
      <c r="E29" s="60">
        <v>17.04</v>
      </c>
      <c r="F29" s="60">
        <v>20.9</v>
      </c>
      <c r="G29" s="60">
        <v>227.13</v>
      </c>
      <c r="H29" s="60">
        <v>37.299999999999997</v>
      </c>
      <c r="I29" s="60">
        <v>1.08</v>
      </c>
      <c r="J29" s="60">
        <v>0.3</v>
      </c>
      <c r="K29" s="60">
        <v>234.73</v>
      </c>
      <c r="L29" s="60">
        <v>31</v>
      </c>
      <c r="M29" s="60">
        <v>35.17</v>
      </c>
      <c r="N29" s="60">
        <v>5.0999999999999996</v>
      </c>
      <c r="O29" s="60">
        <v>0</v>
      </c>
      <c r="P29" s="60">
        <v>1.2</v>
      </c>
      <c r="Q29" s="60">
        <v>27.97</v>
      </c>
      <c r="R29" s="44"/>
      <c r="S29" s="44"/>
      <c r="T29" s="44"/>
      <c r="U29" s="44"/>
    </row>
    <row r="30" spans="1:21" s="12" customFormat="1" x14ac:dyDescent="0.25">
      <c r="A30" s="59" t="s">
        <v>731</v>
      </c>
      <c r="B30" s="60">
        <v>15.64</v>
      </c>
      <c r="C30" s="60">
        <v>65.48</v>
      </c>
      <c r="D30" s="60">
        <v>49.32</v>
      </c>
      <c r="E30" s="60">
        <v>5.34</v>
      </c>
      <c r="F30" s="60">
        <v>5.74</v>
      </c>
      <c r="G30" s="60">
        <v>227.13</v>
      </c>
      <c r="H30" s="60">
        <v>38.35</v>
      </c>
      <c r="I30" s="60">
        <v>0.86</v>
      </c>
      <c r="J30" s="60">
        <v>1.59</v>
      </c>
      <c r="K30" s="60">
        <v>247.61</v>
      </c>
      <c r="L30" s="60">
        <v>30.7</v>
      </c>
      <c r="M30" s="60">
        <v>37.11</v>
      </c>
      <c r="N30" s="60">
        <v>5.6</v>
      </c>
      <c r="O30" s="60">
        <v>0</v>
      </c>
      <c r="P30" s="60">
        <v>1.33</v>
      </c>
      <c r="Q30" s="60">
        <v>28.81</v>
      </c>
      <c r="R30" s="44"/>
      <c r="S30" s="44"/>
      <c r="T30" s="44"/>
      <c r="U30" s="44"/>
    </row>
    <row r="31" spans="1:21" s="12" customFormat="1" x14ac:dyDescent="0.25">
      <c r="A31" s="59" t="s">
        <v>732</v>
      </c>
      <c r="B31" s="60">
        <v>12.68</v>
      </c>
      <c r="C31" s="60">
        <v>59.73</v>
      </c>
      <c r="D31" s="60">
        <v>36.71</v>
      </c>
      <c r="E31" s="60">
        <v>5.92</v>
      </c>
      <c r="F31" s="60">
        <v>24.26</v>
      </c>
      <c r="G31" s="60">
        <v>81.319999999999993</v>
      </c>
      <c r="H31" s="60">
        <v>38.35</v>
      </c>
      <c r="I31" s="60">
        <v>0.8</v>
      </c>
      <c r="J31" s="60">
        <v>0.98</v>
      </c>
      <c r="K31" s="60">
        <v>251.53</v>
      </c>
      <c r="L31" s="60">
        <v>29.14</v>
      </c>
      <c r="M31" s="60">
        <v>40.369999999999997</v>
      </c>
      <c r="N31" s="60">
        <v>4.8</v>
      </c>
      <c r="O31" s="60">
        <v>0</v>
      </c>
      <c r="P31" s="60">
        <v>1.25</v>
      </c>
      <c r="Q31" s="60">
        <v>27.48</v>
      </c>
      <c r="R31" s="44"/>
      <c r="S31" s="44"/>
      <c r="T31" s="44"/>
      <c r="U31" s="44"/>
    </row>
    <row r="32" spans="1:21" s="12" customFormat="1" x14ac:dyDescent="0.25">
      <c r="A32" s="59" t="s">
        <v>733</v>
      </c>
      <c r="B32" s="60">
        <v>12.77</v>
      </c>
      <c r="C32" s="60">
        <v>53.36</v>
      </c>
      <c r="D32" s="60">
        <v>35.9</v>
      </c>
      <c r="E32" s="60">
        <v>25.44</v>
      </c>
      <c r="F32" s="60">
        <v>23.9</v>
      </c>
      <c r="G32" s="60">
        <v>72.52</v>
      </c>
      <c r="H32" s="60">
        <v>33.979999999999997</v>
      </c>
      <c r="I32" s="60">
        <v>0.67</v>
      </c>
      <c r="J32" s="60">
        <v>0.94</v>
      </c>
      <c r="K32" s="60">
        <v>256.04000000000002</v>
      </c>
      <c r="L32" s="60">
        <v>28.83</v>
      </c>
      <c r="M32" s="60">
        <v>40.26</v>
      </c>
      <c r="N32" s="60">
        <v>0.9</v>
      </c>
      <c r="O32" s="60">
        <v>0</v>
      </c>
      <c r="P32" s="60">
        <v>1.18</v>
      </c>
      <c r="Q32" s="60">
        <v>27.46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1.63</v>
      </c>
      <c r="C34" s="29">
        <f t="shared" si="0"/>
        <v>26.45</v>
      </c>
      <c r="D34" s="29">
        <f t="shared" si="0"/>
        <v>17.100000000000001</v>
      </c>
      <c r="E34" s="29">
        <f t="shared" si="0"/>
        <v>0.74</v>
      </c>
      <c r="F34" s="29">
        <f t="shared" si="0"/>
        <v>5.12</v>
      </c>
      <c r="G34" s="29">
        <f t="shared" si="0"/>
        <v>36.770000000000003</v>
      </c>
      <c r="H34" s="29">
        <f t="shared" si="0"/>
        <v>11.32</v>
      </c>
      <c r="I34" s="29">
        <f t="shared" si="0"/>
        <v>0.56000000000000005</v>
      </c>
      <c r="J34" s="29">
        <f t="shared" si="0"/>
        <v>0.28999999999999998</v>
      </c>
      <c r="K34" s="29">
        <f t="shared" si="0"/>
        <v>75.349999999999994</v>
      </c>
      <c r="L34" s="29">
        <f t="shared" si="0"/>
        <v>28.83</v>
      </c>
      <c r="M34" s="29">
        <f t="shared" si="0"/>
        <v>25.83</v>
      </c>
      <c r="N34" s="29">
        <f t="shared" si="0"/>
        <v>0.9</v>
      </c>
      <c r="O34" s="29">
        <f t="shared" si="0"/>
        <v>0</v>
      </c>
      <c r="P34" s="29">
        <f t="shared" si="0"/>
        <v>0.33</v>
      </c>
      <c r="Q34" s="29">
        <f t="shared" si="0"/>
        <v>25.99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31.65</v>
      </c>
      <c r="C35" s="30">
        <f t="shared" si="1"/>
        <v>102.81</v>
      </c>
      <c r="D35" s="30">
        <f t="shared" si="1"/>
        <v>81.400000000000006</v>
      </c>
      <c r="E35" s="30">
        <f t="shared" si="1"/>
        <v>33.53</v>
      </c>
      <c r="F35" s="30">
        <f t="shared" si="1"/>
        <v>96.44</v>
      </c>
      <c r="G35" s="30">
        <f t="shared" si="1"/>
        <v>227.13</v>
      </c>
      <c r="H35" s="30">
        <f t="shared" si="1"/>
        <v>39.18</v>
      </c>
      <c r="I35" s="30">
        <f t="shared" si="1"/>
        <v>1.08</v>
      </c>
      <c r="J35" s="30">
        <f t="shared" si="1"/>
        <v>1.74</v>
      </c>
      <c r="K35" s="30">
        <f t="shared" si="1"/>
        <v>256.04000000000002</v>
      </c>
      <c r="L35" s="30">
        <f t="shared" si="1"/>
        <v>37.659999999999997</v>
      </c>
      <c r="M35" s="30">
        <f t="shared" si="1"/>
        <v>40.369999999999997</v>
      </c>
      <c r="N35" s="30">
        <f t="shared" si="1"/>
        <v>866.2</v>
      </c>
      <c r="O35" s="30">
        <f t="shared" si="1"/>
        <v>0</v>
      </c>
      <c r="P35" s="30">
        <f t="shared" si="1"/>
        <v>1.33</v>
      </c>
      <c r="Q35" s="30">
        <f t="shared" si="1"/>
        <v>31.07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8.5000000000000018</v>
      </c>
      <c r="C36" s="29">
        <f t="shared" si="2"/>
        <v>48.420416666666661</v>
      </c>
      <c r="D36" s="29">
        <f t="shared" si="2"/>
        <v>33.289166666666667</v>
      </c>
      <c r="E36" s="29">
        <f t="shared" si="2"/>
        <v>10.557499999999999</v>
      </c>
      <c r="F36" s="29">
        <f t="shared" si="2"/>
        <v>31.932499999999994</v>
      </c>
      <c r="G36" s="29">
        <f t="shared" si="2"/>
        <v>126.56125000000002</v>
      </c>
      <c r="H36" s="29">
        <f t="shared" si="2"/>
        <v>30.775416666666672</v>
      </c>
      <c r="I36" s="29">
        <f t="shared" si="2"/>
        <v>0.71166666666666678</v>
      </c>
      <c r="J36" s="29">
        <f t="shared" si="2"/>
        <v>0.9207142857142856</v>
      </c>
      <c r="K36" s="29">
        <f t="shared" si="2"/>
        <v>191.11214285714286</v>
      </c>
      <c r="L36" s="29">
        <f t="shared" si="2"/>
        <v>33.429285714285712</v>
      </c>
      <c r="M36" s="29">
        <f t="shared" si="2"/>
        <v>32.520714285714284</v>
      </c>
      <c r="N36" s="29">
        <f t="shared" si="2"/>
        <v>316.96428571428572</v>
      </c>
      <c r="O36" s="29">
        <f t="shared" si="2"/>
        <v>0</v>
      </c>
      <c r="P36" s="29">
        <f t="shared" si="2"/>
        <v>0.76541666666666652</v>
      </c>
      <c r="Q36" s="29">
        <f t="shared" si="2"/>
        <v>28.220000000000002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8.2367627663764349</v>
      </c>
      <c r="C37" s="29">
        <f t="shared" ref="C37:Q37" si="3">STDEV(C9:C32)</f>
        <v>20.373792944596151</v>
      </c>
      <c r="D37" s="29">
        <f t="shared" si="3"/>
        <v>16.836912067567937</v>
      </c>
      <c r="E37" s="29">
        <f t="shared" si="3"/>
        <v>10.31270312052926</v>
      </c>
      <c r="F37" s="29">
        <f t="shared" si="3"/>
        <v>25.310102854823395</v>
      </c>
      <c r="G37" s="29">
        <f t="shared" si="3"/>
        <v>55.539668965563209</v>
      </c>
      <c r="H37" s="29">
        <f t="shared" si="3"/>
        <v>9.7075855499781536</v>
      </c>
      <c r="I37" s="29">
        <f t="shared" si="3"/>
        <v>0.11200414071020651</v>
      </c>
      <c r="J37" s="29">
        <f t="shared" si="3"/>
        <v>0.5082014180604788</v>
      </c>
      <c r="K37" s="29">
        <f t="shared" si="3"/>
        <v>70.104648389562371</v>
      </c>
      <c r="L37" s="29">
        <f t="shared" si="3"/>
        <v>2.7970299200448983</v>
      </c>
      <c r="M37" s="29">
        <f t="shared" si="3"/>
        <v>4.6176025485854719</v>
      </c>
      <c r="N37" s="29">
        <f t="shared" si="3"/>
        <v>368.52816739678815</v>
      </c>
      <c r="O37" s="29">
        <f t="shared" si="3"/>
        <v>0</v>
      </c>
      <c r="P37" s="29">
        <f t="shared" si="3"/>
        <v>0.31443502358670405</v>
      </c>
      <c r="Q37" s="29">
        <f t="shared" si="3"/>
        <v>1.4166433075653044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ref="J38:O38" si="5">COUNT(J9:J32)+10</f>
        <v>24</v>
      </c>
      <c r="K38" s="33">
        <f t="shared" si="5"/>
        <v>24</v>
      </c>
      <c r="L38" s="33">
        <f t="shared" si="5"/>
        <v>24</v>
      </c>
      <c r="M38" s="33">
        <f t="shared" si="5"/>
        <v>24</v>
      </c>
      <c r="N38" s="33">
        <f t="shared" si="5"/>
        <v>24</v>
      </c>
      <c r="O38" s="33">
        <f t="shared" si="5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6">IF(C38&gt;=22,"&gt;90%",IF(C38&lt;=22,"&lt;90%"))</f>
        <v>&gt;90%</v>
      </c>
      <c r="D39" s="30" t="str">
        <f t="shared" si="6"/>
        <v>&gt;90%</v>
      </c>
      <c r="E39" s="30" t="str">
        <f t="shared" si="6"/>
        <v>&gt;90%</v>
      </c>
      <c r="F39" s="30" t="str">
        <f t="shared" si="6"/>
        <v>&gt;90%</v>
      </c>
      <c r="G39" s="30" t="str">
        <f t="shared" si="6"/>
        <v>&gt;90%</v>
      </c>
      <c r="H39" s="30" t="str">
        <f t="shared" si="6"/>
        <v>&gt;90%</v>
      </c>
      <c r="I39" s="30" t="str">
        <f t="shared" si="6"/>
        <v>&gt;90%</v>
      </c>
      <c r="J39" s="30" t="str">
        <f t="shared" si="6"/>
        <v>&gt;90%</v>
      </c>
      <c r="K39" s="30" t="str">
        <f t="shared" si="6"/>
        <v>&gt;90%</v>
      </c>
      <c r="L39" s="30" t="str">
        <f t="shared" si="6"/>
        <v>&gt;90%</v>
      </c>
      <c r="M39" s="30" t="str">
        <f t="shared" si="6"/>
        <v>&gt;90%</v>
      </c>
      <c r="N39" s="30" t="str">
        <f t="shared" si="6"/>
        <v>&gt;90%</v>
      </c>
      <c r="O39" s="30" t="str">
        <f t="shared" si="6"/>
        <v>&gt;90%</v>
      </c>
      <c r="P39" s="30" t="str">
        <f t="shared" si="6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7">IF(C38&gt;=22,"OK",IF(C38&lt;=22,"LESS"))</f>
        <v>OK</v>
      </c>
      <c r="D40" s="30" t="str">
        <f t="shared" si="7"/>
        <v>OK</v>
      </c>
      <c r="E40" s="30" t="str">
        <f t="shared" si="7"/>
        <v>OK</v>
      </c>
      <c r="F40" s="30" t="str">
        <f t="shared" si="7"/>
        <v>OK</v>
      </c>
      <c r="G40" s="30" t="str">
        <f t="shared" si="7"/>
        <v>OK</v>
      </c>
      <c r="H40" s="30" t="str">
        <f t="shared" si="7"/>
        <v>OK</v>
      </c>
      <c r="I40" s="30" t="str">
        <f t="shared" si="7"/>
        <v>OK</v>
      </c>
      <c r="J40" s="30" t="str">
        <f t="shared" si="7"/>
        <v>OK</v>
      </c>
      <c r="K40" s="30" t="str">
        <f t="shared" si="7"/>
        <v>OK</v>
      </c>
      <c r="L40" s="30" t="str">
        <f t="shared" si="7"/>
        <v>OK</v>
      </c>
      <c r="M40" s="30" t="str">
        <f t="shared" si="7"/>
        <v>OK</v>
      </c>
      <c r="N40" s="30" t="str">
        <f t="shared" si="7"/>
        <v>OK</v>
      </c>
      <c r="O40" s="30" t="str">
        <f t="shared" si="7"/>
        <v>OK</v>
      </c>
      <c r="P40" s="30" t="str">
        <f t="shared" si="7"/>
        <v>OK</v>
      </c>
      <c r="Q40" s="30" t="str">
        <f t="shared" si="7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N39" sqref="N3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29-05-2023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734</v>
      </c>
      <c r="B9" s="60">
        <v>5.2</v>
      </c>
      <c r="C9" s="60">
        <v>54.04</v>
      </c>
      <c r="D9" s="60">
        <v>33.72</v>
      </c>
      <c r="E9" s="60">
        <v>9.27</v>
      </c>
      <c r="F9" s="60">
        <v>7.21</v>
      </c>
      <c r="G9" s="60">
        <v>99.78</v>
      </c>
      <c r="H9" s="60">
        <v>34.450000000000003</v>
      </c>
      <c r="I9" s="60">
        <v>0.74</v>
      </c>
      <c r="J9" s="60">
        <v>0.65</v>
      </c>
      <c r="K9" s="60">
        <v>250.97</v>
      </c>
      <c r="L9" s="60">
        <v>27.98</v>
      </c>
      <c r="M9" s="60">
        <v>44.94</v>
      </c>
      <c r="N9" s="62" t="s">
        <v>14</v>
      </c>
      <c r="O9" s="60">
        <v>0</v>
      </c>
      <c r="P9" s="60">
        <v>1.01</v>
      </c>
      <c r="Q9" s="60">
        <v>27.53</v>
      </c>
      <c r="R9" s="44"/>
      <c r="S9" s="44"/>
      <c r="T9" s="44"/>
      <c r="U9" s="44"/>
    </row>
    <row r="10" spans="1:21" s="12" customFormat="1" x14ac:dyDescent="0.25">
      <c r="A10" s="59" t="s">
        <v>735</v>
      </c>
      <c r="B10" s="60">
        <v>3.94</v>
      </c>
      <c r="C10" s="60">
        <v>54.54</v>
      </c>
      <c r="D10" s="60">
        <v>33.9</v>
      </c>
      <c r="E10" s="60">
        <v>17.600000000000001</v>
      </c>
      <c r="F10" s="60">
        <v>39.659999999999997</v>
      </c>
      <c r="G10" s="60">
        <v>99.78</v>
      </c>
      <c r="H10" s="60">
        <v>35.869999999999997</v>
      </c>
      <c r="I10" s="60">
        <v>0.6</v>
      </c>
      <c r="J10" s="60">
        <v>0.61</v>
      </c>
      <c r="K10" s="60">
        <v>255.55</v>
      </c>
      <c r="L10" s="60">
        <v>26.83</v>
      </c>
      <c r="M10" s="60">
        <v>48.18</v>
      </c>
      <c r="N10" s="62" t="s">
        <v>14</v>
      </c>
      <c r="O10" s="60">
        <v>0</v>
      </c>
      <c r="P10" s="60">
        <v>0.87</v>
      </c>
      <c r="Q10" s="60">
        <v>29.6</v>
      </c>
      <c r="R10" s="44"/>
      <c r="S10" s="44"/>
      <c r="T10" s="44"/>
      <c r="U10" s="44"/>
    </row>
    <row r="11" spans="1:21" s="12" customFormat="1" x14ac:dyDescent="0.25">
      <c r="A11" s="59" t="s">
        <v>736</v>
      </c>
      <c r="B11" s="60">
        <v>3.66</v>
      </c>
      <c r="C11" s="60">
        <v>44.17</v>
      </c>
      <c r="D11" s="60">
        <v>26.96</v>
      </c>
      <c r="E11" s="60">
        <v>14.75</v>
      </c>
      <c r="F11" s="60">
        <v>36.229999999999997</v>
      </c>
      <c r="G11" s="60">
        <v>56.3</v>
      </c>
      <c r="H11" s="60">
        <v>35.869999999999997</v>
      </c>
      <c r="I11" s="60">
        <v>0.55000000000000004</v>
      </c>
      <c r="J11" s="60">
        <v>0.32</v>
      </c>
      <c r="K11" s="60">
        <v>229.54</v>
      </c>
      <c r="L11" s="60">
        <v>26.71</v>
      </c>
      <c r="M11" s="60">
        <v>46.24</v>
      </c>
      <c r="N11" s="62" t="s">
        <v>14</v>
      </c>
      <c r="O11" s="60">
        <v>0</v>
      </c>
      <c r="P11" s="60">
        <v>0.78</v>
      </c>
      <c r="Q11" s="60">
        <v>29.49</v>
      </c>
      <c r="R11" s="44"/>
      <c r="S11" s="44"/>
      <c r="T11" s="44"/>
      <c r="U11" s="44"/>
    </row>
    <row r="12" spans="1:21" s="12" customFormat="1" x14ac:dyDescent="0.25">
      <c r="A12" s="59" t="s">
        <v>737</v>
      </c>
      <c r="B12" s="60">
        <v>1.79</v>
      </c>
      <c r="C12" s="60">
        <v>44.7</v>
      </c>
      <c r="D12" s="60">
        <v>26.75</v>
      </c>
      <c r="E12" s="60">
        <v>4.7300000000000004</v>
      </c>
      <c r="F12" s="60">
        <v>9.3000000000000007</v>
      </c>
      <c r="G12" s="60">
        <v>43.52</v>
      </c>
      <c r="H12" s="60">
        <v>28.57</v>
      </c>
      <c r="I12" s="60">
        <v>0.63</v>
      </c>
      <c r="J12" s="60">
        <v>0.49</v>
      </c>
      <c r="K12" s="60">
        <v>258.44</v>
      </c>
      <c r="L12" s="60">
        <v>26.28</v>
      </c>
      <c r="M12" s="60">
        <v>46.27</v>
      </c>
      <c r="N12" s="60">
        <v>3.2</v>
      </c>
      <c r="O12" s="60">
        <v>0</v>
      </c>
      <c r="P12" s="60">
        <v>0.63</v>
      </c>
      <c r="Q12" s="60">
        <v>28.21</v>
      </c>
      <c r="R12" s="44"/>
      <c r="S12" s="44"/>
      <c r="T12" s="44"/>
      <c r="U12" s="44"/>
    </row>
    <row r="13" spans="1:21" s="12" customFormat="1" x14ac:dyDescent="0.25">
      <c r="A13" s="59" t="s">
        <v>738</v>
      </c>
      <c r="B13" s="60">
        <v>3.25</v>
      </c>
      <c r="C13" s="60">
        <v>43.37</v>
      </c>
      <c r="D13" s="60">
        <v>25.64</v>
      </c>
      <c r="E13" s="60">
        <v>10.49</v>
      </c>
      <c r="F13" s="60">
        <v>24.95</v>
      </c>
      <c r="G13" s="60">
        <v>33.92</v>
      </c>
      <c r="H13" s="60">
        <v>20.97</v>
      </c>
      <c r="I13" s="60">
        <v>0.65</v>
      </c>
      <c r="J13" s="60">
        <v>0.89</v>
      </c>
      <c r="K13" s="60">
        <v>261.8</v>
      </c>
      <c r="L13" s="60">
        <v>26.04</v>
      </c>
      <c r="M13" s="60">
        <v>49.15</v>
      </c>
      <c r="N13" s="60">
        <v>5.0999999999999996</v>
      </c>
      <c r="O13" s="60">
        <v>0</v>
      </c>
      <c r="P13" s="60">
        <v>0.45</v>
      </c>
      <c r="Q13" s="60">
        <v>28.59</v>
      </c>
      <c r="R13" s="44"/>
      <c r="S13" s="44"/>
      <c r="T13" s="44"/>
      <c r="U13" s="44"/>
    </row>
    <row r="14" spans="1:21" s="12" customFormat="1" x14ac:dyDescent="0.25">
      <c r="A14" s="59" t="s">
        <v>739</v>
      </c>
      <c r="B14" s="60">
        <v>5.03</v>
      </c>
      <c r="C14" s="60">
        <v>46.8</v>
      </c>
      <c r="D14" s="60">
        <v>30.5</v>
      </c>
      <c r="E14" s="60">
        <v>12.83</v>
      </c>
      <c r="F14" s="60">
        <v>27.22</v>
      </c>
      <c r="G14" s="60">
        <v>31.99</v>
      </c>
      <c r="H14" s="60">
        <v>20.97</v>
      </c>
      <c r="I14" s="60">
        <v>0.56999999999999995</v>
      </c>
      <c r="J14" s="60">
        <v>0.47</v>
      </c>
      <c r="K14" s="60">
        <v>252.02</v>
      </c>
      <c r="L14" s="60">
        <v>25.67</v>
      </c>
      <c r="M14" s="60">
        <v>50.76</v>
      </c>
      <c r="N14" s="60">
        <v>0.4</v>
      </c>
      <c r="O14" s="60">
        <v>0</v>
      </c>
      <c r="P14" s="60">
        <v>0.45</v>
      </c>
      <c r="Q14" s="60">
        <v>29.21</v>
      </c>
      <c r="R14" s="44"/>
      <c r="S14" s="44"/>
      <c r="T14" s="44"/>
      <c r="U14" s="44"/>
    </row>
    <row r="15" spans="1:21" s="12" customFormat="1" x14ac:dyDescent="0.25">
      <c r="A15" s="59" t="s">
        <v>740</v>
      </c>
      <c r="B15" s="60">
        <v>13.84</v>
      </c>
      <c r="C15" s="60">
        <v>59.78</v>
      </c>
      <c r="D15" s="60">
        <v>44.73</v>
      </c>
      <c r="E15" s="60">
        <v>4.3899999999999997</v>
      </c>
      <c r="F15" s="60">
        <v>3.93</v>
      </c>
      <c r="G15" s="60">
        <v>158.80000000000001</v>
      </c>
      <c r="H15" s="60">
        <v>33.6</v>
      </c>
      <c r="I15" s="60">
        <v>0.6</v>
      </c>
      <c r="J15" s="60">
        <v>0.53</v>
      </c>
      <c r="K15" s="60">
        <v>254.7</v>
      </c>
      <c r="L15" s="60">
        <v>27.63</v>
      </c>
      <c r="M15" s="60">
        <v>50.53</v>
      </c>
      <c r="N15" s="60">
        <v>77.2</v>
      </c>
      <c r="O15" s="60">
        <v>0</v>
      </c>
      <c r="P15" s="60">
        <v>0.72</v>
      </c>
      <c r="Q15" s="60">
        <v>28.47</v>
      </c>
      <c r="R15" s="44"/>
      <c r="S15" s="44"/>
      <c r="T15" s="44"/>
      <c r="U15" s="44"/>
    </row>
    <row r="16" spans="1:21" s="12" customFormat="1" x14ac:dyDescent="0.25">
      <c r="A16" s="59" t="s">
        <v>741</v>
      </c>
      <c r="B16" s="60">
        <v>21.4</v>
      </c>
      <c r="C16" s="60">
        <v>64.3</v>
      </c>
      <c r="D16" s="60">
        <v>53.3</v>
      </c>
      <c r="E16" s="60">
        <v>74.48</v>
      </c>
      <c r="F16" s="60">
        <v>19.23</v>
      </c>
      <c r="G16" s="60">
        <v>158.80000000000001</v>
      </c>
      <c r="H16" s="60">
        <v>42.81</v>
      </c>
      <c r="I16" s="60">
        <v>0.66</v>
      </c>
      <c r="J16" s="60">
        <v>0.65</v>
      </c>
      <c r="K16" s="60">
        <v>254.9</v>
      </c>
      <c r="L16" s="60">
        <v>30.74</v>
      </c>
      <c r="M16" s="60">
        <v>41.64</v>
      </c>
      <c r="N16" s="60">
        <v>25.2</v>
      </c>
      <c r="O16" s="60">
        <v>0</v>
      </c>
      <c r="P16" s="60">
        <v>0.86</v>
      </c>
      <c r="Q16" s="60">
        <v>28.42</v>
      </c>
      <c r="R16" s="44"/>
      <c r="S16" s="44"/>
      <c r="T16" s="44"/>
      <c r="U16" s="44"/>
    </row>
    <row r="17" spans="1:21" s="12" customFormat="1" x14ac:dyDescent="0.25">
      <c r="A17" s="59" t="s">
        <v>742</v>
      </c>
      <c r="B17" s="60">
        <v>17.850000000000001</v>
      </c>
      <c r="C17" s="60">
        <v>64.14</v>
      </c>
      <c r="D17" s="60">
        <v>48.9</v>
      </c>
      <c r="E17" s="60">
        <v>88.86</v>
      </c>
      <c r="F17" s="60">
        <v>24.57</v>
      </c>
      <c r="G17" s="60">
        <v>127.61</v>
      </c>
      <c r="H17" s="60">
        <v>45.79</v>
      </c>
      <c r="I17" s="60">
        <v>0.64</v>
      </c>
      <c r="J17" s="60">
        <v>0.91</v>
      </c>
      <c r="K17" s="60">
        <v>252.27</v>
      </c>
      <c r="L17" s="60">
        <v>32.42</v>
      </c>
      <c r="M17" s="60">
        <v>38.04</v>
      </c>
      <c r="N17" s="62" t="s">
        <v>14</v>
      </c>
      <c r="O17" s="60">
        <v>0</v>
      </c>
      <c r="P17" s="60">
        <v>0.95</v>
      </c>
      <c r="Q17" s="60">
        <v>29.29</v>
      </c>
      <c r="R17" s="44"/>
      <c r="S17" s="44"/>
      <c r="T17" s="44"/>
      <c r="U17" s="44"/>
    </row>
    <row r="18" spans="1:21" s="12" customFormat="1" x14ac:dyDescent="0.25">
      <c r="A18" s="59" t="s">
        <v>743</v>
      </c>
      <c r="B18" s="60">
        <v>13.86</v>
      </c>
      <c r="C18" s="60">
        <v>67.58</v>
      </c>
      <c r="D18" s="60">
        <v>47.77</v>
      </c>
      <c r="E18" s="60">
        <v>7.68</v>
      </c>
      <c r="F18" s="60">
        <v>6.31</v>
      </c>
      <c r="G18" s="60">
        <v>115.96</v>
      </c>
      <c r="H18" s="60">
        <v>45.79</v>
      </c>
      <c r="I18" s="60">
        <v>0.91</v>
      </c>
      <c r="J18" s="60">
        <v>0.89</v>
      </c>
      <c r="K18" s="60">
        <v>251.49</v>
      </c>
      <c r="L18" s="60">
        <v>30.35</v>
      </c>
      <c r="M18" s="60">
        <v>41.78</v>
      </c>
      <c r="N18" s="62" t="s">
        <v>14</v>
      </c>
      <c r="O18" s="60">
        <v>0</v>
      </c>
      <c r="P18" s="60">
        <v>0.98</v>
      </c>
      <c r="Q18" s="60">
        <v>29.02</v>
      </c>
      <c r="R18" s="44"/>
      <c r="S18" s="44"/>
      <c r="T18" s="44"/>
      <c r="U18" s="44"/>
    </row>
    <row r="19" spans="1:21" s="12" customFormat="1" x14ac:dyDescent="0.25">
      <c r="A19" s="59" t="s">
        <v>744</v>
      </c>
      <c r="B19" s="60">
        <v>14.93</v>
      </c>
      <c r="C19" s="60">
        <v>73.47</v>
      </c>
      <c r="D19" s="60">
        <v>53.17</v>
      </c>
      <c r="E19" s="60">
        <v>42.48</v>
      </c>
      <c r="F19" s="60">
        <v>49.26</v>
      </c>
      <c r="G19" s="60">
        <v>163.03</v>
      </c>
      <c r="H19" s="60">
        <v>43.03</v>
      </c>
      <c r="I19" s="60">
        <v>0.56999999999999995</v>
      </c>
      <c r="J19" s="60">
        <v>0.63</v>
      </c>
      <c r="K19" s="60">
        <v>247.43</v>
      </c>
      <c r="L19" s="60">
        <v>31.12</v>
      </c>
      <c r="M19" s="60">
        <v>41.57</v>
      </c>
      <c r="N19" s="62" t="s">
        <v>14</v>
      </c>
      <c r="O19" s="60">
        <v>0</v>
      </c>
      <c r="P19" s="60">
        <v>0.92</v>
      </c>
      <c r="Q19" s="60">
        <v>28.62</v>
      </c>
      <c r="R19" s="44"/>
      <c r="S19" s="44"/>
      <c r="T19" s="44"/>
      <c r="U19" s="44"/>
    </row>
    <row r="20" spans="1:21" s="12" customFormat="1" x14ac:dyDescent="0.25">
      <c r="A20" s="59" t="s">
        <v>745</v>
      </c>
      <c r="B20" s="60">
        <v>14.09</v>
      </c>
      <c r="C20" s="60">
        <v>71.66</v>
      </c>
      <c r="D20" s="60">
        <v>50.28</v>
      </c>
      <c r="E20" s="60">
        <v>42.47</v>
      </c>
      <c r="F20" s="60">
        <v>38.270000000000003</v>
      </c>
      <c r="G20" s="60">
        <v>163.03</v>
      </c>
      <c r="H20" s="60">
        <v>47.9</v>
      </c>
      <c r="I20" s="60">
        <v>0.72</v>
      </c>
      <c r="J20" s="60">
        <v>0.35</v>
      </c>
      <c r="K20" s="60">
        <v>265.87</v>
      </c>
      <c r="L20" s="60">
        <v>32.54</v>
      </c>
      <c r="M20" s="60">
        <v>43.59</v>
      </c>
      <c r="N20" s="62" t="s">
        <v>14</v>
      </c>
      <c r="O20" s="60">
        <v>0</v>
      </c>
      <c r="P20" s="60">
        <v>1.1200000000000001</v>
      </c>
      <c r="Q20" s="60">
        <v>28.55</v>
      </c>
      <c r="R20" s="44"/>
      <c r="S20" s="44"/>
      <c r="T20" s="44"/>
      <c r="U20" s="44"/>
    </row>
    <row r="21" spans="1:21" s="12" customFormat="1" x14ac:dyDescent="0.25">
      <c r="A21" s="59" t="s">
        <v>746</v>
      </c>
      <c r="B21" s="60">
        <v>5.67</v>
      </c>
      <c r="C21" s="60">
        <v>73.040000000000006</v>
      </c>
      <c r="D21" s="60">
        <v>45.5</v>
      </c>
      <c r="E21" s="60">
        <v>9.56</v>
      </c>
      <c r="F21" s="60">
        <v>16.95</v>
      </c>
      <c r="G21" s="60">
        <v>109.09</v>
      </c>
      <c r="H21" s="60">
        <v>47.9</v>
      </c>
      <c r="I21" s="60">
        <v>0.82</v>
      </c>
      <c r="J21" s="60">
        <v>0.79</v>
      </c>
      <c r="K21" s="60">
        <v>256.25</v>
      </c>
      <c r="L21" s="60">
        <v>35.81</v>
      </c>
      <c r="M21" s="60">
        <v>32.75</v>
      </c>
      <c r="N21" s="62" t="s">
        <v>14</v>
      </c>
      <c r="O21" s="60">
        <v>0</v>
      </c>
      <c r="P21" s="60">
        <v>1.1100000000000001</v>
      </c>
      <c r="Q21" s="60">
        <v>28.53</v>
      </c>
      <c r="R21" s="44"/>
      <c r="S21" s="44"/>
      <c r="T21" s="44"/>
      <c r="U21" s="44"/>
    </row>
    <row r="22" spans="1:21" s="12" customFormat="1" x14ac:dyDescent="0.25">
      <c r="A22" s="59" t="s">
        <v>747</v>
      </c>
      <c r="B22" s="60">
        <v>2.56</v>
      </c>
      <c r="C22" s="60">
        <v>47.99</v>
      </c>
      <c r="D22" s="60">
        <v>27.93</v>
      </c>
      <c r="E22" s="60">
        <v>17.03</v>
      </c>
      <c r="F22" s="60">
        <v>98.17</v>
      </c>
      <c r="G22" s="60">
        <v>109.09</v>
      </c>
      <c r="H22" s="60">
        <v>45.16</v>
      </c>
      <c r="I22" s="60">
        <v>0.67</v>
      </c>
      <c r="J22" s="60">
        <v>0.47</v>
      </c>
      <c r="K22" s="60">
        <v>260.89</v>
      </c>
      <c r="L22" s="60">
        <v>37.11</v>
      </c>
      <c r="M22" s="60">
        <v>29.96</v>
      </c>
      <c r="N22" s="62" t="s">
        <v>14</v>
      </c>
      <c r="O22" s="60">
        <v>0</v>
      </c>
      <c r="P22" s="60">
        <v>0.96</v>
      </c>
      <c r="Q22" s="60">
        <v>29.74</v>
      </c>
      <c r="R22" s="44"/>
      <c r="S22" s="44"/>
      <c r="T22" s="44"/>
      <c r="U22" s="44"/>
    </row>
    <row r="23" spans="1:21" s="12" customFormat="1" x14ac:dyDescent="0.25">
      <c r="A23" s="59" t="s">
        <v>748</v>
      </c>
      <c r="B23" s="60">
        <v>3.1</v>
      </c>
      <c r="C23" s="60">
        <v>49.62</v>
      </c>
      <c r="D23" s="60">
        <v>29.63</v>
      </c>
      <c r="E23" s="60">
        <v>13.51</v>
      </c>
      <c r="F23" s="60">
        <v>66.39</v>
      </c>
      <c r="G23" s="60">
        <v>76.56</v>
      </c>
      <c r="H23" s="60">
        <v>35.729999999999997</v>
      </c>
      <c r="I23" s="60">
        <v>0.75</v>
      </c>
      <c r="J23" s="60">
        <v>0.81</v>
      </c>
      <c r="K23" s="60">
        <v>247.57</v>
      </c>
      <c r="L23" s="60">
        <v>37.78</v>
      </c>
      <c r="M23" s="60">
        <v>25.49</v>
      </c>
      <c r="N23" s="62" t="s">
        <v>14</v>
      </c>
      <c r="O23" s="60">
        <v>0</v>
      </c>
      <c r="P23" s="60">
        <v>0.91</v>
      </c>
      <c r="Q23" s="60">
        <v>29.46</v>
      </c>
      <c r="R23" s="44"/>
      <c r="S23" s="44"/>
      <c r="T23" s="44"/>
      <c r="U23" s="44"/>
    </row>
    <row r="24" spans="1:21" s="12" customFormat="1" x14ac:dyDescent="0.25">
      <c r="A24" s="59" t="s">
        <v>749</v>
      </c>
      <c r="B24" s="60">
        <v>1.32</v>
      </c>
      <c r="C24" s="60">
        <v>50.8</v>
      </c>
      <c r="D24" s="60">
        <v>29.74</v>
      </c>
      <c r="E24" s="60">
        <v>5.35</v>
      </c>
      <c r="F24" s="60">
        <v>28.56</v>
      </c>
      <c r="G24" s="60">
        <v>159.66</v>
      </c>
      <c r="H24" s="60">
        <v>35.49</v>
      </c>
      <c r="I24" s="60">
        <v>0.95</v>
      </c>
      <c r="J24" s="60">
        <v>0.94</v>
      </c>
      <c r="K24" s="60">
        <v>244.37</v>
      </c>
      <c r="L24" s="60">
        <v>35.11</v>
      </c>
      <c r="M24" s="60">
        <v>29.15</v>
      </c>
      <c r="N24" s="62" t="s">
        <v>14</v>
      </c>
      <c r="O24" s="60">
        <v>0</v>
      </c>
      <c r="P24" s="60">
        <v>0.77</v>
      </c>
      <c r="Q24" s="60">
        <v>26.96</v>
      </c>
      <c r="R24" s="44"/>
      <c r="S24" s="44"/>
      <c r="T24" s="44"/>
      <c r="U24" s="44"/>
    </row>
    <row r="25" spans="1:21" s="12" customFormat="1" x14ac:dyDescent="0.25">
      <c r="A25" s="59" t="s">
        <v>750</v>
      </c>
      <c r="B25" s="60">
        <v>1.62</v>
      </c>
      <c r="C25" s="60">
        <v>29.72</v>
      </c>
      <c r="D25" s="60">
        <v>18.34</v>
      </c>
      <c r="E25" s="60">
        <v>12.7</v>
      </c>
      <c r="F25" s="60">
        <v>106.03</v>
      </c>
      <c r="G25" s="60">
        <v>159.66</v>
      </c>
      <c r="H25" s="60">
        <v>32.36</v>
      </c>
      <c r="I25" s="60">
        <v>0.64</v>
      </c>
      <c r="J25" s="60">
        <v>0.75</v>
      </c>
      <c r="K25" s="60">
        <v>222.6</v>
      </c>
      <c r="L25" s="60">
        <v>34.86</v>
      </c>
      <c r="M25" s="60">
        <v>25.93</v>
      </c>
      <c r="N25" s="62" t="s">
        <v>14</v>
      </c>
      <c r="O25" s="60">
        <v>0</v>
      </c>
      <c r="P25" s="60">
        <v>0.67</v>
      </c>
      <c r="Q25" s="60">
        <v>30.36</v>
      </c>
      <c r="R25" s="44"/>
      <c r="S25" s="44"/>
      <c r="T25" s="44"/>
      <c r="U25" s="44"/>
    </row>
    <row r="26" spans="1:21" s="12" customFormat="1" x14ac:dyDescent="0.25">
      <c r="A26" s="59" t="s">
        <v>751</v>
      </c>
      <c r="B26" s="60">
        <v>6.74</v>
      </c>
      <c r="C26" s="60">
        <v>44.89</v>
      </c>
      <c r="D26" s="60">
        <v>30.82</v>
      </c>
      <c r="E26" s="60">
        <v>13.41</v>
      </c>
      <c r="F26" s="60">
        <v>68.040000000000006</v>
      </c>
      <c r="G26" s="60">
        <v>44.98</v>
      </c>
      <c r="H26" s="60">
        <v>32.36</v>
      </c>
      <c r="I26" s="60">
        <v>0.74</v>
      </c>
      <c r="J26" s="60">
        <v>0.82</v>
      </c>
      <c r="K26" s="60">
        <v>247.58</v>
      </c>
      <c r="L26" s="60">
        <v>34.369999999999997</v>
      </c>
      <c r="M26" s="60">
        <v>25.87</v>
      </c>
      <c r="N26" s="62" t="s">
        <v>14</v>
      </c>
      <c r="O26" s="60">
        <v>0</v>
      </c>
      <c r="P26" s="60">
        <v>0.65</v>
      </c>
      <c r="Q26" s="60">
        <v>27.69</v>
      </c>
      <c r="R26" s="44"/>
      <c r="S26" s="44"/>
      <c r="T26" s="44"/>
      <c r="U26" s="44"/>
    </row>
    <row r="27" spans="1:21" s="12" customFormat="1" x14ac:dyDescent="0.25">
      <c r="A27" s="59" t="s">
        <v>752</v>
      </c>
      <c r="B27" s="60">
        <v>7.62</v>
      </c>
      <c r="C27" s="60">
        <v>95.76</v>
      </c>
      <c r="D27" s="60">
        <v>59.6</v>
      </c>
      <c r="E27" s="60">
        <v>10.45</v>
      </c>
      <c r="F27" s="60">
        <v>27.99</v>
      </c>
      <c r="G27" s="60">
        <v>59.74</v>
      </c>
      <c r="H27" s="60">
        <v>30.68</v>
      </c>
      <c r="I27" s="60">
        <v>0.85</v>
      </c>
      <c r="J27" s="60">
        <v>0.81</v>
      </c>
      <c r="K27" s="60">
        <v>208.38</v>
      </c>
      <c r="L27" s="60">
        <v>33.68</v>
      </c>
      <c r="M27" s="60">
        <v>30.88</v>
      </c>
      <c r="N27" s="62" t="s">
        <v>14</v>
      </c>
      <c r="O27" s="60">
        <v>0</v>
      </c>
      <c r="P27" s="60">
        <v>0.71</v>
      </c>
      <c r="Q27" s="60">
        <v>26.01</v>
      </c>
      <c r="R27" s="44"/>
      <c r="S27" s="44"/>
      <c r="T27" s="44"/>
      <c r="U27" s="44"/>
    </row>
    <row r="28" spans="1:21" s="12" customFormat="1" x14ac:dyDescent="0.25">
      <c r="A28" s="59" t="s">
        <v>753</v>
      </c>
      <c r="B28" s="60">
        <v>64.13</v>
      </c>
      <c r="C28" s="60">
        <v>153.69999999999999</v>
      </c>
      <c r="D28" s="60">
        <v>132.97</v>
      </c>
      <c r="E28" s="60">
        <v>17.87</v>
      </c>
      <c r="F28" s="60">
        <v>61.52</v>
      </c>
      <c r="G28" s="60">
        <v>111.87</v>
      </c>
      <c r="H28" s="60">
        <v>41.96</v>
      </c>
      <c r="I28" s="60">
        <v>0.82</v>
      </c>
      <c r="J28" s="60">
        <v>0.31</v>
      </c>
      <c r="K28" s="60">
        <v>240.79</v>
      </c>
      <c r="L28" s="60">
        <v>32.46</v>
      </c>
      <c r="M28" s="60">
        <v>40.28</v>
      </c>
      <c r="N28" s="60">
        <v>5.3</v>
      </c>
      <c r="O28" s="60">
        <v>0</v>
      </c>
      <c r="P28" s="60">
        <v>1.01</v>
      </c>
      <c r="Q28" s="60">
        <v>25.4</v>
      </c>
      <c r="R28" s="44"/>
      <c r="S28" s="44"/>
      <c r="T28" s="44"/>
      <c r="U28" s="44"/>
    </row>
    <row r="29" spans="1:21" s="12" customFormat="1" x14ac:dyDescent="0.25">
      <c r="A29" s="59" t="s">
        <v>754</v>
      </c>
      <c r="B29" s="60">
        <v>77.94</v>
      </c>
      <c r="C29" s="60">
        <v>124.68</v>
      </c>
      <c r="D29" s="60">
        <v>125.94</v>
      </c>
      <c r="E29" s="60">
        <v>12.96</v>
      </c>
      <c r="F29" s="60">
        <v>4.8499999999999996</v>
      </c>
      <c r="G29" s="60">
        <v>203.94</v>
      </c>
      <c r="H29" s="60">
        <v>52.26</v>
      </c>
      <c r="I29" s="60">
        <v>1.33</v>
      </c>
      <c r="J29" s="60">
        <v>0.17</v>
      </c>
      <c r="K29" s="60">
        <v>257.17</v>
      </c>
      <c r="L29" s="60">
        <v>30.27</v>
      </c>
      <c r="M29" s="60">
        <v>46.33</v>
      </c>
      <c r="N29" s="60">
        <v>5.3</v>
      </c>
      <c r="O29" s="60">
        <v>0</v>
      </c>
      <c r="P29" s="60">
        <v>2.48</v>
      </c>
      <c r="Q29" s="60">
        <v>24.94</v>
      </c>
      <c r="R29" s="44"/>
      <c r="S29" s="44"/>
      <c r="T29" s="44"/>
      <c r="U29" s="44"/>
    </row>
    <row r="30" spans="1:21" s="12" customFormat="1" x14ac:dyDescent="0.25">
      <c r="A30" s="59" t="s">
        <v>755</v>
      </c>
      <c r="B30" s="60">
        <v>106.59</v>
      </c>
      <c r="C30" s="60">
        <v>127.1</v>
      </c>
      <c r="D30" s="60">
        <v>156.27000000000001</v>
      </c>
      <c r="E30" s="60">
        <v>7.72</v>
      </c>
      <c r="F30" s="60">
        <v>4.97</v>
      </c>
      <c r="G30" s="60">
        <v>216.85</v>
      </c>
      <c r="H30" s="60">
        <v>71.92</v>
      </c>
      <c r="I30" s="60">
        <v>1.33</v>
      </c>
      <c r="J30" s="60">
        <v>0.19</v>
      </c>
      <c r="K30" s="60">
        <v>288.10000000000002</v>
      </c>
      <c r="L30" s="60">
        <v>29.36</v>
      </c>
      <c r="M30" s="60">
        <v>49.3</v>
      </c>
      <c r="N30" s="60">
        <v>5.2</v>
      </c>
      <c r="O30" s="60">
        <v>0</v>
      </c>
      <c r="P30" s="60">
        <v>3.44</v>
      </c>
      <c r="Q30" s="60">
        <v>30.62</v>
      </c>
      <c r="R30" s="44"/>
      <c r="S30" s="44"/>
      <c r="T30" s="44"/>
      <c r="U30" s="44"/>
    </row>
    <row r="31" spans="1:21" s="12" customFormat="1" x14ac:dyDescent="0.25">
      <c r="A31" s="59" t="s">
        <v>756</v>
      </c>
      <c r="B31" s="60">
        <v>70.819999999999993</v>
      </c>
      <c r="C31" s="60">
        <v>126.69</v>
      </c>
      <c r="D31" s="60">
        <v>127.36</v>
      </c>
      <c r="E31" s="60">
        <v>11.57</v>
      </c>
      <c r="F31" s="60">
        <v>42.67</v>
      </c>
      <c r="G31" s="60">
        <v>216.85</v>
      </c>
      <c r="H31" s="60">
        <v>72.8</v>
      </c>
      <c r="I31" s="60">
        <v>1.43</v>
      </c>
      <c r="J31" s="60">
        <v>0.45</v>
      </c>
      <c r="K31" s="60">
        <v>253.64</v>
      </c>
      <c r="L31" s="60">
        <v>29.59</v>
      </c>
      <c r="M31" s="60">
        <v>47.86</v>
      </c>
      <c r="N31" s="60">
        <v>5.0999999999999996</v>
      </c>
      <c r="O31" s="60">
        <v>0</v>
      </c>
      <c r="P31" s="60">
        <v>3.52</v>
      </c>
      <c r="Q31" s="60">
        <v>40.97</v>
      </c>
      <c r="R31" s="44"/>
      <c r="S31" s="44"/>
      <c r="T31" s="44"/>
      <c r="U31" s="44"/>
    </row>
    <row r="32" spans="1:21" s="12" customFormat="1" x14ac:dyDescent="0.25">
      <c r="A32" s="59" t="s">
        <v>757</v>
      </c>
      <c r="B32" s="60">
        <v>43.57</v>
      </c>
      <c r="C32" s="60">
        <v>68.78</v>
      </c>
      <c r="D32" s="60">
        <v>73.55</v>
      </c>
      <c r="E32" s="60">
        <v>10.57</v>
      </c>
      <c r="F32" s="60">
        <v>16.11</v>
      </c>
      <c r="G32" s="60">
        <v>175.58</v>
      </c>
      <c r="H32" s="60">
        <v>72.8</v>
      </c>
      <c r="I32" s="60">
        <v>1.05</v>
      </c>
      <c r="J32" s="60">
        <v>0.78</v>
      </c>
      <c r="K32" s="60">
        <v>237.2</v>
      </c>
      <c r="L32" s="60">
        <v>29.44</v>
      </c>
      <c r="M32" s="60">
        <v>45.09</v>
      </c>
      <c r="N32" s="60">
        <v>5.5</v>
      </c>
      <c r="O32" s="60">
        <v>0</v>
      </c>
      <c r="P32" s="60">
        <v>3.14</v>
      </c>
      <c r="Q32" s="60">
        <v>37.39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1.32</v>
      </c>
      <c r="C34" s="29">
        <f t="shared" si="0"/>
        <v>29.72</v>
      </c>
      <c r="D34" s="29">
        <f t="shared" si="0"/>
        <v>18.34</v>
      </c>
      <c r="E34" s="29">
        <f t="shared" si="0"/>
        <v>4.3899999999999997</v>
      </c>
      <c r="F34" s="29">
        <f t="shared" si="0"/>
        <v>3.93</v>
      </c>
      <c r="G34" s="29">
        <f t="shared" si="0"/>
        <v>31.99</v>
      </c>
      <c r="H34" s="29">
        <f t="shared" si="0"/>
        <v>20.97</v>
      </c>
      <c r="I34" s="29">
        <f t="shared" si="0"/>
        <v>0.55000000000000004</v>
      </c>
      <c r="J34" s="29">
        <f t="shared" si="0"/>
        <v>0.17</v>
      </c>
      <c r="K34" s="29">
        <f t="shared" si="0"/>
        <v>208.38</v>
      </c>
      <c r="L34" s="29">
        <f t="shared" si="0"/>
        <v>25.67</v>
      </c>
      <c r="M34" s="29">
        <f t="shared" si="0"/>
        <v>25.49</v>
      </c>
      <c r="N34" s="29">
        <f t="shared" si="0"/>
        <v>0.4</v>
      </c>
      <c r="O34" s="29">
        <f t="shared" si="0"/>
        <v>0</v>
      </c>
      <c r="P34" s="29">
        <f t="shared" si="0"/>
        <v>0.45</v>
      </c>
      <c r="Q34" s="29">
        <f t="shared" si="0"/>
        <v>24.94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106.59</v>
      </c>
      <c r="C35" s="30">
        <f t="shared" si="1"/>
        <v>153.69999999999999</v>
      </c>
      <c r="D35" s="30">
        <f t="shared" si="1"/>
        <v>156.27000000000001</v>
      </c>
      <c r="E35" s="30">
        <f t="shared" si="1"/>
        <v>88.86</v>
      </c>
      <c r="F35" s="30">
        <f t="shared" si="1"/>
        <v>106.03</v>
      </c>
      <c r="G35" s="30">
        <f t="shared" si="1"/>
        <v>216.85</v>
      </c>
      <c r="H35" s="30">
        <f t="shared" si="1"/>
        <v>72.8</v>
      </c>
      <c r="I35" s="30">
        <f t="shared" si="1"/>
        <v>1.43</v>
      </c>
      <c r="J35" s="30">
        <f t="shared" si="1"/>
        <v>0.94</v>
      </c>
      <c r="K35" s="30">
        <f t="shared" si="1"/>
        <v>288.10000000000002</v>
      </c>
      <c r="L35" s="30">
        <f t="shared" si="1"/>
        <v>37.78</v>
      </c>
      <c r="M35" s="30">
        <f t="shared" si="1"/>
        <v>50.76</v>
      </c>
      <c r="N35" s="30">
        <f t="shared" si="1"/>
        <v>77.2</v>
      </c>
      <c r="O35" s="30">
        <f t="shared" si="1"/>
        <v>0</v>
      </c>
      <c r="P35" s="30">
        <f t="shared" si="1"/>
        <v>3.52</v>
      </c>
      <c r="Q35" s="30">
        <f t="shared" si="1"/>
        <v>40.97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21.271666666666665</v>
      </c>
      <c r="C36" s="29">
        <f t="shared" si="2"/>
        <v>70.054999999999993</v>
      </c>
      <c r="D36" s="29">
        <f t="shared" si="2"/>
        <v>55.552916666666668</v>
      </c>
      <c r="E36" s="29">
        <f t="shared" si="2"/>
        <v>19.697083333333339</v>
      </c>
      <c r="F36" s="29">
        <f t="shared" si="2"/>
        <v>34.516249999999999</v>
      </c>
      <c r="G36" s="29">
        <f t="shared" si="2"/>
        <v>120.68291666666666</v>
      </c>
      <c r="H36" s="29">
        <f t="shared" si="2"/>
        <v>41.959999999999994</v>
      </c>
      <c r="I36" s="29">
        <f t="shared" si="2"/>
        <v>0.8008333333333334</v>
      </c>
      <c r="J36" s="29">
        <f t="shared" si="2"/>
        <v>0.61166666666666669</v>
      </c>
      <c r="K36" s="29">
        <f t="shared" si="2"/>
        <v>249.98000000000002</v>
      </c>
      <c r="L36" s="29">
        <f t="shared" si="2"/>
        <v>31.006250000000009</v>
      </c>
      <c r="M36" s="29">
        <f t="shared" si="2"/>
        <v>40.482500000000002</v>
      </c>
      <c r="N36" s="29">
        <f t="shared" si="2"/>
        <v>13.75</v>
      </c>
      <c r="O36" s="29">
        <f t="shared" si="2"/>
        <v>0</v>
      </c>
      <c r="P36" s="29">
        <f t="shared" si="2"/>
        <v>1.2129166666666669</v>
      </c>
      <c r="Q36" s="29">
        <f t="shared" si="2"/>
        <v>29.294583333333339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29.069476994841569</v>
      </c>
      <c r="C37" s="29">
        <f t="shared" ref="C37:Q37" si="3">STDEV(C9:C32)</f>
        <v>32.239422532318912</v>
      </c>
      <c r="D37" s="29">
        <f t="shared" si="3"/>
        <v>39.100075000391399</v>
      </c>
      <c r="E37" s="29">
        <f t="shared" si="3"/>
        <v>21.431503929692042</v>
      </c>
      <c r="F37" s="29">
        <f t="shared" si="3"/>
        <v>28.307927114149493</v>
      </c>
      <c r="G37" s="29">
        <f t="shared" si="3"/>
        <v>57.539542961051296</v>
      </c>
      <c r="H37" s="29">
        <f t="shared" si="3"/>
        <v>14.250958167633943</v>
      </c>
      <c r="I37" s="29">
        <f t="shared" si="3"/>
        <v>0.25217172662720272</v>
      </c>
      <c r="J37" s="29">
        <f t="shared" si="3"/>
        <v>0.23419922152372513</v>
      </c>
      <c r="K37" s="29">
        <f t="shared" si="3"/>
        <v>15.359268551424666</v>
      </c>
      <c r="L37" s="29">
        <f t="shared" si="3"/>
        <v>3.6295535867555726</v>
      </c>
      <c r="M37" s="29">
        <f t="shared" si="3"/>
        <v>8.536776323648148</v>
      </c>
      <c r="N37" s="29">
        <f t="shared" si="3"/>
        <v>23.286011537687887</v>
      </c>
      <c r="O37" s="29">
        <f t="shared" si="3"/>
        <v>0</v>
      </c>
      <c r="P37" s="29">
        <f t="shared" si="3"/>
        <v>0.91616629953616857</v>
      </c>
      <c r="Q37" s="29">
        <f t="shared" si="3"/>
        <v>3.4004590216573334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>COUNT(N9:N32)+14</f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F54" sqref="F54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6" width="9.140625" style="21" customWidth="1"/>
    <col min="17" max="17" width="14.5703125" style="21" customWidth="1"/>
    <col min="18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30-05-2023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758</v>
      </c>
      <c r="B9" s="60">
        <v>22.67</v>
      </c>
      <c r="C9" s="60">
        <v>66.13</v>
      </c>
      <c r="D9" s="60">
        <v>55.32</v>
      </c>
      <c r="E9" s="60">
        <v>3.24</v>
      </c>
      <c r="F9" s="60">
        <v>22.71</v>
      </c>
      <c r="G9" s="60">
        <v>62.63</v>
      </c>
      <c r="H9" s="60">
        <v>61</v>
      </c>
      <c r="I9" s="60">
        <v>1.24</v>
      </c>
      <c r="J9" s="60">
        <v>0.94</v>
      </c>
      <c r="K9" s="60">
        <v>219.39</v>
      </c>
      <c r="L9" s="60">
        <v>28.76</v>
      </c>
      <c r="M9" s="60">
        <v>45.02</v>
      </c>
      <c r="N9" s="60">
        <v>5.0999999999999996</v>
      </c>
      <c r="O9" s="60">
        <v>0</v>
      </c>
      <c r="P9" s="60">
        <v>2.2599999999999998</v>
      </c>
      <c r="Q9" s="60">
        <v>31.83</v>
      </c>
      <c r="R9" s="44"/>
      <c r="S9" s="44"/>
      <c r="T9" s="44"/>
      <c r="U9" s="44"/>
    </row>
    <row r="10" spans="1:21" s="12" customFormat="1" x14ac:dyDescent="0.25">
      <c r="A10" s="59" t="s">
        <v>759</v>
      </c>
      <c r="B10" s="60">
        <v>4.6100000000000003</v>
      </c>
      <c r="C10" s="60">
        <v>39.64</v>
      </c>
      <c r="D10" s="60">
        <v>26.22</v>
      </c>
      <c r="E10" s="60">
        <v>4.84</v>
      </c>
      <c r="F10" s="60">
        <v>40.28</v>
      </c>
      <c r="G10" s="60">
        <v>61.72</v>
      </c>
      <c r="H10" s="60">
        <v>49.39</v>
      </c>
      <c r="I10" s="60">
        <v>0.76</v>
      </c>
      <c r="J10" s="60">
        <v>0.89</v>
      </c>
      <c r="K10" s="60">
        <v>198.06</v>
      </c>
      <c r="L10" s="60">
        <v>28.14</v>
      </c>
      <c r="M10" s="60">
        <v>48.96</v>
      </c>
      <c r="N10" s="62" t="s">
        <v>14</v>
      </c>
      <c r="O10" s="60">
        <v>0</v>
      </c>
      <c r="P10" s="60">
        <v>1.58</v>
      </c>
      <c r="Q10" s="60">
        <v>31.48</v>
      </c>
      <c r="R10" s="44"/>
      <c r="S10" s="44"/>
      <c r="T10" s="44"/>
      <c r="U10" s="44"/>
    </row>
    <row r="11" spans="1:21" s="12" customFormat="1" x14ac:dyDescent="0.25">
      <c r="A11" s="59" t="s">
        <v>760</v>
      </c>
      <c r="B11" s="60">
        <v>6.71</v>
      </c>
      <c r="C11" s="60">
        <v>51.15</v>
      </c>
      <c r="D11" s="60">
        <v>33.119999999999997</v>
      </c>
      <c r="E11" s="60">
        <v>2.54</v>
      </c>
      <c r="F11" s="60">
        <v>7.97</v>
      </c>
      <c r="G11" s="60">
        <v>45.57</v>
      </c>
      <c r="H11" s="60">
        <v>35.090000000000003</v>
      </c>
      <c r="I11" s="60">
        <v>0.83</v>
      </c>
      <c r="J11" s="60">
        <v>1.08</v>
      </c>
      <c r="K11" s="60">
        <v>181.73</v>
      </c>
      <c r="L11" s="60">
        <v>27.42</v>
      </c>
      <c r="M11" s="60">
        <v>51.29</v>
      </c>
      <c r="N11" s="62" t="s">
        <v>14</v>
      </c>
      <c r="O11" s="60">
        <v>0</v>
      </c>
      <c r="P11" s="60">
        <v>1.41</v>
      </c>
      <c r="Q11" s="60">
        <v>30.31</v>
      </c>
      <c r="R11" s="44"/>
      <c r="S11" s="44"/>
      <c r="T11" s="44"/>
      <c r="U11" s="44"/>
    </row>
    <row r="12" spans="1:21" s="12" customFormat="1" x14ac:dyDescent="0.25">
      <c r="A12" s="59" t="s">
        <v>761</v>
      </c>
      <c r="B12" s="60">
        <v>1.69</v>
      </c>
      <c r="C12" s="60">
        <v>49.87</v>
      </c>
      <c r="D12" s="60">
        <v>29.53</v>
      </c>
      <c r="E12" s="60">
        <v>1.97</v>
      </c>
      <c r="F12" s="60">
        <v>29.28</v>
      </c>
      <c r="G12" s="60">
        <v>35.44</v>
      </c>
      <c r="H12" s="60">
        <v>28.78</v>
      </c>
      <c r="I12" s="60">
        <v>0.78</v>
      </c>
      <c r="J12" s="60">
        <v>0.91</v>
      </c>
      <c r="K12" s="60">
        <v>239.9</v>
      </c>
      <c r="L12" s="60">
        <v>26.96</v>
      </c>
      <c r="M12" s="60">
        <v>56.11</v>
      </c>
      <c r="N12" s="62" t="s">
        <v>14</v>
      </c>
      <c r="O12" s="60">
        <v>0</v>
      </c>
      <c r="P12" s="60">
        <v>1.01</v>
      </c>
      <c r="Q12" s="60">
        <v>28.32</v>
      </c>
      <c r="R12" s="44"/>
      <c r="S12" s="44"/>
      <c r="T12" s="44"/>
      <c r="U12" s="44"/>
    </row>
    <row r="13" spans="1:21" s="12" customFormat="1" x14ac:dyDescent="0.25">
      <c r="A13" s="59" t="s">
        <v>762</v>
      </c>
      <c r="B13" s="60">
        <v>1.36</v>
      </c>
      <c r="C13" s="60">
        <v>30.46</v>
      </c>
      <c r="D13" s="60">
        <v>18.55</v>
      </c>
      <c r="E13" s="60">
        <v>3.25</v>
      </c>
      <c r="F13" s="60">
        <v>28.32</v>
      </c>
      <c r="G13" s="60">
        <v>35.520000000000003</v>
      </c>
      <c r="H13" s="60">
        <v>23.01</v>
      </c>
      <c r="I13" s="60">
        <v>0.68</v>
      </c>
      <c r="J13" s="60">
        <v>0.13</v>
      </c>
      <c r="K13" s="60">
        <v>242.24</v>
      </c>
      <c r="L13" s="60">
        <v>26.06</v>
      </c>
      <c r="M13" s="60">
        <v>57.84</v>
      </c>
      <c r="N13" s="62" t="s">
        <v>14</v>
      </c>
      <c r="O13" s="60">
        <v>0</v>
      </c>
      <c r="P13" s="60">
        <v>0.81</v>
      </c>
      <c r="Q13" s="60">
        <v>30.37</v>
      </c>
      <c r="R13" s="44"/>
      <c r="S13" s="44"/>
      <c r="T13" s="44"/>
      <c r="U13" s="44"/>
    </row>
    <row r="14" spans="1:21" s="12" customFormat="1" x14ac:dyDescent="0.25">
      <c r="A14" s="59" t="s">
        <v>763</v>
      </c>
      <c r="B14" s="60">
        <v>2.64</v>
      </c>
      <c r="C14" s="60">
        <v>47.97</v>
      </c>
      <c r="D14" s="60">
        <v>29.15</v>
      </c>
      <c r="E14" s="60">
        <v>2.74</v>
      </c>
      <c r="F14" s="60">
        <v>5.71</v>
      </c>
      <c r="G14" s="60">
        <v>44.9</v>
      </c>
      <c r="H14" s="60">
        <v>25.29</v>
      </c>
      <c r="I14" s="60">
        <v>0.82</v>
      </c>
      <c r="J14" s="60">
        <v>0.03</v>
      </c>
      <c r="K14" s="60">
        <v>298.23</v>
      </c>
      <c r="L14" s="60">
        <v>26.45</v>
      </c>
      <c r="M14" s="60">
        <v>55.16</v>
      </c>
      <c r="N14" s="62" t="s">
        <v>14</v>
      </c>
      <c r="O14" s="60">
        <v>0</v>
      </c>
      <c r="P14" s="60">
        <v>0.75</v>
      </c>
      <c r="Q14" s="60">
        <v>28.88</v>
      </c>
      <c r="R14" s="44"/>
      <c r="S14" s="44"/>
      <c r="T14" s="44"/>
      <c r="U14" s="44"/>
    </row>
    <row r="15" spans="1:21" s="12" customFormat="1" x14ac:dyDescent="0.25">
      <c r="A15" s="59" t="s">
        <v>764</v>
      </c>
      <c r="B15" s="60">
        <v>3.11</v>
      </c>
      <c r="C15" s="60">
        <v>50.27</v>
      </c>
      <c r="D15" s="60">
        <v>30.78</v>
      </c>
      <c r="E15" s="60">
        <v>2.2000000000000002</v>
      </c>
      <c r="F15" s="60">
        <v>9.7100000000000009</v>
      </c>
      <c r="G15" s="60">
        <v>76.12</v>
      </c>
      <c r="H15" s="60">
        <v>27.2</v>
      </c>
      <c r="I15" s="60">
        <v>0.8</v>
      </c>
      <c r="J15" s="60">
        <v>0.02</v>
      </c>
      <c r="K15" s="60">
        <v>248.55</v>
      </c>
      <c r="L15" s="60">
        <v>29</v>
      </c>
      <c r="M15" s="60">
        <v>52.51</v>
      </c>
      <c r="N15" s="62" t="s">
        <v>14</v>
      </c>
      <c r="O15" s="60">
        <v>0</v>
      </c>
      <c r="P15" s="60">
        <v>0.79</v>
      </c>
      <c r="Q15" s="60">
        <v>27.32</v>
      </c>
      <c r="R15" s="44"/>
      <c r="S15" s="44"/>
      <c r="T15" s="44"/>
      <c r="U15" s="44"/>
    </row>
    <row r="16" spans="1:21" s="12" customFormat="1" x14ac:dyDescent="0.25">
      <c r="A16" s="59" t="s">
        <v>765</v>
      </c>
      <c r="B16" s="60">
        <v>2.83</v>
      </c>
      <c r="C16" s="60">
        <v>48.61</v>
      </c>
      <c r="D16" s="60">
        <v>29.68</v>
      </c>
      <c r="E16" s="60">
        <v>1.94</v>
      </c>
      <c r="F16" s="60">
        <v>16.79</v>
      </c>
      <c r="G16" s="60">
        <v>76.12</v>
      </c>
      <c r="H16" s="60">
        <v>29.15</v>
      </c>
      <c r="I16" s="60">
        <v>0.74</v>
      </c>
      <c r="J16" s="60">
        <v>0.09</v>
      </c>
      <c r="K16" s="60">
        <v>322.08999999999997</v>
      </c>
      <c r="L16" s="60">
        <v>31.26</v>
      </c>
      <c r="M16" s="60">
        <v>44.77</v>
      </c>
      <c r="N16" s="62" t="s">
        <v>14</v>
      </c>
      <c r="O16" s="60">
        <v>0</v>
      </c>
      <c r="P16" s="60">
        <v>0.84</v>
      </c>
      <c r="Q16" s="60">
        <v>26.43</v>
      </c>
      <c r="R16" s="44"/>
      <c r="S16" s="44"/>
      <c r="T16" s="44"/>
      <c r="U16" s="44"/>
    </row>
    <row r="17" spans="1:21" s="12" customFormat="1" x14ac:dyDescent="0.25">
      <c r="A17" s="59" t="s">
        <v>766</v>
      </c>
      <c r="B17" s="60">
        <v>1.88</v>
      </c>
      <c r="C17" s="60">
        <v>50.33</v>
      </c>
      <c r="D17" s="60">
        <v>29.93</v>
      </c>
      <c r="E17" s="60">
        <v>2.13</v>
      </c>
      <c r="F17" s="60">
        <v>7.7</v>
      </c>
      <c r="G17" s="60">
        <v>55.36</v>
      </c>
      <c r="H17" s="60">
        <v>29.15</v>
      </c>
      <c r="I17" s="60">
        <v>0.73</v>
      </c>
      <c r="J17" s="60">
        <v>0.15</v>
      </c>
      <c r="K17" s="60">
        <v>54.38</v>
      </c>
      <c r="L17" s="60">
        <v>33.93</v>
      </c>
      <c r="M17" s="60">
        <v>41.29</v>
      </c>
      <c r="N17" s="62" t="s">
        <v>14</v>
      </c>
      <c r="O17" s="60">
        <v>0</v>
      </c>
      <c r="P17" s="60">
        <v>0.79</v>
      </c>
      <c r="Q17" s="60">
        <v>25.21</v>
      </c>
      <c r="R17" s="44"/>
      <c r="S17" s="44"/>
      <c r="T17" s="44"/>
      <c r="U17" s="44"/>
    </row>
    <row r="18" spans="1:21" s="12" customFormat="1" x14ac:dyDescent="0.25">
      <c r="A18" s="59" t="s">
        <v>767</v>
      </c>
      <c r="B18" s="60">
        <v>1.07</v>
      </c>
      <c r="C18" s="60">
        <v>49.76</v>
      </c>
      <c r="D18" s="60">
        <v>28.91</v>
      </c>
      <c r="E18" s="60">
        <v>4.12</v>
      </c>
      <c r="F18" s="60">
        <v>27.62</v>
      </c>
      <c r="G18" s="60">
        <v>63.32</v>
      </c>
      <c r="H18" s="60">
        <v>32.67</v>
      </c>
      <c r="I18" s="60">
        <v>0.7</v>
      </c>
      <c r="J18" s="60">
        <v>0.1</v>
      </c>
      <c r="K18" s="60">
        <v>350.01</v>
      </c>
      <c r="L18" s="60">
        <v>35.07</v>
      </c>
      <c r="M18" s="60">
        <v>36.159999999999997</v>
      </c>
      <c r="N18" s="62" t="s">
        <v>14</v>
      </c>
      <c r="O18" s="60">
        <v>0</v>
      </c>
      <c r="P18" s="60">
        <v>0.87</v>
      </c>
      <c r="Q18" s="60">
        <v>24.94</v>
      </c>
      <c r="R18" s="44"/>
      <c r="S18" s="44"/>
      <c r="T18" s="44"/>
      <c r="U18" s="44"/>
    </row>
    <row r="19" spans="1:21" s="12" customFormat="1" x14ac:dyDescent="0.25">
      <c r="A19" s="59" t="s">
        <v>768</v>
      </c>
      <c r="B19" s="60">
        <v>2.5299999999999998</v>
      </c>
      <c r="C19" s="60">
        <v>49.55</v>
      </c>
      <c r="D19" s="60">
        <v>29.73</v>
      </c>
      <c r="E19" s="60">
        <v>7.05</v>
      </c>
      <c r="F19" s="60">
        <v>37.299999999999997</v>
      </c>
      <c r="G19" s="60">
        <v>65.31</v>
      </c>
      <c r="H19" s="60">
        <v>32.83</v>
      </c>
      <c r="I19" s="60">
        <v>0.62</v>
      </c>
      <c r="J19" s="60">
        <v>0.38</v>
      </c>
      <c r="K19" s="60">
        <v>324.05</v>
      </c>
      <c r="L19" s="60">
        <v>35.82</v>
      </c>
      <c r="M19" s="60">
        <v>31.24</v>
      </c>
      <c r="N19" s="62" t="s">
        <v>14</v>
      </c>
      <c r="O19" s="60">
        <v>0</v>
      </c>
      <c r="P19" s="60">
        <v>0.94</v>
      </c>
      <c r="Q19" s="60">
        <v>24.84</v>
      </c>
      <c r="R19" s="44"/>
      <c r="S19" s="44"/>
      <c r="T19" s="44"/>
      <c r="U19" s="44"/>
    </row>
    <row r="20" spans="1:21" s="12" customFormat="1" x14ac:dyDescent="0.25">
      <c r="A20" s="59" t="s">
        <v>769</v>
      </c>
      <c r="B20" s="60">
        <v>1.1399999999999999</v>
      </c>
      <c r="C20" s="60">
        <v>54.94</v>
      </c>
      <c r="D20" s="60">
        <v>31.85</v>
      </c>
      <c r="E20" s="60">
        <v>5.64</v>
      </c>
      <c r="F20" s="60">
        <v>15.95</v>
      </c>
      <c r="G20" s="60">
        <v>65.459999999999994</v>
      </c>
      <c r="H20" s="60">
        <v>32.83</v>
      </c>
      <c r="I20" s="60">
        <v>0.64</v>
      </c>
      <c r="J20" s="60">
        <v>0.96</v>
      </c>
      <c r="K20" s="60">
        <v>248.02</v>
      </c>
      <c r="L20" s="60">
        <v>37.85</v>
      </c>
      <c r="M20" s="60">
        <v>29.71</v>
      </c>
      <c r="N20" s="62" t="s">
        <v>14</v>
      </c>
      <c r="O20" s="60">
        <v>0</v>
      </c>
      <c r="P20" s="60">
        <v>1</v>
      </c>
      <c r="Q20" s="60">
        <v>24.05</v>
      </c>
      <c r="R20" s="44"/>
      <c r="S20" s="44"/>
      <c r="T20" s="44"/>
      <c r="U20" s="44"/>
    </row>
    <row r="21" spans="1:21" s="12" customFormat="1" x14ac:dyDescent="0.25">
      <c r="A21" s="59" t="s">
        <v>770</v>
      </c>
      <c r="B21" s="60">
        <v>1.77</v>
      </c>
      <c r="C21" s="60">
        <v>56.43</v>
      </c>
      <c r="D21" s="60">
        <v>32.89</v>
      </c>
      <c r="E21" s="60">
        <v>5.63</v>
      </c>
      <c r="F21" s="60">
        <v>35.880000000000003</v>
      </c>
      <c r="G21" s="60">
        <v>65.459999999999994</v>
      </c>
      <c r="H21" s="60">
        <v>31.74</v>
      </c>
      <c r="I21" s="60">
        <v>0.67</v>
      </c>
      <c r="J21" s="60">
        <v>0.6</v>
      </c>
      <c r="K21" s="60">
        <v>243.34</v>
      </c>
      <c r="L21" s="60">
        <v>37.67</v>
      </c>
      <c r="M21" s="60">
        <v>24.13</v>
      </c>
      <c r="N21" s="62" t="s">
        <v>14</v>
      </c>
      <c r="O21" s="60">
        <v>0</v>
      </c>
      <c r="P21" s="60">
        <v>0.94</v>
      </c>
      <c r="Q21" s="60">
        <v>25.44</v>
      </c>
      <c r="R21" s="44"/>
      <c r="S21" s="44"/>
      <c r="T21" s="44"/>
      <c r="U21" s="44"/>
    </row>
    <row r="22" spans="1:21" s="12" customFormat="1" x14ac:dyDescent="0.25">
      <c r="A22" s="59" t="s">
        <v>771</v>
      </c>
      <c r="B22" s="60">
        <v>1.93</v>
      </c>
      <c r="C22" s="60">
        <v>49.03</v>
      </c>
      <c r="D22" s="60">
        <v>28.51</v>
      </c>
      <c r="E22" s="60">
        <v>4.7</v>
      </c>
      <c r="F22" s="60">
        <v>38.36</v>
      </c>
      <c r="G22" s="60">
        <v>60.76</v>
      </c>
      <c r="H22" s="60">
        <v>30.76</v>
      </c>
      <c r="I22" s="60">
        <v>0.79</v>
      </c>
      <c r="J22" s="60">
        <v>0.42</v>
      </c>
      <c r="K22" s="60">
        <v>248.11</v>
      </c>
      <c r="L22" s="60">
        <v>38.72</v>
      </c>
      <c r="M22" s="60">
        <v>23.33</v>
      </c>
      <c r="N22" s="62" t="s">
        <v>14</v>
      </c>
      <c r="O22" s="60">
        <v>0</v>
      </c>
      <c r="P22" s="60">
        <v>0.81</v>
      </c>
      <c r="Q22" s="60">
        <v>24.91</v>
      </c>
      <c r="R22" s="44"/>
      <c r="S22" s="44"/>
      <c r="T22" s="44"/>
      <c r="U22" s="44"/>
    </row>
    <row r="23" spans="1:21" s="12" customFormat="1" x14ac:dyDescent="0.25">
      <c r="A23" s="59" t="s">
        <v>772</v>
      </c>
      <c r="B23" s="60">
        <v>1</v>
      </c>
      <c r="C23" s="60">
        <v>48.32</v>
      </c>
      <c r="D23" s="60">
        <v>28.11</v>
      </c>
      <c r="E23" s="60">
        <v>2.78</v>
      </c>
      <c r="F23" s="60">
        <v>15.64</v>
      </c>
      <c r="G23" s="60">
        <v>47.25</v>
      </c>
      <c r="H23" s="60">
        <v>30.76</v>
      </c>
      <c r="I23" s="60">
        <v>0.83</v>
      </c>
      <c r="J23" s="60">
        <v>0.4</v>
      </c>
      <c r="K23" s="60">
        <v>243.65</v>
      </c>
      <c r="L23" s="60">
        <v>37.880000000000003</v>
      </c>
      <c r="M23" s="60">
        <v>21.84</v>
      </c>
      <c r="N23" s="62" t="s">
        <v>14</v>
      </c>
      <c r="O23" s="60">
        <v>0</v>
      </c>
      <c r="P23" s="60">
        <v>0.72</v>
      </c>
      <c r="Q23" s="60">
        <v>23.51</v>
      </c>
      <c r="R23" s="44"/>
      <c r="S23" s="44"/>
      <c r="T23" s="44"/>
      <c r="U23" s="44"/>
    </row>
    <row r="24" spans="1:21" s="12" customFormat="1" x14ac:dyDescent="0.25">
      <c r="A24" s="59" t="s">
        <v>773</v>
      </c>
      <c r="B24" s="60">
        <v>1.41</v>
      </c>
      <c r="C24" s="60">
        <v>47.41</v>
      </c>
      <c r="D24" s="60">
        <v>27.61</v>
      </c>
      <c r="E24" s="60">
        <v>2.67</v>
      </c>
      <c r="F24" s="60">
        <v>32.409999999999997</v>
      </c>
      <c r="G24" s="60">
        <v>43.43</v>
      </c>
      <c r="H24" s="60">
        <v>29.64</v>
      </c>
      <c r="I24" s="60">
        <v>0.62</v>
      </c>
      <c r="J24" s="60">
        <v>0.26</v>
      </c>
      <c r="K24" s="60">
        <v>249.21</v>
      </c>
      <c r="L24" s="60">
        <v>38.01</v>
      </c>
      <c r="M24" s="60">
        <v>23.6</v>
      </c>
      <c r="N24" s="62" t="s">
        <v>14</v>
      </c>
      <c r="O24" s="60">
        <v>0</v>
      </c>
      <c r="P24" s="60">
        <v>0.57999999999999996</v>
      </c>
      <c r="Q24" s="60">
        <v>23.95</v>
      </c>
      <c r="R24" s="44"/>
      <c r="S24" s="44"/>
      <c r="T24" s="44"/>
      <c r="U24" s="44"/>
    </row>
    <row r="25" spans="1:21" s="12" customFormat="1" x14ac:dyDescent="0.25">
      <c r="A25" s="59" t="s">
        <v>774</v>
      </c>
      <c r="B25" s="60">
        <v>1.48</v>
      </c>
      <c r="C25" s="60">
        <v>47.25</v>
      </c>
      <c r="D25" s="60">
        <v>27.52</v>
      </c>
      <c r="E25" s="60">
        <v>4.71</v>
      </c>
      <c r="F25" s="60">
        <v>26.25</v>
      </c>
      <c r="G25" s="60">
        <v>37.94</v>
      </c>
      <c r="H25" s="60">
        <v>26.49</v>
      </c>
      <c r="I25" s="60">
        <v>0.69</v>
      </c>
      <c r="J25" s="60">
        <v>0.32</v>
      </c>
      <c r="K25" s="60">
        <v>245.56</v>
      </c>
      <c r="L25" s="60">
        <v>36.67</v>
      </c>
      <c r="M25" s="60">
        <v>24.5</v>
      </c>
      <c r="N25" s="62" t="s">
        <v>14</v>
      </c>
      <c r="O25" s="60">
        <v>0</v>
      </c>
      <c r="P25" s="60">
        <v>0.53</v>
      </c>
      <c r="Q25" s="60">
        <v>23.43</v>
      </c>
      <c r="R25" s="44"/>
      <c r="S25" s="44"/>
      <c r="T25" s="44"/>
      <c r="U25" s="44"/>
    </row>
    <row r="26" spans="1:21" s="12" customFormat="1" x14ac:dyDescent="0.25">
      <c r="A26" s="59" t="s">
        <v>775</v>
      </c>
      <c r="B26" s="60">
        <v>1.67</v>
      </c>
      <c r="C26" s="60">
        <v>56.24</v>
      </c>
      <c r="D26" s="60">
        <v>33.03</v>
      </c>
      <c r="E26" s="60">
        <v>3.56</v>
      </c>
      <c r="F26" s="60">
        <v>14.28</v>
      </c>
      <c r="G26" s="60">
        <v>45.72</v>
      </c>
      <c r="H26" s="60">
        <v>29.27</v>
      </c>
      <c r="I26" s="60">
        <v>0.7</v>
      </c>
      <c r="J26" s="60">
        <v>0.17</v>
      </c>
      <c r="K26" s="60">
        <v>258.88</v>
      </c>
      <c r="L26" s="60">
        <v>36.29</v>
      </c>
      <c r="M26" s="60">
        <v>24.07</v>
      </c>
      <c r="N26" s="62" t="s">
        <v>14</v>
      </c>
      <c r="O26" s="60">
        <v>0</v>
      </c>
      <c r="P26" s="60">
        <v>0.56000000000000005</v>
      </c>
      <c r="Q26" s="60">
        <v>22.59</v>
      </c>
      <c r="R26" s="44"/>
      <c r="S26" s="44"/>
      <c r="T26" s="44"/>
      <c r="U26" s="44"/>
    </row>
    <row r="27" spans="1:21" s="12" customFormat="1" x14ac:dyDescent="0.25">
      <c r="A27" s="59" t="s">
        <v>776</v>
      </c>
      <c r="B27" s="60">
        <v>11.31</v>
      </c>
      <c r="C27" s="60">
        <v>57.5</v>
      </c>
      <c r="D27" s="60">
        <v>41.4</v>
      </c>
      <c r="E27" s="60">
        <v>3.39</v>
      </c>
      <c r="F27" s="60">
        <v>24.73</v>
      </c>
      <c r="G27" s="60">
        <v>45.72</v>
      </c>
      <c r="H27" s="60">
        <v>29.27</v>
      </c>
      <c r="I27" s="60">
        <v>0.71</v>
      </c>
      <c r="J27" s="60">
        <v>0.41</v>
      </c>
      <c r="K27" s="60">
        <v>253.72</v>
      </c>
      <c r="L27" s="60">
        <v>35.090000000000003</v>
      </c>
      <c r="M27" s="60">
        <v>25.03</v>
      </c>
      <c r="N27" s="62" t="s">
        <v>14</v>
      </c>
      <c r="O27" s="60">
        <v>0</v>
      </c>
      <c r="P27" s="60">
        <v>0.6</v>
      </c>
      <c r="Q27" s="60">
        <v>22.85</v>
      </c>
      <c r="R27" s="44"/>
      <c r="S27" s="44"/>
      <c r="T27" s="44"/>
      <c r="U27" s="44"/>
    </row>
    <row r="28" spans="1:21" s="12" customFormat="1" x14ac:dyDescent="0.25">
      <c r="A28" s="59" t="s">
        <v>777</v>
      </c>
      <c r="B28" s="60">
        <v>8.2899999999999991</v>
      </c>
      <c r="C28" s="60">
        <v>60.38</v>
      </c>
      <c r="D28" s="60">
        <v>39.06</v>
      </c>
      <c r="E28" s="60">
        <v>6.83</v>
      </c>
      <c r="F28" s="60">
        <v>37.03</v>
      </c>
      <c r="G28" s="60">
        <v>55.04</v>
      </c>
      <c r="H28" s="60">
        <v>26.7</v>
      </c>
      <c r="I28" s="60">
        <v>0.7</v>
      </c>
      <c r="J28" s="60">
        <v>0.13</v>
      </c>
      <c r="K28" s="60">
        <v>283.85000000000002</v>
      </c>
      <c r="L28" s="60">
        <v>33.53</v>
      </c>
      <c r="M28" s="60">
        <v>29.07</v>
      </c>
      <c r="N28" s="62" t="s">
        <v>14</v>
      </c>
      <c r="O28" s="60">
        <v>0</v>
      </c>
      <c r="P28" s="60">
        <v>0.79</v>
      </c>
      <c r="Q28" s="60">
        <v>21.69</v>
      </c>
      <c r="R28" s="44"/>
      <c r="S28" s="44"/>
      <c r="T28" s="44"/>
      <c r="U28" s="44"/>
    </row>
    <row r="29" spans="1:21" s="12" customFormat="1" x14ac:dyDescent="0.25">
      <c r="A29" s="59" t="s">
        <v>778</v>
      </c>
      <c r="B29" s="60">
        <v>17.03</v>
      </c>
      <c r="C29" s="60">
        <v>69.510000000000005</v>
      </c>
      <c r="D29" s="60">
        <v>52.66</v>
      </c>
      <c r="E29" s="60">
        <v>2.72</v>
      </c>
      <c r="F29" s="60">
        <v>9.2200000000000006</v>
      </c>
      <c r="G29" s="60">
        <v>66.06</v>
      </c>
      <c r="H29" s="60">
        <v>29.91</v>
      </c>
      <c r="I29" s="60">
        <v>0.75</v>
      </c>
      <c r="J29" s="60">
        <v>0.23</v>
      </c>
      <c r="K29" s="60">
        <v>246.85</v>
      </c>
      <c r="L29" s="60">
        <v>32.119999999999997</v>
      </c>
      <c r="M29" s="60">
        <v>30.94</v>
      </c>
      <c r="N29" s="62" t="s">
        <v>14</v>
      </c>
      <c r="O29" s="60">
        <v>0</v>
      </c>
      <c r="P29" s="60">
        <v>1.04</v>
      </c>
      <c r="Q29" s="60">
        <v>21.89</v>
      </c>
      <c r="R29" s="44"/>
      <c r="S29" s="44"/>
      <c r="T29" s="44"/>
      <c r="U29" s="44"/>
    </row>
    <row r="30" spans="1:21" s="12" customFormat="1" x14ac:dyDescent="0.25">
      <c r="A30" s="59" t="s">
        <v>779</v>
      </c>
      <c r="B30" s="60">
        <v>35.770000000000003</v>
      </c>
      <c r="C30" s="60">
        <v>74.989999999999995</v>
      </c>
      <c r="D30" s="60">
        <v>70.709999999999994</v>
      </c>
      <c r="E30" s="60">
        <v>8.33</v>
      </c>
      <c r="F30" s="60">
        <v>22.78</v>
      </c>
      <c r="G30" s="60">
        <v>66.06</v>
      </c>
      <c r="H30" s="60">
        <v>32.6</v>
      </c>
      <c r="I30" s="60">
        <v>0.78</v>
      </c>
      <c r="J30" s="60">
        <v>1.25</v>
      </c>
      <c r="K30" s="60">
        <v>174.03</v>
      </c>
      <c r="L30" s="60">
        <v>31.59</v>
      </c>
      <c r="M30" s="60">
        <v>31.62</v>
      </c>
      <c r="N30" s="62" t="s">
        <v>14</v>
      </c>
      <c r="O30" s="60">
        <v>0</v>
      </c>
      <c r="P30" s="60">
        <v>1.1100000000000001</v>
      </c>
      <c r="Q30" s="60">
        <v>25.02</v>
      </c>
      <c r="R30" s="44"/>
      <c r="S30" s="44"/>
      <c r="T30" s="44"/>
      <c r="U30" s="44"/>
    </row>
    <row r="31" spans="1:21" s="12" customFormat="1" x14ac:dyDescent="0.25">
      <c r="A31" s="59" t="s">
        <v>780</v>
      </c>
      <c r="B31" s="60">
        <v>8.32</v>
      </c>
      <c r="C31" s="60">
        <v>57.96</v>
      </c>
      <c r="D31" s="60">
        <v>38.229999999999997</v>
      </c>
      <c r="E31" s="60">
        <v>7.11</v>
      </c>
      <c r="F31" s="60">
        <v>34.92</v>
      </c>
      <c r="G31" s="60">
        <v>63.15</v>
      </c>
      <c r="H31" s="60">
        <v>32.6</v>
      </c>
      <c r="I31" s="60">
        <v>0.71</v>
      </c>
      <c r="J31" s="60">
        <v>1.19</v>
      </c>
      <c r="K31" s="60">
        <v>180.16</v>
      </c>
      <c r="L31" s="60">
        <v>30.2</v>
      </c>
      <c r="M31" s="60">
        <v>41.13</v>
      </c>
      <c r="N31" s="62" t="s">
        <v>14</v>
      </c>
      <c r="O31" s="60">
        <v>0</v>
      </c>
      <c r="P31" s="60">
        <v>1.06</v>
      </c>
      <c r="Q31" s="60">
        <v>28.03</v>
      </c>
      <c r="R31" s="44"/>
      <c r="S31" s="44"/>
      <c r="T31" s="44"/>
      <c r="U31" s="44"/>
    </row>
    <row r="32" spans="1:21" s="12" customFormat="1" x14ac:dyDescent="0.25">
      <c r="A32" s="59" t="s">
        <v>781</v>
      </c>
      <c r="B32" s="60">
        <v>4.78</v>
      </c>
      <c r="C32" s="60">
        <v>58.24</v>
      </c>
      <c r="D32" s="60">
        <v>36.619999999999997</v>
      </c>
      <c r="E32" s="60">
        <v>1.83</v>
      </c>
      <c r="F32" s="60">
        <v>6.62</v>
      </c>
      <c r="G32" s="60">
        <v>57.17</v>
      </c>
      <c r="H32" s="60">
        <v>30.68</v>
      </c>
      <c r="I32" s="60">
        <v>0.89</v>
      </c>
      <c r="J32" s="60">
        <v>1.17</v>
      </c>
      <c r="K32" s="60">
        <v>182.3</v>
      </c>
      <c r="L32" s="60">
        <v>28.58</v>
      </c>
      <c r="M32" s="60">
        <v>44.66</v>
      </c>
      <c r="N32" s="62" t="s">
        <v>14</v>
      </c>
      <c r="O32" s="60">
        <v>0</v>
      </c>
      <c r="P32" s="60">
        <v>0.91</v>
      </c>
      <c r="Q32" s="60">
        <v>25.54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</v>
      </c>
      <c r="C34" s="29">
        <f t="shared" si="0"/>
        <v>30.46</v>
      </c>
      <c r="D34" s="29">
        <f t="shared" si="0"/>
        <v>18.55</v>
      </c>
      <c r="E34" s="29">
        <f t="shared" si="0"/>
        <v>1.83</v>
      </c>
      <c r="F34" s="29">
        <f t="shared" si="0"/>
        <v>5.71</v>
      </c>
      <c r="G34" s="29">
        <f t="shared" si="0"/>
        <v>35.44</v>
      </c>
      <c r="H34" s="29">
        <f t="shared" si="0"/>
        <v>23.01</v>
      </c>
      <c r="I34" s="29">
        <f t="shared" si="0"/>
        <v>0.62</v>
      </c>
      <c r="J34" s="29">
        <f t="shared" si="0"/>
        <v>0.02</v>
      </c>
      <c r="K34" s="29">
        <f t="shared" si="0"/>
        <v>54.38</v>
      </c>
      <c r="L34" s="29">
        <f t="shared" si="0"/>
        <v>26.06</v>
      </c>
      <c r="M34" s="29">
        <f t="shared" si="0"/>
        <v>21.84</v>
      </c>
      <c r="N34" s="29">
        <f t="shared" si="0"/>
        <v>5.0999999999999996</v>
      </c>
      <c r="O34" s="29">
        <f t="shared" si="0"/>
        <v>0</v>
      </c>
      <c r="P34" s="29">
        <f t="shared" si="0"/>
        <v>0.53</v>
      </c>
      <c r="Q34" s="29">
        <f t="shared" si="0"/>
        <v>21.69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35.770000000000003</v>
      </c>
      <c r="C35" s="30">
        <f t="shared" si="1"/>
        <v>74.989999999999995</v>
      </c>
      <c r="D35" s="30">
        <f t="shared" si="1"/>
        <v>70.709999999999994</v>
      </c>
      <c r="E35" s="30">
        <f t="shared" si="1"/>
        <v>8.33</v>
      </c>
      <c r="F35" s="30">
        <f t="shared" si="1"/>
        <v>40.28</v>
      </c>
      <c r="G35" s="30">
        <f t="shared" si="1"/>
        <v>76.12</v>
      </c>
      <c r="H35" s="30">
        <f t="shared" si="1"/>
        <v>61</v>
      </c>
      <c r="I35" s="30">
        <f t="shared" si="1"/>
        <v>1.24</v>
      </c>
      <c r="J35" s="30">
        <f t="shared" si="1"/>
        <v>1.25</v>
      </c>
      <c r="K35" s="30">
        <f t="shared" si="1"/>
        <v>350.01</v>
      </c>
      <c r="L35" s="30">
        <f t="shared" si="1"/>
        <v>38.72</v>
      </c>
      <c r="M35" s="30">
        <f t="shared" si="1"/>
        <v>57.84</v>
      </c>
      <c r="N35" s="30">
        <f t="shared" si="1"/>
        <v>5.0999999999999996</v>
      </c>
      <c r="O35" s="30">
        <f t="shared" si="1"/>
        <v>0</v>
      </c>
      <c r="P35" s="30">
        <f t="shared" si="1"/>
        <v>2.2599999999999998</v>
      </c>
      <c r="Q35" s="30">
        <f t="shared" si="1"/>
        <v>31.83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6.125</v>
      </c>
      <c r="C36" s="29">
        <f t="shared" si="2"/>
        <v>52.997500000000002</v>
      </c>
      <c r="D36" s="29">
        <f t="shared" si="2"/>
        <v>34.546666666666674</v>
      </c>
      <c r="E36" s="29">
        <f t="shared" si="2"/>
        <v>3.9966666666666666</v>
      </c>
      <c r="F36" s="29">
        <f t="shared" si="2"/>
        <v>22.810833333333331</v>
      </c>
      <c r="G36" s="29">
        <f t="shared" si="2"/>
        <v>55.884583333333332</v>
      </c>
      <c r="H36" s="29">
        <f t="shared" si="2"/>
        <v>31.950416666666666</v>
      </c>
      <c r="I36" s="29">
        <f t="shared" si="2"/>
        <v>0.75749999999999995</v>
      </c>
      <c r="J36" s="29">
        <f t="shared" si="2"/>
        <v>0.50958333333333339</v>
      </c>
      <c r="K36" s="29">
        <f t="shared" si="2"/>
        <v>239.01291666666671</v>
      </c>
      <c r="L36" s="29">
        <f t="shared" si="2"/>
        <v>32.627916666666671</v>
      </c>
      <c r="M36" s="29">
        <f t="shared" si="2"/>
        <v>37.249166666666675</v>
      </c>
      <c r="N36" s="29">
        <f t="shared" si="2"/>
        <v>5.0999999999999996</v>
      </c>
      <c r="O36" s="29">
        <f t="shared" si="2"/>
        <v>0</v>
      </c>
      <c r="P36" s="29">
        <f t="shared" si="2"/>
        <v>0.94583333333333319</v>
      </c>
      <c r="Q36" s="29">
        <f t="shared" si="2"/>
        <v>25.951249999999998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8.3265322391998708</v>
      </c>
      <c r="C37" s="29">
        <f t="shared" ref="C37:Q37" si="3">STDEV(C9:C32)</f>
        <v>9.2422142321546783</v>
      </c>
      <c r="D37" s="29">
        <f t="shared" si="3"/>
        <v>11.104261487753483</v>
      </c>
      <c r="E37" s="29">
        <f t="shared" si="3"/>
        <v>1.8987837449654255</v>
      </c>
      <c r="F37" s="29">
        <f t="shared" si="3"/>
        <v>11.509029693799292</v>
      </c>
      <c r="G37" s="29">
        <f t="shared" si="3"/>
        <v>12.033179123525102</v>
      </c>
      <c r="H37" s="29">
        <f t="shared" si="3"/>
        <v>7.8550019949443346</v>
      </c>
      <c r="I37" s="29">
        <f t="shared" si="3"/>
        <v>0.12407045684154469</v>
      </c>
      <c r="J37" s="29">
        <f t="shared" si="3"/>
        <v>0.41929007461024725</v>
      </c>
      <c r="K37" s="29">
        <f t="shared" si="3"/>
        <v>60.228429404347487</v>
      </c>
      <c r="L37" s="29">
        <f t="shared" si="3"/>
        <v>4.248445218590243</v>
      </c>
      <c r="M37" s="29">
        <f t="shared" si="3"/>
        <v>12.120081043159434</v>
      </c>
      <c r="N37" s="29" t="e">
        <f t="shared" si="3"/>
        <v>#DIV/0!</v>
      </c>
      <c r="O37" s="29">
        <f t="shared" si="3"/>
        <v>0</v>
      </c>
      <c r="P37" s="29">
        <f t="shared" si="3"/>
        <v>0.37260442559236284</v>
      </c>
      <c r="Q37" s="29">
        <f t="shared" si="3"/>
        <v>2.985152115416239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 t="shared" si="4"/>
        <v>24</v>
      </c>
      <c r="M38" s="33">
        <f t="shared" si="4"/>
        <v>24</v>
      </c>
      <c r="N38" s="33">
        <f>COUNT(N9:N32)+23</f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N39" sqref="N39"/>
    </sheetView>
  </sheetViews>
  <sheetFormatPr defaultColWidth="8.85546875" defaultRowHeight="15" x14ac:dyDescent="0.25"/>
  <cols>
    <col min="1" max="1" width="18.28515625" style="27" customWidth="1"/>
    <col min="2" max="2" width="12.7109375" style="21" customWidth="1"/>
    <col min="3" max="12" width="9.140625" style="21" customWidth="1"/>
    <col min="13" max="13" width="10" style="21" customWidth="1"/>
    <col min="14" max="16" width="9.140625" style="21" customWidth="1"/>
    <col min="17" max="17" width="13.85546875" style="21" customWidth="1"/>
    <col min="18" max="19" width="9.140625" style="21" customWidth="1"/>
    <col min="20" max="20" width="11.42578125" style="21" customWidth="1"/>
    <col min="21" max="16384" width="8.85546875" style="21"/>
  </cols>
  <sheetData>
    <row r="1" spans="1:21" s="22" customFormat="1" ht="26.25" x14ac:dyDescent="0.25">
      <c r="A1" s="15" t="s">
        <v>2</v>
      </c>
      <c r="B1" s="24" t="s">
        <v>42</v>
      </c>
      <c r="C1" s="3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31-05-2023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39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15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15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s="12" customFormat="1" x14ac:dyDescent="0.25">
      <c r="A9" s="59" t="s">
        <v>782</v>
      </c>
      <c r="B9" s="60">
        <v>1.38</v>
      </c>
      <c r="C9" s="60">
        <v>53.75</v>
      </c>
      <c r="D9" s="60">
        <v>31.42</v>
      </c>
      <c r="E9" s="60">
        <v>3.62</v>
      </c>
      <c r="F9" s="60">
        <v>33.49</v>
      </c>
      <c r="G9" s="60">
        <v>45.73</v>
      </c>
      <c r="H9" s="60">
        <v>28.75</v>
      </c>
      <c r="I9" s="60">
        <v>0.65</v>
      </c>
      <c r="J9" s="60">
        <v>0.74</v>
      </c>
      <c r="K9" s="60">
        <v>188.43</v>
      </c>
      <c r="L9" s="60">
        <v>28.28</v>
      </c>
      <c r="M9" s="60">
        <v>47.15</v>
      </c>
      <c r="N9" s="62" t="s">
        <v>14</v>
      </c>
      <c r="O9" s="60">
        <v>0</v>
      </c>
      <c r="P9" s="60">
        <v>0.77</v>
      </c>
      <c r="Q9" s="60">
        <v>27.95</v>
      </c>
      <c r="R9" s="44"/>
      <c r="S9" s="44"/>
      <c r="T9" s="44"/>
      <c r="U9" s="44"/>
    </row>
    <row r="10" spans="1:21" s="12" customFormat="1" x14ac:dyDescent="0.25">
      <c r="A10" s="59" t="s">
        <v>783</v>
      </c>
      <c r="B10" s="60">
        <v>2.17</v>
      </c>
      <c r="C10" s="60">
        <v>44.36</v>
      </c>
      <c r="D10" s="60">
        <v>26.56</v>
      </c>
      <c r="E10" s="60">
        <v>3.53</v>
      </c>
      <c r="F10" s="60">
        <v>26.52</v>
      </c>
      <c r="G10" s="60">
        <v>43.53</v>
      </c>
      <c r="H10" s="60">
        <v>28.01</v>
      </c>
      <c r="I10" s="60">
        <v>0.6</v>
      </c>
      <c r="J10" s="60">
        <v>0.85</v>
      </c>
      <c r="K10" s="60">
        <v>226.04</v>
      </c>
      <c r="L10" s="60">
        <v>27.83</v>
      </c>
      <c r="M10" s="60">
        <v>49.99</v>
      </c>
      <c r="N10" s="60">
        <v>4.5999999999999996</v>
      </c>
      <c r="O10" s="60">
        <v>0</v>
      </c>
      <c r="P10" s="60">
        <v>0.74</v>
      </c>
      <c r="Q10" s="60">
        <v>28.49</v>
      </c>
      <c r="R10" s="44"/>
      <c r="S10" s="44"/>
      <c r="T10" s="44"/>
      <c r="U10" s="44"/>
    </row>
    <row r="11" spans="1:21" s="12" customFormat="1" x14ac:dyDescent="0.25">
      <c r="A11" s="59" t="s">
        <v>784</v>
      </c>
      <c r="B11" s="60">
        <v>1.45</v>
      </c>
      <c r="C11" s="60">
        <v>46.59</v>
      </c>
      <c r="D11" s="60">
        <v>27.3</v>
      </c>
      <c r="E11" s="60">
        <v>1.77</v>
      </c>
      <c r="F11" s="60">
        <v>6.7</v>
      </c>
      <c r="G11" s="60">
        <v>43.24</v>
      </c>
      <c r="H11" s="60">
        <v>27.92</v>
      </c>
      <c r="I11" s="60">
        <v>0.75</v>
      </c>
      <c r="J11" s="60">
        <v>0.14000000000000001</v>
      </c>
      <c r="K11" s="60">
        <v>260.20999999999998</v>
      </c>
      <c r="L11" s="60">
        <v>26.96</v>
      </c>
      <c r="M11" s="60">
        <v>51.08</v>
      </c>
      <c r="N11" s="60">
        <v>5</v>
      </c>
      <c r="O11" s="60">
        <v>0</v>
      </c>
      <c r="P11" s="60">
        <v>0.7</v>
      </c>
      <c r="Q11" s="60">
        <v>26.74</v>
      </c>
      <c r="R11" s="44"/>
      <c r="S11" s="44"/>
      <c r="T11" s="44"/>
      <c r="U11" s="44"/>
    </row>
    <row r="12" spans="1:21" s="12" customFormat="1" x14ac:dyDescent="0.25">
      <c r="A12" s="59" t="s">
        <v>785</v>
      </c>
      <c r="B12" s="60">
        <v>1.22</v>
      </c>
      <c r="C12" s="60">
        <v>46.19</v>
      </c>
      <c r="D12" s="60">
        <v>27</v>
      </c>
      <c r="E12" s="60">
        <v>1.7</v>
      </c>
      <c r="F12" s="60">
        <v>18.97</v>
      </c>
      <c r="G12" s="60">
        <v>41.2</v>
      </c>
      <c r="H12" s="60">
        <v>27.45</v>
      </c>
      <c r="I12" s="60">
        <v>0.74</v>
      </c>
      <c r="J12" s="60">
        <v>0.1</v>
      </c>
      <c r="K12" s="60">
        <v>271.16000000000003</v>
      </c>
      <c r="L12" s="60">
        <v>26.76</v>
      </c>
      <c r="M12" s="60">
        <v>50.5</v>
      </c>
      <c r="N12" s="60">
        <v>4.5999999999999996</v>
      </c>
      <c r="O12" s="60">
        <v>0</v>
      </c>
      <c r="P12" s="60">
        <v>0.69</v>
      </c>
      <c r="Q12" s="60">
        <v>26.42</v>
      </c>
      <c r="R12" s="44"/>
      <c r="S12" s="44"/>
      <c r="T12" s="44"/>
      <c r="U12" s="44"/>
    </row>
    <row r="13" spans="1:21" s="12" customFormat="1" x14ac:dyDescent="0.25">
      <c r="A13" s="59" t="s">
        <v>786</v>
      </c>
      <c r="B13" s="60">
        <v>1.64</v>
      </c>
      <c r="C13" s="60">
        <v>45.11</v>
      </c>
      <c r="D13" s="60">
        <v>26.68</v>
      </c>
      <c r="E13" s="60">
        <v>2.39</v>
      </c>
      <c r="F13" s="60">
        <v>19.53</v>
      </c>
      <c r="G13" s="60">
        <v>36.94</v>
      </c>
      <c r="H13" s="60">
        <v>27.71</v>
      </c>
      <c r="I13" s="60">
        <v>0.8</v>
      </c>
      <c r="J13" s="60">
        <v>0.11</v>
      </c>
      <c r="K13" s="60">
        <v>263.56</v>
      </c>
      <c r="L13" s="60">
        <v>26.51</v>
      </c>
      <c r="M13" s="60">
        <v>48.42</v>
      </c>
      <c r="N13" s="60">
        <v>4.7</v>
      </c>
      <c r="O13" s="60">
        <v>0</v>
      </c>
      <c r="P13" s="60">
        <v>0.67</v>
      </c>
      <c r="Q13" s="60">
        <v>26.24</v>
      </c>
      <c r="R13" s="44"/>
      <c r="S13" s="44"/>
      <c r="T13" s="44"/>
      <c r="U13" s="44"/>
    </row>
    <row r="14" spans="1:21" s="12" customFormat="1" x14ac:dyDescent="0.25">
      <c r="A14" s="59" t="s">
        <v>787</v>
      </c>
      <c r="B14" s="60">
        <v>1.25</v>
      </c>
      <c r="C14" s="60">
        <v>47.85</v>
      </c>
      <c r="D14" s="60">
        <v>28.04</v>
      </c>
      <c r="E14" s="60">
        <v>1.8</v>
      </c>
      <c r="F14" s="60">
        <v>6.02</v>
      </c>
      <c r="G14" s="60">
        <v>36.94</v>
      </c>
      <c r="H14" s="60">
        <v>27.71</v>
      </c>
      <c r="I14" s="60">
        <v>0.65</v>
      </c>
      <c r="J14" s="60">
        <v>7.0000000000000007E-2</v>
      </c>
      <c r="K14" s="60">
        <v>253.54</v>
      </c>
      <c r="L14" s="60">
        <v>26.25</v>
      </c>
      <c r="M14" s="60">
        <v>48.19</v>
      </c>
      <c r="N14" s="60">
        <v>21.9</v>
      </c>
      <c r="O14" s="60">
        <v>0</v>
      </c>
      <c r="P14" s="60">
        <v>0.62</v>
      </c>
      <c r="Q14" s="60">
        <v>24.73</v>
      </c>
      <c r="R14" s="44"/>
      <c r="S14" s="44"/>
      <c r="T14" s="44"/>
      <c r="U14" s="44"/>
    </row>
    <row r="15" spans="1:21" s="12" customFormat="1" x14ac:dyDescent="0.25">
      <c r="A15" s="59" t="s">
        <v>788</v>
      </c>
      <c r="B15" s="60">
        <v>5.55</v>
      </c>
      <c r="C15" s="60">
        <v>47.74</v>
      </c>
      <c r="D15" s="60">
        <v>31.45</v>
      </c>
      <c r="E15" s="60">
        <v>2.84</v>
      </c>
      <c r="F15" s="60">
        <v>19.38</v>
      </c>
      <c r="G15" s="60">
        <v>41.3</v>
      </c>
      <c r="H15" s="60">
        <v>25.63</v>
      </c>
      <c r="I15" s="60">
        <v>0.63</v>
      </c>
      <c r="J15" s="60">
        <v>0.03</v>
      </c>
      <c r="K15" s="60">
        <v>294</v>
      </c>
      <c r="L15" s="60">
        <v>27.82</v>
      </c>
      <c r="M15" s="60">
        <v>47.09</v>
      </c>
      <c r="N15" s="62" t="s">
        <v>14</v>
      </c>
      <c r="O15" s="60">
        <v>0</v>
      </c>
      <c r="P15" s="60">
        <v>0.64</v>
      </c>
      <c r="Q15" s="60">
        <v>25.17</v>
      </c>
      <c r="R15" s="44"/>
      <c r="S15" s="44"/>
      <c r="T15" s="44"/>
      <c r="U15" s="44"/>
    </row>
    <row r="16" spans="1:21" s="12" customFormat="1" x14ac:dyDescent="0.25">
      <c r="A16" s="59" t="s">
        <v>789</v>
      </c>
      <c r="B16" s="60">
        <v>5.29</v>
      </c>
      <c r="C16" s="60">
        <v>56.23</v>
      </c>
      <c r="D16" s="60">
        <v>34.97</v>
      </c>
      <c r="E16" s="60">
        <v>3.72</v>
      </c>
      <c r="F16" s="60">
        <v>12.12</v>
      </c>
      <c r="G16" s="60">
        <v>48.34</v>
      </c>
      <c r="H16" s="60">
        <v>28.2</v>
      </c>
      <c r="I16" s="60">
        <v>0.7</v>
      </c>
      <c r="J16" s="60">
        <v>0.1</v>
      </c>
      <c r="K16" s="60">
        <v>283.39999999999998</v>
      </c>
      <c r="L16" s="60">
        <v>31.02</v>
      </c>
      <c r="M16" s="60">
        <v>43.41</v>
      </c>
      <c r="N16" s="60">
        <v>400.3</v>
      </c>
      <c r="O16" s="60">
        <v>0</v>
      </c>
      <c r="P16" s="60">
        <v>1</v>
      </c>
      <c r="Q16" s="60">
        <v>24.43</v>
      </c>
      <c r="R16" s="44"/>
      <c r="S16" s="44"/>
      <c r="T16" s="44"/>
      <c r="U16" s="44"/>
    </row>
    <row r="17" spans="1:21" s="12" customFormat="1" x14ac:dyDescent="0.25">
      <c r="A17" s="59" t="s">
        <v>790</v>
      </c>
      <c r="B17" s="60">
        <v>3.22</v>
      </c>
      <c r="C17" s="60">
        <v>60.24</v>
      </c>
      <c r="D17" s="60">
        <v>36.04</v>
      </c>
      <c r="E17" s="60">
        <v>2.5</v>
      </c>
      <c r="F17" s="60">
        <v>9.3699999999999992</v>
      </c>
      <c r="G17" s="60">
        <v>59.28</v>
      </c>
      <c r="H17" s="60">
        <v>28.46</v>
      </c>
      <c r="I17" s="60">
        <v>0.68</v>
      </c>
      <c r="J17" s="60">
        <v>0.74</v>
      </c>
      <c r="K17" s="60">
        <v>265.43</v>
      </c>
      <c r="L17" s="60">
        <v>35.340000000000003</v>
      </c>
      <c r="M17" s="60">
        <v>37.93</v>
      </c>
      <c r="N17" s="60">
        <v>586.29999999999995</v>
      </c>
      <c r="O17" s="60">
        <v>0</v>
      </c>
      <c r="P17" s="60">
        <v>1.1399999999999999</v>
      </c>
      <c r="Q17" s="60">
        <v>24.27</v>
      </c>
      <c r="R17" s="44"/>
      <c r="S17" s="44"/>
      <c r="T17" s="44"/>
      <c r="U17" s="44"/>
    </row>
    <row r="18" spans="1:21" s="12" customFormat="1" x14ac:dyDescent="0.25">
      <c r="A18" s="59" t="s">
        <v>791</v>
      </c>
      <c r="B18" s="60">
        <v>4.22</v>
      </c>
      <c r="C18" s="60">
        <v>57.71</v>
      </c>
      <c r="D18" s="60">
        <v>35.130000000000003</v>
      </c>
      <c r="E18" s="60">
        <v>3.84</v>
      </c>
      <c r="F18" s="60">
        <v>28.49</v>
      </c>
      <c r="G18" s="60">
        <v>59.28</v>
      </c>
      <c r="H18" s="60">
        <v>28.46</v>
      </c>
      <c r="I18" s="60">
        <v>0.6</v>
      </c>
      <c r="J18" s="60">
        <v>0.96</v>
      </c>
      <c r="K18" s="60">
        <v>246.59</v>
      </c>
      <c r="L18" s="60">
        <v>38.51</v>
      </c>
      <c r="M18" s="60">
        <v>29.17</v>
      </c>
      <c r="N18" s="60">
        <v>754.8</v>
      </c>
      <c r="O18" s="60">
        <v>0</v>
      </c>
      <c r="P18" s="60">
        <v>0.96</v>
      </c>
      <c r="Q18" s="60">
        <v>24.24</v>
      </c>
      <c r="R18" s="44"/>
      <c r="S18" s="44"/>
      <c r="T18" s="44"/>
      <c r="U18" s="44"/>
    </row>
    <row r="19" spans="1:21" s="12" customFormat="1" x14ac:dyDescent="0.25">
      <c r="A19" s="59" t="s">
        <v>792</v>
      </c>
      <c r="B19" s="60">
        <v>2.68</v>
      </c>
      <c r="C19" s="60">
        <v>50.69</v>
      </c>
      <c r="D19" s="60">
        <v>30.77</v>
      </c>
      <c r="E19" s="60">
        <v>6.38</v>
      </c>
      <c r="F19" s="60">
        <v>61.73</v>
      </c>
      <c r="G19" s="60">
        <v>60.49</v>
      </c>
      <c r="H19" s="60">
        <v>29.58</v>
      </c>
      <c r="I19" s="60">
        <v>0.66</v>
      </c>
      <c r="J19" s="60">
        <v>0.81</v>
      </c>
      <c r="K19" s="60">
        <v>246.5</v>
      </c>
      <c r="L19" s="60">
        <v>39.729999999999997</v>
      </c>
      <c r="M19" s="60">
        <v>25.61</v>
      </c>
      <c r="N19" s="60">
        <v>812</v>
      </c>
      <c r="O19" s="60">
        <v>0</v>
      </c>
      <c r="P19" s="60">
        <v>0.91</v>
      </c>
      <c r="Q19" s="60">
        <v>24.11</v>
      </c>
      <c r="R19" s="44"/>
      <c r="S19" s="44"/>
      <c r="T19" s="44"/>
      <c r="U19" s="44"/>
    </row>
    <row r="20" spans="1:21" s="12" customFormat="1" x14ac:dyDescent="0.25">
      <c r="A20" s="59" t="s">
        <v>793</v>
      </c>
      <c r="B20" s="60">
        <v>2.37</v>
      </c>
      <c r="C20" s="60">
        <v>47.57</v>
      </c>
      <c r="D20" s="60">
        <v>28.8</v>
      </c>
      <c r="E20" s="60">
        <v>3.95</v>
      </c>
      <c r="F20" s="60">
        <v>59.49</v>
      </c>
      <c r="G20" s="60">
        <v>60.49</v>
      </c>
      <c r="H20" s="60">
        <v>29.58</v>
      </c>
      <c r="I20" s="60">
        <v>0.59</v>
      </c>
      <c r="J20" s="60">
        <v>0.84</v>
      </c>
      <c r="K20" s="60">
        <v>240.17</v>
      </c>
      <c r="L20" s="62" t="s">
        <v>14</v>
      </c>
      <c r="M20" s="62" t="s">
        <v>14</v>
      </c>
      <c r="N20" s="60">
        <v>828.1</v>
      </c>
      <c r="O20" s="60">
        <v>0</v>
      </c>
      <c r="P20" s="60">
        <v>0.76</v>
      </c>
      <c r="Q20" s="60">
        <v>24.08</v>
      </c>
      <c r="R20" s="44"/>
      <c r="S20" s="44"/>
      <c r="T20" s="44"/>
      <c r="U20" s="44"/>
    </row>
    <row r="21" spans="1:21" s="12" customFormat="1" x14ac:dyDescent="0.25">
      <c r="A21" s="59" t="s">
        <v>794</v>
      </c>
      <c r="B21" s="60">
        <v>3.46</v>
      </c>
      <c r="C21" s="60">
        <v>37.79</v>
      </c>
      <c r="D21" s="60">
        <v>24.07</v>
      </c>
      <c r="E21" s="60">
        <v>12.28</v>
      </c>
      <c r="F21" s="60">
        <v>95.43</v>
      </c>
      <c r="G21" s="60">
        <v>55.43</v>
      </c>
      <c r="H21" s="60">
        <v>28.85</v>
      </c>
      <c r="I21" s="60">
        <v>0.69</v>
      </c>
      <c r="J21" s="60">
        <v>1.37</v>
      </c>
      <c r="K21" s="60">
        <v>238.41</v>
      </c>
      <c r="L21" s="62" t="s">
        <v>14</v>
      </c>
      <c r="M21" s="62" t="s">
        <v>14</v>
      </c>
      <c r="N21" s="60">
        <v>704.6</v>
      </c>
      <c r="O21" s="60">
        <v>0</v>
      </c>
      <c r="P21" s="60">
        <v>0.56000000000000005</v>
      </c>
      <c r="Q21" s="60">
        <v>24.46</v>
      </c>
      <c r="R21" s="44"/>
      <c r="S21" s="44"/>
      <c r="T21" s="44"/>
      <c r="U21" s="44"/>
    </row>
    <row r="22" spans="1:21" s="12" customFormat="1" x14ac:dyDescent="0.25">
      <c r="A22" s="59" t="s">
        <v>795</v>
      </c>
      <c r="B22" s="60">
        <v>3.51</v>
      </c>
      <c r="C22" s="60">
        <v>34.19</v>
      </c>
      <c r="D22" s="60">
        <v>22.33</v>
      </c>
      <c r="E22" s="60">
        <v>7.26</v>
      </c>
      <c r="F22" s="60">
        <v>33.880000000000003</v>
      </c>
      <c r="G22" s="60">
        <v>55.25</v>
      </c>
      <c r="H22" s="60">
        <v>28.85</v>
      </c>
      <c r="I22" s="60">
        <v>0.94</v>
      </c>
      <c r="J22" s="60">
        <v>0.63</v>
      </c>
      <c r="K22" s="60">
        <v>224.94</v>
      </c>
      <c r="L22" s="62" t="s">
        <v>14</v>
      </c>
      <c r="M22" s="62" t="s">
        <v>14</v>
      </c>
      <c r="N22" s="60">
        <v>657.1</v>
      </c>
      <c r="O22" s="60">
        <v>0</v>
      </c>
      <c r="P22" s="60">
        <v>0.53</v>
      </c>
      <c r="Q22" s="60">
        <v>25.32</v>
      </c>
      <c r="R22" s="44"/>
      <c r="S22" s="44"/>
      <c r="T22" s="44"/>
      <c r="U22" s="44"/>
    </row>
    <row r="23" spans="1:21" s="12" customFormat="1" x14ac:dyDescent="0.25">
      <c r="A23" s="59" t="s">
        <v>796</v>
      </c>
      <c r="B23" s="60">
        <v>1.3</v>
      </c>
      <c r="C23" s="60">
        <v>33.04</v>
      </c>
      <c r="D23" s="60">
        <v>19.760000000000002</v>
      </c>
      <c r="E23" s="60">
        <v>3.82</v>
      </c>
      <c r="F23" s="60">
        <v>31.25</v>
      </c>
      <c r="G23" s="60">
        <v>44.83</v>
      </c>
      <c r="H23" s="60">
        <v>25.76</v>
      </c>
      <c r="I23" s="60">
        <v>0.71</v>
      </c>
      <c r="J23" s="60">
        <v>0.81</v>
      </c>
      <c r="K23" s="60">
        <v>236.19</v>
      </c>
      <c r="L23" s="62" t="s">
        <v>14</v>
      </c>
      <c r="M23" s="62" t="s">
        <v>14</v>
      </c>
      <c r="N23" s="60">
        <v>529</v>
      </c>
      <c r="O23" s="60">
        <v>0</v>
      </c>
      <c r="P23" s="60">
        <v>0.46</v>
      </c>
      <c r="Q23" s="60">
        <v>25.21</v>
      </c>
      <c r="R23" s="44"/>
      <c r="S23" s="44"/>
      <c r="T23" s="44"/>
      <c r="U23" s="44"/>
    </row>
    <row r="24" spans="1:21" s="12" customFormat="1" x14ac:dyDescent="0.25">
      <c r="A24" s="59" t="s">
        <v>797</v>
      </c>
      <c r="B24" s="60">
        <v>7.5</v>
      </c>
      <c r="C24" s="60">
        <v>33.479999999999997</v>
      </c>
      <c r="D24" s="60">
        <v>25.14</v>
      </c>
      <c r="E24" s="60">
        <v>5.13</v>
      </c>
      <c r="F24" s="60">
        <v>73.599999999999994</v>
      </c>
      <c r="G24" s="60">
        <v>45.5</v>
      </c>
      <c r="H24" s="60">
        <v>25.07</v>
      </c>
      <c r="I24" s="60">
        <v>0.89</v>
      </c>
      <c r="J24" s="60">
        <v>0.91</v>
      </c>
      <c r="K24" s="60">
        <v>243.83</v>
      </c>
      <c r="L24" s="62" t="s">
        <v>14</v>
      </c>
      <c r="M24" s="62" t="s">
        <v>14</v>
      </c>
      <c r="N24" s="60">
        <v>260.10000000000002</v>
      </c>
      <c r="O24" s="60">
        <v>0</v>
      </c>
      <c r="P24" s="60">
        <v>0.44</v>
      </c>
      <c r="Q24" s="60">
        <v>25.97</v>
      </c>
      <c r="R24" s="44"/>
      <c r="S24" s="44"/>
      <c r="T24" s="44"/>
      <c r="U24" s="44"/>
    </row>
    <row r="25" spans="1:21" s="12" customFormat="1" x14ac:dyDescent="0.25">
      <c r="A25" s="59" t="s">
        <v>798</v>
      </c>
      <c r="B25" s="60">
        <v>6.94</v>
      </c>
      <c r="C25" s="60">
        <v>43.19</v>
      </c>
      <c r="D25" s="60">
        <v>28.24</v>
      </c>
      <c r="E25" s="60">
        <v>6.21</v>
      </c>
      <c r="F25" s="60">
        <v>41.06</v>
      </c>
      <c r="G25" s="60">
        <v>49.97</v>
      </c>
      <c r="H25" s="60">
        <v>25.11</v>
      </c>
      <c r="I25" s="60">
        <v>0.7</v>
      </c>
      <c r="J25" s="60">
        <v>1.26</v>
      </c>
      <c r="K25" s="60">
        <v>241.89</v>
      </c>
      <c r="L25" s="62" t="s">
        <v>14</v>
      </c>
      <c r="M25" s="62" t="s">
        <v>14</v>
      </c>
      <c r="N25" s="60">
        <v>113.2</v>
      </c>
      <c r="O25" s="60">
        <v>0</v>
      </c>
      <c r="P25" s="60">
        <v>0.56000000000000005</v>
      </c>
      <c r="Q25" s="60">
        <v>25.32</v>
      </c>
      <c r="R25" s="44"/>
      <c r="S25" s="44"/>
      <c r="T25" s="44"/>
      <c r="U25" s="44"/>
    </row>
    <row r="26" spans="1:21" s="12" customFormat="1" x14ac:dyDescent="0.25">
      <c r="A26" s="59" t="s">
        <v>799</v>
      </c>
      <c r="B26" s="60">
        <v>11.58</v>
      </c>
      <c r="C26" s="60">
        <v>53.47</v>
      </c>
      <c r="D26" s="60">
        <v>38.31</v>
      </c>
      <c r="E26" s="60">
        <v>6.5</v>
      </c>
      <c r="F26" s="60">
        <v>38.76</v>
      </c>
      <c r="G26" s="60">
        <v>51.61</v>
      </c>
      <c r="H26" s="60">
        <v>25.11</v>
      </c>
      <c r="I26" s="60">
        <v>0.8</v>
      </c>
      <c r="J26" s="60">
        <v>0.99</v>
      </c>
      <c r="K26" s="60">
        <v>244.18</v>
      </c>
      <c r="L26" s="60">
        <v>36.18</v>
      </c>
      <c r="M26" s="60">
        <v>22.74</v>
      </c>
      <c r="N26" s="60">
        <v>76.900000000000006</v>
      </c>
      <c r="O26" s="60">
        <v>0</v>
      </c>
      <c r="P26" s="60">
        <v>0.81</v>
      </c>
      <c r="Q26" s="60">
        <v>26.01</v>
      </c>
      <c r="R26" s="44"/>
      <c r="S26" s="44"/>
      <c r="T26" s="44"/>
      <c r="U26" s="44"/>
    </row>
    <row r="27" spans="1:21" s="12" customFormat="1" x14ac:dyDescent="0.25">
      <c r="A27" s="59" t="s">
        <v>800</v>
      </c>
      <c r="B27" s="60">
        <v>35.479999999999997</v>
      </c>
      <c r="C27" s="60">
        <v>93.92</v>
      </c>
      <c r="D27" s="60">
        <v>80.930000000000007</v>
      </c>
      <c r="E27" s="60">
        <v>12.73</v>
      </c>
      <c r="F27" s="60">
        <v>52.19</v>
      </c>
      <c r="G27" s="60">
        <v>64.28</v>
      </c>
      <c r="H27" s="60">
        <v>26.73</v>
      </c>
      <c r="I27" s="60">
        <v>0.66</v>
      </c>
      <c r="J27" s="60">
        <v>0.77</v>
      </c>
      <c r="K27" s="60">
        <v>253.03</v>
      </c>
      <c r="L27" s="60">
        <v>35.43</v>
      </c>
      <c r="M27" s="60">
        <v>24.96</v>
      </c>
      <c r="N27" s="60">
        <v>29.4</v>
      </c>
      <c r="O27" s="60">
        <v>0</v>
      </c>
      <c r="P27" s="60">
        <v>0.97</v>
      </c>
      <c r="Q27" s="60">
        <v>25.55</v>
      </c>
      <c r="R27" s="44"/>
      <c r="S27" s="44"/>
      <c r="T27" s="44"/>
      <c r="U27" s="44"/>
    </row>
    <row r="28" spans="1:21" s="12" customFormat="1" x14ac:dyDescent="0.25">
      <c r="A28" s="59" t="s">
        <v>801</v>
      </c>
      <c r="B28" s="60">
        <v>46.51</v>
      </c>
      <c r="C28" s="60">
        <v>94.72</v>
      </c>
      <c r="D28" s="60">
        <v>89.02</v>
      </c>
      <c r="E28" s="60">
        <v>11.87</v>
      </c>
      <c r="F28" s="60">
        <v>9.4499999999999993</v>
      </c>
      <c r="G28" s="60">
        <v>79.650000000000006</v>
      </c>
      <c r="H28" s="60">
        <v>36.24</v>
      </c>
      <c r="I28" s="60">
        <v>1.33</v>
      </c>
      <c r="J28" s="60">
        <v>0.92</v>
      </c>
      <c r="K28" s="60">
        <v>255.49</v>
      </c>
      <c r="L28" s="60">
        <v>33.67</v>
      </c>
      <c r="M28" s="60">
        <v>30.01</v>
      </c>
      <c r="N28" s="60">
        <v>5.0999999999999996</v>
      </c>
      <c r="O28" s="60">
        <v>0</v>
      </c>
      <c r="P28" s="60">
        <v>1.51</v>
      </c>
      <c r="Q28" s="60">
        <v>25.85</v>
      </c>
      <c r="R28" s="44"/>
      <c r="S28" s="44"/>
      <c r="T28" s="44"/>
      <c r="U28" s="44"/>
    </row>
    <row r="29" spans="1:21" s="12" customFormat="1" x14ac:dyDescent="0.25">
      <c r="A29" s="59" t="s">
        <v>802</v>
      </c>
      <c r="B29" s="60">
        <v>22.48</v>
      </c>
      <c r="C29" s="60">
        <v>81.34</v>
      </c>
      <c r="D29" s="60">
        <v>61.64</v>
      </c>
      <c r="E29" s="60">
        <v>4.84</v>
      </c>
      <c r="F29" s="60">
        <v>16.39</v>
      </c>
      <c r="G29" s="60">
        <v>83.3</v>
      </c>
      <c r="H29" s="60">
        <v>38.159999999999997</v>
      </c>
      <c r="I29" s="60">
        <v>1.1200000000000001</v>
      </c>
      <c r="J29" s="60">
        <v>0.4</v>
      </c>
      <c r="K29" s="60">
        <v>221.68</v>
      </c>
      <c r="L29" s="60">
        <v>33.409999999999997</v>
      </c>
      <c r="M29" s="60">
        <v>32.04</v>
      </c>
      <c r="N29" s="60">
        <v>4.7</v>
      </c>
      <c r="O29" s="60">
        <v>0</v>
      </c>
      <c r="P29" s="60">
        <v>1.61</v>
      </c>
      <c r="Q29" s="60">
        <v>28.19</v>
      </c>
      <c r="R29" s="44"/>
      <c r="S29" s="44"/>
      <c r="T29" s="44"/>
      <c r="U29" s="44"/>
    </row>
    <row r="30" spans="1:21" s="12" customFormat="1" x14ac:dyDescent="0.25">
      <c r="A30" s="59" t="s">
        <v>803</v>
      </c>
      <c r="B30" s="60">
        <v>31.67</v>
      </c>
      <c r="C30" s="60">
        <v>80.92</v>
      </c>
      <c r="D30" s="60">
        <v>70.7</v>
      </c>
      <c r="E30" s="60">
        <v>25.08</v>
      </c>
      <c r="F30" s="60">
        <v>25.39</v>
      </c>
      <c r="G30" s="60">
        <v>92.74</v>
      </c>
      <c r="H30" s="60">
        <v>38.159999999999997</v>
      </c>
      <c r="I30" s="60">
        <v>1.1299999999999999</v>
      </c>
      <c r="J30" s="60">
        <v>0.87</v>
      </c>
      <c r="K30" s="60">
        <v>242.61</v>
      </c>
      <c r="L30" s="60">
        <v>32.1</v>
      </c>
      <c r="M30" s="60">
        <v>37.94</v>
      </c>
      <c r="N30" s="60">
        <v>5.9</v>
      </c>
      <c r="O30" s="60">
        <v>0</v>
      </c>
      <c r="P30" s="60">
        <v>1.66</v>
      </c>
      <c r="Q30" s="60">
        <v>28.37</v>
      </c>
      <c r="R30" s="44"/>
      <c r="S30" s="44"/>
      <c r="T30" s="44"/>
      <c r="U30" s="44"/>
    </row>
    <row r="31" spans="1:21" s="12" customFormat="1" x14ac:dyDescent="0.25">
      <c r="A31" s="59" t="s">
        <v>804</v>
      </c>
      <c r="B31" s="60">
        <v>45.44</v>
      </c>
      <c r="C31" s="60">
        <v>90.6</v>
      </c>
      <c r="D31" s="60">
        <v>87.08</v>
      </c>
      <c r="E31" s="60">
        <v>11.7</v>
      </c>
      <c r="F31" s="60">
        <v>9.49</v>
      </c>
      <c r="G31" s="60">
        <v>97.36</v>
      </c>
      <c r="H31" s="60">
        <v>42.64</v>
      </c>
      <c r="I31" s="60">
        <v>0.99</v>
      </c>
      <c r="J31" s="60">
        <v>0.27</v>
      </c>
      <c r="K31" s="60">
        <v>211.81</v>
      </c>
      <c r="L31" s="60">
        <v>30.56</v>
      </c>
      <c r="M31" s="60">
        <v>42.47</v>
      </c>
      <c r="N31" s="60">
        <v>5.6</v>
      </c>
      <c r="O31" s="60">
        <v>0</v>
      </c>
      <c r="P31" s="60">
        <v>1.74</v>
      </c>
      <c r="Q31" s="60">
        <v>27.57</v>
      </c>
      <c r="R31" s="44"/>
      <c r="S31" s="44"/>
      <c r="T31" s="44"/>
      <c r="U31" s="44"/>
    </row>
    <row r="32" spans="1:21" s="12" customFormat="1" x14ac:dyDescent="0.25">
      <c r="A32" s="59" t="s">
        <v>805</v>
      </c>
      <c r="B32" s="60">
        <v>32.700000000000003</v>
      </c>
      <c r="C32" s="60">
        <v>88.76</v>
      </c>
      <c r="D32" s="60">
        <v>73.14</v>
      </c>
      <c r="E32" s="60">
        <v>7.27</v>
      </c>
      <c r="F32" s="60">
        <v>5.21</v>
      </c>
      <c r="G32" s="60">
        <v>113.94</v>
      </c>
      <c r="H32" s="60">
        <v>49.03</v>
      </c>
      <c r="I32" s="60">
        <v>1.1499999999999999</v>
      </c>
      <c r="J32" s="60">
        <v>0.18</v>
      </c>
      <c r="K32" s="60">
        <v>240.51</v>
      </c>
      <c r="L32" s="60">
        <v>29.47</v>
      </c>
      <c r="M32" s="60">
        <v>45.28</v>
      </c>
      <c r="N32" s="60">
        <v>5.4</v>
      </c>
      <c r="O32" s="60">
        <v>0</v>
      </c>
      <c r="P32" s="60">
        <v>1.92</v>
      </c>
      <c r="Q32" s="60">
        <v>29.32</v>
      </c>
      <c r="R32" s="44"/>
      <c r="S32" s="44"/>
      <c r="T32" s="44"/>
      <c r="U32" s="44"/>
    </row>
    <row r="33" spans="1:21" s="22" customFormat="1" x14ac:dyDescent="0.25">
      <c r="A33" s="27"/>
      <c r="B33" s="21"/>
      <c r="C33" s="21"/>
      <c r="D33" s="21"/>
      <c r="E33" s="21"/>
      <c r="F33" s="21"/>
      <c r="G33" s="27"/>
      <c r="H33" s="27"/>
      <c r="I33" s="27"/>
      <c r="J33" s="21"/>
      <c r="K33" s="21"/>
      <c r="L33" s="27"/>
      <c r="M33" s="27"/>
      <c r="N33" s="27"/>
      <c r="O33" s="27"/>
      <c r="P33" s="27"/>
      <c r="Q33" s="21"/>
      <c r="R33" s="21"/>
      <c r="S33" s="21"/>
      <c r="T33" s="21"/>
      <c r="U33" s="21"/>
    </row>
    <row r="34" spans="1:21" s="22" customFormat="1" x14ac:dyDescent="0.25">
      <c r="A34" s="28" t="s">
        <v>30</v>
      </c>
      <c r="B34" s="29">
        <f t="shared" ref="B34:Q34" si="0">MIN(B9:B32)</f>
        <v>1.22</v>
      </c>
      <c r="C34" s="29">
        <f t="shared" si="0"/>
        <v>33.04</v>
      </c>
      <c r="D34" s="29">
        <f t="shared" si="0"/>
        <v>19.760000000000002</v>
      </c>
      <c r="E34" s="29">
        <f t="shared" si="0"/>
        <v>1.7</v>
      </c>
      <c r="F34" s="29">
        <f t="shared" si="0"/>
        <v>5.21</v>
      </c>
      <c r="G34" s="29">
        <f t="shared" si="0"/>
        <v>36.94</v>
      </c>
      <c r="H34" s="29">
        <f t="shared" si="0"/>
        <v>25.07</v>
      </c>
      <c r="I34" s="29">
        <f t="shared" si="0"/>
        <v>0.59</v>
      </c>
      <c r="J34" s="29">
        <f t="shared" si="0"/>
        <v>0.03</v>
      </c>
      <c r="K34" s="29">
        <f t="shared" si="0"/>
        <v>188.43</v>
      </c>
      <c r="L34" s="29">
        <f t="shared" si="0"/>
        <v>26.25</v>
      </c>
      <c r="M34" s="29">
        <f t="shared" si="0"/>
        <v>22.74</v>
      </c>
      <c r="N34" s="29">
        <f t="shared" si="0"/>
        <v>4.5999999999999996</v>
      </c>
      <c r="O34" s="29">
        <f t="shared" si="0"/>
        <v>0</v>
      </c>
      <c r="P34" s="29">
        <f t="shared" si="0"/>
        <v>0.44</v>
      </c>
      <c r="Q34" s="29">
        <f t="shared" si="0"/>
        <v>24.08</v>
      </c>
      <c r="R34" s="29"/>
      <c r="S34" s="29"/>
      <c r="T34" s="29"/>
      <c r="U34" s="29"/>
    </row>
    <row r="35" spans="1:21" s="22" customFormat="1" x14ac:dyDescent="0.25">
      <c r="A35" s="28" t="s">
        <v>31</v>
      </c>
      <c r="B35" s="30">
        <f t="shared" ref="B35:Q35" si="1">MAX(B9:B32)</f>
        <v>46.51</v>
      </c>
      <c r="C35" s="30">
        <f t="shared" si="1"/>
        <v>94.72</v>
      </c>
      <c r="D35" s="30">
        <f t="shared" si="1"/>
        <v>89.02</v>
      </c>
      <c r="E35" s="30">
        <f t="shared" si="1"/>
        <v>25.08</v>
      </c>
      <c r="F35" s="30">
        <f t="shared" si="1"/>
        <v>95.43</v>
      </c>
      <c r="G35" s="30">
        <f t="shared" si="1"/>
        <v>113.94</v>
      </c>
      <c r="H35" s="30">
        <f t="shared" si="1"/>
        <v>49.03</v>
      </c>
      <c r="I35" s="30">
        <f t="shared" si="1"/>
        <v>1.33</v>
      </c>
      <c r="J35" s="30">
        <f t="shared" si="1"/>
        <v>1.37</v>
      </c>
      <c r="K35" s="30">
        <f t="shared" si="1"/>
        <v>294</v>
      </c>
      <c r="L35" s="30">
        <f t="shared" si="1"/>
        <v>39.729999999999997</v>
      </c>
      <c r="M35" s="30">
        <f t="shared" si="1"/>
        <v>51.08</v>
      </c>
      <c r="N35" s="30">
        <f t="shared" si="1"/>
        <v>828.1</v>
      </c>
      <c r="O35" s="30">
        <f t="shared" si="1"/>
        <v>0</v>
      </c>
      <c r="P35" s="30">
        <f t="shared" si="1"/>
        <v>1.92</v>
      </c>
      <c r="Q35" s="30">
        <f t="shared" si="1"/>
        <v>29.32</v>
      </c>
      <c r="R35" s="30"/>
      <c r="S35" s="30"/>
      <c r="T35" s="30"/>
      <c r="U35" s="30"/>
    </row>
    <row r="36" spans="1:21" s="22" customFormat="1" x14ac:dyDescent="0.25">
      <c r="A36" s="28" t="s">
        <v>32</v>
      </c>
      <c r="B36" s="29">
        <f t="shared" ref="B36:Q36" si="2">AVERAGE(B9:B32)</f>
        <v>11.708749999999997</v>
      </c>
      <c r="C36" s="29">
        <f t="shared" si="2"/>
        <v>57.060416666666661</v>
      </c>
      <c r="D36" s="29">
        <f t="shared" si="2"/>
        <v>41.021666666666668</v>
      </c>
      <c r="E36" s="29">
        <f t="shared" si="2"/>
        <v>6.3637499999999996</v>
      </c>
      <c r="F36" s="29">
        <f t="shared" si="2"/>
        <v>30.579583333333336</v>
      </c>
      <c r="G36" s="29">
        <f t="shared" si="2"/>
        <v>58.775833333333331</v>
      </c>
      <c r="H36" s="29">
        <f t="shared" si="2"/>
        <v>30.298749999999998</v>
      </c>
      <c r="I36" s="29">
        <f t="shared" si="2"/>
        <v>0.79833333333333323</v>
      </c>
      <c r="J36" s="29">
        <f t="shared" si="2"/>
        <v>0.61958333333333326</v>
      </c>
      <c r="K36" s="29">
        <f t="shared" si="2"/>
        <v>245.56666666666669</v>
      </c>
      <c r="L36" s="29">
        <f t="shared" si="2"/>
        <v>31.435000000000002</v>
      </c>
      <c r="M36" s="29">
        <f t="shared" si="2"/>
        <v>39.665555555555557</v>
      </c>
      <c r="N36" s="29">
        <f t="shared" si="2"/>
        <v>264.51363636363635</v>
      </c>
      <c r="O36" s="29">
        <f t="shared" si="2"/>
        <v>0</v>
      </c>
      <c r="P36" s="29">
        <f t="shared" si="2"/>
        <v>0.93208333333333326</v>
      </c>
      <c r="Q36" s="29">
        <f t="shared" si="2"/>
        <v>26.00041666666667</v>
      </c>
      <c r="R36" s="29"/>
      <c r="S36" s="29"/>
      <c r="T36" s="29"/>
      <c r="U36" s="29"/>
    </row>
    <row r="37" spans="1:21" s="22" customFormat="1" x14ac:dyDescent="0.25">
      <c r="A37" s="28" t="s">
        <v>38</v>
      </c>
      <c r="B37" s="29">
        <f>STDEV(B9:B32)</f>
        <v>14.967890651106401</v>
      </c>
      <c r="C37" s="29">
        <f t="shared" ref="C37:Q37" si="3">STDEV(C9:C32)</f>
        <v>19.950547661474221</v>
      </c>
      <c r="D37" s="29">
        <f t="shared" si="3"/>
        <v>22.233741625436465</v>
      </c>
      <c r="E37" s="29">
        <f t="shared" si="3"/>
        <v>5.2674775850207132</v>
      </c>
      <c r="F37" s="29">
        <f t="shared" si="3"/>
        <v>23.457973054354891</v>
      </c>
      <c r="G37" s="29">
        <f t="shared" si="3"/>
        <v>20.43367444805941</v>
      </c>
      <c r="H37" s="29">
        <f t="shared" si="3"/>
        <v>6.0777372165891848</v>
      </c>
      <c r="I37" s="29">
        <f t="shared" si="3"/>
        <v>0.20603221923359252</v>
      </c>
      <c r="J37" s="29">
        <f t="shared" si="3"/>
        <v>0.40284293159522117</v>
      </c>
      <c r="K37" s="29">
        <f t="shared" si="3"/>
        <v>22.445140399120518</v>
      </c>
      <c r="L37" s="29">
        <f t="shared" si="3"/>
        <v>4.309792201896677</v>
      </c>
      <c r="M37" s="29">
        <f t="shared" si="3"/>
        <v>9.8097611784938508</v>
      </c>
      <c r="N37" s="29">
        <f t="shared" si="3"/>
        <v>321.86654036291935</v>
      </c>
      <c r="O37" s="29">
        <f t="shared" si="3"/>
        <v>0</v>
      </c>
      <c r="P37" s="29">
        <f t="shared" si="3"/>
        <v>0.43627852259234851</v>
      </c>
      <c r="Q37" s="29">
        <f t="shared" si="3"/>
        <v>1.5735130431939384</v>
      </c>
      <c r="R37" s="29"/>
      <c r="S37" s="29"/>
      <c r="T37" s="29"/>
      <c r="U37" s="29"/>
    </row>
    <row r="38" spans="1:21" s="22" customFormat="1" x14ac:dyDescent="0.25">
      <c r="A38" s="32" t="s">
        <v>33</v>
      </c>
      <c r="B38" s="33">
        <f t="shared" ref="B38:Q38" si="4">COUNT(B9:B32)</f>
        <v>24</v>
      </c>
      <c r="C38" s="33">
        <f t="shared" si="4"/>
        <v>24</v>
      </c>
      <c r="D38" s="33">
        <f t="shared" si="4"/>
        <v>24</v>
      </c>
      <c r="E38" s="33">
        <f t="shared" si="4"/>
        <v>24</v>
      </c>
      <c r="F38" s="33">
        <f t="shared" si="4"/>
        <v>24</v>
      </c>
      <c r="G38" s="33">
        <f t="shared" si="4"/>
        <v>24</v>
      </c>
      <c r="H38" s="33">
        <f t="shared" si="4"/>
        <v>24</v>
      </c>
      <c r="I38" s="33">
        <f t="shared" si="4"/>
        <v>24</v>
      </c>
      <c r="J38" s="33">
        <f t="shared" si="4"/>
        <v>24</v>
      </c>
      <c r="K38" s="33">
        <f t="shared" si="4"/>
        <v>24</v>
      </c>
      <c r="L38" s="33">
        <f>COUNT(L9:L32)+6</f>
        <v>24</v>
      </c>
      <c r="M38" s="33">
        <f>COUNT(M9:M32)+6</f>
        <v>24</v>
      </c>
      <c r="N38" s="33">
        <f>COUNT(N9:N32)+2</f>
        <v>24</v>
      </c>
      <c r="O38" s="33">
        <f t="shared" si="4"/>
        <v>24</v>
      </c>
      <c r="P38" s="33">
        <f t="shared" si="4"/>
        <v>24</v>
      </c>
      <c r="Q38" s="33">
        <f t="shared" si="4"/>
        <v>24</v>
      </c>
      <c r="R38" s="33"/>
      <c r="S38" s="33"/>
      <c r="T38" s="33"/>
      <c r="U38" s="33"/>
    </row>
    <row r="39" spans="1:21" s="22" customFormat="1" x14ac:dyDescent="0.25">
      <c r="A39" s="28" t="s">
        <v>34</v>
      </c>
      <c r="B39" s="30" t="str">
        <f>IF(B38&gt;=22,"&gt;90%",IF(B38&lt;=22,"&lt;90%"))</f>
        <v>&gt;90%</v>
      </c>
      <c r="C39" s="30" t="str">
        <f t="shared" ref="C39:P39" si="5">IF(C38&gt;=22,"&gt;90%",IF(C38&lt;=22,"&lt;90%"))</f>
        <v>&gt;90%</v>
      </c>
      <c r="D39" s="30" t="str">
        <f t="shared" si="5"/>
        <v>&gt;90%</v>
      </c>
      <c r="E39" s="30" t="str">
        <f t="shared" si="5"/>
        <v>&gt;90%</v>
      </c>
      <c r="F39" s="30" t="str">
        <f t="shared" si="5"/>
        <v>&gt;90%</v>
      </c>
      <c r="G39" s="30" t="str">
        <f t="shared" si="5"/>
        <v>&gt;90%</v>
      </c>
      <c r="H39" s="30" t="str">
        <f t="shared" si="5"/>
        <v>&gt;90%</v>
      </c>
      <c r="I39" s="30" t="str">
        <f t="shared" si="5"/>
        <v>&gt;90%</v>
      </c>
      <c r="J39" s="30" t="str">
        <f t="shared" si="5"/>
        <v>&gt;90%</v>
      </c>
      <c r="K39" s="30" t="str">
        <f t="shared" si="5"/>
        <v>&gt;90%</v>
      </c>
      <c r="L39" s="30" t="str">
        <f t="shared" si="5"/>
        <v>&gt;90%</v>
      </c>
      <c r="M39" s="30" t="str">
        <f t="shared" si="5"/>
        <v>&gt;90%</v>
      </c>
      <c r="N39" s="30" t="str">
        <f t="shared" si="5"/>
        <v>&gt;90%</v>
      </c>
      <c r="O39" s="30" t="str">
        <f t="shared" si="5"/>
        <v>&gt;90%</v>
      </c>
      <c r="P39" s="30" t="str">
        <f t="shared" si="5"/>
        <v>&gt;90%</v>
      </c>
      <c r="Q39" s="30" t="str">
        <f>IF(Q38&gt;=22,"&gt;90%",IF(Q38&lt;=22,"&lt;90%"))</f>
        <v>&gt;90%</v>
      </c>
      <c r="R39" s="30"/>
      <c r="S39" s="30"/>
      <c r="T39" s="30"/>
      <c r="U39" s="30"/>
    </row>
    <row r="40" spans="1:21" s="22" customFormat="1" x14ac:dyDescent="0.25">
      <c r="A40" s="28" t="s">
        <v>1</v>
      </c>
      <c r="B40" s="30" t="str">
        <f>IF(B38&gt;=22,"OK",IF(B38&lt;=22,"LESS"))</f>
        <v>OK</v>
      </c>
      <c r="C40" s="30" t="str">
        <f t="shared" ref="C40:Q40" si="6">IF(C38&gt;=22,"OK",IF(C38&lt;=22,"LESS"))</f>
        <v>OK</v>
      </c>
      <c r="D40" s="30" t="str">
        <f t="shared" si="6"/>
        <v>OK</v>
      </c>
      <c r="E40" s="30" t="str">
        <f t="shared" si="6"/>
        <v>OK</v>
      </c>
      <c r="F40" s="30" t="str">
        <f t="shared" si="6"/>
        <v>OK</v>
      </c>
      <c r="G40" s="30" t="str">
        <f t="shared" si="6"/>
        <v>OK</v>
      </c>
      <c r="H40" s="30" t="str">
        <f t="shared" si="6"/>
        <v>OK</v>
      </c>
      <c r="I40" s="30" t="str">
        <f t="shared" si="6"/>
        <v>OK</v>
      </c>
      <c r="J40" s="30" t="str">
        <f t="shared" si="6"/>
        <v>OK</v>
      </c>
      <c r="K40" s="30" t="str">
        <f t="shared" si="6"/>
        <v>OK</v>
      </c>
      <c r="L40" s="30" t="str">
        <f t="shared" si="6"/>
        <v>OK</v>
      </c>
      <c r="M40" s="30" t="str">
        <f t="shared" si="6"/>
        <v>OK</v>
      </c>
      <c r="N40" s="30" t="str">
        <f t="shared" si="6"/>
        <v>OK</v>
      </c>
      <c r="O40" s="30" t="str">
        <f t="shared" si="6"/>
        <v>OK</v>
      </c>
      <c r="P40" s="30" t="str">
        <f t="shared" si="6"/>
        <v>OK</v>
      </c>
      <c r="Q40" s="30" t="str">
        <f t="shared" si="6"/>
        <v>OK</v>
      </c>
      <c r="R40" s="30"/>
      <c r="S40" s="30"/>
      <c r="T40" s="30"/>
      <c r="U40" s="30"/>
    </row>
    <row r="41" spans="1:21" s="22" customFormat="1" x14ac:dyDescent="0.25">
      <c r="A41" s="14"/>
      <c r="L41" s="14"/>
      <c r="N41" s="17"/>
      <c r="O41" s="17"/>
      <c r="P41" s="17"/>
      <c r="Q41" s="17"/>
      <c r="R41" s="17"/>
      <c r="S41" s="17"/>
      <c r="T41" s="17"/>
      <c r="U41" s="17"/>
    </row>
    <row r="42" spans="1:21" s="22" customFormat="1" x14ac:dyDescent="0.25">
      <c r="A42" s="14"/>
    </row>
    <row r="43" spans="1:21" s="22" customFormat="1" x14ac:dyDescent="0.25">
      <c r="A43" s="15" t="s">
        <v>35</v>
      </c>
      <c r="B43" s="41" t="s">
        <v>41</v>
      </c>
      <c r="C43" s="43"/>
    </row>
    <row r="44" spans="1:21" s="22" customFormat="1" x14ac:dyDescent="0.25">
      <c r="A44" s="14"/>
      <c r="D44" s="2"/>
      <c r="E44" s="2"/>
      <c r="F44" s="2"/>
      <c r="G44" s="2"/>
      <c r="H44" s="2"/>
      <c r="I44" s="2"/>
    </row>
    <row r="45" spans="1:21" s="22" customFormat="1" ht="15.75" x14ac:dyDescent="0.25">
      <c r="A45" s="18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s="22" customFormat="1" x14ac:dyDescent="0.25"/>
    <row r="47" spans="1:21" s="22" customFormat="1" x14ac:dyDescent="0.25"/>
    <row r="48" spans="1:21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pans="1:1" s="22" customFormat="1" x14ac:dyDescent="0.25"/>
    <row r="98" spans="1:1" s="22" customFormat="1" x14ac:dyDescent="0.25"/>
    <row r="99" spans="1:1" s="22" customFormat="1" x14ac:dyDescent="0.25"/>
    <row r="100" spans="1:1" s="22" customFormat="1" x14ac:dyDescent="0.25"/>
    <row r="101" spans="1:1" s="22" customFormat="1" x14ac:dyDescent="0.25"/>
    <row r="102" spans="1:1" s="22" customFormat="1" x14ac:dyDescent="0.25"/>
    <row r="103" spans="1:1" s="22" customFormat="1" x14ac:dyDescent="0.25"/>
    <row r="104" spans="1:1" s="22" customFormat="1" x14ac:dyDescent="0.25"/>
    <row r="105" spans="1:1" s="22" customFormat="1" x14ac:dyDescent="0.25"/>
    <row r="106" spans="1:1" x14ac:dyDescent="0.25">
      <c r="A106" s="21"/>
    </row>
    <row r="107" spans="1:1" s="22" customFormat="1" x14ac:dyDescent="0.25"/>
    <row r="108" spans="1:1" s="22" customFormat="1" x14ac:dyDescent="0.25"/>
    <row r="109" spans="1:1" s="22" customFormat="1" x14ac:dyDescent="0.25"/>
    <row r="110" spans="1:1" s="22" customFormat="1" x14ac:dyDescent="0.25"/>
    <row r="111" spans="1:1" s="22" customFormat="1" x14ac:dyDescent="0.25"/>
    <row r="112" spans="1:1" s="22" customFormat="1" x14ac:dyDescent="0.25"/>
    <row r="113" spans="1:1" s="22" customFormat="1" x14ac:dyDescent="0.25"/>
    <row r="114" spans="1:1" s="22" customFormat="1" x14ac:dyDescent="0.25"/>
    <row r="115" spans="1:1" s="22" customFormat="1" x14ac:dyDescent="0.25"/>
    <row r="116" spans="1:1" s="22" customFormat="1" x14ac:dyDescent="0.25"/>
    <row r="117" spans="1:1" s="22" customFormat="1" x14ac:dyDescent="0.25"/>
    <row r="118" spans="1:1" x14ac:dyDescent="0.25">
      <c r="A118" s="21"/>
    </row>
    <row r="119" spans="1:1" x14ac:dyDescent="0.25">
      <c r="A119" s="2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P18" sqref="P18"/>
    </sheetView>
  </sheetViews>
  <sheetFormatPr defaultColWidth="8.85546875" defaultRowHeight="15" x14ac:dyDescent="0.25"/>
  <cols>
    <col min="1" max="1" width="17.42578125" style="12" customWidth="1"/>
    <col min="2" max="2" width="17.85546875" style="12" customWidth="1"/>
    <col min="3" max="3" width="9.85546875" style="12" customWidth="1"/>
    <col min="4" max="4" width="12.5703125" style="12" customWidth="1"/>
    <col min="5" max="5" width="9.7109375" style="12" customWidth="1"/>
    <col min="6" max="6" width="8.85546875" style="12"/>
    <col min="7" max="7" width="11.28515625" style="12" customWidth="1"/>
    <col min="8" max="8" width="12.42578125" style="12" customWidth="1"/>
    <col min="9" max="9" width="13" style="12" customWidth="1"/>
    <col min="10" max="10" width="8.85546875" style="12"/>
    <col min="11" max="11" width="9.7109375" style="12" customWidth="1"/>
    <col min="12" max="12" width="11" style="12" customWidth="1"/>
    <col min="13" max="13" width="10" style="12" customWidth="1"/>
    <col min="14" max="15" width="8.85546875" style="12"/>
    <col min="16" max="16" width="11" style="12" customWidth="1"/>
    <col min="17" max="17" width="15.85546875" style="12" customWidth="1"/>
    <col min="18" max="18" width="8.85546875" style="12"/>
    <col min="19" max="19" width="12.140625" style="12" customWidth="1"/>
    <col min="20" max="20" width="12.7109375" style="12" customWidth="1"/>
    <col min="21" max="16384" width="8.85546875" style="12"/>
  </cols>
  <sheetData>
    <row r="1" spans="1:21" s="22" customFormat="1" ht="27.75" customHeight="1" x14ac:dyDescent="0.25">
      <c r="A1" s="15" t="s">
        <v>2</v>
      </c>
      <c r="B1" s="24" t="s">
        <v>42</v>
      </c>
      <c r="C1" s="2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2" customFormat="1" x14ac:dyDescent="0.25">
      <c r="A2" s="15" t="s">
        <v>0</v>
      </c>
      <c r="B2" s="39" t="str">
        <f>$A$9</f>
        <v>01-05-2023 01:00</v>
      </c>
      <c r="C2" s="12"/>
      <c r="D2" s="11" t="s">
        <v>3</v>
      </c>
      <c r="E2" s="11"/>
      <c r="F2" s="11"/>
      <c r="G2" s="4" t="s">
        <v>4</v>
      </c>
      <c r="H2" s="20"/>
      <c r="I2" s="20"/>
      <c r="J2" s="20"/>
      <c r="K2" s="13"/>
      <c r="L2" s="11" t="s">
        <v>5</v>
      </c>
      <c r="M2" s="13"/>
      <c r="N2" s="8" t="s">
        <v>6</v>
      </c>
      <c r="P2" s="40" t="s">
        <v>7</v>
      </c>
      <c r="Q2" s="13"/>
      <c r="R2" s="9" t="s">
        <v>8</v>
      </c>
      <c r="S2" s="12"/>
      <c r="T2" s="12"/>
      <c r="U2" s="12"/>
    </row>
    <row r="3" spans="1:21" s="22" customFormat="1" x14ac:dyDescent="0.25">
      <c r="A3" s="15" t="s">
        <v>9</v>
      </c>
      <c r="B3" s="13" t="s">
        <v>10</v>
      </c>
      <c r="C3" s="12"/>
      <c r="D3" s="11" t="s">
        <v>11</v>
      </c>
      <c r="E3" s="11"/>
      <c r="F3" s="11"/>
      <c r="G3" s="19" t="s">
        <v>12</v>
      </c>
      <c r="H3" s="20"/>
      <c r="I3" s="20"/>
      <c r="J3" s="20"/>
      <c r="K3" s="12"/>
      <c r="L3" s="11" t="s">
        <v>13</v>
      </c>
      <c r="M3" s="13"/>
      <c r="N3" s="6" t="s">
        <v>14</v>
      </c>
      <c r="O3" s="13"/>
      <c r="P3" s="40" t="s">
        <v>15</v>
      </c>
      <c r="Q3" s="13"/>
      <c r="R3" s="10" t="s">
        <v>15</v>
      </c>
      <c r="S3" s="12"/>
      <c r="T3" s="12"/>
      <c r="U3" s="12"/>
    </row>
    <row r="4" spans="1:21" s="22" customFormat="1" x14ac:dyDescent="0.25">
      <c r="A4" s="15" t="s">
        <v>16</v>
      </c>
      <c r="B4" s="13" t="s">
        <v>37</v>
      </c>
      <c r="C4" s="12"/>
      <c r="D4" s="11" t="s">
        <v>17</v>
      </c>
      <c r="E4" s="11"/>
      <c r="F4" s="11"/>
      <c r="G4" s="5" t="s">
        <v>18</v>
      </c>
      <c r="H4" s="20"/>
      <c r="I4" s="20"/>
      <c r="J4" s="20"/>
      <c r="K4" s="3"/>
      <c r="L4" s="11" t="s">
        <v>19</v>
      </c>
      <c r="M4" s="13"/>
      <c r="N4" s="7" t="s">
        <v>20</v>
      </c>
      <c r="O4" s="13"/>
      <c r="P4" s="13"/>
      <c r="Q4" s="13"/>
      <c r="R4" s="13"/>
      <c r="S4" s="12"/>
      <c r="T4" s="12"/>
      <c r="U4" s="12"/>
    </row>
    <row r="5" spans="1:21" s="22" customFormat="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22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22" customFormat="1" x14ac:dyDescent="0.25">
      <c r="A7" s="26" t="s">
        <v>21</v>
      </c>
      <c r="B7" s="45" t="s">
        <v>58</v>
      </c>
      <c r="C7" s="45" t="s">
        <v>43</v>
      </c>
      <c r="D7" s="45" t="s">
        <v>44</v>
      </c>
      <c r="E7" s="45" t="s">
        <v>45</v>
      </c>
      <c r="F7" s="45" t="s">
        <v>46</v>
      </c>
      <c r="G7" s="45" t="s">
        <v>47</v>
      </c>
      <c r="H7" s="45" t="s">
        <v>48</v>
      </c>
      <c r="I7" s="45" t="s">
        <v>49</v>
      </c>
      <c r="J7" s="45" t="s">
        <v>50</v>
      </c>
      <c r="K7" s="45" t="s">
        <v>51</v>
      </c>
      <c r="L7" s="45" t="s">
        <v>52</v>
      </c>
      <c r="M7" s="45" t="s">
        <v>53</v>
      </c>
      <c r="N7" s="45" t="s">
        <v>54</v>
      </c>
      <c r="O7" s="45" t="s">
        <v>55</v>
      </c>
      <c r="P7" s="45" t="s">
        <v>56</v>
      </c>
      <c r="Q7" s="45" t="s">
        <v>57</v>
      </c>
      <c r="R7" s="28"/>
      <c r="S7" s="30"/>
      <c r="T7" s="28"/>
      <c r="U7" s="28"/>
    </row>
    <row r="8" spans="1:21" s="22" customFormat="1" x14ac:dyDescent="0.25">
      <c r="A8" s="26"/>
      <c r="B8" s="30" t="s">
        <v>22</v>
      </c>
      <c r="C8" s="30" t="s">
        <v>22</v>
      </c>
      <c r="D8" s="30" t="s">
        <v>61</v>
      </c>
      <c r="E8" s="30" t="s">
        <v>22</v>
      </c>
      <c r="F8" s="30" t="s">
        <v>22</v>
      </c>
      <c r="G8" s="30" t="s">
        <v>23</v>
      </c>
      <c r="H8" s="30" t="s">
        <v>22</v>
      </c>
      <c r="I8" s="30" t="s">
        <v>22</v>
      </c>
      <c r="J8" s="30" t="s">
        <v>24</v>
      </c>
      <c r="K8" s="30" t="s">
        <v>25</v>
      </c>
      <c r="L8" s="28" t="s">
        <v>27</v>
      </c>
      <c r="M8" s="30" t="s">
        <v>26</v>
      </c>
      <c r="N8" s="30" t="s">
        <v>28</v>
      </c>
      <c r="O8" s="28" t="s">
        <v>29</v>
      </c>
      <c r="P8" s="30" t="s">
        <v>22</v>
      </c>
      <c r="Q8" s="30" t="s">
        <v>22</v>
      </c>
      <c r="R8" s="28"/>
      <c r="S8" s="30"/>
      <c r="T8" s="28"/>
      <c r="U8" s="28"/>
    </row>
    <row r="9" spans="1:21" x14ac:dyDescent="0.25">
      <c r="A9" s="37" t="str">
        <f>'01'!$B$2</f>
        <v>01-05-2023 01:00</v>
      </c>
      <c r="B9" s="25">
        <f>'01'!B36</f>
        <v>6.0016666666666678</v>
      </c>
      <c r="C9" s="25">
        <f>'01'!C36</f>
        <v>26.537499999999998</v>
      </c>
      <c r="D9" s="25">
        <f>'01'!D36</f>
        <v>19.957916666666666</v>
      </c>
      <c r="E9" s="25">
        <f>'01'!E36</f>
        <v>1.7945833333333334</v>
      </c>
      <c r="F9" s="25">
        <f>'01'!F36</f>
        <v>5.0037499999999993</v>
      </c>
      <c r="G9" s="25">
        <f>'01'!G36</f>
        <v>31.628999999999998</v>
      </c>
      <c r="H9" s="25">
        <f>'01'!H36</f>
        <v>6.7759999999999989</v>
      </c>
      <c r="I9" s="25">
        <f>'01'!I36</f>
        <v>0.52749999999999997</v>
      </c>
      <c r="J9" s="25">
        <f>'01'!J36</f>
        <v>1.0374999999999999</v>
      </c>
      <c r="K9" s="25">
        <f>'01'!K36</f>
        <v>227.50458333333339</v>
      </c>
      <c r="L9" s="25">
        <f>'01'!L36</f>
        <v>21.793333333333337</v>
      </c>
      <c r="M9" s="25">
        <f>'01'!M36</f>
        <v>77.415416666666673</v>
      </c>
      <c r="N9" s="25">
        <f>'01'!N36</f>
        <v>62.444444444444443</v>
      </c>
      <c r="O9" s="25">
        <f>'01'!O36</f>
        <v>0.12500000000000003</v>
      </c>
      <c r="P9" s="31">
        <f>'01'!$P$36</f>
        <v>0.5229166666666667</v>
      </c>
      <c r="Q9" s="25">
        <f>'01'!Q36</f>
        <v>29.528333333333332</v>
      </c>
      <c r="R9" s="46"/>
      <c r="S9" s="46"/>
      <c r="T9" s="46"/>
      <c r="U9" s="47"/>
    </row>
    <row r="10" spans="1:21" s="35" customFormat="1" x14ac:dyDescent="0.25">
      <c r="A10" s="37" t="str">
        <f>'02'!$B$2</f>
        <v>02-05-2023 01:00</v>
      </c>
      <c r="B10" s="34">
        <f>'02'!B36</f>
        <v>5.8929166666666646</v>
      </c>
      <c r="C10" s="34">
        <f>'02'!C36</f>
        <v>27.071666666666662</v>
      </c>
      <c r="D10" s="34">
        <f>'02'!D36</f>
        <v>20.081666666666667</v>
      </c>
      <c r="E10" s="34">
        <f>'02'!E36</f>
        <v>1.6308333333333336</v>
      </c>
      <c r="F10" s="34">
        <f>'02'!F36</f>
        <v>8.1308333333333334</v>
      </c>
      <c r="G10" s="34">
        <f>'02'!G36</f>
        <v>35.983333333333334</v>
      </c>
      <c r="H10" s="34">
        <f>'02'!H36</f>
        <v>9.1906666666666652</v>
      </c>
      <c r="I10" s="34">
        <f>'02'!I36</f>
        <v>0.51791666666666669</v>
      </c>
      <c r="J10" s="34">
        <f>'02'!J36</f>
        <v>1.1437500000000003</v>
      </c>
      <c r="K10" s="34">
        <f>'02'!K36</f>
        <v>276.28499999999997</v>
      </c>
      <c r="L10" s="34">
        <f>'02'!L36</f>
        <v>23.125416666666666</v>
      </c>
      <c r="M10" s="34">
        <f>'02'!M36</f>
        <v>74.827916666666638</v>
      </c>
      <c r="N10" s="34">
        <f>'02'!N36</f>
        <v>289.80416666666662</v>
      </c>
      <c r="O10" s="34">
        <f>'02'!O36</f>
        <v>0.7416666666666667</v>
      </c>
      <c r="P10" s="31">
        <f>'02'!$P$36</f>
        <v>0.5195833333333334</v>
      </c>
      <c r="Q10" s="34">
        <f>'02'!Q36</f>
        <v>28.019999999999992</v>
      </c>
      <c r="R10" s="48"/>
      <c r="S10" s="48"/>
      <c r="T10" s="48"/>
      <c r="U10" s="48"/>
    </row>
    <row r="11" spans="1:21" s="35" customFormat="1" x14ac:dyDescent="0.25">
      <c r="A11" s="37" t="str">
        <f>'03'!$B$2</f>
        <v>03-05-2023 01:00</v>
      </c>
      <c r="B11" s="34">
        <f>'03'!B36</f>
        <v>7.7920833333333333</v>
      </c>
      <c r="C11" s="34">
        <f>'03'!C36</f>
        <v>23.265833333333333</v>
      </c>
      <c r="D11" s="34">
        <f>'03'!D36</f>
        <v>19.540416666666662</v>
      </c>
      <c r="E11" s="34">
        <f>'03'!E36</f>
        <v>1.1054166666666665</v>
      </c>
      <c r="F11" s="34">
        <f>'03'!F36</f>
        <v>5.6845833333333333</v>
      </c>
      <c r="G11" s="34">
        <f>'03'!G36</f>
        <v>27.68708333333333</v>
      </c>
      <c r="H11" s="34">
        <f>'03'!H36</f>
        <v>7.3745833333333337</v>
      </c>
      <c r="I11" s="34">
        <f>'03'!I36</f>
        <v>0.51333333333333342</v>
      </c>
      <c r="J11" s="34">
        <f>'03'!J36</f>
        <v>0.70666666666666655</v>
      </c>
      <c r="K11" s="34">
        <f>'03'!K36</f>
        <v>280.47750000000002</v>
      </c>
      <c r="L11" s="34">
        <f>'03'!L36</f>
        <v>22.46083333333333</v>
      </c>
      <c r="M11" s="34">
        <f>'03'!M36</f>
        <v>80.096250000000012</v>
      </c>
      <c r="N11" s="34">
        <f>'03'!N36</f>
        <v>175.06521739130432</v>
      </c>
      <c r="O11" s="34">
        <f>'03'!O36</f>
        <v>0.15000000000000002</v>
      </c>
      <c r="P11" s="31">
        <f>'03'!$P$36</f>
        <v>0.57624999999999993</v>
      </c>
      <c r="Q11" s="34">
        <f>'03'!Q36</f>
        <v>25.256666666666664</v>
      </c>
      <c r="R11" s="48"/>
      <c r="S11" s="48"/>
      <c r="T11" s="48"/>
      <c r="U11" s="48"/>
    </row>
    <row r="12" spans="1:21" s="35" customFormat="1" x14ac:dyDescent="0.25">
      <c r="A12" s="37" t="str">
        <f>'04'!$B$2</f>
        <v>04-05-2023 01:00</v>
      </c>
      <c r="B12" s="34">
        <f>'04'!B36</f>
        <v>17.921000000000006</v>
      </c>
      <c r="C12" s="34">
        <f>'04'!C36</f>
        <v>29.953500000000002</v>
      </c>
      <c r="D12" s="34">
        <f>'04'!D36</f>
        <v>30.795000000000005</v>
      </c>
      <c r="E12" s="34">
        <f>'04'!E36</f>
        <v>2.3242105263157895</v>
      </c>
      <c r="F12" s="34">
        <f>'04'!F36</f>
        <v>9.3699999999999992</v>
      </c>
      <c r="G12" s="34">
        <f>'04'!G36</f>
        <v>94.232857142857114</v>
      </c>
      <c r="H12" s="34">
        <f>'04'!H36</f>
        <v>25.859523809523807</v>
      </c>
      <c r="I12" s="34">
        <f>'04'!I36</f>
        <v>0.66538461538461546</v>
      </c>
      <c r="J12" s="34">
        <f>'04'!J36</f>
        <v>0.47857142857142859</v>
      </c>
      <c r="K12" s="34">
        <f>'04'!K36</f>
        <v>293.4452380952381</v>
      </c>
      <c r="L12" s="34">
        <f>'04'!L36</f>
        <v>26.418571428571425</v>
      </c>
      <c r="M12" s="34">
        <f>'04'!M36</f>
        <v>63.824761904761893</v>
      </c>
      <c r="N12" s="34">
        <f>'04'!N36</f>
        <v>69.706666666666663</v>
      </c>
      <c r="O12" s="34">
        <f>'04'!O36</f>
        <v>0</v>
      </c>
      <c r="P12" s="31">
        <f>'04'!$P$36</f>
        <v>0.93190476190476179</v>
      </c>
      <c r="Q12" s="34">
        <f>'04'!Q36</f>
        <v>27.986000000000001</v>
      </c>
      <c r="R12" s="48"/>
      <c r="S12" s="48"/>
      <c r="T12" s="48"/>
      <c r="U12" s="48"/>
    </row>
    <row r="13" spans="1:21" s="35" customFormat="1" x14ac:dyDescent="0.25">
      <c r="A13" s="37" t="str">
        <f>'05'!$B$2</f>
        <v>05-05-2023 01:00</v>
      </c>
      <c r="B13" s="34">
        <f>'05'!B36</f>
        <v>11.905217391304348</v>
      </c>
      <c r="C13" s="34">
        <f>'05'!C36</f>
        <v>29.977391304347826</v>
      </c>
      <c r="D13" s="34">
        <f>'05'!D36</f>
        <v>26.066086956521737</v>
      </c>
      <c r="E13" s="34">
        <f>'05'!E36</f>
        <v>3.3726086956521737</v>
      </c>
      <c r="F13" s="34">
        <f>'05'!F36</f>
        <v>12.573333333333331</v>
      </c>
      <c r="G13" s="34">
        <f>'05'!G36</f>
        <v>69.139130434782615</v>
      </c>
      <c r="H13" s="34">
        <f>'05'!H36</f>
        <v>19.693043478260865</v>
      </c>
      <c r="I13" s="34">
        <f>'05'!I36</f>
        <v>0.51749999999999996</v>
      </c>
      <c r="J13" s="34">
        <f>'05'!J36</f>
        <v>0.55833333333333335</v>
      </c>
      <c r="K13" s="34">
        <f>'05'!K36</f>
        <v>293.15583333333331</v>
      </c>
      <c r="L13" s="34">
        <f>'05'!L36</f>
        <v>29.176249999999992</v>
      </c>
      <c r="M13" s="34">
        <f>'05'!M36</f>
        <v>54.951249999999995</v>
      </c>
      <c r="N13" s="34">
        <f>'05'!N36</f>
        <v>325.63636363636363</v>
      </c>
      <c r="O13" s="34">
        <f>'05'!O36</f>
        <v>0</v>
      </c>
      <c r="P13" s="31">
        <f>'05'!$P$36</f>
        <v>0.67833333333333334</v>
      </c>
      <c r="Q13" s="34">
        <f>'05'!Q36</f>
        <v>21.994583333333335</v>
      </c>
      <c r="R13" s="48"/>
      <c r="S13" s="48"/>
      <c r="T13" s="48"/>
      <c r="U13" s="48"/>
    </row>
    <row r="14" spans="1:21" s="35" customFormat="1" x14ac:dyDescent="0.25">
      <c r="A14" s="37" t="str">
        <f>'06'!$B$2</f>
        <v>06-05-2023 01:00</v>
      </c>
      <c r="B14" s="34">
        <f>'06'!B36</f>
        <v>18.799166666666668</v>
      </c>
      <c r="C14" s="34">
        <f>'06'!C36</f>
        <v>33.288333333333327</v>
      </c>
      <c r="D14" s="34">
        <f>'06'!D36</f>
        <v>33.683750000000003</v>
      </c>
      <c r="E14" s="34">
        <f>'06'!E36</f>
        <v>3.4029166666666675</v>
      </c>
      <c r="F14" s="34">
        <f>'06'!F36</f>
        <v>17.51125</v>
      </c>
      <c r="G14" s="34">
        <f>'06'!G36</f>
        <v>35.48294117647059</v>
      </c>
      <c r="H14" s="34">
        <f>'06'!H36</f>
        <v>15.807058823529413</v>
      </c>
      <c r="I14" s="34">
        <f>'06'!I36</f>
        <v>0.60958333333333325</v>
      </c>
      <c r="J14" s="34">
        <f>'06'!J36</f>
        <v>0.31916666666666665</v>
      </c>
      <c r="K14" s="34">
        <f>'06'!K36</f>
        <v>292.3725</v>
      </c>
      <c r="L14" s="34">
        <f>'06'!L36</f>
        <v>29.110416666666669</v>
      </c>
      <c r="M14" s="34">
        <f>'06'!M36</f>
        <v>57.447499999999991</v>
      </c>
      <c r="N14" s="34">
        <f>'06'!N36</f>
        <v>267.22083333333336</v>
      </c>
      <c r="O14" s="34">
        <f>'06'!O36</f>
        <v>0</v>
      </c>
      <c r="P14" s="31">
        <f>'06'!$P$36</f>
        <v>0.79624999999999979</v>
      </c>
      <c r="Q14" s="34">
        <f>'06'!Q36</f>
        <v>22.077500000000004</v>
      </c>
      <c r="R14" s="48"/>
      <c r="S14" s="48"/>
      <c r="T14" s="48"/>
      <c r="U14" s="48"/>
    </row>
    <row r="15" spans="1:21" s="35" customFormat="1" x14ac:dyDescent="0.25">
      <c r="A15" s="37" t="str">
        <f>'07'!$B$2</f>
        <v>07-05-2023 01:00</v>
      </c>
      <c r="B15" s="34">
        <f>'07'!B36</f>
        <v>27.534999999999997</v>
      </c>
      <c r="C15" s="34">
        <f>'07'!C36</f>
        <v>40.6175</v>
      </c>
      <c r="D15" s="34">
        <f>'07'!D36</f>
        <v>44.531666666666666</v>
      </c>
      <c r="E15" s="34">
        <f>'07'!E36</f>
        <v>3.7587499999999996</v>
      </c>
      <c r="F15" s="34">
        <f>'07'!F36</f>
        <v>12.508749999999997</v>
      </c>
      <c r="G15" s="58" t="s">
        <v>14</v>
      </c>
      <c r="H15" s="58" t="s">
        <v>14</v>
      </c>
      <c r="I15" s="34">
        <f>'07'!I36</f>
        <v>0.71916666666666673</v>
      </c>
      <c r="J15" s="34">
        <f>'07'!J36</f>
        <v>0.50125000000000008</v>
      </c>
      <c r="K15" s="34">
        <f>'07'!K36</f>
        <v>280.96583333333336</v>
      </c>
      <c r="L15" s="34">
        <f>'07'!L36</f>
        <v>29.661666666666672</v>
      </c>
      <c r="M15" s="34">
        <f>'07'!M36</f>
        <v>56.978749999999984</v>
      </c>
      <c r="N15" s="34">
        <f>'07'!N37</f>
        <v>336.97500831943609</v>
      </c>
      <c r="O15" s="34">
        <f>'07'!O37</f>
        <v>0.36742346141747673</v>
      </c>
      <c r="P15" s="31">
        <f>'07'!$P$36</f>
        <v>1.2462500000000001</v>
      </c>
      <c r="Q15" s="34">
        <f>'07'!Q36</f>
        <v>24.47583333333333</v>
      </c>
      <c r="R15" s="48"/>
      <c r="S15" s="48"/>
      <c r="T15" s="48"/>
      <c r="U15" s="48"/>
    </row>
    <row r="16" spans="1:21" s="35" customFormat="1" x14ac:dyDescent="0.25">
      <c r="A16" s="37" t="str">
        <f>'08'!$B$2</f>
        <v>08-05-2023 01:00</v>
      </c>
      <c r="B16" s="34">
        <f>'08'!B36</f>
        <v>18.914166666666663</v>
      </c>
      <c r="C16" s="34">
        <f>'08'!C36</f>
        <v>38.87166666666667</v>
      </c>
      <c r="D16" s="34">
        <f>'08'!D36</f>
        <v>36.322499999999998</v>
      </c>
      <c r="E16" s="34">
        <f>'08'!E36</f>
        <v>6.9937499999999986</v>
      </c>
      <c r="F16" s="34">
        <f>'08'!F36</f>
        <v>20.812083333333337</v>
      </c>
      <c r="G16" s="34">
        <f>'08'!G36</f>
        <v>66.317647058823539</v>
      </c>
      <c r="H16" s="34">
        <f>'08'!H36</f>
        <v>27.33588235294118</v>
      </c>
      <c r="I16" s="34">
        <f>'08'!I36</f>
        <v>0.68833333333333335</v>
      </c>
      <c r="J16" s="34">
        <f>'08'!J36</f>
        <v>0.35333333333333333</v>
      </c>
      <c r="K16" s="34">
        <f>'08'!K36</f>
        <v>285.41958333333332</v>
      </c>
      <c r="L16" s="34">
        <f>'08'!L36</f>
        <v>30.630833333333342</v>
      </c>
      <c r="M16" s="34">
        <f>'08'!M36</f>
        <v>50.457916666666669</v>
      </c>
      <c r="N16" s="34">
        <f>'08'!N36</f>
        <v>283.59583333333336</v>
      </c>
      <c r="O16" s="34">
        <f>'08'!O36</f>
        <v>0</v>
      </c>
      <c r="P16" s="31">
        <f>'08'!$P$36</f>
        <v>1.2274999999999998</v>
      </c>
      <c r="Q16" s="34">
        <f>'08'!Q36</f>
        <v>24.33208333333333</v>
      </c>
      <c r="R16" s="48"/>
      <c r="S16" s="48"/>
      <c r="T16" s="48"/>
      <c r="U16" s="48"/>
    </row>
    <row r="17" spans="1:24" s="35" customFormat="1" x14ac:dyDescent="0.25">
      <c r="A17" s="37" t="str">
        <f>'09'!$B$2</f>
        <v>09-05-2023 01:00</v>
      </c>
      <c r="B17" s="34">
        <f>'09'!B36</f>
        <v>7.5129166666666656</v>
      </c>
      <c r="C17" s="34">
        <f>'09'!C36</f>
        <v>37.702500000000008</v>
      </c>
      <c r="D17" s="34">
        <f>'09'!D36</f>
        <v>27.205000000000002</v>
      </c>
      <c r="E17" s="34">
        <f>'09'!E36</f>
        <v>11.260833333333332</v>
      </c>
      <c r="F17" s="34">
        <f>'09'!F36</f>
        <v>24.822083333333339</v>
      </c>
      <c r="G17" s="34">
        <f>'09'!G36</f>
        <v>74.127499999999984</v>
      </c>
      <c r="H17" s="34">
        <f>'09'!H36</f>
        <v>31.082916666666673</v>
      </c>
      <c r="I17" s="34">
        <f>'09'!I36</f>
        <v>0.63708333333333333</v>
      </c>
      <c r="J17" s="34">
        <f>'09'!J36</f>
        <v>0.65666666666666662</v>
      </c>
      <c r="K17" s="34">
        <f>'09'!K36</f>
        <v>265.60750000000002</v>
      </c>
      <c r="L17" s="34">
        <f>'09'!L36</f>
        <v>30.783333333333335</v>
      </c>
      <c r="M17" s="34">
        <f>'09'!M36</f>
        <v>51.191249999999997</v>
      </c>
      <c r="N17" s="34">
        <f>'09'!N37</f>
        <v>333.32789042657669</v>
      </c>
      <c r="O17" s="34">
        <v>0</v>
      </c>
      <c r="P17" s="31">
        <f>'09'!$P$36</f>
        <v>0.89500000000000002</v>
      </c>
      <c r="Q17" s="34">
        <f>'09'!Q36</f>
        <v>23.865416666666665</v>
      </c>
      <c r="R17" s="48"/>
      <c r="S17" s="48"/>
      <c r="T17" s="48"/>
      <c r="U17" s="48"/>
      <c r="V17" s="36"/>
      <c r="W17" s="36"/>
      <c r="X17" s="36"/>
    </row>
    <row r="18" spans="1:24" s="35" customFormat="1" x14ac:dyDescent="0.25">
      <c r="A18" s="37" t="str">
        <f>'10'!$B$2</f>
        <v>10-05-2023 01:00</v>
      </c>
      <c r="B18" s="34">
        <f>'10'!B36</f>
        <v>15.677916666666667</v>
      </c>
      <c r="C18" s="34">
        <f>'10'!C36</f>
        <v>36.709583333333335</v>
      </c>
      <c r="D18" s="34">
        <f>'10'!D36</f>
        <v>32.5625</v>
      </c>
      <c r="E18" s="34">
        <f>'10'!E36</f>
        <v>6.7433333333333332</v>
      </c>
      <c r="F18" s="34">
        <f>'10'!F36</f>
        <v>19.462499999999999</v>
      </c>
      <c r="G18" s="34">
        <f>'10'!G36</f>
        <v>51.926250000000003</v>
      </c>
      <c r="H18" s="34">
        <f>'10'!H36</f>
        <v>22.599583333333332</v>
      </c>
      <c r="I18" s="34">
        <f>'10'!I36</f>
        <v>0.68666666666666687</v>
      </c>
      <c r="J18" s="34">
        <f>'10'!J36</f>
        <v>0.48041666666666666</v>
      </c>
      <c r="K18" s="34">
        <f>'10'!K36</f>
        <v>289.97041666666661</v>
      </c>
      <c r="L18" s="34">
        <f>'10'!L36</f>
        <v>31.144583333333333</v>
      </c>
      <c r="M18" s="34">
        <f>'10'!M36</f>
        <v>49.089166666666664</v>
      </c>
      <c r="N18" s="34">
        <f>'10'!N36</f>
        <v>275.09583333333336</v>
      </c>
      <c r="O18" s="34">
        <f>'10'!O36</f>
        <v>0</v>
      </c>
      <c r="P18" s="31">
        <f>'10'!$P$36</f>
        <v>0.95625000000000016</v>
      </c>
      <c r="Q18" s="34">
        <f>'10'!Q36</f>
        <v>22.604583333333334</v>
      </c>
      <c r="R18" s="48"/>
      <c r="S18" s="48"/>
      <c r="T18" s="48"/>
      <c r="U18" s="48"/>
    </row>
    <row r="19" spans="1:24" s="35" customFormat="1" x14ac:dyDescent="0.25">
      <c r="A19" s="37" t="str">
        <f>'11'!$B$2</f>
        <v>11-05-2023 01:00</v>
      </c>
      <c r="B19" s="34">
        <f>'11'!B36</f>
        <v>58.048750000000005</v>
      </c>
      <c r="C19" s="34">
        <f>'11'!C36</f>
        <v>64.442083333333329</v>
      </c>
      <c r="D19" s="34">
        <f>'11'!D36</f>
        <v>80.961666666666659</v>
      </c>
      <c r="E19" s="34">
        <f>'11'!E36</f>
        <v>15.793333333333335</v>
      </c>
      <c r="F19" s="34">
        <f>'11'!F36</f>
        <v>17.719583333333336</v>
      </c>
      <c r="G19" s="34">
        <f>'11'!G36</f>
        <v>101.27999999999999</v>
      </c>
      <c r="H19" s="34">
        <f>'11'!H36</f>
        <v>44.744117647058829</v>
      </c>
      <c r="I19" s="34">
        <f>'11'!I36</f>
        <v>0.93541666666666667</v>
      </c>
      <c r="J19" s="34">
        <f>'11'!J36</f>
        <v>0.63791666666666658</v>
      </c>
      <c r="K19" s="34">
        <f>'11'!K36</f>
        <v>254.76791666666665</v>
      </c>
      <c r="L19" s="34">
        <f>'11'!L36</f>
        <v>30.704166666666666</v>
      </c>
      <c r="M19" s="34">
        <f>'11'!M36</f>
        <v>31.396666666666672</v>
      </c>
      <c r="N19" s="34">
        <f>'11'!N36</f>
        <v>303.64166666666671</v>
      </c>
      <c r="O19" s="34">
        <f>'11'!O36</f>
        <v>0</v>
      </c>
      <c r="P19" s="34">
        <f>'11'!P36</f>
        <v>1.8279166666666671</v>
      </c>
      <c r="Q19" s="34">
        <f>'11'!Q36</f>
        <v>27.111666666666661</v>
      </c>
      <c r="R19" s="48"/>
      <c r="S19" s="48"/>
      <c r="T19" s="48"/>
      <c r="U19" s="48"/>
    </row>
    <row r="20" spans="1:24" s="35" customFormat="1" x14ac:dyDescent="0.25">
      <c r="A20" s="37" t="str">
        <f>'12'!$B$2</f>
        <v>12-05-2023 01:00</v>
      </c>
      <c r="B20" s="34">
        <f>'12'!B36</f>
        <v>66.326666666666668</v>
      </c>
      <c r="C20" s="34">
        <f>'12'!C36</f>
        <v>69.233750000000001</v>
      </c>
      <c r="D20" s="34">
        <f>'12'!D36</f>
        <v>90.149583333333354</v>
      </c>
      <c r="E20" s="34">
        <f>'12'!E36</f>
        <v>15.457083333333335</v>
      </c>
      <c r="F20" s="34">
        <f>'12'!F36</f>
        <v>24.412083333333332</v>
      </c>
      <c r="G20" s="34">
        <f>'12'!G36</f>
        <v>142.85266666666669</v>
      </c>
      <c r="H20" s="34">
        <f>'12'!H36</f>
        <v>42.64200000000001</v>
      </c>
      <c r="I20" s="34">
        <f>'12'!I36</f>
        <v>0.9804166666666666</v>
      </c>
      <c r="J20" s="34">
        <f>'12'!J36</f>
        <v>0.50750000000000006</v>
      </c>
      <c r="K20" s="34">
        <f>'12'!K36</f>
        <v>276.6875</v>
      </c>
      <c r="L20" s="34">
        <f>'12'!L36</f>
        <v>30.563333333333333</v>
      </c>
      <c r="M20" s="34">
        <f>'12'!M36</f>
        <v>32.271666666666668</v>
      </c>
      <c r="N20" s="34">
        <f>'12'!N36</f>
        <v>285.16666666666669</v>
      </c>
      <c r="O20" s="34">
        <f>'12'!O36</f>
        <v>0</v>
      </c>
      <c r="P20" s="34">
        <f>'12'!P36</f>
        <v>1.7641666666666664</v>
      </c>
      <c r="Q20" s="34">
        <f>'12'!Q36</f>
        <v>28.850000000000009</v>
      </c>
      <c r="R20" s="48"/>
      <c r="S20" s="48"/>
      <c r="T20" s="48"/>
      <c r="U20" s="48"/>
    </row>
    <row r="21" spans="1:24" s="35" customFormat="1" x14ac:dyDescent="0.25">
      <c r="A21" s="37" t="str">
        <f>'13'!$B$2</f>
        <v>13-05-2023 01:00</v>
      </c>
      <c r="B21" s="34">
        <f>'13'!B36</f>
        <v>54.034999999999997</v>
      </c>
      <c r="C21" s="34">
        <f>'13'!C36</f>
        <v>74.152083333333323</v>
      </c>
      <c r="D21" s="34">
        <f>'13'!D36</f>
        <v>82.622083333333322</v>
      </c>
      <c r="E21" s="34">
        <f>'13'!E36</f>
        <v>15.829166666666666</v>
      </c>
      <c r="F21" s="34">
        <f>'13'!F36</f>
        <v>21.738333333333333</v>
      </c>
      <c r="G21" s="34">
        <f>'13'!G36</f>
        <v>139.21083333333334</v>
      </c>
      <c r="H21" s="34">
        <f>'13'!H36</f>
        <v>57.998333333333328</v>
      </c>
      <c r="I21" s="34">
        <f>'13'!I36</f>
        <v>0.94333333333333325</v>
      </c>
      <c r="J21" s="34">
        <f>'13'!J36</f>
        <v>0.63291666666666668</v>
      </c>
      <c r="K21" s="34">
        <f>'13'!K36</f>
        <v>289.16458333333327</v>
      </c>
      <c r="L21" s="34">
        <f>'13'!L36</f>
        <v>30.535416666666674</v>
      </c>
      <c r="M21" s="34">
        <f>'13'!M36</f>
        <v>31.97583333333333</v>
      </c>
      <c r="N21" s="34">
        <f>'13'!N36</f>
        <v>283.67499999999995</v>
      </c>
      <c r="O21" s="34">
        <f>'13'!O36</f>
        <v>0</v>
      </c>
      <c r="P21" s="34">
        <f>'13'!P36</f>
        <v>1.9125000000000003</v>
      </c>
      <c r="Q21" s="34">
        <f>'13'!Q36</f>
        <v>27.994999999999994</v>
      </c>
      <c r="R21" s="48"/>
      <c r="S21" s="48"/>
      <c r="T21" s="48"/>
      <c r="U21" s="48"/>
    </row>
    <row r="22" spans="1:24" s="35" customFormat="1" x14ac:dyDescent="0.25">
      <c r="A22" s="37" t="str">
        <f>'14'!$B$2</f>
        <v>14-05-2023 01:00</v>
      </c>
      <c r="B22" s="31">
        <f>'14'!B36</f>
        <v>36.895416666666669</v>
      </c>
      <c r="C22" s="31">
        <f>'14'!C36</f>
        <v>72.54291666666667</v>
      </c>
      <c r="D22" s="31">
        <f>'14'!D36</f>
        <v>69.320833333333326</v>
      </c>
      <c r="E22" s="31">
        <f>'14'!E36</f>
        <v>15.989166666666668</v>
      </c>
      <c r="F22" s="31">
        <f>'14'!F36</f>
        <v>25.177083333333332</v>
      </c>
      <c r="G22" s="31">
        <f>'14'!G36</f>
        <v>114.45416666666669</v>
      </c>
      <c r="H22" s="31">
        <f>'14'!H36</f>
        <v>49.63750000000001</v>
      </c>
      <c r="I22" s="31">
        <f>'14'!I36</f>
        <v>0.89541666666666642</v>
      </c>
      <c r="J22" s="31">
        <f>'14'!J36</f>
        <v>0.33541666666666664</v>
      </c>
      <c r="K22" s="31">
        <f>'14'!K36</f>
        <v>283.40583333333336</v>
      </c>
      <c r="L22" s="31">
        <f>'14'!L36</f>
        <v>32.201666666666675</v>
      </c>
      <c r="M22" s="31">
        <f>'14'!M36</f>
        <v>30.949166666666667</v>
      </c>
      <c r="N22" s="31">
        <f>'14'!N36</f>
        <v>274.64999999999992</v>
      </c>
      <c r="O22" s="31">
        <f>'14'!O36</f>
        <v>0</v>
      </c>
      <c r="P22" s="31">
        <f>'14'!P36</f>
        <v>1.5766666666666664</v>
      </c>
      <c r="Q22" s="31">
        <f>'14'!Q36</f>
        <v>27.132083333333327</v>
      </c>
      <c r="R22" s="49"/>
      <c r="S22" s="49"/>
      <c r="T22" s="49"/>
      <c r="U22" s="49"/>
    </row>
    <row r="23" spans="1:24" s="35" customFormat="1" x14ac:dyDescent="0.25">
      <c r="A23" s="37" t="str">
        <f>'15'!$B$2</f>
        <v>15-05-2023 01:00</v>
      </c>
      <c r="B23" s="34">
        <f>'15'!B36</f>
        <v>19.013684210526314</v>
      </c>
      <c r="C23" s="34">
        <f>'15'!C36</f>
        <v>56.069999999999993</v>
      </c>
      <c r="D23" s="34">
        <f>'15'!D36</f>
        <v>45.948947368421052</v>
      </c>
      <c r="E23" s="34">
        <f>'15'!E36</f>
        <v>7.0047826086956517</v>
      </c>
      <c r="F23" s="34">
        <f>'15'!F36</f>
        <v>20.103749999999994</v>
      </c>
      <c r="G23" s="34">
        <f>'15'!G36</f>
        <v>71.173181818181831</v>
      </c>
      <c r="H23" s="34">
        <f>'15'!H36</f>
        <v>33.714999999999996</v>
      </c>
      <c r="I23" s="34">
        <f>'15'!I36</f>
        <v>0.65374999999999994</v>
      </c>
      <c r="J23" s="34">
        <f>'15'!J36</f>
        <v>0.71416666666666684</v>
      </c>
      <c r="K23" s="34">
        <f>'15'!K36</f>
        <v>285.74708333333331</v>
      </c>
      <c r="L23" s="34">
        <f>'15'!L36</f>
        <v>32.915833333333332</v>
      </c>
      <c r="M23" s="34">
        <f>'15'!M36</f>
        <v>29.756666666666671</v>
      </c>
      <c r="N23" s="34">
        <f>'15'!N36</f>
        <v>275.93333333333334</v>
      </c>
      <c r="O23" s="34">
        <f>'15'!O36</f>
        <v>0</v>
      </c>
      <c r="P23" s="31">
        <f>'15'!P36</f>
        <v>1.1673913043478259</v>
      </c>
      <c r="Q23" s="31">
        <f>'15'!Q36</f>
        <v>25.105833333333326</v>
      </c>
      <c r="R23" s="49"/>
      <c r="S23" s="49"/>
      <c r="T23" s="49"/>
      <c r="U23" s="48"/>
    </row>
    <row r="24" spans="1:24" s="35" customFormat="1" x14ac:dyDescent="0.25">
      <c r="A24" s="37" t="str">
        <f>'16'!$B$2</f>
        <v>16-05-2023 01:00</v>
      </c>
      <c r="B24" s="34">
        <f>'16'!B36</f>
        <v>17.228750000000002</v>
      </c>
      <c r="C24" s="34">
        <f>'16'!C36</f>
        <v>52.920000000000009</v>
      </c>
      <c r="D24" s="34">
        <f>'16'!D36</f>
        <v>43.217083333333342</v>
      </c>
      <c r="E24" s="34">
        <f>'16'!E36</f>
        <v>6.6404166666666677</v>
      </c>
      <c r="F24" s="34">
        <f>'16'!F36</f>
        <v>18.393333333333331</v>
      </c>
      <c r="G24" s="34">
        <f>'16'!G36</f>
        <v>70.290833333333339</v>
      </c>
      <c r="H24" s="34">
        <f>'16'!H36</f>
        <v>30.367499999999996</v>
      </c>
      <c r="I24" s="34">
        <f>'16'!I36</f>
        <v>0.66347826086956507</v>
      </c>
      <c r="J24" s="34">
        <f>'16'!J36</f>
        <v>0.30583333333333335</v>
      </c>
      <c r="K24" s="34">
        <f>'16'!K36</f>
        <v>274.37666666666672</v>
      </c>
      <c r="L24" s="34">
        <f>'16'!L36</f>
        <v>33.069166666666661</v>
      </c>
      <c r="M24" s="34">
        <f>'16'!M36</f>
        <v>31.236666666666668</v>
      </c>
      <c r="N24" s="34">
        <f>'16'!N36</f>
        <v>275.06666666666666</v>
      </c>
      <c r="O24" s="34">
        <f>'16'!O36</f>
        <v>0</v>
      </c>
      <c r="P24" s="31">
        <f>'16'!P36</f>
        <v>1.0491666666666666</v>
      </c>
      <c r="Q24" s="31">
        <f>'16'!Q36</f>
        <v>26.957916666666673</v>
      </c>
      <c r="R24" s="49"/>
      <c r="S24" s="49"/>
      <c r="T24" s="49"/>
      <c r="U24" s="48"/>
    </row>
    <row r="25" spans="1:24" s="35" customFormat="1" x14ac:dyDescent="0.25">
      <c r="A25" s="37" t="str">
        <f>'17'!$B$2</f>
        <v>17-05-2023 01:00</v>
      </c>
      <c r="B25" s="34">
        <f>'17'!B36</f>
        <v>11.864583333333334</v>
      </c>
      <c r="C25" s="34">
        <f>'17'!C36</f>
        <v>47.402083333333337</v>
      </c>
      <c r="D25" s="34">
        <f>'17'!D36</f>
        <v>35.777499999999996</v>
      </c>
      <c r="E25" s="34">
        <f>'17'!E36</f>
        <v>4.7699999999999996</v>
      </c>
      <c r="F25" s="34">
        <f>'17'!F36</f>
        <v>20.98833333333333</v>
      </c>
      <c r="G25" s="34">
        <f>'17'!G36</f>
        <v>65.428333333333327</v>
      </c>
      <c r="H25" s="34">
        <f>'17'!H36</f>
        <v>25.534166666666675</v>
      </c>
      <c r="I25" s="34">
        <f>'17'!I36</f>
        <v>0.67458333333333342</v>
      </c>
      <c r="J25" s="34">
        <f>'17'!J36</f>
        <v>0.31249999999999994</v>
      </c>
      <c r="K25" s="34">
        <f>'17'!K36</f>
        <v>274.89500000000004</v>
      </c>
      <c r="L25" s="34">
        <f>'17'!L36</f>
        <v>33.188749999999999</v>
      </c>
      <c r="M25" s="34">
        <f>'17'!M36</f>
        <v>31.039583333333336</v>
      </c>
      <c r="N25" s="34">
        <f>'17'!N36</f>
        <v>271.625</v>
      </c>
      <c r="O25" s="34">
        <f>'17'!O36</f>
        <v>0</v>
      </c>
      <c r="P25" s="31">
        <f>'17'!P36</f>
        <v>0.87958333333333349</v>
      </c>
      <c r="Q25" s="31">
        <f>'17'!Q36</f>
        <v>19.071666666666665</v>
      </c>
      <c r="R25" s="49"/>
      <c r="S25" s="49"/>
      <c r="T25" s="49"/>
      <c r="U25" s="48"/>
    </row>
    <row r="26" spans="1:24" s="35" customFormat="1" x14ac:dyDescent="0.25">
      <c r="A26" s="37" t="str">
        <f>'18'!$B$2</f>
        <v>18-05-2023 01:00</v>
      </c>
      <c r="B26" s="34">
        <f>'18'!B36</f>
        <v>8.5229166666666671</v>
      </c>
      <c r="C26" s="34">
        <f>'18'!C36</f>
        <v>45.830833333333338</v>
      </c>
      <c r="D26" s="34">
        <f>'18'!D36</f>
        <v>32.284999999999997</v>
      </c>
      <c r="E26" s="34">
        <f>'18'!E36</f>
        <v>7.114583333333333</v>
      </c>
      <c r="F26" s="34">
        <f>'18'!F36</f>
        <v>22.266666666666666</v>
      </c>
      <c r="G26" s="34">
        <f>'18'!G36</f>
        <v>63.292173913043491</v>
      </c>
      <c r="H26" s="34">
        <f>'18'!H36</f>
        <v>27.211304347826086</v>
      </c>
      <c r="I26" s="34">
        <f>'18'!I36</f>
        <v>0.65083333333333337</v>
      </c>
      <c r="J26" s="34">
        <f>'18'!J36</f>
        <v>0.50583333333333325</v>
      </c>
      <c r="K26" s="34">
        <f>'18'!K36</f>
        <v>256.97083333333336</v>
      </c>
      <c r="L26" s="34">
        <f>'18'!L36</f>
        <v>32.732500000000002</v>
      </c>
      <c r="M26" s="34">
        <f>'18'!M36</f>
        <v>35.435000000000002</v>
      </c>
      <c r="N26" s="34">
        <f>'18'!N36</f>
        <v>248.34583333333333</v>
      </c>
      <c r="O26" s="34">
        <f>'18'!O36</f>
        <v>0</v>
      </c>
      <c r="P26" s="31">
        <f>'18'!P36</f>
        <v>0.90875000000000006</v>
      </c>
      <c r="Q26" s="31">
        <f>'18'!Q36</f>
        <v>23.635416666666661</v>
      </c>
      <c r="R26" s="49"/>
      <c r="S26" s="49"/>
      <c r="T26" s="49"/>
      <c r="U26" s="48"/>
    </row>
    <row r="27" spans="1:24" s="35" customFormat="1" x14ac:dyDescent="0.25">
      <c r="A27" s="37" t="str">
        <f>'19'!$B$2</f>
        <v>19-05-2023 01:00</v>
      </c>
      <c r="B27" s="34">
        <f>'19'!B36</f>
        <v>5.1087499999999997</v>
      </c>
      <c r="C27" s="34">
        <f>'19'!C36</f>
        <v>41.762499999999996</v>
      </c>
      <c r="D27" s="34">
        <f>'19'!D36</f>
        <v>27.204583333333332</v>
      </c>
      <c r="E27" s="34">
        <f>'19'!E36</f>
        <v>4.1766666666666659</v>
      </c>
      <c r="F27" s="34">
        <f>'19'!F36</f>
        <v>19.824166666666667</v>
      </c>
      <c r="G27" s="34">
        <f>'19'!G36</f>
        <v>54.372727272727275</v>
      </c>
      <c r="H27" s="34">
        <f>'19'!H36</f>
        <v>26.367272727272724</v>
      </c>
      <c r="I27" s="34">
        <f>'19'!I36</f>
        <v>0.72458333333333347</v>
      </c>
      <c r="J27" s="34">
        <f>'19'!J36</f>
        <v>0.74208333333333343</v>
      </c>
      <c r="K27" s="34">
        <f>'19'!K36</f>
        <v>243.79916666666668</v>
      </c>
      <c r="L27" s="34">
        <f>'19'!L36</f>
        <v>32.60125</v>
      </c>
      <c r="M27" s="34">
        <f>'19'!M36</f>
        <v>37.474166666666662</v>
      </c>
      <c r="N27" s="34">
        <f>'19'!N36</f>
        <v>265.8</v>
      </c>
      <c r="O27" s="34">
        <f>'19'!O36</f>
        <v>0</v>
      </c>
      <c r="P27" s="31">
        <f>'19'!P36</f>
        <v>0.93291666666666639</v>
      </c>
      <c r="Q27" s="31">
        <f>'19'!Q36</f>
        <v>32.191249999999997</v>
      </c>
      <c r="R27" s="49"/>
      <c r="S27" s="49"/>
      <c r="T27" s="49"/>
      <c r="U27" s="48"/>
    </row>
    <row r="28" spans="1:24" s="35" customFormat="1" x14ac:dyDescent="0.25">
      <c r="A28" s="37" t="str">
        <f>'20'!$B$2</f>
        <v>20-05-2023 01:00</v>
      </c>
      <c r="B28" s="34">
        <f>'20'!B36</f>
        <v>3.8854166666666665</v>
      </c>
      <c r="C28" s="34">
        <f>'20'!C36</f>
        <v>38.975000000000001</v>
      </c>
      <c r="D28" s="34">
        <f>'20'!D36</f>
        <v>24.925833333333333</v>
      </c>
      <c r="E28" s="34">
        <f>'20'!E36</f>
        <v>5.1320833333333331</v>
      </c>
      <c r="F28" s="34">
        <f>'20'!F36</f>
        <v>24.19458333333333</v>
      </c>
      <c r="G28" s="34">
        <f>'20'!G36</f>
        <v>37.869999999999997</v>
      </c>
      <c r="H28" s="34">
        <f>'20'!H36</f>
        <v>21.530416666666667</v>
      </c>
      <c r="I28" s="34">
        <f>'20'!I36</f>
        <v>0.7004166666666668</v>
      </c>
      <c r="J28" s="34">
        <f>'20'!J36</f>
        <v>0.82500000000000007</v>
      </c>
      <c r="K28" s="34">
        <f>'20'!K36</f>
        <v>238.37750000000003</v>
      </c>
      <c r="L28" s="34">
        <f>'20'!L36</f>
        <v>30.654583333333335</v>
      </c>
      <c r="M28" s="34">
        <f>'20'!M36</f>
        <v>45.177916666666668</v>
      </c>
      <c r="N28" s="34">
        <f>'20'!N36</f>
        <v>293.96250000000003</v>
      </c>
      <c r="O28" s="34">
        <f>'20'!O36</f>
        <v>9.1666666666666674E-2</v>
      </c>
      <c r="P28" s="31">
        <f>'20'!P36</f>
        <v>0.63500000000000001</v>
      </c>
      <c r="Q28" s="31">
        <f>'20'!Q36</f>
        <v>30.535416666666666</v>
      </c>
      <c r="R28" s="49"/>
      <c r="S28" s="49"/>
      <c r="T28" s="49"/>
      <c r="U28" s="48"/>
    </row>
    <row r="29" spans="1:24" s="35" customFormat="1" x14ac:dyDescent="0.25">
      <c r="A29" s="37" t="str">
        <f>'21'!$B$2</f>
        <v>21-05-2023 01:00</v>
      </c>
      <c r="B29" s="34">
        <f>'21'!B36</f>
        <v>31.514583333333331</v>
      </c>
      <c r="C29" s="34">
        <f>'21'!C36</f>
        <v>51.330833333333324</v>
      </c>
      <c r="D29" s="34">
        <f>'21'!D36</f>
        <v>53.797500000000007</v>
      </c>
      <c r="E29" s="34">
        <f>'21'!E36</f>
        <v>5.6175000000000006</v>
      </c>
      <c r="F29" s="34">
        <f>'21'!F36</f>
        <v>21.882500000000004</v>
      </c>
      <c r="G29" s="34">
        <f>'21'!G36</f>
        <v>61.056666666666672</v>
      </c>
      <c r="H29" s="34">
        <f>'21'!H36</f>
        <v>26.631666666666661</v>
      </c>
      <c r="I29" s="34">
        <f>'21'!I36</f>
        <v>0.8258333333333332</v>
      </c>
      <c r="J29" s="34">
        <f>'21'!J36</f>
        <v>0.63791666666666658</v>
      </c>
      <c r="K29" s="34">
        <f>'21'!K36</f>
        <v>253.86625000000001</v>
      </c>
      <c r="L29" s="34">
        <f>'21'!L36</f>
        <v>31.639583333333331</v>
      </c>
      <c r="M29" s="34">
        <f>'21'!M36</f>
        <v>39.813750000000006</v>
      </c>
      <c r="N29" s="34">
        <f>'21'!N36</f>
        <v>180.21333333333334</v>
      </c>
      <c r="O29" s="34">
        <f>'21'!O36</f>
        <v>0</v>
      </c>
      <c r="P29" s="31">
        <f>'21'!P36</f>
        <v>1.2445833333333336</v>
      </c>
      <c r="Q29" s="31">
        <f>'21'!Q36</f>
        <v>30.476250000000007</v>
      </c>
      <c r="R29" s="49"/>
      <c r="S29" s="49"/>
      <c r="T29" s="49"/>
      <c r="U29" s="48"/>
    </row>
    <row r="30" spans="1:24" s="35" customFormat="1" x14ac:dyDescent="0.25">
      <c r="A30" s="37" t="str">
        <f>'22'!$B$2</f>
        <v>22-05-2023 01:00</v>
      </c>
      <c r="B30" s="34">
        <f>'22'!B36</f>
        <v>2.7920833333333324</v>
      </c>
      <c r="C30" s="34">
        <f>'22'!C36</f>
        <v>35.214166666666664</v>
      </c>
      <c r="D30" s="34">
        <f>'22'!D36</f>
        <v>22.15625</v>
      </c>
      <c r="E30" s="34">
        <f>'22'!E36</f>
        <v>2.3041666666666671</v>
      </c>
      <c r="F30" s="34">
        <f>'22'!F36</f>
        <v>16.126249999999995</v>
      </c>
      <c r="G30" s="34">
        <f>'22'!G36</f>
        <v>40.954166666666659</v>
      </c>
      <c r="H30" s="34">
        <f>'22'!H36</f>
        <v>24.219999999999995</v>
      </c>
      <c r="I30" s="34">
        <f>'22'!I36</f>
        <v>0.69458333333333344</v>
      </c>
      <c r="J30" s="34">
        <f>'22'!J36</f>
        <v>0.70625000000000016</v>
      </c>
      <c r="K30" s="34">
        <f>'22'!K36</f>
        <v>254.66125</v>
      </c>
      <c r="L30" s="34">
        <f>'22'!L36</f>
        <v>31.28583333333334</v>
      </c>
      <c r="M30" s="34">
        <f>'22'!M36</f>
        <v>40.088333333333331</v>
      </c>
      <c r="N30" s="34">
        <f>'22'!N36</f>
        <v>279.18333333333334</v>
      </c>
      <c r="O30" s="34">
        <f>'22'!O36</f>
        <v>0</v>
      </c>
      <c r="P30" s="31">
        <f>'22'!P36</f>
        <v>0.61083333333333345</v>
      </c>
      <c r="Q30" s="31">
        <f>'22'!Q36</f>
        <v>26.302916666666665</v>
      </c>
      <c r="R30" s="49"/>
      <c r="S30" s="48"/>
      <c r="T30" s="48"/>
      <c r="U30" s="48"/>
    </row>
    <row r="31" spans="1:24" s="35" customFormat="1" x14ac:dyDescent="0.25">
      <c r="A31" s="37" t="str">
        <f>'23'!$B$2</f>
        <v>23-05-2023 01:00</v>
      </c>
      <c r="B31" s="34">
        <f>'23'!B36</f>
        <v>2.6637499999999998</v>
      </c>
      <c r="C31" s="34">
        <f>'23'!C36</f>
        <v>38.798333333333332</v>
      </c>
      <c r="D31" s="34">
        <f>'23'!D36</f>
        <v>23.951666666666668</v>
      </c>
      <c r="E31" s="34">
        <f>'23'!E36</f>
        <v>6.1035714285714286</v>
      </c>
      <c r="F31" s="34">
        <f>'23'!F36</f>
        <v>28.314166666666665</v>
      </c>
      <c r="G31" s="34">
        <f>'23'!G36</f>
        <v>45.287727272727274</v>
      </c>
      <c r="H31" s="34">
        <f>'23'!H36</f>
        <v>24.573181818181819</v>
      </c>
      <c r="I31" s="34">
        <f>'23'!I36</f>
        <v>0.67375000000000007</v>
      </c>
      <c r="J31" s="34">
        <f>'23'!J36</f>
        <v>0.3575000000000001</v>
      </c>
      <c r="K31" s="34">
        <f>'23'!K36</f>
        <v>258.50041666666669</v>
      </c>
      <c r="L31" s="34">
        <f>'23'!L36</f>
        <v>31.473333333333333</v>
      </c>
      <c r="M31" s="34">
        <f>'23'!M36</f>
        <v>36.358750000000008</v>
      </c>
      <c r="N31" s="34">
        <f>'23'!N36</f>
        <v>281.37499999999994</v>
      </c>
      <c r="O31" s="34">
        <f>'23'!O36</f>
        <v>0</v>
      </c>
      <c r="P31" s="34">
        <f>'23'!P36</f>
        <v>0.61916666666666675</v>
      </c>
      <c r="Q31" s="34">
        <f>'23'!Q36</f>
        <v>25.319999999999997</v>
      </c>
      <c r="R31" s="48"/>
      <c r="S31" s="48"/>
      <c r="T31" s="48"/>
      <c r="U31" s="48"/>
    </row>
    <row r="32" spans="1:24" s="35" customFormat="1" x14ac:dyDescent="0.25">
      <c r="A32" s="37" t="str">
        <f>'24'!$B$2</f>
        <v>24-05-2023 01:00</v>
      </c>
      <c r="B32" s="34">
        <f>'24'!B36</f>
        <v>9.7745833333333323</v>
      </c>
      <c r="C32" s="34">
        <f>'24'!C36</f>
        <v>44.592083333333335</v>
      </c>
      <c r="D32" s="34">
        <f>'24'!D36</f>
        <v>32.721666666666664</v>
      </c>
      <c r="E32" s="34">
        <f>'24'!E36</f>
        <v>4.117916666666666</v>
      </c>
      <c r="F32" s="34">
        <f>'24'!F36</f>
        <v>24.179583333333326</v>
      </c>
      <c r="G32" s="34">
        <f>'24'!G36</f>
        <v>86.839565217391296</v>
      </c>
      <c r="H32" s="34">
        <f>'24'!H36</f>
        <v>41.211739130434779</v>
      </c>
      <c r="I32" s="34">
        <f>'24'!I36</f>
        <v>0.78916666666666668</v>
      </c>
      <c r="J32" s="34">
        <f>'24'!J36</f>
        <v>0.50541666666666674</v>
      </c>
      <c r="K32" s="34">
        <f>'24'!K36</f>
        <v>261.51333333333332</v>
      </c>
      <c r="L32" s="34">
        <f>'24'!L36</f>
        <v>33.219583333333333</v>
      </c>
      <c r="M32" s="34">
        <f>'24'!M36</f>
        <v>34.954166666666666</v>
      </c>
      <c r="N32" s="34">
        <f>'24'!N36</f>
        <v>273.56250000000006</v>
      </c>
      <c r="O32" s="34">
        <f>'24'!O36</f>
        <v>8.3333333333333332E-3</v>
      </c>
      <c r="P32" s="34">
        <f>'24'!P36</f>
        <v>0.89416666666666655</v>
      </c>
      <c r="Q32" s="34">
        <f>'24'!Q36</f>
        <v>27.768333333333342</v>
      </c>
      <c r="R32" s="48"/>
      <c r="S32" s="48"/>
      <c r="T32" s="48"/>
      <c r="U32" s="48"/>
    </row>
    <row r="33" spans="1:21" s="35" customFormat="1" x14ac:dyDescent="0.25">
      <c r="A33" s="37" t="str">
        <f>'25'!$B$2</f>
        <v>25-05-2023 01:00</v>
      </c>
      <c r="B33" s="34">
        <f>'25'!B36</f>
        <v>6.775833333333332</v>
      </c>
      <c r="C33" s="34">
        <f>'25'!C36</f>
        <v>39.684999999999995</v>
      </c>
      <c r="D33" s="34">
        <f>'25'!D36</f>
        <v>27.717500000000005</v>
      </c>
      <c r="E33" s="34">
        <f>'25'!E36</f>
        <v>4.6938095238095237</v>
      </c>
      <c r="F33" s="34">
        <f>'25'!F36</f>
        <v>21.247916666666672</v>
      </c>
      <c r="G33" s="34">
        <f>'25'!G36</f>
        <v>63.739583333333343</v>
      </c>
      <c r="H33" s="34">
        <f>'25'!H36</f>
        <v>29.57083333333334</v>
      </c>
      <c r="I33" s="34">
        <f>'25'!I36</f>
        <v>0.70458333333333323</v>
      </c>
      <c r="J33" s="34">
        <f>'25'!J36</f>
        <v>0.30541666666666661</v>
      </c>
      <c r="K33" s="34">
        <f>'25'!K36</f>
        <v>263.38833333333326</v>
      </c>
      <c r="L33" s="34">
        <f>'25'!L36</f>
        <v>32.149166666666666</v>
      </c>
      <c r="M33" s="34">
        <f>'25'!M36</f>
        <v>36.067916666666669</v>
      </c>
      <c r="N33" s="34">
        <f>'25'!N36</f>
        <v>271.24705882352936</v>
      </c>
      <c r="O33" s="34">
        <f>'25'!O36</f>
        <v>3.3333333333333333E-2</v>
      </c>
      <c r="P33" s="34">
        <f>'25'!P36</f>
        <v>0.72666666666666657</v>
      </c>
      <c r="Q33" s="34">
        <f>'25'!Q36</f>
        <v>27.368333333333336</v>
      </c>
      <c r="R33" s="48"/>
      <c r="S33" s="48"/>
      <c r="T33" s="48"/>
      <c r="U33" s="48"/>
    </row>
    <row r="34" spans="1:21" s="35" customFormat="1" x14ac:dyDescent="0.25">
      <c r="A34" s="37" t="str">
        <f>'26'!$B$2</f>
        <v>26-05-2023 01:00</v>
      </c>
      <c r="B34" s="34">
        <f>'26'!B36</f>
        <v>6.9287500000000009</v>
      </c>
      <c r="C34" s="34">
        <f>'26'!C36</f>
        <v>36.084166666666668</v>
      </c>
      <c r="D34" s="34">
        <f>'26'!D36</f>
        <v>25.914999999999996</v>
      </c>
      <c r="E34" s="34">
        <f>'26'!E36</f>
        <v>5.4016666666666673</v>
      </c>
      <c r="F34" s="34">
        <f>'26'!F36</f>
        <v>19.941666666666666</v>
      </c>
      <c r="G34" s="34">
        <f>'26'!G36</f>
        <v>72.594999999999999</v>
      </c>
      <c r="H34" s="34">
        <f>'26'!H36</f>
        <v>30.972499999999993</v>
      </c>
      <c r="I34" s="34">
        <f>'26'!I36</f>
        <v>0.76333333333333331</v>
      </c>
      <c r="J34" s="34">
        <f>'26'!J36</f>
        <v>0.66458333333333319</v>
      </c>
      <c r="K34" s="34">
        <f>'26'!K36</f>
        <v>260.95250000000004</v>
      </c>
      <c r="L34" s="34">
        <f>'26'!L36</f>
        <v>31.85083333333333</v>
      </c>
      <c r="M34" s="34">
        <f>'26'!M36</f>
        <v>34.942916666666676</v>
      </c>
      <c r="N34" s="34">
        <f>'26'!N36</f>
        <v>227.27619047619044</v>
      </c>
      <c r="O34" s="34">
        <f>'26'!O36</f>
        <v>0</v>
      </c>
      <c r="P34" s="34">
        <f>'26'!P36</f>
        <v>0.7304166666666666</v>
      </c>
      <c r="Q34" s="34">
        <f>'26'!Q36</f>
        <v>26.646666666666665</v>
      </c>
      <c r="R34" s="48"/>
      <c r="S34" s="48"/>
      <c r="T34" s="48"/>
      <c r="U34" s="48"/>
    </row>
    <row r="35" spans="1:21" s="35" customFormat="1" x14ac:dyDescent="0.25">
      <c r="A35" s="37" t="str">
        <f>'27'!$B$2</f>
        <v>27-05-2023 01:00</v>
      </c>
      <c r="B35" s="34">
        <f>'27'!B36</f>
        <v>6.3666666666666698</v>
      </c>
      <c r="C35" s="34">
        <f>'27'!C36</f>
        <v>40.094583333333333</v>
      </c>
      <c r="D35" s="34">
        <f>'27'!D36</f>
        <v>27.271666666666665</v>
      </c>
      <c r="E35" s="34">
        <f>'27'!E36</f>
        <v>8.9679166666666692</v>
      </c>
      <c r="F35" s="34">
        <f>'27'!F36</f>
        <v>22.391249999999999</v>
      </c>
      <c r="G35" s="34">
        <f>'27'!G36</f>
        <v>89.869166666666672</v>
      </c>
      <c r="H35" s="34">
        <f>'27'!H36</f>
        <v>34.619999999999997</v>
      </c>
      <c r="I35" s="34">
        <f>'27'!I36</f>
        <v>0.69958333333333333</v>
      </c>
      <c r="J35" s="34">
        <f>'27'!J36</f>
        <v>0.71333333333333337</v>
      </c>
      <c r="K35" s="34">
        <f>'27'!K36</f>
        <v>240.85</v>
      </c>
      <c r="L35" s="34">
        <f>'27'!L36</f>
        <v>30.092500000000005</v>
      </c>
      <c r="M35" s="34">
        <f>'27'!M36</f>
        <v>41.897500000000001</v>
      </c>
      <c r="N35" s="34">
        <f>'27'!N36</f>
        <v>328.90833333333336</v>
      </c>
      <c r="O35" s="34">
        <f>'27'!O36</f>
        <v>0</v>
      </c>
      <c r="P35" s="31">
        <f>'27'!P36</f>
        <v>0.79083333333333339</v>
      </c>
      <c r="Q35" s="34">
        <f>'27'!Q36</f>
        <v>25.882083333333338</v>
      </c>
      <c r="R35" s="48"/>
      <c r="S35" s="48"/>
      <c r="T35" s="48"/>
      <c r="U35" s="48"/>
    </row>
    <row r="36" spans="1:21" s="35" customFormat="1" x14ac:dyDescent="0.25">
      <c r="A36" s="37" t="str">
        <f>'28'!$B$2</f>
        <v>28-05-2023 01:00</v>
      </c>
      <c r="B36" s="34">
        <f>'28'!B36</f>
        <v>8.5000000000000018</v>
      </c>
      <c r="C36" s="34">
        <f>'28'!C36</f>
        <v>48.420416666666661</v>
      </c>
      <c r="D36" s="34">
        <f>'28'!D36</f>
        <v>33.289166666666667</v>
      </c>
      <c r="E36" s="34">
        <f>'28'!E36</f>
        <v>10.557499999999999</v>
      </c>
      <c r="F36" s="34">
        <f>'28'!F36</f>
        <v>31.932499999999994</v>
      </c>
      <c r="G36" s="34">
        <f>'28'!G36</f>
        <v>126.56125000000002</v>
      </c>
      <c r="H36" s="34">
        <f>'28'!H36</f>
        <v>30.775416666666672</v>
      </c>
      <c r="I36" s="34">
        <f>'28'!I36</f>
        <v>0.71166666666666678</v>
      </c>
      <c r="J36" s="34">
        <f>'28'!J36</f>
        <v>0.9207142857142856</v>
      </c>
      <c r="K36" s="34">
        <f>'28'!K36</f>
        <v>191.11214285714286</v>
      </c>
      <c r="L36" s="34">
        <f>'28'!L36</f>
        <v>33.429285714285712</v>
      </c>
      <c r="M36" s="34">
        <f>'28'!M36</f>
        <v>32.520714285714284</v>
      </c>
      <c r="N36" s="34">
        <f>'28'!N36</f>
        <v>316.96428571428572</v>
      </c>
      <c r="O36" s="34">
        <f>'28'!O36</f>
        <v>0</v>
      </c>
      <c r="P36" s="31">
        <f>'28'!P36</f>
        <v>0.76541666666666652</v>
      </c>
      <c r="Q36" s="34">
        <f>'28'!Q36</f>
        <v>28.220000000000002</v>
      </c>
      <c r="R36" s="48"/>
      <c r="S36" s="48"/>
      <c r="T36" s="48"/>
      <c r="U36" s="48"/>
    </row>
    <row r="37" spans="1:21" s="35" customFormat="1" x14ac:dyDescent="0.25">
      <c r="A37" s="37" t="str">
        <f>'29'!$B$2</f>
        <v>29-05-2023 01:00</v>
      </c>
      <c r="B37" s="34">
        <f>'29'!B36</f>
        <v>21.271666666666665</v>
      </c>
      <c r="C37" s="34">
        <f>'29'!C36</f>
        <v>70.054999999999993</v>
      </c>
      <c r="D37" s="34">
        <f>'29'!D36</f>
        <v>55.552916666666668</v>
      </c>
      <c r="E37" s="34">
        <f>'29'!E36</f>
        <v>19.697083333333339</v>
      </c>
      <c r="F37" s="34">
        <f>'29'!F36</f>
        <v>34.516249999999999</v>
      </c>
      <c r="G37" s="34">
        <f>'29'!G36</f>
        <v>120.68291666666666</v>
      </c>
      <c r="H37" s="34">
        <f>'29'!H36</f>
        <v>41.959999999999994</v>
      </c>
      <c r="I37" s="34">
        <f>'29'!I36</f>
        <v>0.8008333333333334</v>
      </c>
      <c r="J37" s="34">
        <f>'29'!J36</f>
        <v>0.61166666666666669</v>
      </c>
      <c r="K37" s="34">
        <f>'29'!K36</f>
        <v>249.98000000000002</v>
      </c>
      <c r="L37" s="34">
        <f>'29'!L36</f>
        <v>31.006250000000009</v>
      </c>
      <c r="M37" s="34">
        <f>'29'!M36</f>
        <v>40.482500000000002</v>
      </c>
      <c r="N37" s="34">
        <f>'29'!N36</f>
        <v>13.75</v>
      </c>
      <c r="O37" s="34">
        <f>'29'!O36</f>
        <v>0</v>
      </c>
      <c r="P37" s="34">
        <f>'29'!P36</f>
        <v>1.2129166666666669</v>
      </c>
      <c r="Q37" s="34">
        <f>'29'!Q36</f>
        <v>29.294583333333339</v>
      </c>
      <c r="R37" s="48"/>
      <c r="S37" s="48"/>
      <c r="T37" s="48"/>
      <c r="U37" s="48"/>
    </row>
    <row r="38" spans="1:21" s="35" customFormat="1" x14ac:dyDescent="0.25">
      <c r="A38" s="37" t="str">
        <f>'30'!$B$2</f>
        <v>30-05-2023 01:00</v>
      </c>
      <c r="B38" s="34">
        <f>'30'!B36</f>
        <v>6.125</v>
      </c>
      <c r="C38" s="34">
        <f>'30'!C36</f>
        <v>52.997500000000002</v>
      </c>
      <c r="D38" s="34">
        <f>'30'!D36</f>
        <v>34.546666666666674</v>
      </c>
      <c r="E38" s="34">
        <f>'30'!E36</f>
        <v>3.9966666666666666</v>
      </c>
      <c r="F38" s="34">
        <f>'30'!F36</f>
        <v>22.810833333333331</v>
      </c>
      <c r="G38" s="34">
        <f>'30'!G36</f>
        <v>55.884583333333332</v>
      </c>
      <c r="H38" s="34">
        <f>'30'!H36</f>
        <v>31.950416666666666</v>
      </c>
      <c r="I38" s="34">
        <f>'30'!I36</f>
        <v>0.75749999999999995</v>
      </c>
      <c r="J38" s="34">
        <f>'30'!J36</f>
        <v>0.50958333333333339</v>
      </c>
      <c r="K38" s="34">
        <f>'30'!K36</f>
        <v>239.01291666666671</v>
      </c>
      <c r="L38" s="34">
        <f>'30'!L36</f>
        <v>32.627916666666671</v>
      </c>
      <c r="M38" s="34">
        <f>'30'!M36</f>
        <v>37.249166666666675</v>
      </c>
      <c r="N38" s="34">
        <f>'30'!N36</f>
        <v>5.0999999999999996</v>
      </c>
      <c r="O38" s="34">
        <f>'30'!O36</f>
        <v>0</v>
      </c>
      <c r="P38" s="34">
        <f>'30'!P36</f>
        <v>0.94583333333333319</v>
      </c>
      <c r="Q38" s="34">
        <f>'30'!Q36</f>
        <v>25.951249999999998</v>
      </c>
      <c r="R38" s="48"/>
      <c r="S38" s="48"/>
      <c r="T38" s="48"/>
      <c r="U38" s="48"/>
    </row>
    <row r="39" spans="1:21" s="35" customFormat="1" x14ac:dyDescent="0.25">
      <c r="A39" s="37" t="str">
        <f>'31'!$B$2</f>
        <v>31-05-2023 01:00</v>
      </c>
      <c r="B39" s="34">
        <f>'31'!B37</f>
        <v>14.967890651106401</v>
      </c>
      <c r="C39" s="34">
        <f>'31'!C37</f>
        <v>19.950547661474221</v>
      </c>
      <c r="D39" s="34">
        <f>'31'!D37</f>
        <v>22.233741625436465</v>
      </c>
      <c r="E39" s="34">
        <f>'31'!E37</f>
        <v>5.2674775850207132</v>
      </c>
      <c r="F39" s="34">
        <f>'31'!F37</f>
        <v>23.457973054354891</v>
      </c>
      <c r="G39" s="34">
        <f>'31'!G37</f>
        <v>20.43367444805941</v>
      </c>
      <c r="H39" s="34">
        <f>'31'!H37</f>
        <v>6.0777372165891848</v>
      </c>
      <c r="I39" s="34">
        <f>'31'!I37</f>
        <v>0.20603221923359252</v>
      </c>
      <c r="J39" s="34">
        <f>'31'!J37</f>
        <v>0.40284293159522117</v>
      </c>
      <c r="K39" s="34">
        <f>'31'!K37</f>
        <v>22.445140399120518</v>
      </c>
      <c r="L39" s="34">
        <f>'31'!L37</f>
        <v>4.309792201896677</v>
      </c>
      <c r="M39" s="34">
        <f>'31'!M37</f>
        <v>9.8097611784938508</v>
      </c>
      <c r="N39" s="34">
        <f>'31'!N37</f>
        <v>321.86654036291935</v>
      </c>
      <c r="O39" s="34">
        <f>'31'!O37</f>
        <v>0</v>
      </c>
      <c r="P39" s="34">
        <f>'31'!P37</f>
        <v>0.43627852259234851</v>
      </c>
      <c r="Q39" s="34">
        <f>'31'!Q37</f>
        <v>1.5735130431939384</v>
      </c>
      <c r="R39" s="48"/>
      <c r="S39" s="48"/>
      <c r="T39" s="48"/>
      <c r="U39" s="48"/>
    </row>
    <row r="40" spans="1:21" x14ac:dyDescent="0.25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1"/>
      <c r="S40" s="21"/>
      <c r="T40" s="21"/>
      <c r="U40" s="50"/>
    </row>
    <row r="41" spans="1:21" s="22" customFormat="1" x14ac:dyDescent="0.25">
      <c r="A41" s="15" t="s">
        <v>30</v>
      </c>
      <c r="B41" s="16">
        <f t="shared" ref="B41:Q41" si="0">MIN(B9:B38)</f>
        <v>2.6637499999999998</v>
      </c>
      <c r="C41" s="16">
        <f t="shared" si="0"/>
        <v>23.265833333333333</v>
      </c>
      <c r="D41" s="16">
        <f t="shared" si="0"/>
        <v>19.540416666666662</v>
      </c>
      <c r="E41" s="16">
        <f t="shared" si="0"/>
        <v>1.1054166666666665</v>
      </c>
      <c r="F41" s="16">
        <f t="shared" si="0"/>
        <v>5.0037499999999993</v>
      </c>
      <c r="G41" s="16">
        <f t="shared" si="0"/>
        <v>27.68708333333333</v>
      </c>
      <c r="H41" s="16">
        <f t="shared" si="0"/>
        <v>6.7759999999999989</v>
      </c>
      <c r="I41" s="16">
        <f t="shared" si="0"/>
        <v>0.51333333333333342</v>
      </c>
      <c r="J41" s="16">
        <f t="shared" si="0"/>
        <v>0.30541666666666661</v>
      </c>
      <c r="K41" s="16">
        <f t="shared" si="0"/>
        <v>191.11214285714286</v>
      </c>
      <c r="L41" s="16">
        <f t="shared" si="0"/>
        <v>21.793333333333337</v>
      </c>
      <c r="M41" s="16">
        <f t="shared" si="0"/>
        <v>29.756666666666671</v>
      </c>
      <c r="N41" s="16">
        <f t="shared" si="0"/>
        <v>5.0999999999999996</v>
      </c>
      <c r="O41" s="16">
        <f t="shared" si="0"/>
        <v>0</v>
      </c>
      <c r="P41" s="16">
        <f t="shared" si="0"/>
        <v>0.5195833333333334</v>
      </c>
      <c r="Q41" s="16">
        <f t="shared" si="0"/>
        <v>19.071666666666665</v>
      </c>
      <c r="R41" s="29"/>
      <c r="S41" s="29"/>
      <c r="T41" s="29"/>
      <c r="U41" s="29"/>
    </row>
    <row r="42" spans="1:21" s="22" customFormat="1" x14ac:dyDescent="0.25">
      <c r="A42" s="15" t="s">
        <v>31</v>
      </c>
      <c r="B42" s="16">
        <f t="shared" ref="B42:Q42" si="1">MAX(B9:B38)</f>
        <v>66.326666666666668</v>
      </c>
      <c r="C42" s="16">
        <f t="shared" si="1"/>
        <v>74.152083333333323</v>
      </c>
      <c r="D42" s="16">
        <f t="shared" si="1"/>
        <v>90.149583333333354</v>
      </c>
      <c r="E42" s="16">
        <f t="shared" si="1"/>
        <v>19.697083333333339</v>
      </c>
      <c r="F42" s="16">
        <f t="shared" si="1"/>
        <v>34.516249999999999</v>
      </c>
      <c r="G42" s="16">
        <f t="shared" si="1"/>
        <v>142.85266666666669</v>
      </c>
      <c r="H42" s="16">
        <f t="shared" si="1"/>
        <v>57.998333333333328</v>
      </c>
      <c r="I42" s="16">
        <f t="shared" si="1"/>
        <v>0.9804166666666666</v>
      </c>
      <c r="J42" s="16">
        <f t="shared" si="1"/>
        <v>1.1437500000000003</v>
      </c>
      <c r="K42" s="16">
        <f t="shared" si="1"/>
        <v>293.4452380952381</v>
      </c>
      <c r="L42" s="16">
        <f t="shared" si="1"/>
        <v>33.429285714285712</v>
      </c>
      <c r="M42" s="16">
        <f t="shared" si="1"/>
        <v>80.096250000000012</v>
      </c>
      <c r="N42" s="16">
        <f t="shared" si="1"/>
        <v>336.97500831943609</v>
      </c>
      <c r="O42" s="16">
        <f t="shared" si="1"/>
        <v>0.7416666666666667</v>
      </c>
      <c r="P42" s="16">
        <f t="shared" si="1"/>
        <v>1.9125000000000003</v>
      </c>
      <c r="Q42" s="16">
        <f t="shared" si="1"/>
        <v>32.191249999999997</v>
      </c>
      <c r="R42" s="29"/>
      <c r="S42" s="29"/>
      <c r="T42" s="29"/>
      <c r="U42" s="29"/>
    </row>
    <row r="43" spans="1:21" s="22" customFormat="1" x14ac:dyDescent="0.25">
      <c r="A43" s="15" t="s">
        <v>32</v>
      </c>
      <c r="B43" s="16">
        <f t="shared" ref="B43:Q43" si="2">AVERAGE(B9:B38)</f>
        <v>17.386496720061022</v>
      </c>
      <c r="C43" s="16">
        <f t="shared" si="2"/>
        <v>44.819960265700473</v>
      </c>
      <c r="D43" s="16">
        <f t="shared" si="2"/>
        <v>38.66932058860921</v>
      </c>
      <c r="E43" s="16">
        <f t="shared" si="2"/>
        <v>7.0584105372125974</v>
      </c>
      <c r="F43" s="16">
        <f t="shared" si="2"/>
        <v>19.801333333333332</v>
      </c>
      <c r="G43" s="16">
        <f t="shared" si="2"/>
        <v>72.766251194494416</v>
      </c>
      <c r="H43" s="16">
        <f t="shared" si="2"/>
        <v>29.032849108104468</v>
      </c>
      <c r="I43" s="16">
        <f t="shared" si="2"/>
        <v>0.71085098476402808</v>
      </c>
      <c r="J43" s="16">
        <f t="shared" si="2"/>
        <v>0.58957341269841268</v>
      </c>
      <c r="K43" s="16">
        <f t="shared" si="2"/>
        <v>264.57444047619055</v>
      </c>
      <c r="L43" s="16">
        <f t="shared" si="2"/>
        <v>30.408206349206353</v>
      </c>
      <c r="M43" s="16">
        <f t="shared" si="2"/>
        <v>44.245640873015873</v>
      </c>
      <c r="N43" s="16">
        <f t="shared" si="2"/>
        <v>245.81063197440437</v>
      </c>
      <c r="O43" s="16">
        <f t="shared" si="2"/>
        <v>5.058078204724923E-2</v>
      </c>
      <c r="P43" s="16">
        <f t="shared" si="2"/>
        <v>0.98483764665286422</v>
      </c>
      <c r="Q43" s="16">
        <f t="shared" si="2"/>
        <v>26.398588888888888</v>
      </c>
      <c r="R43" s="29"/>
      <c r="S43" s="29"/>
      <c r="T43" s="29"/>
      <c r="U43" s="29"/>
    </row>
    <row r="44" spans="1:21" s="22" customFormat="1" x14ac:dyDescent="0.25">
      <c r="A44" s="15" t="s">
        <v>38</v>
      </c>
      <c r="B44" s="16">
        <f t="shared" ref="B44:Q44" si="3">STDEV(B9:B38)</f>
        <v>16.671698550194044</v>
      </c>
      <c r="C44" s="16">
        <f t="shared" si="3"/>
        <v>14.048686050000626</v>
      </c>
      <c r="D44" s="16">
        <f t="shared" si="3"/>
        <v>19.26782369016497</v>
      </c>
      <c r="E44" s="16">
        <f t="shared" si="3"/>
        <v>4.9797662663022839</v>
      </c>
      <c r="F44" s="16">
        <f t="shared" si="3"/>
        <v>6.8943509835021093</v>
      </c>
      <c r="G44" s="16">
        <f t="shared" si="3"/>
        <v>32.158402724004468</v>
      </c>
      <c r="H44" s="16">
        <f t="shared" si="3"/>
        <v>11.784042266387218</v>
      </c>
      <c r="I44" s="16">
        <f t="shared" si="3"/>
        <v>0.12067073230174394</v>
      </c>
      <c r="J44" s="16">
        <f t="shared" si="3"/>
        <v>0.21311088048566634</v>
      </c>
      <c r="K44" s="16">
        <f t="shared" si="3"/>
        <v>23.241638884703331</v>
      </c>
      <c r="L44" s="16">
        <f t="shared" si="3"/>
        <v>3.0877415952435716</v>
      </c>
      <c r="M44" s="16">
        <f t="shared" si="3"/>
        <v>14.531947123135193</v>
      </c>
      <c r="N44" s="16">
        <f t="shared" si="3"/>
        <v>91.195002005428748</v>
      </c>
      <c r="O44" s="16">
        <f t="shared" si="3"/>
        <v>0.15040466248303538</v>
      </c>
      <c r="P44" s="16">
        <f t="shared" si="3"/>
        <v>0.38027020660433647</v>
      </c>
      <c r="Q44" s="16">
        <f t="shared" si="3"/>
        <v>2.8738952846698318</v>
      </c>
      <c r="R44" s="29"/>
      <c r="S44" s="29"/>
      <c r="T44" s="29"/>
      <c r="U44" s="29"/>
    </row>
    <row r="45" spans="1:21" s="22" customFormat="1" x14ac:dyDescent="0.25">
      <c r="A45" s="15" t="s">
        <v>33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6">
        <f>COUNT(G9:G39)+1</f>
        <v>31</v>
      </c>
      <c r="H45" s="16">
        <f>COUNT(H9:H39)+1</f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30"/>
      <c r="S45" s="30"/>
      <c r="T45" s="30"/>
      <c r="U45" s="30"/>
    </row>
    <row r="46" spans="1:21" s="22" customFormat="1" x14ac:dyDescent="0.25">
      <c r="A46" s="15" t="s">
        <v>34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30"/>
      <c r="S46" s="30"/>
      <c r="T46" s="30"/>
      <c r="U46" s="30"/>
    </row>
    <row r="47" spans="1:21" s="22" customFormat="1" x14ac:dyDescent="0.25">
      <c r="A47" s="15" t="s">
        <v>1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30"/>
      <c r="S47" s="30"/>
      <c r="T47" s="30"/>
      <c r="U47" s="30"/>
    </row>
    <row r="48" spans="1:21" x14ac:dyDescent="0.25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50" spans="1:16" x14ac:dyDescent="0.25">
      <c r="A50" s="15" t="s">
        <v>35</v>
      </c>
      <c r="B50" s="41" t="s">
        <v>60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 x14ac:dyDescent="0.25">
      <c r="A51" s="14"/>
      <c r="B51" s="22"/>
      <c r="C51" s="22"/>
      <c r="D51" s="2"/>
      <c r="E51" s="2"/>
      <c r="F51" s="2"/>
      <c r="G51" s="2"/>
      <c r="H51" s="2"/>
      <c r="I51" s="2"/>
      <c r="J51" s="22"/>
      <c r="K51" s="22"/>
      <c r="L51" s="22"/>
      <c r="M51" s="22"/>
      <c r="N51" s="22"/>
      <c r="O51" s="22"/>
      <c r="P51" s="22"/>
    </row>
    <row r="52" spans="1:16" ht="15.75" x14ac:dyDescent="0.25">
      <c r="A52" s="18" t="s">
        <v>36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 x14ac:dyDescent="0.25">
      <c r="A54" s="1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 x14ac:dyDescent="0.25">
      <c r="A55" s="1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</sheetData>
  <mergeCells count="1">
    <mergeCell ref="B52:P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2025-06-04T17:23:17Z</dcterms:modified>
  <cp:category/>
</cp:coreProperties>
</file>